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gat\Downloads\DocuMate-20260328T063843Z-3-001\DocuMate\data\"/>
    </mc:Choice>
  </mc:AlternateContent>
  <xr:revisionPtr revIDLastSave="0" documentId="13_ncr:1_{4A2F92A8-1B3C-4A96-AA6C-212A3BC63C4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DocuMateSRC" sheetId="2" r:id="rId2"/>
    <sheet name="Sheet5" sheetId="3" r:id="rId3"/>
    <sheet name="Sheet7" sheetId="4" r:id="rId4"/>
  </sheets>
  <calcPr calcId="191029" iterateDelta="1E-4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C7" i="3"/>
  <c r="F7" i="3" s="1"/>
  <c r="F6" i="3"/>
  <c r="E6" i="3"/>
  <c r="D6" i="3"/>
  <c r="C6" i="3"/>
  <c r="D5" i="3"/>
  <c r="C5" i="3"/>
  <c r="F5" i="3" s="1"/>
  <c r="F4" i="3"/>
  <c r="E4" i="3"/>
  <c r="D4" i="3"/>
  <c r="C4" i="3"/>
  <c r="D3" i="3"/>
  <c r="C3" i="3"/>
  <c r="F3" i="3" s="1"/>
  <c r="F2" i="3"/>
  <c r="E2" i="3"/>
  <c r="D2" i="3"/>
  <c r="C2" i="3"/>
  <c r="J728" i="2"/>
  <c r="I728" i="2"/>
  <c r="H728" i="2"/>
  <c r="G728" i="2"/>
  <c r="F728" i="2"/>
  <c r="E728" i="2"/>
  <c r="D728" i="2"/>
  <c r="C728" i="2"/>
  <c r="B728" i="2"/>
  <c r="A728" i="2"/>
  <c r="J727" i="2"/>
  <c r="I727" i="2"/>
  <c r="H727" i="2"/>
  <c r="G727" i="2"/>
  <c r="F727" i="2"/>
  <c r="E727" i="2"/>
  <c r="D727" i="2"/>
  <c r="C727" i="2"/>
  <c r="B727" i="2"/>
  <c r="A727" i="2"/>
  <c r="J726" i="2"/>
  <c r="I726" i="2"/>
  <c r="H726" i="2"/>
  <c r="G726" i="2"/>
  <c r="F726" i="2"/>
  <c r="E726" i="2"/>
  <c r="D726" i="2"/>
  <c r="C726" i="2"/>
  <c r="B726" i="2"/>
  <c r="A726" i="2"/>
  <c r="J725" i="2"/>
  <c r="I725" i="2"/>
  <c r="H725" i="2"/>
  <c r="G725" i="2"/>
  <c r="F725" i="2"/>
  <c r="E725" i="2"/>
  <c r="D725" i="2"/>
  <c r="C725" i="2"/>
  <c r="B725" i="2"/>
  <c r="A725" i="2"/>
  <c r="J724" i="2"/>
  <c r="I724" i="2"/>
  <c r="H724" i="2"/>
  <c r="G724" i="2"/>
  <c r="F724" i="2"/>
  <c r="E724" i="2"/>
  <c r="D724" i="2"/>
  <c r="C724" i="2"/>
  <c r="B724" i="2"/>
  <c r="A724" i="2"/>
  <c r="J723" i="2"/>
  <c r="I723" i="2"/>
  <c r="H723" i="2"/>
  <c r="G723" i="2"/>
  <c r="F723" i="2"/>
  <c r="E723" i="2"/>
  <c r="D723" i="2"/>
  <c r="C723" i="2"/>
  <c r="B723" i="2"/>
  <c r="A723" i="2"/>
  <c r="J722" i="2"/>
  <c r="I722" i="2"/>
  <c r="H722" i="2"/>
  <c r="G722" i="2"/>
  <c r="F722" i="2"/>
  <c r="E722" i="2"/>
  <c r="D722" i="2"/>
  <c r="C722" i="2"/>
  <c r="B722" i="2"/>
  <c r="A722" i="2"/>
  <c r="J721" i="2"/>
  <c r="I721" i="2"/>
  <c r="H721" i="2"/>
  <c r="G721" i="2"/>
  <c r="F721" i="2"/>
  <c r="E721" i="2"/>
  <c r="D721" i="2"/>
  <c r="C721" i="2"/>
  <c r="B721" i="2"/>
  <c r="A721" i="2"/>
  <c r="J720" i="2"/>
  <c r="I720" i="2"/>
  <c r="H720" i="2"/>
  <c r="G720" i="2"/>
  <c r="F720" i="2"/>
  <c r="E720" i="2"/>
  <c r="D720" i="2"/>
  <c r="C720" i="2"/>
  <c r="B720" i="2"/>
  <c r="A720" i="2"/>
  <c r="J719" i="2"/>
  <c r="I719" i="2"/>
  <c r="H719" i="2"/>
  <c r="G719" i="2"/>
  <c r="F719" i="2"/>
  <c r="E719" i="2"/>
  <c r="D719" i="2"/>
  <c r="C719" i="2"/>
  <c r="B719" i="2"/>
  <c r="A719" i="2"/>
  <c r="J718" i="2"/>
  <c r="I718" i="2"/>
  <c r="H718" i="2"/>
  <c r="G718" i="2"/>
  <c r="F718" i="2"/>
  <c r="E718" i="2"/>
  <c r="D718" i="2"/>
  <c r="C718" i="2"/>
  <c r="B718" i="2"/>
  <c r="A718" i="2"/>
  <c r="J717" i="2"/>
  <c r="I717" i="2"/>
  <c r="H717" i="2"/>
  <c r="G717" i="2"/>
  <c r="F717" i="2"/>
  <c r="E717" i="2"/>
  <c r="D717" i="2"/>
  <c r="C717" i="2"/>
  <c r="B717" i="2"/>
  <c r="A717" i="2"/>
  <c r="J716" i="2"/>
  <c r="I716" i="2"/>
  <c r="H716" i="2"/>
  <c r="G716" i="2"/>
  <c r="F716" i="2"/>
  <c r="E716" i="2"/>
  <c r="D716" i="2"/>
  <c r="C716" i="2"/>
  <c r="B716" i="2"/>
  <c r="A716" i="2"/>
  <c r="J715" i="2"/>
  <c r="I715" i="2"/>
  <c r="H715" i="2"/>
  <c r="G715" i="2"/>
  <c r="F715" i="2"/>
  <c r="E715" i="2"/>
  <c r="D715" i="2"/>
  <c r="C715" i="2"/>
  <c r="B715" i="2"/>
  <c r="A715" i="2"/>
  <c r="J714" i="2"/>
  <c r="I714" i="2"/>
  <c r="H714" i="2"/>
  <c r="G714" i="2"/>
  <c r="F714" i="2"/>
  <c r="E714" i="2"/>
  <c r="D714" i="2"/>
  <c r="C714" i="2"/>
  <c r="B714" i="2"/>
  <c r="A714" i="2"/>
  <c r="J713" i="2"/>
  <c r="I713" i="2"/>
  <c r="H713" i="2"/>
  <c r="G713" i="2"/>
  <c r="F713" i="2"/>
  <c r="E713" i="2"/>
  <c r="D713" i="2"/>
  <c r="C713" i="2"/>
  <c r="B713" i="2"/>
  <c r="A713" i="2"/>
  <c r="J712" i="2"/>
  <c r="I712" i="2"/>
  <c r="H712" i="2"/>
  <c r="G712" i="2"/>
  <c r="F712" i="2"/>
  <c r="E712" i="2"/>
  <c r="D712" i="2"/>
  <c r="C712" i="2"/>
  <c r="B712" i="2"/>
  <c r="A712" i="2"/>
  <c r="J711" i="2"/>
  <c r="I711" i="2"/>
  <c r="H711" i="2"/>
  <c r="G711" i="2"/>
  <c r="F711" i="2"/>
  <c r="E711" i="2"/>
  <c r="D711" i="2"/>
  <c r="C711" i="2"/>
  <c r="B711" i="2"/>
  <c r="A711" i="2"/>
  <c r="J710" i="2"/>
  <c r="I710" i="2"/>
  <c r="H710" i="2"/>
  <c r="G710" i="2"/>
  <c r="F710" i="2"/>
  <c r="E710" i="2"/>
  <c r="D710" i="2"/>
  <c r="C710" i="2"/>
  <c r="B710" i="2"/>
  <c r="A710" i="2"/>
  <c r="J709" i="2"/>
  <c r="I709" i="2"/>
  <c r="H709" i="2"/>
  <c r="G709" i="2"/>
  <c r="F709" i="2"/>
  <c r="E709" i="2"/>
  <c r="D709" i="2"/>
  <c r="C709" i="2"/>
  <c r="B709" i="2"/>
  <c r="A709" i="2"/>
  <c r="J708" i="2"/>
  <c r="I708" i="2"/>
  <c r="H708" i="2"/>
  <c r="G708" i="2"/>
  <c r="F708" i="2"/>
  <c r="E708" i="2"/>
  <c r="D708" i="2"/>
  <c r="C708" i="2"/>
  <c r="B708" i="2"/>
  <c r="A708" i="2"/>
  <c r="J707" i="2"/>
  <c r="I707" i="2"/>
  <c r="H707" i="2"/>
  <c r="G707" i="2"/>
  <c r="F707" i="2"/>
  <c r="E707" i="2"/>
  <c r="D707" i="2"/>
  <c r="C707" i="2"/>
  <c r="B707" i="2"/>
  <c r="A707" i="2"/>
  <c r="J706" i="2"/>
  <c r="I706" i="2"/>
  <c r="H706" i="2"/>
  <c r="G706" i="2"/>
  <c r="F706" i="2"/>
  <c r="E706" i="2"/>
  <c r="D706" i="2"/>
  <c r="C706" i="2"/>
  <c r="B706" i="2"/>
  <c r="A706" i="2"/>
  <c r="J705" i="2"/>
  <c r="I705" i="2"/>
  <c r="H705" i="2"/>
  <c r="G705" i="2"/>
  <c r="F705" i="2"/>
  <c r="E705" i="2"/>
  <c r="D705" i="2"/>
  <c r="C705" i="2"/>
  <c r="B705" i="2"/>
  <c r="A705" i="2"/>
  <c r="J704" i="2"/>
  <c r="I704" i="2"/>
  <c r="H704" i="2"/>
  <c r="G704" i="2"/>
  <c r="F704" i="2"/>
  <c r="E704" i="2"/>
  <c r="D704" i="2"/>
  <c r="C704" i="2"/>
  <c r="B704" i="2"/>
  <c r="A704" i="2"/>
  <c r="J703" i="2"/>
  <c r="I703" i="2"/>
  <c r="H703" i="2"/>
  <c r="G703" i="2"/>
  <c r="F703" i="2"/>
  <c r="E703" i="2"/>
  <c r="D703" i="2"/>
  <c r="C703" i="2"/>
  <c r="B703" i="2"/>
  <c r="A703" i="2"/>
  <c r="J702" i="2"/>
  <c r="I702" i="2"/>
  <c r="H702" i="2"/>
  <c r="G702" i="2"/>
  <c r="F702" i="2"/>
  <c r="E702" i="2"/>
  <c r="D702" i="2"/>
  <c r="C702" i="2"/>
  <c r="B702" i="2"/>
  <c r="A702" i="2"/>
  <c r="J701" i="2"/>
  <c r="I701" i="2"/>
  <c r="H701" i="2"/>
  <c r="G701" i="2"/>
  <c r="F701" i="2"/>
  <c r="E701" i="2"/>
  <c r="D701" i="2"/>
  <c r="C701" i="2"/>
  <c r="B701" i="2"/>
  <c r="A701" i="2"/>
  <c r="J700" i="2"/>
  <c r="I700" i="2"/>
  <c r="H700" i="2"/>
  <c r="G700" i="2"/>
  <c r="F700" i="2"/>
  <c r="E700" i="2"/>
  <c r="D700" i="2"/>
  <c r="C700" i="2"/>
  <c r="B700" i="2"/>
  <c r="A700" i="2"/>
  <c r="J699" i="2"/>
  <c r="I699" i="2"/>
  <c r="H699" i="2"/>
  <c r="G699" i="2"/>
  <c r="F699" i="2"/>
  <c r="E699" i="2"/>
  <c r="D699" i="2"/>
  <c r="C699" i="2"/>
  <c r="B699" i="2"/>
  <c r="A699" i="2"/>
  <c r="J698" i="2"/>
  <c r="I698" i="2"/>
  <c r="H698" i="2"/>
  <c r="G698" i="2"/>
  <c r="F698" i="2"/>
  <c r="E698" i="2"/>
  <c r="D698" i="2"/>
  <c r="C698" i="2"/>
  <c r="B698" i="2"/>
  <c r="A698" i="2"/>
  <c r="J697" i="2"/>
  <c r="I697" i="2"/>
  <c r="H697" i="2"/>
  <c r="G697" i="2"/>
  <c r="F697" i="2"/>
  <c r="E697" i="2"/>
  <c r="D697" i="2"/>
  <c r="C697" i="2"/>
  <c r="B697" i="2"/>
  <c r="A697" i="2"/>
  <c r="J696" i="2"/>
  <c r="I696" i="2"/>
  <c r="H696" i="2"/>
  <c r="G696" i="2"/>
  <c r="F696" i="2"/>
  <c r="E696" i="2"/>
  <c r="D696" i="2"/>
  <c r="C696" i="2"/>
  <c r="B696" i="2"/>
  <c r="A696" i="2"/>
  <c r="J695" i="2"/>
  <c r="I695" i="2"/>
  <c r="H695" i="2"/>
  <c r="G695" i="2"/>
  <c r="F695" i="2"/>
  <c r="E695" i="2"/>
  <c r="D695" i="2"/>
  <c r="C695" i="2"/>
  <c r="B695" i="2"/>
  <c r="A695" i="2"/>
  <c r="J694" i="2"/>
  <c r="I694" i="2"/>
  <c r="H694" i="2"/>
  <c r="G694" i="2"/>
  <c r="F694" i="2"/>
  <c r="E694" i="2"/>
  <c r="D694" i="2"/>
  <c r="C694" i="2"/>
  <c r="B694" i="2"/>
  <c r="A694" i="2"/>
  <c r="J693" i="2"/>
  <c r="I693" i="2"/>
  <c r="H693" i="2"/>
  <c r="G693" i="2"/>
  <c r="F693" i="2"/>
  <c r="E693" i="2"/>
  <c r="D693" i="2"/>
  <c r="C693" i="2"/>
  <c r="B693" i="2"/>
  <c r="A693" i="2"/>
  <c r="J692" i="2"/>
  <c r="I692" i="2"/>
  <c r="H692" i="2"/>
  <c r="G692" i="2"/>
  <c r="F692" i="2"/>
  <c r="E692" i="2"/>
  <c r="D692" i="2"/>
  <c r="C692" i="2"/>
  <c r="B692" i="2"/>
  <c r="A692" i="2"/>
  <c r="J691" i="2"/>
  <c r="I691" i="2"/>
  <c r="H691" i="2"/>
  <c r="G691" i="2"/>
  <c r="F691" i="2"/>
  <c r="E691" i="2"/>
  <c r="D691" i="2"/>
  <c r="C691" i="2"/>
  <c r="B691" i="2"/>
  <c r="A691" i="2"/>
  <c r="J690" i="2"/>
  <c r="I690" i="2"/>
  <c r="H690" i="2"/>
  <c r="G690" i="2"/>
  <c r="F690" i="2"/>
  <c r="E690" i="2"/>
  <c r="D690" i="2"/>
  <c r="C690" i="2"/>
  <c r="B690" i="2"/>
  <c r="A690" i="2"/>
  <c r="J689" i="2"/>
  <c r="I689" i="2"/>
  <c r="H689" i="2"/>
  <c r="G689" i="2"/>
  <c r="F689" i="2"/>
  <c r="E689" i="2"/>
  <c r="D689" i="2"/>
  <c r="C689" i="2"/>
  <c r="B689" i="2"/>
  <c r="A689" i="2"/>
  <c r="J688" i="2"/>
  <c r="I688" i="2"/>
  <c r="H688" i="2"/>
  <c r="G688" i="2"/>
  <c r="F688" i="2"/>
  <c r="E688" i="2"/>
  <c r="D688" i="2"/>
  <c r="C688" i="2"/>
  <c r="B688" i="2"/>
  <c r="A688" i="2"/>
  <c r="J687" i="2"/>
  <c r="I687" i="2"/>
  <c r="H687" i="2"/>
  <c r="G687" i="2"/>
  <c r="F687" i="2"/>
  <c r="E687" i="2"/>
  <c r="D687" i="2"/>
  <c r="C687" i="2"/>
  <c r="B687" i="2"/>
  <c r="A687" i="2"/>
  <c r="J686" i="2"/>
  <c r="I686" i="2"/>
  <c r="H686" i="2"/>
  <c r="G686" i="2"/>
  <c r="F686" i="2"/>
  <c r="E686" i="2"/>
  <c r="D686" i="2"/>
  <c r="C686" i="2"/>
  <c r="B686" i="2"/>
  <c r="A686" i="2"/>
  <c r="J685" i="2"/>
  <c r="I685" i="2"/>
  <c r="H685" i="2"/>
  <c r="G685" i="2"/>
  <c r="F685" i="2"/>
  <c r="E685" i="2"/>
  <c r="D685" i="2"/>
  <c r="C685" i="2"/>
  <c r="B685" i="2"/>
  <c r="A685" i="2"/>
  <c r="J684" i="2"/>
  <c r="I684" i="2"/>
  <c r="H684" i="2"/>
  <c r="G684" i="2"/>
  <c r="F684" i="2"/>
  <c r="E684" i="2"/>
  <c r="D684" i="2"/>
  <c r="C684" i="2"/>
  <c r="B684" i="2"/>
  <c r="A684" i="2"/>
  <c r="J683" i="2"/>
  <c r="I683" i="2"/>
  <c r="H683" i="2"/>
  <c r="G683" i="2"/>
  <c r="F683" i="2"/>
  <c r="E683" i="2"/>
  <c r="D683" i="2"/>
  <c r="C683" i="2"/>
  <c r="B683" i="2"/>
  <c r="A683" i="2"/>
  <c r="J682" i="2"/>
  <c r="I682" i="2"/>
  <c r="H682" i="2"/>
  <c r="G682" i="2"/>
  <c r="F682" i="2"/>
  <c r="E682" i="2"/>
  <c r="D682" i="2"/>
  <c r="C682" i="2"/>
  <c r="B682" i="2"/>
  <c r="A682" i="2"/>
  <c r="J681" i="2"/>
  <c r="I681" i="2"/>
  <c r="H681" i="2"/>
  <c r="G681" i="2"/>
  <c r="F681" i="2"/>
  <c r="E681" i="2"/>
  <c r="D681" i="2"/>
  <c r="C681" i="2"/>
  <c r="B681" i="2"/>
  <c r="A681" i="2"/>
  <c r="J680" i="2"/>
  <c r="I680" i="2"/>
  <c r="H680" i="2"/>
  <c r="G680" i="2"/>
  <c r="F680" i="2"/>
  <c r="E680" i="2"/>
  <c r="D680" i="2"/>
  <c r="C680" i="2"/>
  <c r="B680" i="2"/>
  <c r="A680" i="2"/>
  <c r="J679" i="2"/>
  <c r="I679" i="2"/>
  <c r="H679" i="2"/>
  <c r="G679" i="2"/>
  <c r="F679" i="2"/>
  <c r="E679" i="2"/>
  <c r="D679" i="2"/>
  <c r="C679" i="2"/>
  <c r="B679" i="2"/>
  <c r="A679" i="2"/>
  <c r="J678" i="2"/>
  <c r="I678" i="2"/>
  <c r="H678" i="2"/>
  <c r="G678" i="2"/>
  <c r="F678" i="2"/>
  <c r="E678" i="2"/>
  <c r="D678" i="2"/>
  <c r="C678" i="2"/>
  <c r="B678" i="2"/>
  <c r="A678" i="2"/>
  <c r="J677" i="2"/>
  <c r="I677" i="2"/>
  <c r="H677" i="2"/>
  <c r="G677" i="2"/>
  <c r="F677" i="2"/>
  <c r="E677" i="2"/>
  <c r="D677" i="2"/>
  <c r="C677" i="2"/>
  <c r="B677" i="2"/>
  <c r="A677" i="2"/>
  <c r="J676" i="2"/>
  <c r="I676" i="2"/>
  <c r="H676" i="2"/>
  <c r="G676" i="2"/>
  <c r="F676" i="2"/>
  <c r="E676" i="2"/>
  <c r="D676" i="2"/>
  <c r="C676" i="2"/>
  <c r="B676" i="2"/>
  <c r="A676" i="2"/>
  <c r="J675" i="2"/>
  <c r="I675" i="2"/>
  <c r="H675" i="2"/>
  <c r="G675" i="2"/>
  <c r="F675" i="2"/>
  <c r="E675" i="2"/>
  <c r="D675" i="2"/>
  <c r="C675" i="2"/>
  <c r="B675" i="2"/>
  <c r="A675" i="2"/>
  <c r="J674" i="2"/>
  <c r="I674" i="2"/>
  <c r="H674" i="2"/>
  <c r="G674" i="2"/>
  <c r="F674" i="2"/>
  <c r="E674" i="2"/>
  <c r="D674" i="2"/>
  <c r="C674" i="2"/>
  <c r="B674" i="2"/>
  <c r="A674" i="2"/>
  <c r="J673" i="2"/>
  <c r="I673" i="2"/>
  <c r="H673" i="2"/>
  <c r="G673" i="2"/>
  <c r="F673" i="2"/>
  <c r="E673" i="2"/>
  <c r="D673" i="2"/>
  <c r="C673" i="2"/>
  <c r="B673" i="2"/>
  <c r="A673" i="2"/>
  <c r="J672" i="2"/>
  <c r="I672" i="2"/>
  <c r="H672" i="2"/>
  <c r="G672" i="2"/>
  <c r="F672" i="2"/>
  <c r="E672" i="2"/>
  <c r="D672" i="2"/>
  <c r="C672" i="2"/>
  <c r="B672" i="2"/>
  <c r="A672" i="2"/>
  <c r="J671" i="2"/>
  <c r="I671" i="2"/>
  <c r="H671" i="2"/>
  <c r="G671" i="2"/>
  <c r="F671" i="2"/>
  <c r="E671" i="2"/>
  <c r="D671" i="2"/>
  <c r="C671" i="2"/>
  <c r="B671" i="2"/>
  <c r="A671" i="2"/>
  <c r="J670" i="2"/>
  <c r="I670" i="2"/>
  <c r="H670" i="2"/>
  <c r="G670" i="2"/>
  <c r="F670" i="2"/>
  <c r="E670" i="2"/>
  <c r="D670" i="2"/>
  <c r="C670" i="2"/>
  <c r="B670" i="2"/>
  <c r="A670" i="2"/>
  <c r="J669" i="2"/>
  <c r="I669" i="2"/>
  <c r="H669" i="2"/>
  <c r="G669" i="2"/>
  <c r="F669" i="2"/>
  <c r="E669" i="2"/>
  <c r="D669" i="2"/>
  <c r="C669" i="2"/>
  <c r="B669" i="2"/>
  <c r="A669" i="2"/>
  <c r="J668" i="2"/>
  <c r="I668" i="2"/>
  <c r="H668" i="2"/>
  <c r="G668" i="2"/>
  <c r="F668" i="2"/>
  <c r="E668" i="2"/>
  <c r="D668" i="2"/>
  <c r="C668" i="2"/>
  <c r="B668" i="2"/>
  <c r="A668" i="2"/>
  <c r="J667" i="2"/>
  <c r="I667" i="2"/>
  <c r="H667" i="2"/>
  <c r="G667" i="2"/>
  <c r="F667" i="2"/>
  <c r="E667" i="2"/>
  <c r="D667" i="2"/>
  <c r="C667" i="2"/>
  <c r="B667" i="2"/>
  <c r="A667" i="2"/>
  <c r="J666" i="2"/>
  <c r="I666" i="2"/>
  <c r="H666" i="2"/>
  <c r="G666" i="2"/>
  <c r="F666" i="2"/>
  <c r="E666" i="2"/>
  <c r="D666" i="2"/>
  <c r="C666" i="2"/>
  <c r="B666" i="2"/>
  <c r="A666" i="2"/>
  <c r="J665" i="2"/>
  <c r="I665" i="2"/>
  <c r="H665" i="2"/>
  <c r="G665" i="2"/>
  <c r="F665" i="2"/>
  <c r="E665" i="2"/>
  <c r="D665" i="2"/>
  <c r="C665" i="2"/>
  <c r="B665" i="2"/>
  <c r="A665" i="2"/>
  <c r="J664" i="2"/>
  <c r="I664" i="2"/>
  <c r="H664" i="2"/>
  <c r="G664" i="2"/>
  <c r="F664" i="2"/>
  <c r="E664" i="2"/>
  <c r="D664" i="2"/>
  <c r="C664" i="2"/>
  <c r="B664" i="2"/>
  <c r="A664" i="2"/>
  <c r="J663" i="2"/>
  <c r="I663" i="2"/>
  <c r="H663" i="2"/>
  <c r="G663" i="2"/>
  <c r="F663" i="2"/>
  <c r="E663" i="2"/>
  <c r="D663" i="2"/>
  <c r="C663" i="2"/>
  <c r="B663" i="2"/>
  <c r="A663" i="2"/>
  <c r="J662" i="2"/>
  <c r="I662" i="2"/>
  <c r="H662" i="2"/>
  <c r="G662" i="2"/>
  <c r="F662" i="2"/>
  <c r="E662" i="2"/>
  <c r="D662" i="2"/>
  <c r="C662" i="2"/>
  <c r="B662" i="2"/>
  <c r="A662" i="2"/>
  <c r="J661" i="2"/>
  <c r="I661" i="2"/>
  <c r="H661" i="2"/>
  <c r="G661" i="2"/>
  <c r="F661" i="2"/>
  <c r="E661" i="2"/>
  <c r="D661" i="2"/>
  <c r="C661" i="2"/>
  <c r="B661" i="2"/>
  <c r="A661" i="2"/>
  <c r="J660" i="2"/>
  <c r="I660" i="2"/>
  <c r="H660" i="2"/>
  <c r="G660" i="2"/>
  <c r="F660" i="2"/>
  <c r="E660" i="2"/>
  <c r="D660" i="2"/>
  <c r="C660" i="2"/>
  <c r="B660" i="2"/>
  <c r="A660" i="2"/>
  <c r="J659" i="2"/>
  <c r="I659" i="2"/>
  <c r="H659" i="2"/>
  <c r="G659" i="2"/>
  <c r="F659" i="2"/>
  <c r="E659" i="2"/>
  <c r="D659" i="2"/>
  <c r="C659" i="2"/>
  <c r="B659" i="2"/>
  <c r="A659" i="2"/>
  <c r="J658" i="2"/>
  <c r="I658" i="2"/>
  <c r="H658" i="2"/>
  <c r="G658" i="2"/>
  <c r="F658" i="2"/>
  <c r="E658" i="2"/>
  <c r="D658" i="2"/>
  <c r="C658" i="2"/>
  <c r="B658" i="2"/>
  <c r="A658" i="2"/>
  <c r="J657" i="2"/>
  <c r="I657" i="2"/>
  <c r="H657" i="2"/>
  <c r="G657" i="2"/>
  <c r="F657" i="2"/>
  <c r="E657" i="2"/>
  <c r="D657" i="2"/>
  <c r="C657" i="2"/>
  <c r="B657" i="2"/>
  <c r="A657" i="2"/>
  <c r="J656" i="2"/>
  <c r="I656" i="2"/>
  <c r="H656" i="2"/>
  <c r="G656" i="2"/>
  <c r="F656" i="2"/>
  <c r="E656" i="2"/>
  <c r="D656" i="2"/>
  <c r="C656" i="2"/>
  <c r="B656" i="2"/>
  <c r="A656" i="2"/>
  <c r="J655" i="2"/>
  <c r="I655" i="2"/>
  <c r="H655" i="2"/>
  <c r="G655" i="2"/>
  <c r="F655" i="2"/>
  <c r="E655" i="2"/>
  <c r="D655" i="2"/>
  <c r="C655" i="2"/>
  <c r="B655" i="2"/>
  <c r="A655" i="2"/>
  <c r="J654" i="2"/>
  <c r="I654" i="2"/>
  <c r="H654" i="2"/>
  <c r="G654" i="2"/>
  <c r="F654" i="2"/>
  <c r="E654" i="2"/>
  <c r="D654" i="2"/>
  <c r="C654" i="2"/>
  <c r="B654" i="2"/>
  <c r="A654" i="2"/>
  <c r="J653" i="2"/>
  <c r="I653" i="2"/>
  <c r="H653" i="2"/>
  <c r="G653" i="2"/>
  <c r="F653" i="2"/>
  <c r="E653" i="2"/>
  <c r="D653" i="2"/>
  <c r="C653" i="2"/>
  <c r="B653" i="2"/>
  <c r="A653" i="2"/>
  <c r="J652" i="2"/>
  <c r="I652" i="2"/>
  <c r="H652" i="2"/>
  <c r="G652" i="2"/>
  <c r="F652" i="2"/>
  <c r="E652" i="2"/>
  <c r="D652" i="2"/>
  <c r="C652" i="2"/>
  <c r="B652" i="2"/>
  <c r="A652" i="2"/>
  <c r="J651" i="2"/>
  <c r="I651" i="2"/>
  <c r="H651" i="2"/>
  <c r="G651" i="2"/>
  <c r="F651" i="2"/>
  <c r="E651" i="2"/>
  <c r="D651" i="2"/>
  <c r="C651" i="2"/>
  <c r="B651" i="2"/>
  <c r="A651" i="2"/>
  <c r="J650" i="2"/>
  <c r="I650" i="2"/>
  <c r="H650" i="2"/>
  <c r="G650" i="2"/>
  <c r="F650" i="2"/>
  <c r="E650" i="2"/>
  <c r="D650" i="2"/>
  <c r="C650" i="2"/>
  <c r="B650" i="2"/>
  <c r="A650" i="2"/>
  <c r="J649" i="2"/>
  <c r="I649" i="2"/>
  <c r="H649" i="2"/>
  <c r="G649" i="2"/>
  <c r="F649" i="2"/>
  <c r="E649" i="2"/>
  <c r="D649" i="2"/>
  <c r="C649" i="2"/>
  <c r="B649" i="2"/>
  <c r="A649" i="2"/>
  <c r="J648" i="2"/>
  <c r="I648" i="2"/>
  <c r="H648" i="2"/>
  <c r="G648" i="2"/>
  <c r="F648" i="2"/>
  <c r="E648" i="2"/>
  <c r="D648" i="2"/>
  <c r="C648" i="2"/>
  <c r="B648" i="2"/>
  <c r="A648" i="2"/>
  <c r="J647" i="2"/>
  <c r="I647" i="2"/>
  <c r="H647" i="2"/>
  <c r="G647" i="2"/>
  <c r="F647" i="2"/>
  <c r="E647" i="2"/>
  <c r="D647" i="2"/>
  <c r="C647" i="2"/>
  <c r="B647" i="2"/>
  <c r="A647" i="2"/>
  <c r="J646" i="2"/>
  <c r="I646" i="2"/>
  <c r="H646" i="2"/>
  <c r="G646" i="2"/>
  <c r="F646" i="2"/>
  <c r="E646" i="2"/>
  <c r="D646" i="2"/>
  <c r="C646" i="2"/>
  <c r="B646" i="2"/>
  <c r="A646" i="2"/>
  <c r="J645" i="2"/>
  <c r="I645" i="2"/>
  <c r="H645" i="2"/>
  <c r="G645" i="2"/>
  <c r="F645" i="2"/>
  <c r="E645" i="2"/>
  <c r="D645" i="2"/>
  <c r="C645" i="2"/>
  <c r="B645" i="2"/>
  <c r="A645" i="2"/>
  <c r="J644" i="2"/>
  <c r="I644" i="2"/>
  <c r="H644" i="2"/>
  <c r="G644" i="2"/>
  <c r="F644" i="2"/>
  <c r="E644" i="2"/>
  <c r="D644" i="2"/>
  <c r="C644" i="2"/>
  <c r="B644" i="2"/>
  <c r="A644" i="2"/>
  <c r="J643" i="2"/>
  <c r="I643" i="2"/>
  <c r="H643" i="2"/>
  <c r="G643" i="2"/>
  <c r="F643" i="2"/>
  <c r="E643" i="2"/>
  <c r="D643" i="2"/>
  <c r="C643" i="2"/>
  <c r="B643" i="2"/>
  <c r="A643" i="2"/>
  <c r="J642" i="2"/>
  <c r="I642" i="2"/>
  <c r="H642" i="2"/>
  <c r="G642" i="2"/>
  <c r="F642" i="2"/>
  <c r="E642" i="2"/>
  <c r="D642" i="2"/>
  <c r="C642" i="2"/>
  <c r="B642" i="2"/>
  <c r="A642" i="2"/>
  <c r="J641" i="2"/>
  <c r="I641" i="2"/>
  <c r="H641" i="2"/>
  <c r="G641" i="2"/>
  <c r="F641" i="2"/>
  <c r="E641" i="2"/>
  <c r="D641" i="2"/>
  <c r="C641" i="2"/>
  <c r="B641" i="2"/>
  <c r="A641" i="2"/>
  <c r="J640" i="2"/>
  <c r="I640" i="2"/>
  <c r="H640" i="2"/>
  <c r="G640" i="2"/>
  <c r="F640" i="2"/>
  <c r="E640" i="2"/>
  <c r="D640" i="2"/>
  <c r="C640" i="2"/>
  <c r="B640" i="2"/>
  <c r="A640" i="2"/>
  <c r="J639" i="2"/>
  <c r="I639" i="2"/>
  <c r="H639" i="2"/>
  <c r="G639" i="2"/>
  <c r="F639" i="2"/>
  <c r="E639" i="2"/>
  <c r="D639" i="2"/>
  <c r="C639" i="2"/>
  <c r="B639" i="2"/>
  <c r="A639" i="2"/>
  <c r="J638" i="2"/>
  <c r="I638" i="2"/>
  <c r="H638" i="2"/>
  <c r="G638" i="2"/>
  <c r="F638" i="2"/>
  <c r="E638" i="2"/>
  <c r="D638" i="2"/>
  <c r="C638" i="2"/>
  <c r="B638" i="2"/>
  <c r="A638" i="2"/>
  <c r="J637" i="2"/>
  <c r="I637" i="2"/>
  <c r="H637" i="2"/>
  <c r="G637" i="2"/>
  <c r="F637" i="2"/>
  <c r="E637" i="2"/>
  <c r="D637" i="2"/>
  <c r="C637" i="2"/>
  <c r="B637" i="2"/>
  <c r="A637" i="2"/>
  <c r="J636" i="2"/>
  <c r="I636" i="2"/>
  <c r="H636" i="2"/>
  <c r="G636" i="2"/>
  <c r="F636" i="2"/>
  <c r="E636" i="2"/>
  <c r="D636" i="2"/>
  <c r="C636" i="2"/>
  <c r="B636" i="2"/>
  <c r="A636" i="2"/>
  <c r="J635" i="2"/>
  <c r="I635" i="2"/>
  <c r="H635" i="2"/>
  <c r="G635" i="2"/>
  <c r="F635" i="2"/>
  <c r="E635" i="2"/>
  <c r="D635" i="2"/>
  <c r="C635" i="2"/>
  <c r="B635" i="2"/>
  <c r="A635" i="2"/>
  <c r="J634" i="2"/>
  <c r="I634" i="2"/>
  <c r="H634" i="2"/>
  <c r="G634" i="2"/>
  <c r="F634" i="2"/>
  <c r="E634" i="2"/>
  <c r="D634" i="2"/>
  <c r="C634" i="2"/>
  <c r="B634" i="2"/>
  <c r="A634" i="2"/>
  <c r="J633" i="2"/>
  <c r="I633" i="2"/>
  <c r="H633" i="2"/>
  <c r="G633" i="2"/>
  <c r="F633" i="2"/>
  <c r="E633" i="2"/>
  <c r="D633" i="2"/>
  <c r="C633" i="2"/>
  <c r="B633" i="2"/>
  <c r="A633" i="2"/>
  <c r="J632" i="2"/>
  <c r="I632" i="2"/>
  <c r="H632" i="2"/>
  <c r="G632" i="2"/>
  <c r="F632" i="2"/>
  <c r="E632" i="2"/>
  <c r="D632" i="2"/>
  <c r="C632" i="2"/>
  <c r="B632" i="2"/>
  <c r="A632" i="2"/>
  <c r="J631" i="2"/>
  <c r="I631" i="2"/>
  <c r="H631" i="2"/>
  <c r="G631" i="2"/>
  <c r="F631" i="2"/>
  <c r="E631" i="2"/>
  <c r="D631" i="2"/>
  <c r="C631" i="2"/>
  <c r="B631" i="2"/>
  <c r="A631" i="2"/>
  <c r="J630" i="2"/>
  <c r="I630" i="2"/>
  <c r="H630" i="2"/>
  <c r="G630" i="2"/>
  <c r="F630" i="2"/>
  <c r="E630" i="2"/>
  <c r="D630" i="2"/>
  <c r="C630" i="2"/>
  <c r="B630" i="2"/>
  <c r="A630" i="2"/>
  <c r="J629" i="2"/>
  <c r="I629" i="2"/>
  <c r="H629" i="2"/>
  <c r="G629" i="2"/>
  <c r="F629" i="2"/>
  <c r="E629" i="2"/>
  <c r="D629" i="2"/>
  <c r="C629" i="2"/>
  <c r="B629" i="2"/>
  <c r="A629" i="2"/>
  <c r="J628" i="2"/>
  <c r="I628" i="2"/>
  <c r="H628" i="2"/>
  <c r="G628" i="2"/>
  <c r="F628" i="2"/>
  <c r="E628" i="2"/>
  <c r="D628" i="2"/>
  <c r="C628" i="2"/>
  <c r="B628" i="2"/>
  <c r="A628" i="2"/>
  <c r="J627" i="2"/>
  <c r="I627" i="2"/>
  <c r="H627" i="2"/>
  <c r="G627" i="2"/>
  <c r="F627" i="2"/>
  <c r="E627" i="2"/>
  <c r="D627" i="2"/>
  <c r="C627" i="2"/>
  <c r="B627" i="2"/>
  <c r="A627" i="2"/>
  <c r="J626" i="2"/>
  <c r="I626" i="2"/>
  <c r="H626" i="2"/>
  <c r="G626" i="2"/>
  <c r="F626" i="2"/>
  <c r="E626" i="2"/>
  <c r="D626" i="2"/>
  <c r="C626" i="2"/>
  <c r="B626" i="2"/>
  <c r="A626" i="2"/>
  <c r="J625" i="2"/>
  <c r="I625" i="2"/>
  <c r="H625" i="2"/>
  <c r="G625" i="2"/>
  <c r="F625" i="2"/>
  <c r="E625" i="2"/>
  <c r="D625" i="2"/>
  <c r="C625" i="2"/>
  <c r="B625" i="2"/>
  <c r="A625" i="2"/>
  <c r="J624" i="2"/>
  <c r="I624" i="2"/>
  <c r="H624" i="2"/>
  <c r="G624" i="2"/>
  <c r="F624" i="2"/>
  <c r="E624" i="2"/>
  <c r="D624" i="2"/>
  <c r="C624" i="2"/>
  <c r="B624" i="2"/>
  <c r="A624" i="2"/>
  <c r="J623" i="2"/>
  <c r="I623" i="2"/>
  <c r="H623" i="2"/>
  <c r="G623" i="2"/>
  <c r="F623" i="2"/>
  <c r="E623" i="2"/>
  <c r="D623" i="2"/>
  <c r="C623" i="2"/>
  <c r="B623" i="2"/>
  <c r="A623" i="2"/>
  <c r="J622" i="2"/>
  <c r="I622" i="2"/>
  <c r="H622" i="2"/>
  <c r="G622" i="2"/>
  <c r="F622" i="2"/>
  <c r="E622" i="2"/>
  <c r="D622" i="2"/>
  <c r="C622" i="2"/>
  <c r="B622" i="2"/>
  <c r="A622" i="2"/>
  <c r="J621" i="2"/>
  <c r="I621" i="2"/>
  <c r="H621" i="2"/>
  <c r="G621" i="2"/>
  <c r="F621" i="2"/>
  <c r="E621" i="2"/>
  <c r="D621" i="2"/>
  <c r="C621" i="2"/>
  <c r="B621" i="2"/>
  <c r="A621" i="2"/>
  <c r="J620" i="2"/>
  <c r="I620" i="2"/>
  <c r="H620" i="2"/>
  <c r="G620" i="2"/>
  <c r="F620" i="2"/>
  <c r="E620" i="2"/>
  <c r="D620" i="2"/>
  <c r="C620" i="2"/>
  <c r="B620" i="2"/>
  <c r="A620" i="2"/>
  <c r="J619" i="2"/>
  <c r="I619" i="2"/>
  <c r="H619" i="2"/>
  <c r="G619" i="2"/>
  <c r="F619" i="2"/>
  <c r="E619" i="2"/>
  <c r="D619" i="2"/>
  <c r="C619" i="2"/>
  <c r="B619" i="2"/>
  <c r="A619" i="2"/>
  <c r="J618" i="2"/>
  <c r="I618" i="2"/>
  <c r="H618" i="2"/>
  <c r="G618" i="2"/>
  <c r="F618" i="2"/>
  <c r="E618" i="2"/>
  <c r="D618" i="2"/>
  <c r="C618" i="2"/>
  <c r="B618" i="2"/>
  <c r="A618" i="2"/>
  <c r="J617" i="2"/>
  <c r="I617" i="2"/>
  <c r="H617" i="2"/>
  <c r="G617" i="2"/>
  <c r="F617" i="2"/>
  <c r="E617" i="2"/>
  <c r="D617" i="2"/>
  <c r="C617" i="2"/>
  <c r="B617" i="2"/>
  <c r="A617" i="2"/>
  <c r="J616" i="2"/>
  <c r="I616" i="2"/>
  <c r="H616" i="2"/>
  <c r="G616" i="2"/>
  <c r="F616" i="2"/>
  <c r="E616" i="2"/>
  <c r="D616" i="2"/>
  <c r="C616" i="2"/>
  <c r="B616" i="2"/>
  <c r="A616" i="2"/>
  <c r="J615" i="2"/>
  <c r="I615" i="2"/>
  <c r="H615" i="2"/>
  <c r="G615" i="2"/>
  <c r="F615" i="2"/>
  <c r="E615" i="2"/>
  <c r="D615" i="2"/>
  <c r="C615" i="2"/>
  <c r="B615" i="2"/>
  <c r="A615" i="2"/>
  <c r="J614" i="2"/>
  <c r="I614" i="2"/>
  <c r="H614" i="2"/>
  <c r="G614" i="2"/>
  <c r="F614" i="2"/>
  <c r="E614" i="2"/>
  <c r="D614" i="2"/>
  <c r="C614" i="2"/>
  <c r="B614" i="2"/>
  <c r="A614" i="2"/>
  <c r="J613" i="2"/>
  <c r="I613" i="2"/>
  <c r="H613" i="2"/>
  <c r="G613" i="2"/>
  <c r="F613" i="2"/>
  <c r="E613" i="2"/>
  <c r="D613" i="2"/>
  <c r="C613" i="2"/>
  <c r="B613" i="2"/>
  <c r="A613" i="2"/>
  <c r="J612" i="2"/>
  <c r="I612" i="2"/>
  <c r="H612" i="2"/>
  <c r="G612" i="2"/>
  <c r="F612" i="2"/>
  <c r="E612" i="2"/>
  <c r="D612" i="2"/>
  <c r="C612" i="2"/>
  <c r="B612" i="2"/>
  <c r="A612" i="2"/>
  <c r="J611" i="2"/>
  <c r="I611" i="2"/>
  <c r="H611" i="2"/>
  <c r="G611" i="2"/>
  <c r="F611" i="2"/>
  <c r="E611" i="2"/>
  <c r="D611" i="2"/>
  <c r="C611" i="2"/>
  <c r="B611" i="2"/>
  <c r="A611" i="2"/>
  <c r="J610" i="2"/>
  <c r="I610" i="2"/>
  <c r="H610" i="2"/>
  <c r="G610" i="2"/>
  <c r="F610" i="2"/>
  <c r="E610" i="2"/>
  <c r="D610" i="2"/>
  <c r="C610" i="2"/>
  <c r="B610" i="2"/>
  <c r="A610" i="2"/>
  <c r="J609" i="2"/>
  <c r="I609" i="2"/>
  <c r="H609" i="2"/>
  <c r="G609" i="2"/>
  <c r="F609" i="2"/>
  <c r="E609" i="2"/>
  <c r="D609" i="2"/>
  <c r="C609" i="2"/>
  <c r="B609" i="2"/>
  <c r="A609" i="2"/>
  <c r="J608" i="2"/>
  <c r="I608" i="2"/>
  <c r="H608" i="2"/>
  <c r="G608" i="2"/>
  <c r="F608" i="2"/>
  <c r="E608" i="2"/>
  <c r="D608" i="2"/>
  <c r="C608" i="2"/>
  <c r="B608" i="2"/>
  <c r="A608" i="2"/>
  <c r="J607" i="2"/>
  <c r="I607" i="2"/>
  <c r="H607" i="2"/>
  <c r="G607" i="2"/>
  <c r="F607" i="2"/>
  <c r="E607" i="2"/>
  <c r="D607" i="2"/>
  <c r="C607" i="2"/>
  <c r="B607" i="2"/>
  <c r="A607" i="2"/>
  <c r="J606" i="2"/>
  <c r="I606" i="2"/>
  <c r="H606" i="2"/>
  <c r="G606" i="2"/>
  <c r="F606" i="2"/>
  <c r="E606" i="2"/>
  <c r="D606" i="2"/>
  <c r="C606" i="2"/>
  <c r="B606" i="2"/>
  <c r="A606" i="2"/>
  <c r="J605" i="2"/>
  <c r="I605" i="2"/>
  <c r="H605" i="2"/>
  <c r="G605" i="2"/>
  <c r="F605" i="2"/>
  <c r="E605" i="2"/>
  <c r="D605" i="2"/>
  <c r="C605" i="2"/>
  <c r="B605" i="2"/>
  <c r="A605" i="2"/>
  <c r="J604" i="2"/>
  <c r="I604" i="2"/>
  <c r="H604" i="2"/>
  <c r="G604" i="2"/>
  <c r="F604" i="2"/>
  <c r="E604" i="2"/>
  <c r="D604" i="2"/>
  <c r="C604" i="2"/>
  <c r="B604" i="2"/>
  <c r="A604" i="2"/>
  <c r="J603" i="2"/>
  <c r="I603" i="2"/>
  <c r="H603" i="2"/>
  <c r="G603" i="2"/>
  <c r="F603" i="2"/>
  <c r="E603" i="2"/>
  <c r="D603" i="2"/>
  <c r="C603" i="2"/>
  <c r="B603" i="2"/>
  <c r="A603" i="2"/>
  <c r="J602" i="2"/>
  <c r="I602" i="2"/>
  <c r="H602" i="2"/>
  <c r="G602" i="2"/>
  <c r="F602" i="2"/>
  <c r="E602" i="2"/>
  <c r="D602" i="2"/>
  <c r="C602" i="2"/>
  <c r="B602" i="2"/>
  <c r="A602" i="2"/>
  <c r="J601" i="2"/>
  <c r="I601" i="2"/>
  <c r="H601" i="2"/>
  <c r="G601" i="2"/>
  <c r="F601" i="2"/>
  <c r="E601" i="2"/>
  <c r="D601" i="2"/>
  <c r="C601" i="2"/>
  <c r="B601" i="2"/>
  <c r="A601" i="2"/>
  <c r="J600" i="2"/>
  <c r="I600" i="2"/>
  <c r="H600" i="2"/>
  <c r="G600" i="2"/>
  <c r="F600" i="2"/>
  <c r="E600" i="2"/>
  <c r="D600" i="2"/>
  <c r="C600" i="2"/>
  <c r="B600" i="2"/>
  <c r="A600" i="2"/>
  <c r="J599" i="2"/>
  <c r="I599" i="2"/>
  <c r="H599" i="2"/>
  <c r="G599" i="2"/>
  <c r="F599" i="2"/>
  <c r="E599" i="2"/>
  <c r="D599" i="2"/>
  <c r="C599" i="2"/>
  <c r="B599" i="2"/>
  <c r="A599" i="2"/>
  <c r="J598" i="2"/>
  <c r="I598" i="2"/>
  <c r="H598" i="2"/>
  <c r="G598" i="2"/>
  <c r="F598" i="2"/>
  <c r="E598" i="2"/>
  <c r="D598" i="2"/>
  <c r="C598" i="2"/>
  <c r="B598" i="2"/>
  <c r="A598" i="2"/>
  <c r="J597" i="2"/>
  <c r="I597" i="2"/>
  <c r="H597" i="2"/>
  <c r="G597" i="2"/>
  <c r="F597" i="2"/>
  <c r="E597" i="2"/>
  <c r="D597" i="2"/>
  <c r="C597" i="2"/>
  <c r="B597" i="2"/>
  <c r="A597" i="2"/>
  <c r="J596" i="2"/>
  <c r="I596" i="2"/>
  <c r="H596" i="2"/>
  <c r="G596" i="2"/>
  <c r="F596" i="2"/>
  <c r="E596" i="2"/>
  <c r="D596" i="2"/>
  <c r="C596" i="2"/>
  <c r="B596" i="2"/>
  <c r="A596" i="2"/>
  <c r="J595" i="2"/>
  <c r="I595" i="2"/>
  <c r="H595" i="2"/>
  <c r="G595" i="2"/>
  <c r="F595" i="2"/>
  <c r="E595" i="2"/>
  <c r="D595" i="2"/>
  <c r="C595" i="2"/>
  <c r="B595" i="2"/>
  <c r="A595" i="2"/>
  <c r="J594" i="2"/>
  <c r="I594" i="2"/>
  <c r="H594" i="2"/>
  <c r="G594" i="2"/>
  <c r="F594" i="2"/>
  <c r="E594" i="2"/>
  <c r="D594" i="2"/>
  <c r="C594" i="2"/>
  <c r="B594" i="2"/>
  <c r="A594" i="2"/>
  <c r="J593" i="2"/>
  <c r="I593" i="2"/>
  <c r="H593" i="2"/>
  <c r="G593" i="2"/>
  <c r="F593" i="2"/>
  <c r="E593" i="2"/>
  <c r="D593" i="2"/>
  <c r="C593" i="2"/>
  <c r="B593" i="2"/>
  <c r="A593" i="2"/>
  <c r="J592" i="2"/>
  <c r="I592" i="2"/>
  <c r="H592" i="2"/>
  <c r="G592" i="2"/>
  <c r="F592" i="2"/>
  <c r="E592" i="2"/>
  <c r="D592" i="2"/>
  <c r="C592" i="2"/>
  <c r="B592" i="2"/>
  <c r="A592" i="2"/>
  <c r="J591" i="2"/>
  <c r="I591" i="2"/>
  <c r="H591" i="2"/>
  <c r="G591" i="2"/>
  <c r="F591" i="2"/>
  <c r="E591" i="2"/>
  <c r="D591" i="2"/>
  <c r="C591" i="2"/>
  <c r="B591" i="2"/>
  <c r="A591" i="2"/>
  <c r="J590" i="2"/>
  <c r="I590" i="2"/>
  <c r="H590" i="2"/>
  <c r="G590" i="2"/>
  <c r="F590" i="2"/>
  <c r="E590" i="2"/>
  <c r="D590" i="2"/>
  <c r="C590" i="2"/>
  <c r="B590" i="2"/>
  <c r="A590" i="2"/>
  <c r="J589" i="2"/>
  <c r="I589" i="2"/>
  <c r="H589" i="2"/>
  <c r="G589" i="2"/>
  <c r="F589" i="2"/>
  <c r="E589" i="2"/>
  <c r="D589" i="2"/>
  <c r="C589" i="2"/>
  <c r="B589" i="2"/>
  <c r="A589" i="2"/>
  <c r="J588" i="2"/>
  <c r="I588" i="2"/>
  <c r="H588" i="2"/>
  <c r="G588" i="2"/>
  <c r="F588" i="2"/>
  <c r="E588" i="2"/>
  <c r="D588" i="2"/>
  <c r="C588" i="2"/>
  <c r="B588" i="2"/>
  <c r="A588" i="2"/>
  <c r="J587" i="2"/>
  <c r="I587" i="2"/>
  <c r="H587" i="2"/>
  <c r="G587" i="2"/>
  <c r="F587" i="2"/>
  <c r="E587" i="2"/>
  <c r="D587" i="2"/>
  <c r="C587" i="2"/>
  <c r="B587" i="2"/>
  <c r="A587" i="2"/>
  <c r="J586" i="2"/>
  <c r="I586" i="2"/>
  <c r="H586" i="2"/>
  <c r="G586" i="2"/>
  <c r="F586" i="2"/>
  <c r="E586" i="2"/>
  <c r="D586" i="2"/>
  <c r="C586" i="2"/>
  <c r="B586" i="2"/>
  <c r="A586" i="2"/>
  <c r="J585" i="2"/>
  <c r="I585" i="2"/>
  <c r="H585" i="2"/>
  <c r="G585" i="2"/>
  <c r="F585" i="2"/>
  <c r="E585" i="2"/>
  <c r="D585" i="2"/>
  <c r="C585" i="2"/>
  <c r="B585" i="2"/>
  <c r="A585" i="2"/>
  <c r="J584" i="2"/>
  <c r="I584" i="2"/>
  <c r="H584" i="2"/>
  <c r="G584" i="2"/>
  <c r="F584" i="2"/>
  <c r="E584" i="2"/>
  <c r="D584" i="2"/>
  <c r="C584" i="2"/>
  <c r="B584" i="2"/>
  <c r="A584" i="2"/>
  <c r="J583" i="2"/>
  <c r="I583" i="2"/>
  <c r="H583" i="2"/>
  <c r="G583" i="2"/>
  <c r="F583" i="2"/>
  <c r="E583" i="2"/>
  <c r="D583" i="2"/>
  <c r="C583" i="2"/>
  <c r="B583" i="2"/>
  <c r="A583" i="2"/>
  <c r="J582" i="2"/>
  <c r="I582" i="2"/>
  <c r="H582" i="2"/>
  <c r="G582" i="2"/>
  <c r="F582" i="2"/>
  <c r="E582" i="2"/>
  <c r="D582" i="2"/>
  <c r="C582" i="2"/>
  <c r="B582" i="2"/>
  <c r="A582" i="2"/>
  <c r="J581" i="2"/>
  <c r="I581" i="2"/>
  <c r="H581" i="2"/>
  <c r="G581" i="2"/>
  <c r="F581" i="2"/>
  <c r="E581" i="2"/>
  <c r="D581" i="2"/>
  <c r="C581" i="2"/>
  <c r="B581" i="2"/>
  <c r="A581" i="2"/>
  <c r="J580" i="2"/>
  <c r="I580" i="2"/>
  <c r="H580" i="2"/>
  <c r="G580" i="2"/>
  <c r="F580" i="2"/>
  <c r="E580" i="2"/>
  <c r="D580" i="2"/>
  <c r="C580" i="2"/>
  <c r="B580" i="2"/>
  <c r="A580" i="2"/>
  <c r="J579" i="2"/>
  <c r="I579" i="2"/>
  <c r="H579" i="2"/>
  <c r="G579" i="2"/>
  <c r="F579" i="2"/>
  <c r="E579" i="2"/>
  <c r="D579" i="2"/>
  <c r="C579" i="2"/>
  <c r="B579" i="2"/>
  <c r="A579" i="2"/>
  <c r="J578" i="2"/>
  <c r="I578" i="2"/>
  <c r="H578" i="2"/>
  <c r="G578" i="2"/>
  <c r="F578" i="2"/>
  <c r="E578" i="2"/>
  <c r="D578" i="2"/>
  <c r="C578" i="2"/>
  <c r="B578" i="2"/>
  <c r="A578" i="2"/>
  <c r="J577" i="2"/>
  <c r="I577" i="2"/>
  <c r="H577" i="2"/>
  <c r="G577" i="2"/>
  <c r="F577" i="2"/>
  <c r="E577" i="2"/>
  <c r="D577" i="2"/>
  <c r="C577" i="2"/>
  <c r="B577" i="2"/>
  <c r="A577" i="2"/>
  <c r="J576" i="2"/>
  <c r="I576" i="2"/>
  <c r="H576" i="2"/>
  <c r="G576" i="2"/>
  <c r="F576" i="2"/>
  <c r="E576" i="2"/>
  <c r="D576" i="2"/>
  <c r="C576" i="2"/>
  <c r="B576" i="2"/>
  <c r="A576" i="2"/>
  <c r="J575" i="2"/>
  <c r="I575" i="2"/>
  <c r="H575" i="2"/>
  <c r="G575" i="2"/>
  <c r="F575" i="2"/>
  <c r="E575" i="2"/>
  <c r="D575" i="2"/>
  <c r="C575" i="2"/>
  <c r="B575" i="2"/>
  <c r="A575" i="2"/>
  <c r="J574" i="2"/>
  <c r="I574" i="2"/>
  <c r="H574" i="2"/>
  <c r="G574" i="2"/>
  <c r="F574" i="2"/>
  <c r="E574" i="2"/>
  <c r="D574" i="2"/>
  <c r="C574" i="2"/>
  <c r="B574" i="2"/>
  <c r="A574" i="2"/>
  <c r="J573" i="2"/>
  <c r="I573" i="2"/>
  <c r="H573" i="2"/>
  <c r="G573" i="2"/>
  <c r="F573" i="2"/>
  <c r="E573" i="2"/>
  <c r="D573" i="2"/>
  <c r="C573" i="2"/>
  <c r="B573" i="2"/>
  <c r="A573" i="2"/>
  <c r="J572" i="2"/>
  <c r="I572" i="2"/>
  <c r="H572" i="2"/>
  <c r="G572" i="2"/>
  <c r="F572" i="2"/>
  <c r="E572" i="2"/>
  <c r="D572" i="2"/>
  <c r="C572" i="2"/>
  <c r="B572" i="2"/>
  <c r="A572" i="2"/>
  <c r="J571" i="2"/>
  <c r="I571" i="2"/>
  <c r="H571" i="2"/>
  <c r="G571" i="2"/>
  <c r="F571" i="2"/>
  <c r="E571" i="2"/>
  <c r="D571" i="2"/>
  <c r="C571" i="2"/>
  <c r="B571" i="2"/>
  <c r="A571" i="2"/>
  <c r="J570" i="2"/>
  <c r="I570" i="2"/>
  <c r="H570" i="2"/>
  <c r="G570" i="2"/>
  <c r="F570" i="2"/>
  <c r="E570" i="2"/>
  <c r="D570" i="2"/>
  <c r="C570" i="2"/>
  <c r="B570" i="2"/>
  <c r="A570" i="2"/>
  <c r="J569" i="2"/>
  <c r="I569" i="2"/>
  <c r="H569" i="2"/>
  <c r="G569" i="2"/>
  <c r="F569" i="2"/>
  <c r="E569" i="2"/>
  <c r="D569" i="2"/>
  <c r="C569" i="2"/>
  <c r="B569" i="2"/>
  <c r="A569" i="2"/>
  <c r="J568" i="2"/>
  <c r="I568" i="2"/>
  <c r="H568" i="2"/>
  <c r="G568" i="2"/>
  <c r="F568" i="2"/>
  <c r="E568" i="2"/>
  <c r="D568" i="2"/>
  <c r="C568" i="2"/>
  <c r="B568" i="2"/>
  <c r="A568" i="2"/>
  <c r="J567" i="2"/>
  <c r="I567" i="2"/>
  <c r="H567" i="2"/>
  <c r="G567" i="2"/>
  <c r="F567" i="2"/>
  <c r="E567" i="2"/>
  <c r="D567" i="2"/>
  <c r="C567" i="2"/>
  <c r="B567" i="2"/>
  <c r="A567" i="2"/>
  <c r="J566" i="2"/>
  <c r="I566" i="2"/>
  <c r="H566" i="2"/>
  <c r="G566" i="2"/>
  <c r="F566" i="2"/>
  <c r="E566" i="2"/>
  <c r="D566" i="2"/>
  <c r="C566" i="2"/>
  <c r="B566" i="2"/>
  <c r="A566" i="2"/>
  <c r="J565" i="2"/>
  <c r="I565" i="2"/>
  <c r="H565" i="2"/>
  <c r="G565" i="2"/>
  <c r="F565" i="2"/>
  <c r="E565" i="2"/>
  <c r="D565" i="2"/>
  <c r="C565" i="2"/>
  <c r="B565" i="2"/>
  <c r="A565" i="2"/>
  <c r="J564" i="2"/>
  <c r="I564" i="2"/>
  <c r="H564" i="2"/>
  <c r="G564" i="2"/>
  <c r="F564" i="2"/>
  <c r="E564" i="2"/>
  <c r="D564" i="2"/>
  <c r="C564" i="2"/>
  <c r="B564" i="2"/>
  <c r="A564" i="2"/>
  <c r="J563" i="2"/>
  <c r="I563" i="2"/>
  <c r="H563" i="2"/>
  <c r="G563" i="2"/>
  <c r="F563" i="2"/>
  <c r="E563" i="2"/>
  <c r="D563" i="2"/>
  <c r="C563" i="2"/>
  <c r="B563" i="2"/>
  <c r="A563" i="2"/>
  <c r="J562" i="2"/>
  <c r="I562" i="2"/>
  <c r="H562" i="2"/>
  <c r="G562" i="2"/>
  <c r="F562" i="2"/>
  <c r="E562" i="2"/>
  <c r="D562" i="2"/>
  <c r="C562" i="2"/>
  <c r="B562" i="2"/>
  <c r="A562" i="2"/>
  <c r="J561" i="2"/>
  <c r="I561" i="2"/>
  <c r="H561" i="2"/>
  <c r="G561" i="2"/>
  <c r="F561" i="2"/>
  <c r="E561" i="2"/>
  <c r="D561" i="2"/>
  <c r="C561" i="2"/>
  <c r="B561" i="2"/>
  <c r="A561" i="2"/>
  <c r="J560" i="2"/>
  <c r="I560" i="2"/>
  <c r="H560" i="2"/>
  <c r="G560" i="2"/>
  <c r="F560" i="2"/>
  <c r="E560" i="2"/>
  <c r="D560" i="2"/>
  <c r="C560" i="2"/>
  <c r="B560" i="2"/>
  <c r="A560" i="2"/>
  <c r="J559" i="2"/>
  <c r="I559" i="2"/>
  <c r="H559" i="2"/>
  <c r="G559" i="2"/>
  <c r="F559" i="2"/>
  <c r="E559" i="2"/>
  <c r="D559" i="2"/>
  <c r="C559" i="2"/>
  <c r="B559" i="2"/>
  <c r="A559" i="2"/>
  <c r="J558" i="2"/>
  <c r="I558" i="2"/>
  <c r="H558" i="2"/>
  <c r="G558" i="2"/>
  <c r="F558" i="2"/>
  <c r="E558" i="2"/>
  <c r="D558" i="2"/>
  <c r="C558" i="2"/>
  <c r="B558" i="2"/>
  <c r="A558" i="2"/>
  <c r="J557" i="2"/>
  <c r="I557" i="2"/>
  <c r="H557" i="2"/>
  <c r="G557" i="2"/>
  <c r="F557" i="2"/>
  <c r="E557" i="2"/>
  <c r="D557" i="2"/>
  <c r="C557" i="2"/>
  <c r="B557" i="2"/>
  <c r="A557" i="2"/>
  <c r="J556" i="2"/>
  <c r="I556" i="2"/>
  <c r="H556" i="2"/>
  <c r="G556" i="2"/>
  <c r="F556" i="2"/>
  <c r="E556" i="2"/>
  <c r="D556" i="2"/>
  <c r="C556" i="2"/>
  <c r="B556" i="2"/>
  <c r="A556" i="2"/>
  <c r="J555" i="2"/>
  <c r="I555" i="2"/>
  <c r="H555" i="2"/>
  <c r="G555" i="2"/>
  <c r="F555" i="2"/>
  <c r="E555" i="2"/>
  <c r="D555" i="2"/>
  <c r="C555" i="2"/>
  <c r="B555" i="2"/>
  <c r="A555" i="2"/>
  <c r="J554" i="2"/>
  <c r="I554" i="2"/>
  <c r="H554" i="2"/>
  <c r="G554" i="2"/>
  <c r="F554" i="2"/>
  <c r="E554" i="2"/>
  <c r="D554" i="2"/>
  <c r="C554" i="2"/>
  <c r="B554" i="2"/>
  <c r="A554" i="2"/>
  <c r="J553" i="2"/>
  <c r="I553" i="2"/>
  <c r="H553" i="2"/>
  <c r="G553" i="2"/>
  <c r="F553" i="2"/>
  <c r="E553" i="2"/>
  <c r="D553" i="2"/>
  <c r="C553" i="2"/>
  <c r="B553" i="2"/>
  <c r="A553" i="2"/>
  <c r="J552" i="2"/>
  <c r="I552" i="2"/>
  <c r="H552" i="2"/>
  <c r="G552" i="2"/>
  <c r="F552" i="2"/>
  <c r="E552" i="2"/>
  <c r="D552" i="2"/>
  <c r="C552" i="2"/>
  <c r="B552" i="2"/>
  <c r="A552" i="2"/>
  <c r="J551" i="2"/>
  <c r="I551" i="2"/>
  <c r="H551" i="2"/>
  <c r="G551" i="2"/>
  <c r="F551" i="2"/>
  <c r="E551" i="2"/>
  <c r="D551" i="2"/>
  <c r="C551" i="2"/>
  <c r="B551" i="2"/>
  <c r="A551" i="2"/>
  <c r="J550" i="2"/>
  <c r="I550" i="2"/>
  <c r="H550" i="2"/>
  <c r="G550" i="2"/>
  <c r="F550" i="2"/>
  <c r="E550" i="2"/>
  <c r="D550" i="2"/>
  <c r="C550" i="2"/>
  <c r="B550" i="2"/>
  <c r="A550" i="2"/>
  <c r="J549" i="2"/>
  <c r="I549" i="2"/>
  <c r="H549" i="2"/>
  <c r="G549" i="2"/>
  <c r="F549" i="2"/>
  <c r="E549" i="2"/>
  <c r="D549" i="2"/>
  <c r="C549" i="2"/>
  <c r="B549" i="2"/>
  <c r="A549" i="2"/>
  <c r="J548" i="2"/>
  <c r="I548" i="2"/>
  <c r="H548" i="2"/>
  <c r="G548" i="2"/>
  <c r="F548" i="2"/>
  <c r="E548" i="2"/>
  <c r="D548" i="2"/>
  <c r="C548" i="2"/>
  <c r="B548" i="2"/>
  <c r="A548" i="2"/>
  <c r="J547" i="2"/>
  <c r="I547" i="2"/>
  <c r="H547" i="2"/>
  <c r="G547" i="2"/>
  <c r="F547" i="2"/>
  <c r="E547" i="2"/>
  <c r="D547" i="2"/>
  <c r="C547" i="2"/>
  <c r="B547" i="2"/>
  <c r="A547" i="2"/>
  <c r="J546" i="2"/>
  <c r="I546" i="2"/>
  <c r="H546" i="2"/>
  <c r="G546" i="2"/>
  <c r="F546" i="2"/>
  <c r="E546" i="2"/>
  <c r="D546" i="2"/>
  <c r="C546" i="2"/>
  <c r="B546" i="2"/>
  <c r="A546" i="2"/>
  <c r="J545" i="2"/>
  <c r="I545" i="2"/>
  <c r="H545" i="2"/>
  <c r="G545" i="2"/>
  <c r="F545" i="2"/>
  <c r="E545" i="2"/>
  <c r="D545" i="2"/>
  <c r="C545" i="2"/>
  <c r="B545" i="2"/>
  <c r="A545" i="2"/>
  <c r="J544" i="2"/>
  <c r="I544" i="2"/>
  <c r="H544" i="2"/>
  <c r="G544" i="2"/>
  <c r="F544" i="2"/>
  <c r="E544" i="2"/>
  <c r="D544" i="2"/>
  <c r="C544" i="2"/>
  <c r="B544" i="2"/>
  <c r="A544" i="2"/>
  <c r="J543" i="2"/>
  <c r="I543" i="2"/>
  <c r="H543" i="2"/>
  <c r="G543" i="2"/>
  <c r="F543" i="2"/>
  <c r="E543" i="2"/>
  <c r="D543" i="2"/>
  <c r="C543" i="2"/>
  <c r="B543" i="2"/>
  <c r="A543" i="2"/>
  <c r="J542" i="2"/>
  <c r="I542" i="2"/>
  <c r="H542" i="2"/>
  <c r="G542" i="2"/>
  <c r="F542" i="2"/>
  <c r="E542" i="2"/>
  <c r="D542" i="2"/>
  <c r="C542" i="2"/>
  <c r="B542" i="2"/>
  <c r="A542" i="2"/>
  <c r="J541" i="2"/>
  <c r="I541" i="2"/>
  <c r="H541" i="2"/>
  <c r="G541" i="2"/>
  <c r="F541" i="2"/>
  <c r="E541" i="2"/>
  <c r="D541" i="2"/>
  <c r="C541" i="2"/>
  <c r="B541" i="2"/>
  <c r="A541" i="2"/>
  <c r="J540" i="2"/>
  <c r="I540" i="2"/>
  <c r="H540" i="2"/>
  <c r="G540" i="2"/>
  <c r="F540" i="2"/>
  <c r="E540" i="2"/>
  <c r="D540" i="2"/>
  <c r="C540" i="2"/>
  <c r="B540" i="2"/>
  <c r="A540" i="2"/>
  <c r="J539" i="2"/>
  <c r="I539" i="2"/>
  <c r="H539" i="2"/>
  <c r="G539" i="2"/>
  <c r="F539" i="2"/>
  <c r="E539" i="2"/>
  <c r="D539" i="2"/>
  <c r="C539" i="2"/>
  <c r="B539" i="2"/>
  <c r="A539" i="2"/>
  <c r="J538" i="2"/>
  <c r="I538" i="2"/>
  <c r="H538" i="2"/>
  <c r="G538" i="2"/>
  <c r="F538" i="2"/>
  <c r="E538" i="2"/>
  <c r="D538" i="2"/>
  <c r="C538" i="2"/>
  <c r="B538" i="2"/>
  <c r="A538" i="2"/>
  <c r="J537" i="2"/>
  <c r="I537" i="2"/>
  <c r="H537" i="2"/>
  <c r="G537" i="2"/>
  <c r="F537" i="2"/>
  <c r="E537" i="2"/>
  <c r="D537" i="2"/>
  <c r="C537" i="2"/>
  <c r="B537" i="2"/>
  <c r="A537" i="2"/>
  <c r="J536" i="2"/>
  <c r="I536" i="2"/>
  <c r="H536" i="2"/>
  <c r="G536" i="2"/>
  <c r="F536" i="2"/>
  <c r="E536" i="2"/>
  <c r="D536" i="2"/>
  <c r="C536" i="2"/>
  <c r="B536" i="2"/>
  <c r="A536" i="2"/>
  <c r="J535" i="2"/>
  <c r="I535" i="2"/>
  <c r="H535" i="2"/>
  <c r="G535" i="2"/>
  <c r="F535" i="2"/>
  <c r="E535" i="2"/>
  <c r="D535" i="2"/>
  <c r="C535" i="2"/>
  <c r="B535" i="2"/>
  <c r="A535" i="2"/>
  <c r="J534" i="2"/>
  <c r="I534" i="2"/>
  <c r="H534" i="2"/>
  <c r="G534" i="2"/>
  <c r="F534" i="2"/>
  <c r="E534" i="2"/>
  <c r="D534" i="2"/>
  <c r="C534" i="2"/>
  <c r="B534" i="2"/>
  <c r="A534" i="2"/>
  <c r="J533" i="2"/>
  <c r="I533" i="2"/>
  <c r="H533" i="2"/>
  <c r="G533" i="2"/>
  <c r="F533" i="2"/>
  <c r="E533" i="2"/>
  <c r="D533" i="2"/>
  <c r="C533" i="2"/>
  <c r="B533" i="2"/>
  <c r="A533" i="2"/>
  <c r="J532" i="2"/>
  <c r="I532" i="2"/>
  <c r="H532" i="2"/>
  <c r="G532" i="2"/>
  <c r="F532" i="2"/>
  <c r="E532" i="2"/>
  <c r="D532" i="2"/>
  <c r="C532" i="2"/>
  <c r="B532" i="2"/>
  <c r="A532" i="2"/>
  <c r="J531" i="2"/>
  <c r="I531" i="2"/>
  <c r="H531" i="2"/>
  <c r="G531" i="2"/>
  <c r="F531" i="2"/>
  <c r="E531" i="2"/>
  <c r="D531" i="2"/>
  <c r="C531" i="2"/>
  <c r="B531" i="2"/>
  <c r="A531" i="2"/>
  <c r="J530" i="2"/>
  <c r="I530" i="2"/>
  <c r="H530" i="2"/>
  <c r="G530" i="2"/>
  <c r="F530" i="2"/>
  <c r="E530" i="2"/>
  <c r="D530" i="2"/>
  <c r="C530" i="2"/>
  <c r="B530" i="2"/>
  <c r="A530" i="2"/>
  <c r="J529" i="2"/>
  <c r="I529" i="2"/>
  <c r="H529" i="2"/>
  <c r="G529" i="2"/>
  <c r="F529" i="2"/>
  <c r="E529" i="2"/>
  <c r="D529" i="2"/>
  <c r="C529" i="2"/>
  <c r="B529" i="2"/>
  <c r="A529" i="2"/>
  <c r="J528" i="2"/>
  <c r="I528" i="2"/>
  <c r="H528" i="2"/>
  <c r="G528" i="2"/>
  <c r="F528" i="2"/>
  <c r="E528" i="2"/>
  <c r="D528" i="2"/>
  <c r="C528" i="2"/>
  <c r="B528" i="2"/>
  <c r="A528" i="2"/>
  <c r="J527" i="2"/>
  <c r="I527" i="2"/>
  <c r="H527" i="2"/>
  <c r="G527" i="2"/>
  <c r="F527" i="2"/>
  <c r="E527" i="2"/>
  <c r="D527" i="2"/>
  <c r="C527" i="2"/>
  <c r="B527" i="2"/>
  <c r="A527" i="2"/>
  <c r="J526" i="2"/>
  <c r="I526" i="2"/>
  <c r="H526" i="2"/>
  <c r="G526" i="2"/>
  <c r="F526" i="2"/>
  <c r="E526" i="2"/>
  <c r="D526" i="2"/>
  <c r="C526" i="2"/>
  <c r="B526" i="2"/>
  <c r="A526" i="2"/>
  <c r="J525" i="2"/>
  <c r="I525" i="2"/>
  <c r="H525" i="2"/>
  <c r="G525" i="2"/>
  <c r="F525" i="2"/>
  <c r="E525" i="2"/>
  <c r="D525" i="2"/>
  <c r="C525" i="2"/>
  <c r="B525" i="2"/>
  <c r="A525" i="2"/>
  <c r="J524" i="2"/>
  <c r="I524" i="2"/>
  <c r="H524" i="2"/>
  <c r="G524" i="2"/>
  <c r="F524" i="2"/>
  <c r="E524" i="2"/>
  <c r="D524" i="2"/>
  <c r="C524" i="2"/>
  <c r="B524" i="2"/>
  <c r="A524" i="2"/>
  <c r="J523" i="2"/>
  <c r="I523" i="2"/>
  <c r="H523" i="2"/>
  <c r="G523" i="2"/>
  <c r="F523" i="2"/>
  <c r="E523" i="2"/>
  <c r="D523" i="2"/>
  <c r="C523" i="2"/>
  <c r="B523" i="2"/>
  <c r="A523" i="2"/>
  <c r="J522" i="2"/>
  <c r="I522" i="2"/>
  <c r="H522" i="2"/>
  <c r="G522" i="2"/>
  <c r="F522" i="2"/>
  <c r="E522" i="2"/>
  <c r="D522" i="2"/>
  <c r="C522" i="2"/>
  <c r="B522" i="2"/>
  <c r="A522" i="2"/>
  <c r="J521" i="2"/>
  <c r="I521" i="2"/>
  <c r="H521" i="2"/>
  <c r="G521" i="2"/>
  <c r="F521" i="2"/>
  <c r="E521" i="2"/>
  <c r="D521" i="2"/>
  <c r="C521" i="2"/>
  <c r="B521" i="2"/>
  <c r="A521" i="2"/>
  <c r="J520" i="2"/>
  <c r="I520" i="2"/>
  <c r="H520" i="2"/>
  <c r="G520" i="2"/>
  <c r="F520" i="2"/>
  <c r="E520" i="2"/>
  <c r="D520" i="2"/>
  <c r="C520" i="2"/>
  <c r="B520" i="2"/>
  <c r="A520" i="2"/>
  <c r="J519" i="2"/>
  <c r="I519" i="2"/>
  <c r="H519" i="2"/>
  <c r="G519" i="2"/>
  <c r="F519" i="2"/>
  <c r="E519" i="2"/>
  <c r="D519" i="2"/>
  <c r="C519" i="2"/>
  <c r="B519" i="2"/>
  <c r="A519" i="2"/>
  <c r="J518" i="2"/>
  <c r="I518" i="2"/>
  <c r="H518" i="2"/>
  <c r="G518" i="2"/>
  <c r="F518" i="2"/>
  <c r="E518" i="2"/>
  <c r="D518" i="2"/>
  <c r="C518" i="2"/>
  <c r="B518" i="2"/>
  <c r="A518" i="2"/>
  <c r="J517" i="2"/>
  <c r="I517" i="2"/>
  <c r="H517" i="2"/>
  <c r="G517" i="2"/>
  <c r="F517" i="2"/>
  <c r="E517" i="2"/>
  <c r="D517" i="2"/>
  <c r="C517" i="2"/>
  <c r="B517" i="2"/>
  <c r="A517" i="2"/>
  <c r="J516" i="2"/>
  <c r="I516" i="2"/>
  <c r="H516" i="2"/>
  <c r="G516" i="2"/>
  <c r="F516" i="2"/>
  <c r="E516" i="2"/>
  <c r="D516" i="2"/>
  <c r="C516" i="2"/>
  <c r="B516" i="2"/>
  <c r="A516" i="2"/>
  <c r="J515" i="2"/>
  <c r="I515" i="2"/>
  <c r="H515" i="2"/>
  <c r="G515" i="2"/>
  <c r="F515" i="2"/>
  <c r="E515" i="2"/>
  <c r="D515" i="2"/>
  <c r="C515" i="2"/>
  <c r="B515" i="2"/>
  <c r="A515" i="2"/>
  <c r="J514" i="2"/>
  <c r="I514" i="2"/>
  <c r="H514" i="2"/>
  <c r="G514" i="2"/>
  <c r="F514" i="2"/>
  <c r="E514" i="2"/>
  <c r="D514" i="2"/>
  <c r="C514" i="2"/>
  <c r="B514" i="2"/>
  <c r="A514" i="2"/>
  <c r="J513" i="2"/>
  <c r="I513" i="2"/>
  <c r="H513" i="2"/>
  <c r="G513" i="2"/>
  <c r="F513" i="2"/>
  <c r="E513" i="2"/>
  <c r="D513" i="2"/>
  <c r="C513" i="2"/>
  <c r="B513" i="2"/>
  <c r="A513" i="2"/>
  <c r="J512" i="2"/>
  <c r="I512" i="2"/>
  <c r="H512" i="2"/>
  <c r="G512" i="2"/>
  <c r="F512" i="2"/>
  <c r="E512" i="2"/>
  <c r="D512" i="2"/>
  <c r="C512" i="2"/>
  <c r="B512" i="2"/>
  <c r="A512" i="2"/>
  <c r="J511" i="2"/>
  <c r="I511" i="2"/>
  <c r="H511" i="2"/>
  <c r="G511" i="2"/>
  <c r="F511" i="2"/>
  <c r="E511" i="2"/>
  <c r="D511" i="2"/>
  <c r="C511" i="2"/>
  <c r="B511" i="2"/>
  <c r="A511" i="2"/>
  <c r="J510" i="2"/>
  <c r="I510" i="2"/>
  <c r="H510" i="2"/>
  <c r="G510" i="2"/>
  <c r="F510" i="2"/>
  <c r="E510" i="2"/>
  <c r="D510" i="2"/>
  <c r="C510" i="2"/>
  <c r="B510" i="2"/>
  <c r="A510" i="2"/>
  <c r="J509" i="2"/>
  <c r="I509" i="2"/>
  <c r="H509" i="2"/>
  <c r="G509" i="2"/>
  <c r="F509" i="2"/>
  <c r="E509" i="2"/>
  <c r="D509" i="2"/>
  <c r="C509" i="2"/>
  <c r="B509" i="2"/>
  <c r="A509" i="2"/>
  <c r="J508" i="2"/>
  <c r="I508" i="2"/>
  <c r="H508" i="2"/>
  <c r="G508" i="2"/>
  <c r="F508" i="2"/>
  <c r="E508" i="2"/>
  <c r="D508" i="2"/>
  <c r="C508" i="2"/>
  <c r="B508" i="2"/>
  <c r="A508" i="2"/>
  <c r="J507" i="2"/>
  <c r="I507" i="2"/>
  <c r="H507" i="2"/>
  <c r="G507" i="2"/>
  <c r="F507" i="2"/>
  <c r="E507" i="2"/>
  <c r="D507" i="2"/>
  <c r="C507" i="2"/>
  <c r="B507" i="2"/>
  <c r="A507" i="2"/>
  <c r="J506" i="2"/>
  <c r="I506" i="2"/>
  <c r="H506" i="2"/>
  <c r="G506" i="2"/>
  <c r="F506" i="2"/>
  <c r="E506" i="2"/>
  <c r="D506" i="2"/>
  <c r="C506" i="2"/>
  <c r="B506" i="2"/>
  <c r="A506" i="2"/>
  <c r="J505" i="2"/>
  <c r="I505" i="2"/>
  <c r="H505" i="2"/>
  <c r="G505" i="2"/>
  <c r="F505" i="2"/>
  <c r="E505" i="2"/>
  <c r="D505" i="2"/>
  <c r="C505" i="2"/>
  <c r="B505" i="2"/>
  <c r="A505" i="2"/>
  <c r="J504" i="2"/>
  <c r="I504" i="2"/>
  <c r="H504" i="2"/>
  <c r="G504" i="2"/>
  <c r="F504" i="2"/>
  <c r="E504" i="2"/>
  <c r="D504" i="2"/>
  <c r="C504" i="2"/>
  <c r="B504" i="2"/>
  <c r="A504" i="2"/>
  <c r="J503" i="2"/>
  <c r="I503" i="2"/>
  <c r="H503" i="2"/>
  <c r="G503" i="2"/>
  <c r="F503" i="2"/>
  <c r="E503" i="2"/>
  <c r="D503" i="2"/>
  <c r="C503" i="2"/>
  <c r="B503" i="2"/>
  <c r="A503" i="2"/>
  <c r="J502" i="2"/>
  <c r="I502" i="2"/>
  <c r="H502" i="2"/>
  <c r="G502" i="2"/>
  <c r="F502" i="2"/>
  <c r="E502" i="2"/>
  <c r="D502" i="2"/>
  <c r="C502" i="2"/>
  <c r="B502" i="2"/>
  <c r="A502" i="2"/>
  <c r="J501" i="2"/>
  <c r="I501" i="2"/>
  <c r="H501" i="2"/>
  <c r="G501" i="2"/>
  <c r="F501" i="2"/>
  <c r="E501" i="2"/>
  <c r="D501" i="2"/>
  <c r="C501" i="2"/>
  <c r="B501" i="2"/>
  <c r="A501" i="2"/>
  <c r="J500" i="2"/>
  <c r="I500" i="2"/>
  <c r="H500" i="2"/>
  <c r="G500" i="2"/>
  <c r="F500" i="2"/>
  <c r="E500" i="2"/>
  <c r="D500" i="2"/>
  <c r="C500" i="2"/>
  <c r="B500" i="2"/>
  <c r="A500" i="2"/>
  <c r="J499" i="2"/>
  <c r="I499" i="2"/>
  <c r="H499" i="2"/>
  <c r="G499" i="2"/>
  <c r="F499" i="2"/>
  <c r="E499" i="2"/>
  <c r="D499" i="2"/>
  <c r="C499" i="2"/>
  <c r="B499" i="2"/>
  <c r="A499" i="2"/>
  <c r="J498" i="2"/>
  <c r="I498" i="2"/>
  <c r="H498" i="2"/>
  <c r="G498" i="2"/>
  <c r="F498" i="2"/>
  <c r="E498" i="2"/>
  <c r="D498" i="2"/>
  <c r="C498" i="2"/>
  <c r="B498" i="2"/>
  <c r="A498" i="2"/>
  <c r="J497" i="2"/>
  <c r="I497" i="2"/>
  <c r="H497" i="2"/>
  <c r="G497" i="2"/>
  <c r="F497" i="2"/>
  <c r="E497" i="2"/>
  <c r="D497" i="2"/>
  <c r="C497" i="2"/>
  <c r="B497" i="2"/>
  <c r="A497" i="2"/>
  <c r="J496" i="2"/>
  <c r="I496" i="2"/>
  <c r="H496" i="2"/>
  <c r="G496" i="2"/>
  <c r="F496" i="2"/>
  <c r="E496" i="2"/>
  <c r="D496" i="2"/>
  <c r="C496" i="2"/>
  <c r="B496" i="2"/>
  <c r="A496" i="2"/>
  <c r="J495" i="2"/>
  <c r="I495" i="2"/>
  <c r="H495" i="2"/>
  <c r="G495" i="2"/>
  <c r="F495" i="2"/>
  <c r="E495" i="2"/>
  <c r="D495" i="2"/>
  <c r="C495" i="2"/>
  <c r="B495" i="2"/>
  <c r="A495" i="2"/>
  <c r="J494" i="2"/>
  <c r="I494" i="2"/>
  <c r="H494" i="2"/>
  <c r="G494" i="2"/>
  <c r="F494" i="2"/>
  <c r="E494" i="2"/>
  <c r="D494" i="2"/>
  <c r="C494" i="2"/>
  <c r="B494" i="2"/>
  <c r="A494" i="2"/>
  <c r="J493" i="2"/>
  <c r="I493" i="2"/>
  <c r="H493" i="2"/>
  <c r="G493" i="2"/>
  <c r="F493" i="2"/>
  <c r="E493" i="2"/>
  <c r="D493" i="2"/>
  <c r="C493" i="2"/>
  <c r="B493" i="2"/>
  <c r="A493" i="2"/>
  <c r="J492" i="2"/>
  <c r="I492" i="2"/>
  <c r="H492" i="2"/>
  <c r="G492" i="2"/>
  <c r="F492" i="2"/>
  <c r="E492" i="2"/>
  <c r="D492" i="2"/>
  <c r="C492" i="2"/>
  <c r="B492" i="2"/>
  <c r="A492" i="2"/>
  <c r="J491" i="2"/>
  <c r="I491" i="2"/>
  <c r="H491" i="2"/>
  <c r="G491" i="2"/>
  <c r="F491" i="2"/>
  <c r="E491" i="2"/>
  <c r="D491" i="2"/>
  <c r="C491" i="2"/>
  <c r="B491" i="2"/>
  <c r="A491" i="2"/>
  <c r="J490" i="2"/>
  <c r="I490" i="2"/>
  <c r="H490" i="2"/>
  <c r="G490" i="2"/>
  <c r="F490" i="2"/>
  <c r="E490" i="2"/>
  <c r="D490" i="2"/>
  <c r="C490" i="2"/>
  <c r="B490" i="2"/>
  <c r="A490" i="2"/>
  <c r="J489" i="2"/>
  <c r="I489" i="2"/>
  <c r="H489" i="2"/>
  <c r="G489" i="2"/>
  <c r="F489" i="2"/>
  <c r="E489" i="2"/>
  <c r="D489" i="2"/>
  <c r="C489" i="2"/>
  <c r="B489" i="2"/>
  <c r="A489" i="2"/>
  <c r="J488" i="2"/>
  <c r="I488" i="2"/>
  <c r="H488" i="2"/>
  <c r="G488" i="2"/>
  <c r="F488" i="2"/>
  <c r="E488" i="2"/>
  <c r="D488" i="2"/>
  <c r="C488" i="2"/>
  <c r="B488" i="2"/>
  <c r="A488" i="2"/>
  <c r="J487" i="2"/>
  <c r="I487" i="2"/>
  <c r="H487" i="2"/>
  <c r="G487" i="2"/>
  <c r="F487" i="2"/>
  <c r="E487" i="2"/>
  <c r="D487" i="2"/>
  <c r="C487" i="2"/>
  <c r="B487" i="2"/>
  <c r="A487" i="2"/>
  <c r="J486" i="2"/>
  <c r="I486" i="2"/>
  <c r="H486" i="2"/>
  <c r="G486" i="2"/>
  <c r="F486" i="2"/>
  <c r="E486" i="2"/>
  <c r="D486" i="2"/>
  <c r="C486" i="2"/>
  <c r="B486" i="2"/>
  <c r="A486" i="2"/>
  <c r="J485" i="2"/>
  <c r="I485" i="2"/>
  <c r="H485" i="2"/>
  <c r="G485" i="2"/>
  <c r="F485" i="2"/>
  <c r="E485" i="2"/>
  <c r="D485" i="2"/>
  <c r="C485" i="2"/>
  <c r="B485" i="2"/>
  <c r="A485" i="2"/>
  <c r="J484" i="2"/>
  <c r="I484" i="2"/>
  <c r="H484" i="2"/>
  <c r="G484" i="2"/>
  <c r="F484" i="2"/>
  <c r="E484" i="2"/>
  <c r="D484" i="2"/>
  <c r="C484" i="2"/>
  <c r="B484" i="2"/>
  <c r="A484" i="2"/>
  <c r="J483" i="2"/>
  <c r="I483" i="2"/>
  <c r="H483" i="2"/>
  <c r="G483" i="2"/>
  <c r="F483" i="2"/>
  <c r="E483" i="2"/>
  <c r="D483" i="2"/>
  <c r="C483" i="2"/>
  <c r="B483" i="2"/>
  <c r="A483" i="2"/>
  <c r="J482" i="2"/>
  <c r="I482" i="2"/>
  <c r="H482" i="2"/>
  <c r="G482" i="2"/>
  <c r="F482" i="2"/>
  <c r="E482" i="2"/>
  <c r="D482" i="2"/>
  <c r="C482" i="2"/>
  <c r="B482" i="2"/>
  <c r="A482" i="2"/>
  <c r="J481" i="2"/>
  <c r="I481" i="2"/>
  <c r="H481" i="2"/>
  <c r="G481" i="2"/>
  <c r="F481" i="2"/>
  <c r="E481" i="2"/>
  <c r="D481" i="2"/>
  <c r="C481" i="2"/>
  <c r="B481" i="2"/>
  <c r="A481" i="2"/>
  <c r="J480" i="2"/>
  <c r="I480" i="2"/>
  <c r="H480" i="2"/>
  <c r="G480" i="2"/>
  <c r="F480" i="2"/>
  <c r="E480" i="2"/>
  <c r="D480" i="2"/>
  <c r="C480" i="2"/>
  <c r="B480" i="2"/>
  <c r="A480" i="2"/>
  <c r="J479" i="2"/>
  <c r="I479" i="2"/>
  <c r="H479" i="2"/>
  <c r="G479" i="2"/>
  <c r="F479" i="2"/>
  <c r="E479" i="2"/>
  <c r="D479" i="2"/>
  <c r="C479" i="2"/>
  <c r="B479" i="2"/>
  <c r="A479" i="2"/>
  <c r="J478" i="2"/>
  <c r="I478" i="2"/>
  <c r="H478" i="2"/>
  <c r="G478" i="2"/>
  <c r="F478" i="2"/>
  <c r="E478" i="2"/>
  <c r="D478" i="2"/>
  <c r="C478" i="2"/>
  <c r="B478" i="2"/>
  <c r="A478" i="2"/>
  <c r="J477" i="2"/>
  <c r="I477" i="2"/>
  <c r="H477" i="2"/>
  <c r="G477" i="2"/>
  <c r="F477" i="2"/>
  <c r="E477" i="2"/>
  <c r="D477" i="2"/>
  <c r="C477" i="2"/>
  <c r="B477" i="2"/>
  <c r="A477" i="2"/>
  <c r="J476" i="2"/>
  <c r="I476" i="2"/>
  <c r="H476" i="2"/>
  <c r="G476" i="2"/>
  <c r="F476" i="2"/>
  <c r="E476" i="2"/>
  <c r="D476" i="2"/>
  <c r="C476" i="2"/>
  <c r="B476" i="2"/>
  <c r="A476" i="2"/>
  <c r="J475" i="2"/>
  <c r="I475" i="2"/>
  <c r="H475" i="2"/>
  <c r="G475" i="2"/>
  <c r="F475" i="2"/>
  <c r="E475" i="2"/>
  <c r="D475" i="2"/>
  <c r="C475" i="2"/>
  <c r="B475" i="2"/>
  <c r="A475" i="2"/>
  <c r="J474" i="2"/>
  <c r="I474" i="2"/>
  <c r="H474" i="2"/>
  <c r="G474" i="2"/>
  <c r="F474" i="2"/>
  <c r="E474" i="2"/>
  <c r="D474" i="2"/>
  <c r="C474" i="2"/>
  <c r="B474" i="2"/>
  <c r="A474" i="2"/>
  <c r="J473" i="2"/>
  <c r="I473" i="2"/>
  <c r="H473" i="2"/>
  <c r="G473" i="2"/>
  <c r="F473" i="2"/>
  <c r="E473" i="2"/>
  <c r="D473" i="2"/>
  <c r="C473" i="2"/>
  <c r="B473" i="2"/>
  <c r="A473" i="2"/>
  <c r="J472" i="2"/>
  <c r="I472" i="2"/>
  <c r="H472" i="2"/>
  <c r="G472" i="2"/>
  <c r="F472" i="2"/>
  <c r="E472" i="2"/>
  <c r="D472" i="2"/>
  <c r="C472" i="2"/>
  <c r="B472" i="2"/>
  <c r="A472" i="2"/>
  <c r="J471" i="2"/>
  <c r="I471" i="2"/>
  <c r="H471" i="2"/>
  <c r="G471" i="2"/>
  <c r="F471" i="2"/>
  <c r="E471" i="2"/>
  <c r="D471" i="2"/>
  <c r="C471" i="2"/>
  <c r="B471" i="2"/>
  <c r="A471" i="2"/>
  <c r="J470" i="2"/>
  <c r="I470" i="2"/>
  <c r="H470" i="2"/>
  <c r="G470" i="2"/>
  <c r="F470" i="2"/>
  <c r="E470" i="2"/>
  <c r="D470" i="2"/>
  <c r="C470" i="2"/>
  <c r="B470" i="2"/>
  <c r="A470" i="2"/>
  <c r="J469" i="2"/>
  <c r="I469" i="2"/>
  <c r="H469" i="2"/>
  <c r="G469" i="2"/>
  <c r="F469" i="2"/>
  <c r="E469" i="2"/>
  <c r="D469" i="2"/>
  <c r="C469" i="2"/>
  <c r="B469" i="2"/>
  <c r="A469" i="2"/>
  <c r="J468" i="2"/>
  <c r="I468" i="2"/>
  <c r="H468" i="2"/>
  <c r="G468" i="2"/>
  <c r="F468" i="2"/>
  <c r="E468" i="2"/>
  <c r="D468" i="2"/>
  <c r="C468" i="2"/>
  <c r="B468" i="2"/>
  <c r="A468" i="2"/>
  <c r="J467" i="2"/>
  <c r="I467" i="2"/>
  <c r="H467" i="2"/>
  <c r="G467" i="2"/>
  <c r="F467" i="2"/>
  <c r="E467" i="2"/>
  <c r="D467" i="2"/>
  <c r="C467" i="2"/>
  <c r="B467" i="2"/>
  <c r="A467" i="2"/>
  <c r="J466" i="2"/>
  <c r="I466" i="2"/>
  <c r="H466" i="2"/>
  <c r="G466" i="2"/>
  <c r="F466" i="2"/>
  <c r="E466" i="2"/>
  <c r="D466" i="2"/>
  <c r="C466" i="2"/>
  <c r="B466" i="2"/>
  <c r="A466" i="2"/>
  <c r="J465" i="2"/>
  <c r="I465" i="2"/>
  <c r="H465" i="2"/>
  <c r="G465" i="2"/>
  <c r="F465" i="2"/>
  <c r="E465" i="2"/>
  <c r="D465" i="2"/>
  <c r="C465" i="2"/>
  <c r="B465" i="2"/>
  <c r="A465" i="2"/>
  <c r="J464" i="2"/>
  <c r="I464" i="2"/>
  <c r="H464" i="2"/>
  <c r="G464" i="2"/>
  <c r="F464" i="2"/>
  <c r="E464" i="2"/>
  <c r="D464" i="2"/>
  <c r="C464" i="2"/>
  <c r="B464" i="2"/>
  <c r="A464" i="2"/>
  <c r="J463" i="2"/>
  <c r="I463" i="2"/>
  <c r="H463" i="2"/>
  <c r="G463" i="2"/>
  <c r="F463" i="2"/>
  <c r="E463" i="2"/>
  <c r="D463" i="2"/>
  <c r="C463" i="2"/>
  <c r="B463" i="2"/>
  <c r="A463" i="2"/>
  <c r="J462" i="2"/>
  <c r="I462" i="2"/>
  <c r="H462" i="2"/>
  <c r="G462" i="2"/>
  <c r="F462" i="2"/>
  <c r="E462" i="2"/>
  <c r="D462" i="2"/>
  <c r="C462" i="2"/>
  <c r="B462" i="2"/>
  <c r="A462" i="2"/>
  <c r="J461" i="2"/>
  <c r="I461" i="2"/>
  <c r="H461" i="2"/>
  <c r="G461" i="2"/>
  <c r="F461" i="2"/>
  <c r="E461" i="2"/>
  <c r="D461" i="2"/>
  <c r="C461" i="2"/>
  <c r="B461" i="2"/>
  <c r="A461" i="2"/>
  <c r="J460" i="2"/>
  <c r="I460" i="2"/>
  <c r="H460" i="2"/>
  <c r="G460" i="2"/>
  <c r="F460" i="2"/>
  <c r="E460" i="2"/>
  <c r="D460" i="2"/>
  <c r="C460" i="2"/>
  <c r="B460" i="2"/>
  <c r="A460" i="2"/>
  <c r="J459" i="2"/>
  <c r="I459" i="2"/>
  <c r="H459" i="2"/>
  <c r="G459" i="2"/>
  <c r="F459" i="2"/>
  <c r="E459" i="2"/>
  <c r="D459" i="2"/>
  <c r="C459" i="2"/>
  <c r="B459" i="2"/>
  <c r="A459" i="2"/>
  <c r="J458" i="2"/>
  <c r="I458" i="2"/>
  <c r="H458" i="2"/>
  <c r="G458" i="2"/>
  <c r="F458" i="2"/>
  <c r="E458" i="2"/>
  <c r="D458" i="2"/>
  <c r="C458" i="2"/>
  <c r="B458" i="2"/>
  <c r="A458" i="2"/>
  <c r="J457" i="2"/>
  <c r="I457" i="2"/>
  <c r="H457" i="2"/>
  <c r="G457" i="2"/>
  <c r="F457" i="2"/>
  <c r="E457" i="2"/>
  <c r="D457" i="2"/>
  <c r="C457" i="2"/>
  <c r="B457" i="2"/>
  <c r="A457" i="2"/>
  <c r="J456" i="2"/>
  <c r="I456" i="2"/>
  <c r="H456" i="2"/>
  <c r="G456" i="2"/>
  <c r="F456" i="2"/>
  <c r="E456" i="2"/>
  <c r="D456" i="2"/>
  <c r="C456" i="2"/>
  <c r="B456" i="2"/>
  <c r="A456" i="2"/>
  <c r="J455" i="2"/>
  <c r="I455" i="2"/>
  <c r="H455" i="2"/>
  <c r="G455" i="2"/>
  <c r="F455" i="2"/>
  <c r="E455" i="2"/>
  <c r="D455" i="2"/>
  <c r="C455" i="2"/>
  <c r="B455" i="2"/>
  <c r="A455" i="2"/>
  <c r="J454" i="2"/>
  <c r="I454" i="2"/>
  <c r="H454" i="2"/>
  <c r="G454" i="2"/>
  <c r="F454" i="2"/>
  <c r="E454" i="2"/>
  <c r="D454" i="2"/>
  <c r="C454" i="2"/>
  <c r="B454" i="2"/>
  <c r="A454" i="2"/>
  <c r="J453" i="2"/>
  <c r="I453" i="2"/>
  <c r="H453" i="2"/>
  <c r="G453" i="2"/>
  <c r="F453" i="2"/>
  <c r="E453" i="2"/>
  <c r="D453" i="2"/>
  <c r="C453" i="2"/>
  <c r="B453" i="2"/>
  <c r="A453" i="2"/>
  <c r="J452" i="2"/>
  <c r="I452" i="2"/>
  <c r="H452" i="2"/>
  <c r="G452" i="2"/>
  <c r="F452" i="2"/>
  <c r="E452" i="2"/>
  <c r="D452" i="2"/>
  <c r="C452" i="2"/>
  <c r="B452" i="2"/>
  <c r="A452" i="2"/>
  <c r="J451" i="2"/>
  <c r="I451" i="2"/>
  <c r="H451" i="2"/>
  <c r="G451" i="2"/>
  <c r="F451" i="2"/>
  <c r="E451" i="2"/>
  <c r="D451" i="2"/>
  <c r="C451" i="2"/>
  <c r="B451" i="2"/>
  <c r="A451" i="2"/>
  <c r="J450" i="2"/>
  <c r="I450" i="2"/>
  <c r="H450" i="2"/>
  <c r="G450" i="2"/>
  <c r="F450" i="2"/>
  <c r="E450" i="2"/>
  <c r="D450" i="2"/>
  <c r="C450" i="2"/>
  <c r="B450" i="2"/>
  <c r="A450" i="2"/>
  <c r="J449" i="2"/>
  <c r="I449" i="2"/>
  <c r="H449" i="2"/>
  <c r="G449" i="2"/>
  <c r="F449" i="2"/>
  <c r="E449" i="2"/>
  <c r="D449" i="2"/>
  <c r="C449" i="2"/>
  <c r="B449" i="2"/>
  <c r="A449" i="2"/>
  <c r="J448" i="2"/>
  <c r="I448" i="2"/>
  <c r="H448" i="2"/>
  <c r="G448" i="2"/>
  <c r="F448" i="2"/>
  <c r="E448" i="2"/>
  <c r="D448" i="2"/>
  <c r="C448" i="2"/>
  <c r="B448" i="2"/>
  <c r="A448" i="2"/>
  <c r="J447" i="2"/>
  <c r="I447" i="2"/>
  <c r="H447" i="2"/>
  <c r="G447" i="2"/>
  <c r="F447" i="2"/>
  <c r="E447" i="2"/>
  <c r="D447" i="2"/>
  <c r="C447" i="2"/>
  <c r="B447" i="2"/>
  <c r="A447" i="2"/>
  <c r="J446" i="2"/>
  <c r="I446" i="2"/>
  <c r="H446" i="2"/>
  <c r="G446" i="2"/>
  <c r="F446" i="2"/>
  <c r="E446" i="2"/>
  <c r="D446" i="2"/>
  <c r="C446" i="2"/>
  <c r="B446" i="2"/>
  <c r="A446" i="2"/>
  <c r="J445" i="2"/>
  <c r="I445" i="2"/>
  <c r="H445" i="2"/>
  <c r="G445" i="2"/>
  <c r="F445" i="2"/>
  <c r="E445" i="2"/>
  <c r="D445" i="2"/>
  <c r="C445" i="2"/>
  <c r="B445" i="2"/>
  <c r="A445" i="2"/>
  <c r="J444" i="2"/>
  <c r="I444" i="2"/>
  <c r="H444" i="2"/>
  <c r="G444" i="2"/>
  <c r="F444" i="2"/>
  <c r="E444" i="2"/>
  <c r="D444" i="2"/>
  <c r="C444" i="2"/>
  <c r="B444" i="2"/>
  <c r="A444" i="2"/>
  <c r="J443" i="2"/>
  <c r="I443" i="2"/>
  <c r="H443" i="2"/>
  <c r="G443" i="2"/>
  <c r="F443" i="2"/>
  <c r="E443" i="2"/>
  <c r="D443" i="2"/>
  <c r="C443" i="2"/>
  <c r="B443" i="2"/>
  <c r="A443" i="2"/>
  <c r="J442" i="2"/>
  <c r="I442" i="2"/>
  <c r="H442" i="2"/>
  <c r="G442" i="2"/>
  <c r="F442" i="2"/>
  <c r="E442" i="2"/>
  <c r="D442" i="2"/>
  <c r="C442" i="2"/>
  <c r="B442" i="2"/>
  <c r="A442" i="2"/>
  <c r="J441" i="2"/>
  <c r="I441" i="2"/>
  <c r="H441" i="2"/>
  <c r="G441" i="2"/>
  <c r="F441" i="2"/>
  <c r="E441" i="2"/>
  <c r="D441" i="2"/>
  <c r="C441" i="2"/>
  <c r="B441" i="2"/>
  <c r="A441" i="2"/>
  <c r="J440" i="2"/>
  <c r="I440" i="2"/>
  <c r="H440" i="2"/>
  <c r="G440" i="2"/>
  <c r="F440" i="2"/>
  <c r="E440" i="2"/>
  <c r="D440" i="2"/>
  <c r="C440" i="2"/>
  <c r="B440" i="2"/>
  <c r="A440" i="2"/>
  <c r="J439" i="2"/>
  <c r="I439" i="2"/>
  <c r="H439" i="2"/>
  <c r="G439" i="2"/>
  <c r="F439" i="2"/>
  <c r="E439" i="2"/>
  <c r="D439" i="2"/>
  <c r="C439" i="2"/>
  <c r="B439" i="2"/>
  <c r="A439" i="2"/>
  <c r="J438" i="2"/>
  <c r="I438" i="2"/>
  <c r="H438" i="2"/>
  <c r="G438" i="2"/>
  <c r="F438" i="2"/>
  <c r="E438" i="2"/>
  <c r="D438" i="2"/>
  <c r="C438" i="2"/>
  <c r="B438" i="2"/>
  <c r="A438" i="2"/>
  <c r="J437" i="2"/>
  <c r="I437" i="2"/>
  <c r="H437" i="2"/>
  <c r="G437" i="2"/>
  <c r="F437" i="2"/>
  <c r="E437" i="2"/>
  <c r="D437" i="2"/>
  <c r="C437" i="2"/>
  <c r="B437" i="2"/>
  <c r="A437" i="2"/>
  <c r="J436" i="2"/>
  <c r="I436" i="2"/>
  <c r="H436" i="2"/>
  <c r="G436" i="2"/>
  <c r="F436" i="2"/>
  <c r="E436" i="2"/>
  <c r="D436" i="2"/>
  <c r="C436" i="2"/>
  <c r="B436" i="2"/>
  <c r="A436" i="2"/>
  <c r="J435" i="2"/>
  <c r="I435" i="2"/>
  <c r="H435" i="2"/>
  <c r="G435" i="2"/>
  <c r="F435" i="2"/>
  <c r="E435" i="2"/>
  <c r="D435" i="2"/>
  <c r="C435" i="2"/>
  <c r="B435" i="2"/>
  <c r="A435" i="2"/>
  <c r="J434" i="2"/>
  <c r="I434" i="2"/>
  <c r="H434" i="2"/>
  <c r="G434" i="2"/>
  <c r="F434" i="2"/>
  <c r="E434" i="2"/>
  <c r="D434" i="2"/>
  <c r="C434" i="2"/>
  <c r="B434" i="2"/>
  <c r="A434" i="2"/>
  <c r="J433" i="2"/>
  <c r="I433" i="2"/>
  <c r="H433" i="2"/>
  <c r="G433" i="2"/>
  <c r="F433" i="2"/>
  <c r="E433" i="2"/>
  <c r="D433" i="2"/>
  <c r="C433" i="2"/>
  <c r="B433" i="2"/>
  <c r="A433" i="2"/>
  <c r="J432" i="2"/>
  <c r="I432" i="2"/>
  <c r="H432" i="2"/>
  <c r="G432" i="2"/>
  <c r="F432" i="2"/>
  <c r="E432" i="2"/>
  <c r="D432" i="2"/>
  <c r="C432" i="2"/>
  <c r="B432" i="2"/>
  <c r="A432" i="2"/>
  <c r="J431" i="2"/>
  <c r="I431" i="2"/>
  <c r="H431" i="2"/>
  <c r="G431" i="2"/>
  <c r="F431" i="2"/>
  <c r="E431" i="2"/>
  <c r="D431" i="2"/>
  <c r="C431" i="2"/>
  <c r="B431" i="2"/>
  <c r="A431" i="2"/>
  <c r="J430" i="2"/>
  <c r="I430" i="2"/>
  <c r="H430" i="2"/>
  <c r="G430" i="2"/>
  <c r="F430" i="2"/>
  <c r="E430" i="2"/>
  <c r="D430" i="2"/>
  <c r="C430" i="2"/>
  <c r="B430" i="2"/>
  <c r="A430" i="2"/>
  <c r="J429" i="2"/>
  <c r="I429" i="2"/>
  <c r="H429" i="2"/>
  <c r="G429" i="2"/>
  <c r="F429" i="2"/>
  <c r="E429" i="2"/>
  <c r="D429" i="2"/>
  <c r="C429" i="2"/>
  <c r="B429" i="2"/>
  <c r="A429" i="2"/>
  <c r="J428" i="2"/>
  <c r="I428" i="2"/>
  <c r="H428" i="2"/>
  <c r="G428" i="2"/>
  <c r="F428" i="2"/>
  <c r="E428" i="2"/>
  <c r="D428" i="2"/>
  <c r="C428" i="2"/>
  <c r="B428" i="2"/>
  <c r="A428" i="2"/>
  <c r="J427" i="2"/>
  <c r="I427" i="2"/>
  <c r="H427" i="2"/>
  <c r="G427" i="2"/>
  <c r="F427" i="2"/>
  <c r="E427" i="2"/>
  <c r="D427" i="2"/>
  <c r="C427" i="2"/>
  <c r="B427" i="2"/>
  <c r="A427" i="2"/>
  <c r="J426" i="2"/>
  <c r="I426" i="2"/>
  <c r="H426" i="2"/>
  <c r="G426" i="2"/>
  <c r="F426" i="2"/>
  <c r="E426" i="2"/>
  <c r="D426" i="2"/>
  <c r="C426" i="2"/>
  <c r="B426" i="2"/>
  <c r="A426" i="2"/>
  <c r="J425" i="2"/>
  <c r="I425" i="2"/>
  <c r="H425" i="2"/>
  <c r="G425" i="2"/>
  <c r="F425" i="2"/>
  <c r="E425" i="2"/>
  <c r="D425" i="2"/>
  <c r="C425" i="2"/>
  <c r="B425" i="2"/>
  <c r="A425" i="2"/>
  <c r="J424" i="2"/>
  <c r="I424" i="2"/>
  <c r="H424" i="2"/>
  <c r="G424" i="2"/>
  <c r="F424" i="2"/>
  <c r="E424" i="2"/>
  <c r="D424" i="2"/>
  <c r="C424" i="2"/>
  <c r="B424" i="2"/>
  <c r="A424" i="2"/>
  <c r="J423" i="2"/>
  <c r="I423" i="2"/>
  <c r="H423" i="2"/>
  <c r="G423" i="2"/>
  <c r="F423" i="2"/>
  <c r="E423" i="2"/>
  <c r="D423" i="2"/>
  <c r="C423" i="2"/>
  <c r="B423" i="2"/>
  <c r="A423" i="2"/>
  <c r="J422" i="2"/>
  <c r="I422" i="2"/>
  <c r="H422" i="2"/>
  <c r="G422" i="2"/>
  <c r="F422" i="2"/>
  <c r="E422" i="2"/>
  <c r="D422" i="2"/>
  <c r="C422" i="2"/>
  <c r="B422" i="2"/>
  <c r="A422" i="2"/>
  <c r="J421" i="2"/>
  <c r="I421" i="2"/>
  <c r="H421" i="2"/>
  <c r="G421" i="2"/>
  <c r="F421" i="2"/>
  <c r="E421" i="2"/>
  <c r="D421" i="2"/>
  <c r="C421" i="2"/>
  <c r="B421" i="2"/>
  <c r="A421" i="2"/>
  <c r="J420" i="2"/>
  <c r="I420" i="2"/>
  <c r="H420" i="2"/>
  <c r="G420" i="2"/>
  <c r="F420" i="2"/>
  <c r="E420" i="2"/>
  <c r="D420" i="2"/>
  <c r="C420" i="2"/>
  <c r="B420" i="2"/>
  <c r="A420" i="2"/>
  <c r="J419" i="2"/>
  <c r="I419" i="2"/>
  <c r="H419" i="2"/>
  <c r="G419" i="2"/>
  <c r="F419" i="2"/>
  <c r="E419" i="2"/>
  <c r="D419" i="2"/>
  <c r="C419" i="2"/>
  <c r="B419" i="2"/>
  <c r="A419" i="2"/>
  <c r="J418" i="2"/>
  <c r="I418" i="2"/>
  <c r="H418" i="2"/>
  <c r="G418" i="2"/>
  <c r="F418" i="2"/>
  <c r="E418" i="2"/>
  <c r="D418" i="2"/>
  <c r="C418" i="2"/>
  <c r="B418" i="2"/>
  <c r="A418" i="2"/>
  <c r="J417" i="2"/>
  <c r="I417" i="2"/>
  <c r="H417" i="2"/>
  <c r="G417" i="2"/>
  <c r="F417" i="2"/>
  <c r="E417" i="2"/>
  <c r="D417" i="2"/>
  <c r="C417" i="2"/>
  <c r="B417" i="2"/>
  <c r="A417" i="2"/>
  <c r="J416" i="2"/>
  <c r="I416" i="2"/>
  <c r="H416" i="2"/>
  <c r="G416" i="2"/>
  <c r="F416" i="2"/>
  <c r="E416" i="2"/>
  <c r="D416" i="2"/>
  <c r="C416" i="2"/>
  <c r="B416" i="2"/>
  <c r="A416" i="2"/>
  <c r="J415" i="2"/>
  <c r="I415" i="2"/>
  <c r="H415" i="2"/>
  <c r="G415" i="2"/>
  <c r="F415" i="2"/>
  <c r="E415" i="2"/>
  <c r="D415" i="2"/>
  <c r="C415" i="2"/>
  <c r="B415" i="2"/>
  <c r="A415" i="2"/>
  <c r="J414" i="2"/>
  <c r="I414" i="2"/>
  <c r="H414" i="2"/>
  <c r="G414" i="2"/>
  <c r="F414" i="2"/>
  <c r="E414" i="2"/>
  <c r="D414" i="2"/>
  <c r="C414" i="2"/>
  <c r="B414" i="2"/>
  <c r="A414" i="2"/>
  <c r="J413" i="2"/>
  <c r="I413" i="2"/>
  <c r="H413" i="2"/>
  <c r="G413" i="2"/>
  <c r="F413" i="2"/>
  <c r="E413" i="2"/>
  <c r="D413" i="2"/>
  <c r="C413" i="2"/>
  <c r="B413" i="2"/>
  <c r="A413" i="2"/>
  <c r="J412" i="2"/>
  <c r="I412" i="2"/>
  <c r="H412" i="2"/>
  <c r="G412" i="2"/>
  <c r="F412" i="2"/>
  <c r="E412" i="2"/>
  <c r="D412" i="2"/>
  <c r="C412" i="2"/>
  <c r="B412" i="2"/>
  <c r="A412" i="2"/>
  <c r="J411" i="2"/>
  <c r="I411" i="2"/>
  <c r="H411" i="2"/>
  <c r="G411" i="2"/>
  <c r="F411" i="2"/>
  <c r="E411" i="2"/>
  <c r="D411" i="2"/>
  <c r="C411" i="2"/>
  <c r="B411" i="2"/>
  <c r="A411" i="2"/>
  <c r="J410" i="2"/>
  <c r="I410" i="2"/>
  <c r="H410" i="2"/>
  <c r="G410" i="2"/>
  <c r="F410" i="2"/>
  <c r="E410" i="2"/>
  <c r="D410" i="2"/>
  <c r="C410" i="2"/>
  <c r="B410" i="2"/>
  <c r="A410" i="2"/>
  <c r="J409" i="2"/>
  <c r="I409" i="2"/>
  <c r="H409" i="2"/>
  <c r="G409" i="2"/>
  <c r="F409" i="2"/>
  <c r="E409" i="2"/>
  <c r="D409" i="2"/>
  <c r="C409" i="2"/>
  <c r="B409" i="2"/>
  <c r="A409" i="2"/>
  <c r="J408" i="2"/>
  <c r="I408" i="2"/>
  <c r="H408" i="2"/>
  <c r="G408" i="2"/>
  <c r="F408" i="2"/>
  <c r="E408" i="2"/>
  <c r="D408" i="2"/>
  <c r="C408" i="2"/>
  <c r="B408" i="2"/>
  <c r="A408" i="2"/>
  <c r="J407" i="2"/>
  <c r="I407" i="2"/>
  <c r="H407" i="2"/>
  <c r="G407" i="2"/>
  <c r="F407" i="2"/>
  <c r="E407" i="2"/>
  <c r="D407" i="2"/>
  <c r="C407" i="2"/>
  <c r="B407" i="2"/>
  <c r="A407" i="2"/>
  <c r="J406" i="2"/>
  <c r="I406" i="2"/>
  <c r="H406" i="2"/>
  <c r="G406" i="2"/>
  <c r="F406" i="2"/>
  <c r="E406" i="2"/>
  <c r="D406" i="2"/>
  <c r="C406" i="2"/>
  <c r="B406" i="2"/>
  <c r="A406" i="2"/>
  <c r="J405" i="2"/>
  <c r="I405" i="2"/>
  <c r="H405" i="2"/>
  <c r="G405" i="2"/>
  <c r="F405" i="2"/>
  <c r="E405" i="2"/>
  <c r="D405" i="2"/>
  <c r="C405" i="2"/>
  <c r="B405" i="2"/>
  <c r="A405" i="2"/>
  <c r="J404" i="2"/>
  <c r="I404" i="2"/>
  <c r="H404" i="2"/>
  <c r="G404" i="2"/>
  <c r="F404" i="2"/>
  <c r="E404" i="2"/>
  <c r="D404" i="2"/>
  <c r="C404" i="2"/>
  <c r="B404" i="2"/>
  <c r="A404" i="2"/>
  <c r="J403" i="2"/>
  <c r="I403" i="2"/>
  <c r="H403" i="2"/>
  <c r="G403" i="2"/>
  <c r="F403" i="2"/>
  <c r="E403" i="2"/>
  <c r="D403" i="2"/>
  <c r="C403" i="2"/>
  <c r="B403" i="2"/>
  <c r="A403" i="2"/>
  <c r="J402" i="2"/>
  <c r="I402" i="2"/>
  <c r="H402" i="2"/>
  <c r="G402" i="2"/>
  <c r="F402" i="2"/>
  <c r="E402" i="2"/>
  <c r="D402" i="2"/>
  <c r="C402" i="2"/>
  <c r="B402" i="2"/>
  <c r="A402" i="2"/>
  <c r="J401" i="2"/>
  <c r="I401" i="2"/>
  <c r="H401" i="2"/>
  <c r="G401" i="2"/>
  <c r="F401" i="2"/>
  <c r="E401" i="2"/>
  <c r="D401" i="2"/>
  <c r="C401" i="2"/>
  <c r="B401" i="2"/>
  <c r="A401" i="2"/>
  <c r="J400" i="2"/>
  <c r="I400" i="2"/>
  <c r="H400" i="2"/>
  <c r="G400" i="2"/>
  <c r="F400" i="2"/>
  <c r="E400" i="2"/>
  <c r="D400" i="2"/>
  <c r="C400" i="2"/>
  <c r="B400" i="2"/>
  <c r="A400" i="2"/>
  <c r="J399" i="2"/>
  <c r="I399" i="2"/>
  <c r="H399" i="2"/>
  <c r="G399" i="2"/>
  <c r="F399" i="2"/>
  <c r="E399" i="2"/>
  <c r="D399" i="2"/>
  <c r="C399" i="2"/>
  <c r="B399" i="2"/>
  <c r="A399" i="2"/>
  <c r="J398" i="2"/>
  <c r="I398" i="2"/>
  <c r="H398" i="2"/>
  <c r="G398" i="2"/>
  <c r="F398" i="2"/>
  <c r="E398" i="2"/>
  <c r="D398" i="2"/>
  <c r="C398" i="2"/>
  <c r="B398" i="2"/>
  <c r="A398" i="2"/>
  <c r="J397" i="2"/>
  <c r="I397" i="2"/>
  <c r="H397" i="2"/>
  <c r="G397" i="2"/>
  <c r="F397" i="2"/>
  <c r="E397" i="2"/>
  <c r="D397" i="2"/>
  <c r="C397" i="2"/>
  <c r="B397" i="2"/>
  <c r="A397" i="2"/>
  <c r="J396" i="2"/>
  <c r="I396" i="2"/>
  <c r="H396" i="2"/>
  <c r="G396" i="2"/>
  <c r="F396" i="2"/>
  <c r="E396" i="2"/>
  <c r="D396" i="2"/>
  <c r="C396" i="2"/>
  <c r="B396" i="2"/>
  <c r="A396" i="2"/>
  <c r="J395" i="2"/>
  <c r="I395" i="2"/>
  <c r="H395" i="2"/>
  <c r="G395" i="2"/>
  <c r="F395" i="2"/>
  <c r="E395" i="2"/>
  <c r="D395" i="2"/>
  <c r="C395" i="2"/>
  <c r="B395" i="2"/>
  <c r="A395" i="2"/>
  <c r="J394" i="2"/>
  <c r="I394" i="2"/>
  <c r="H394" i="2"/>
  <c r="G394" i="2"/>
  <c r="F394" i="2"/>
  <c r="E394" i="2"/>
  <c r="D394" i="2"/>
  <c r="C394" i="2"/>
  <c r="B394" i="2"/>
  <c r="A394" i="2"/>
  <c r="J393" i="2"/>
  <c r="I393" i="2"/>
  <c r="H393" i="2"/>
  <c r="G393" i="2"/>
  <c r="F393" i="2"/>
  <c r="E393" i="2"/>
  <c r="D393" i="2"/>
  <c r="C393" i="2"/>
  <c r="B393" i="2"/>
  <c r="A393" i="2"/>
  <c r="J392" i="2"/>
  <c r="I392" i="2"/>
  <c r="H392" i="2"/>
  <c r="G392" i="2"/>
  <c r="F392" i="2"/>
  <c r="E392" i="2"/>
  <c r="D392" i="2"/>
  <c r="C392" i="2"/>
  <c r="B392" i="2"/>
  <c r="A392" i="2"/>
  <c r="J391" i="2"/>
  <c r="I391" i="2"/>
  <c r="H391" i="2"/>
  <c r="G391" i="2"/>
  <c r="F391" i="2"/>
  <c r="E391" i="2"/>
  <c r="D391" i="2"/>
  <c r="C391" i="2"/>
  <c r="B391" i="2"/>
  <c r="A391" i="2"/>
  <c r="J390" i="2"/>
  <c r="I390" i="2"/>
  <c r="H390" i="2"/>
  <c r="G390" i="2"/>
  <c r="F390" i="2"/>
  <c r="E390" i="2"/>
  <c r="D390" i="2"/>
  <c r="C390" i="2"/>
  <c r="B390" i="2"/>
  <c r="A390" i="2"/>
  <c r="J389" i="2"/>
  <c r="I389" i="2"/>
  <c r="H389" i="2"/>
  <c r="G389" i="2"/>
  <c r="F389" i="2"/>
  <c r="E389" i="2"/>
  <c r="D389" i="2"/>
  <c r="C389" i="2"/>
  <c r="B389" i="2"/>
  <c r="A389" i="2"/>
  <c r="J388" i="2"/>
  <c r="I388" i="2"/>
  <c r="H388" i="2"/>
  <c r="G388" i="2"/>
  <c r="F388" i="2"/>
  <c r="E388" i="2"/>
  <c r="D388" i="2"/>
  <c r="C388" i="2"/>
  <c r="B388" i="2"/>
  <c r="A388" i="2"/>
  <c r="J387" i="2"/>
  <c r="I387" i="2"/>
  <c r="H387" i="2"/>
  <c r="G387" i="2"/>
  <c r="F387" i="2"/>
  <c r="E387" i="2"/>
  <c r="D387" i="2"/>
  <c r="C387" i="2"/>
  <c r="B387" i="2"/>
  <c r="A387" i="2"/>
  <c r="J386" i="2"/>
  <c r="I386" i="2"/>
  <c r="H386" i="2"/>
  <c r="G386" i="2"/>
  <c r="F386" i="2"/>
  <c r="E386" i="2"/>
  <c r="D386" i="2"/>
  <c r="C386" i="2"/>
  <c r="B386" i="2"/>
  <c r="A386" i="2"/>
  <c r="J385" i="2"/>
  <c r="I385" i="2"/>
  <c r="H385" i="2"/>
  <c r="G385" i="2"/>
  <c r="F385" i="2"/>
  <c r="E385" i="2"/>
  <c r="D385" i="2"/>
  <c r="C385" i="2"/>
  <c r="B385" i="2"/>
  <c r="A385" i="2"/>
  <c r="J384" i="2"/>
  <c r="I384" i="2"/>
  <c r="H384" i="2"/>
  <c r="G384" i="2"/>
  <c r="F384" i="2"/>
  <c r="E384" i="2"/>
  <c r="D384" i="2"/>
  <c r="C384" i="2"/>
  <c r="B384" i="2"/>
  <c r="A384" i="2"/>
  <c r="J383" i="2"/>
  <c r="I383" i="2"/>
  <c r="H383" i="2"/>
  <c r="G383" i="2"/>
  <c r="F383" i="2"/>
  <c r="E383" i="2"/>
  <c r="D383" i="2"/>
  <c r="C383" i="2"/>
  <c r="B383" i="2"/>
  <c r="A383" i="2"/>
  <c r="J382" i="2"/>
  <c r="I382" i="2"/>
  <c r="H382" i="2"/>
  <c r="G382" i="2"/>
  <c r="F382" i="2"/>
  <c r="E382" i="2"/>
  <c r="D382" i="2"/>
  <c r="C382" i="2"/>
  <c r="B382" i="2"/>
  <c r="A382" i="2"/>
  <c r="J381" i="2"/>
  <c r="I381" i="2"/>
  <c r="H381" i="2"/>
  <c r="G381" i="2"/>
  <c r="F381" i="2"/>
  <c r="E381" i="2"/>
  <c r="D381" i="2"/>
  <c r="C381" i="2"/>
  <c r="B381" i="2"/>
  <c r="A381" i="2"/>
  <c r="J380" i="2"/>
  <c r="I380" i="2"/>
  <c r="H380" i="2"/>
  <c r="G380" i="2"/>
  <c r="F380" i="2"/>
  <c r="E380" i="2"/>
  <c r="D380" i="2"/>
  <c r="C380" i="2"/>
  <c r="B380" i="2"/>
  <c r="A380" i="2"/>
  <c r="J379" i="2"/>
  <c r="I379" i="2"/>
  <c r="H379" i="2"/>
  <c r="G379" i="2"/>
  <c r="F379" i="2"/>
  <c r="E379" i="2"/>
  <c r="D379" i="2"/>
  <c r="C379" i="2"/>
  <c r="B379" i="2"/>
  <c r="A379" i="2"/>
  <c r="J378" i="2"/>
  <c r="I378" i="2"/>
  <c r="H378" i="2"/>
  <c r="G378" i="2"/>
  <c r="F378" i="2"/>
  <c r="E378" i="2"/>
  <c r="D378" i="2"/>
  <c r="C378" i="2"/>
  <c r="B378" i="2"/>
  <c r="A378" i="2"/>
  <c r="J377" i="2"/>
  <c r="I377" i="2"/>
  <c r="H377" i="2"/>
  <c r="G377" i="2"/>
  <c r="F377" i="2"/>
  <c r="E377" i="2"/>
  <c r="D377" i="2"/>
  <c r="C377" i="2"/>
  <c r="B377" i="2"/>
  <c r="A377" i="2"/>
  <c r="J376" i="2"/>
  <c r="I376" i="2"/>
  <c r="H376" i="2"/>
  <c r="G376" i="2"/>
  <c r="F376" i="2"/>
  <c r="E376" i="2"/>
  <c r="D376" i="2"/>
  <c r="C376" i="2"/>
  <c r="B376" i="2"/>
  <c r="A376" i="2"/>
  <c r="J375" i="2"/>
  <c r="I375" i="2"/>
  <c r="H375" i="2"/>
  <c r="G375" i="2"/>
  <c r="F375" i="2"/>
  <c r="E375" i="2"/>
  <c r="D375" i="2"/>
  <c r="C375" i="2"/>
  <c r="B375" i="2"/>
  <c r="A375" i="2"/>
  <c r="J374" i="2"/>
  <c r="I374" i="2"/>
  <c r="H374" i="2"/>
  <c r="G374" i="2"/>
  <c r="F374" i="2"/>
  <c r="E374" i="2"/>
  <c r="D374" i="2"/>
  <c r="C374" i="2"/>
  <c r="B374" i="2"/>
  <c r="A374" i="2"/>
  <c r="J373" i="2"/>
  <c r="I373" i="2"/>
  <c r="H373" i="2"/>
  <c r="G373" i="2"/>
  <c r="F373" i="2"/>
  <c r="E373" i="2"/>
  <c r="D373" i="2"/>
  <c r="C373" i="2"/>
  <c r="B373" i="2"/>
  <c r="A373" i="2"/>
  <c r="J372" i="2"/>
  <c r="I372" i="2"/>
  <c r="H372" i="2"/>
  <c r="G372" i="2"/>
  <c r="F372" i="2"/>
  <c r="E372" i="2"/>
  <c r="D372" i="2"/>
  <c r="C372" i="2"/>
  <c r="B372" i="2"/>
  <c r="A372" i="2"/>
  <c r="J371" i="2"/>
  <c r="I371" i="2"/>
  <c r="H371" i="2"/>
  <c r="G371" i="2"/>
  <c r="F371" i="2"/>
  <c r="E371" i="2"/>
  <c r="D371" i="2"/>
  <c r="C371" i="2"/>
  <c r="B371" i="2"/>
  <c r="A371" i="2"/>
  <c r="J370" i="2"/>
  <c r="I370" i="2"/>
  <c r="H370" i="2"/>
  <c r="G370" i="2"/>
  <c r="F370" i="2"/>
  <c r="E370" i="2"/>
  <c r="D370" i="2"/>
  <c r="C370" i="2"/>
  <c r="B370" i="2"/>
  <c r="A370" i="2"/>
  <c r="J369" i="2"/>
  <c r="I369" i="2"/>
  <c r="H369" i="2"/>
  <c r="G369" i="2"/>
  <c r="F369" i="2"/>
  <c r="E369" i="2"/>
  <c r="D369" i="2"/>
  <c r="C369" i="2"/>
  <c r="B369" i="2"/>
  <c r="A369" i="2"/>
  <c r="J368" i="2"/>
  <c r="I368" i="2"/>
  <c r="H368" i="2"/>
  <c r="G368" i="2"/>
  <c r="F368" i="2"/>
  <c r="E368" i="2"/>
  <c r="D368" i="2"/>
  <c r="C368" i="2"/>
  <c r="B368" i="2"/>
  <c r="A368" i="2"/>
  <c r="J367" i="2"/>
  <c r="I367" i="2"/>
  <c r="H367" i="2"/>
  <c r="G367" i="2"/>
  <c r="F367" i="2"/>
  <c r="E367" i="2"/>
  <c r="D367" i="2"/>
  <c r="C367" i="2"/>
  <c r="B367" i="2"/>
  <c r="A367" i="2"/>
  <c r="J366" i="2"/>
  <c r="I366" i="2"/>
  <c r="H366" i="2"/>
  <c r="G366" i="2"/>
  <c r="F366" i="2"/>
  <c r="E366" i="2"/>
  <c r="D366" i="2"/>
  <c r="C366" i="2"/>
  <c r="B366" i="2"/>
  <c r="A366" i="2"/>
  <c r="J365" i="2"/>
  <c r="I365" i="2"/>
  <c r="H365" i="2"/>
  <c r="G365" i="2"/>
  <c r="F365" i="2"/>
  <c r="E365" i="2"/>
  <c r="D365" i="2"/>
  <c r="C365" i="2"/>
  <c r="B365" i="2"/>
  <c r="A365" i="2"/>
  <c r="J364" i="2"/>
  <c r="I364" i="2"/>
  <c r="H364" i="2"/>
  <c r="G364" i="2"/>
  <c r="F364" i="2"/>
  <c r="E364" i="2"/>
  <c r="D364" i="2"/>
  <c r="C364" i="2"/>
  <c r="B364" i="2"/>
  <c r="A364" i="2"/>
  <c r="J363" i="2"/>
  <c r="I363" i="2"/>
  <c r="H363" i="2"/>
  <c r="G363" i="2"/>
  <c r="F363" i="2"/>
  <c r="E363" i="2"/>
  <c r="D363" i="2"/>
  <c r="C363" i="2"/>
  <c r="B363" i="2"/>
  <c r="A363" i="2"/>
  <c r="J362" i="2"/>
  <c r="I362" i="2"/>
  <c r="H362" i="2"/>
  <c r="G362" i="2"/>
  <c r="F362" i="2"/>
  <c r="E362" i="2"/>
  <c r="D362" i="2"/>
  <c r="C362" i="2"/>
  <c r="B362" i="2"/>
  <c r="A362" i="2"/>
  <c r="J361" i="2"/>
  <c r="I361" i="2"/>
  <c r="H361" i="2"/>
  <c r="G361" i="2"/>
  <c r="F361" i="2"/>
  <c r="E361" i="2"/>
  <c r="D361" i="2"/>
  <c r="C361" i="2"/>
  <c r="B361" i="2"/>
  <c r="A361" i="2"/>
  <c r="J360" i="2"/>
  <c r="I360" i="2"/>
  <c r="H360" i="2"/>
  <c r="G360" i="2"/>
  <c r="F360" i="2"/>
  <c r="E360" i="2"/>
  <c r="D360" i="2"/>
  <c r="C360" i="2"/>
  <c r="B360" i="2"/>
  <c r="A360" i="2"/>
  <c r="J359" i="2"/>
  <c r="I359" i="2"/>
  <c r="H359" i="2"/>
  <c r="G359" i="2"/>
  <c r="F359" i="2"/>
  <c r="E359" i="2"/>
  <c r="D359" i="2"/>
  <c r="C359" i="2"/>
  <c r="B359" i="2"/>
  <c r="A359" i="2"/>
  <c r="J358" i="2"/>
  <c r="I358" i="2"/>
  <c r="H358" i="2"/>
  <c r="G358" i="2"/>
  <c r="F358" i="2"/>
  <c r="E358" i="2"/>
  <c r="D358" i="2"/>
  <c r="C358" i="2"/>
  <c r="B358" i="2"/>
  <c r="A358" i="2"/>
  <c r="J357" i="2"/>
  <c r="I357" i="2"/>
  <c r="H357" i="2"/>
  <c r="G357" i="2"/>
  <c r="F357" i="2"/>
  <c r="E357" i="2"/>
  <c r="D357" i="2"/>
  <c r="C357" i="2"/>
  <c r="B357" i="2"/>
  <c r="A357" i="2"/>
  <c r="J356" i="2"/>
  <c r="I356" i="2"/>
  <c r="H356" i="2"/>
  <c r="G356" i="2"/>
  <c r="F356" i="2"/>
  <c r="E356" i="2"/>
  <c r="D356" i="2"/>
  <c r="C356" i="2"/>
  <c r="B356" i="2"/>
  <c r="A356" i="2"/>
  <c r="J355" i="2"/>
  <c r="I355" i="2"/>
  <c r="H355" i="2"/>
  <c r="G355" i="2"/>
  <c r="F355" i="2"/>
  <c r="E355" i="2"/>
  <c r="D355" i="2"/>
  <c r="C355" i="2"/>
  <c r="B355" i="2"/>
  <c r="A355" i="2"/>
  <c r="J354" i="2"/>
  <c r="I354" i="2"/>
  <c r="H354" i="2"/>
  <c r="G354" i="2"/>
  <c r="F354" i="2"/>
  <c r="E354" i="2"/>
  <c r="D354" i="2"/>
  <c r="C354" i="2"/>
  <c r="B354" i="2"/>
  <c r="A354" i="2"/>
  <c r="J353" i="2"/>
  <c r="I353" i="2"/>
  <c r="H353" i="2"/>
  <c r="G353" i="2"/>
  <c r="F353" i="2"/>
  <c r="E353" i="2"/>
  <c r="D353" i="2"/>
  <c r="C353" i="2"/>
  <c r="B353" i="2"/>
  <c r="A353" i="2"/>
  <c r="J352" i="2"/>
  <c r="I352" i="2"/>
  <c r="H352" i="2"/>
  <c r="G352" i="2"/>
  <c r="F352" i="2"/>
  <c r="E352" i="2"/>
  <c r="D352" i="2"/>
  <c r="C352" i="2"/>
  <c r="B352" i="2"/>
  <c r="A352" i="2"/>
  <c r="J351" i="2"/>
  <c r="I351" i="2"/>
  <c r="H351" i="2"/>
  <c r="G351" i="2"/>
  <c r="F351" i="2"/>
  <c r="E351" i="2"/>
  <c r="D351" i="2"/>
  <c r="C351" i="2"/>
  <c r="B351" i="2"/>
  <c r="A351" i="2"/>
  <c r="J350" i="2"/>
  <c r="I350" i="2"/>
  <c r="H350" i="2"/>
  <c r="G350" i="2"/>
  <c r="F350" i="2"/>
  <c r="E350" i="2"/>
  <c r="D350" i="2"/>
  <c r="C350" i="2"/>
  <c r="B350" i="2"/>
  <c r="A350" i="2"/>
  <c r="J349" i="2"/>
  <c r="I349" i="2"/>
  <c r="H349" i="2"/>
  <c r="G349" i="2"/>
  <c r="F349" i="2"/>
  <c r="E349" i="2"/>
  <c r="D349" i="2"/>
  <c r="C349" i="2"/>
  <c r="B349" i="2"/>
  <c r="A349" i="2"/>
  <c r="J348" i="2"/>
  <c r="I348" i="2"/>
  <c r="H348" i="2"/>
  <c r="G348" i="2"/>
  <c r="F348" i="2"/>
  <c r="E348" i="2"/>
  <c r="D348" i="2"/>
  <c r="C348" i="2"/>
  <c r="B348" i="2"/>
  <c r="A348" i="2"/>
  <c r="J347" i="2"/>
  <c r="I347" i="2"/>
  <c r="H347" i="2"/>
  <c r="G347" i="2"/>
  <c r="F347" i="2"/>
  <c r="E347" i="2"/>
  <c r="D347" i="2"/>
  <c r="C347" i="2"/>
  <c r="B347" i="2"/>
  <c r="A347" i="2"/>
  <c r="J346" i="2"/>
  <c r="I346" i="2"/>
  <c r="H346" i="2"/>
  <c r="G346" i="2"/>
  <c r="F346" i="2"/>
  <c r="E346" i="2"/>
  <c r="D346" i="2"/>
  <c r="C346" i="2"/>
  <c r="B346" i="2"/>
  <c r="A346" i="2"/>
  <c r="J345" i="2"/>
  <c r="I345" i="2"/>
  <c r="H345" i="2"/>
  <c r="G345" i="2"/>
  <c r="F345" i="2"/>
  <c r="E345" i="2"/>
  <c r="D345" i="2"/>
  <c r="C345" i="2"/>
  <c r="B345" i="2"/>
  <c r="A345" i="2"/>
  <c r="J344" i="2"/>
  <c r="I344" i="2"/>
  <c r="H344" i="2"/>
  <c r="G344" i="2"/>
  <c r="F344" i="2"/>
  <c r="E344" i="2"/>
  <c r="D344" i="2"/>
  <c r="C344" i="2"/>
  <c r="B344" i="2"/>
  <c r="A344" i="2"/>
  <c r="J343" i="2"/>
  <c r="I343" i="2"/>
  <c r="H343" i="2"/>
  <c r="G343" i="2"/>
  <c r="F343" i="2"/>
  <c r="E343" i="2"/>
  <c r="D343" i="2"/>
  <c r="C343" i="2"/>
  <c r="B343" i="2"/>
  <c r="A343" i="2"/>
  <c r="J342" i="2"/>
  <c r="I342" i="2"/>
  <c r="H342" i="2"/>
  <c r="G342" i="2"/>
  <c r="F342" i="2"/>
  <c r="E342" i="2"/>
  <c r="D342" i="2"/>
  <c r="C342" i="2"/>
  <c r="B342" i="2"/>
  <c r="A342" i="2"/>
  <c r="J341" i="2"/>
  <c r="I341" i="2"/>
  <c r="H341" i="2"/>
  <c r="G341" i="2"/>
  <c r="F341" i="2"/>
  <c r="E341" i="2"/>
  <c r="D341" i="2"/>
  <c r="C341" i="2"/>
  <c r="B341" i="2"/>
  <c r="A341" i="2"/>
  <c r="J340" i="2"/>
  <c r="I340" i="2"/>
  <c r="H340" i="2"/>
  <c r="G340" i="2"/>
  <c r="F340" i="2"/>
  <c r="E340" i="2"/>
  <c r="D340" i="2"/>
  <c r="C340" i="2"/>
  <c r="B340" i="2"/>
  <c r="A340" i="2"/>
  <c r="J339" i="2"/>
  <c r="I339" i="2"/>
  <c r="H339" i="2"/>
  <c r="G339" i="2"/>
  <c r="F339" i="2"/>
  <c r="E339" i="2"/>
  <c r="D339" i="2"/>
  <c r="C339" i="2"/>
  <c r="B339" i="2"/>
  <c r="A339" i="2"/>
  <c r="J338" i="2"/>
  <c r="I338" i="2"/>
  <c r="H338" i="2"/>
  <c r="G338" i="2"/>
  <c r="F338" i="2"/>
  <c r="E338" i="2"/>
  <c r="D338" i="2"/>
  <c r="C338" i="2"/>
  <c r="B338" i="2"/>
  <c r="A338" i="2"/>
  <c r="J337" i="2"/>
  <c r="I337" i="2"/>
  <c r="H337" i="2"/>
  <c r="G337" i="2"/>
  <c r="F337" i="2"/>
  <c r="E337" i="2"/>
  <c r="D337" i="2"/>
  <c r="C337" i="2"/>
  <c r="B337" i="2"/>
  <c r="A337" i="2"/>
  <c r="J336" i="2"/>
  <c r="I336" i="2"/>
  <c r="H336" i="2"/>
  <c r="G336" i="2"/>
  <c r="F336" i="2"/>
  <c r="E336" i="2"/>
  <c r="D336" i="2"/>
  <c r="C336" i="2"/>
  <c r="B336" i="2"/>
  <c r="A336" i="2"/>
  <c r="J335" i="2"/>
  <c r="I335" i="2"/>
  <c r="H335" i="2"/>
  <c r="G335" i="2"/>
  <c r="F335" i="2"/>
  <c r="E335" i="2"/>
  <c r="D335" i="2"/>
  <c r="C335" i="2"/>
  <c r="B335" i="2"/>
  <c r="A335" i="2"/>
  <c r="J334" i="2"/>
  <c r="I334" i="2"/>
  <c r="H334" i="2"/>
  <c r="G334" i="2"/>
  <c r="F334" i="2"/>
  <c r="E334" i="2"/>
  <c r="D334" i="2"/>
  <c r="C334" i="2"/>
  <c r="B334" i="2"/>
  <c r="A334" i="2"/>
  <c r="J333" i="2"/>
  <c r="I333" i="2"/>
  <c r="H333" i="2"/>
  <c r="G333" i="2"/>
  <c r="F333" i="2"/>
  <c r="E333" i="2"/>
  <c r="D333" i="2"/>
  <c r="C333" i="2"/>
  <c r="B333" i="2"/>
  <c r="A333" i="2"/>
  <c r="J332" i="2"/>
  <c r="I332" i="2"/>
  <c r="H332" i="2"/>
  <c r="G332" i="2"/>
  <c r="F332" i="2"/>
  <c r="E332" i="2"/>
  <c r="D332" i="2"/>
  <c r="C332" i="2"/>
  <c r="B332" i="2"/>
  <c r="A332" i="2"/>
  <c r="J331" i="2"/>
  <c r="I331" i="2"/>
  <c r="H331" i="2"/>
  <c r="G331" i="2"/>
  <c r="F331" i="2"/>
  <c r="E331" i="2"/>
  <c r="D331" i="2"/>
  <c r="C331" i="2"/>
  <c r="B331" i="2"/>
  <c r="A331" i="2"/>
  <c r="J330" i="2"/>
  <c r="I330" i="2"/>
  <c r="H330" i="2"/>
  <c r="G330" i="2"/>
  <c r="F330" i="2"/>
  <c r="E330" i="2"/>
  <c r="D330" i="2"/>
  <c r="C330" i="2"/>
  <c r="B330" i="2"/>
  <c r="A330" i="2"/>
  <c r="J329" i="2"/>
  <c r="I329" i="2"/>
  <c r="H329" i="2"/>
  <c r="G329" i="2"/>
  <c r="F329" i="2"/>
  <c r="E329" i="2"/>
  <c r="D329" i="2"/>
  <c r="C329" i="2"/>
  <c r="B329" i="2"/>
  <c r="A329" i="2"/>
  <c r="J328" i="2"/>
  <c r="I328" i="2"/>
  <c r="H328" i="2"/>
  <c r="G328" i="2"/>
  <c r="F328" i="2"/>
  <c r="E328" i="2"/>
  <c r="D328" i="2"/>
  <c r="C328" i="2"/>
  <c r="B328" i="2"/>
  <c r="A328" i="2"/>
  <c r="J327" i="2"/>
  <c r="I327" i="2"/>
  <c r="H327" i="2"/>
  <c r="G327" i="2"/>
  <c r="F327" i="2"/>
  <c r="E327" i="2"/>
  <c r="D327" i="2"/>
  <c r="C327" i="2"/>
  <c r="B327" i="2"/>
  <c r="A327" i="2"/>
  <c r="J326" i="2"/>
  <c r="I326" i="2"/>
  <c r="H326" i="2"/>
  <c r="G326" i="2"/>
  <c r="F326" i="2"/>
  <c r="E326" i="2"/>
  <c r="D326" i="2"/>
  <c r="C326" i="2"/>
  <c r="B326" i="2"/>
  <c r="A326" i="2"/>
  <c r="J325" i="2"/>
  <c r="I325" i="2"/>
  <c r="H325" i="2"/>
  <c r="G325" i="2"/>
  <c r="F325" i="2"/>
  <c r="E325" i="2"/>
  <c r="D325" i="2"/>
  <c r="C325" i="2"/>
  <c r="B325" i="2"/>
  <c r="A325" i="2"/>
  <c r="J324" i="2"/>
  <c r="I324" i="2"/>
  <c r="H324" i="2"/>
  <c r="G324" i="2"/>
  <c r="F324" i="2"/>
  <c r="E324" i="2"/>
  <c r="D324" i="2"/>
  <c r="C324" i="2"/>
  <c r="B324" i="2"/>
  <c r="A324" i="2"/>
  <c r="J323" i="2"/>
  <c r="I323" i="2"/>
  <c r="H323" i="2"/>
  <c r="G323" i="2"/>
  <c r="F323" i="2"/>
  <c r="E323" i="2"/>
  <c r="D323" i="2"/>
  <c r="C323" i="2"/>
  <c r="B323" i="2"/>
  <c r="A323" i="2"/>
  <c r="J322" i="2"/>
  <c r="I322" i="2"/>
  <c r="H322" i="2"/>
  <c r="G322" i="2"/>
  <c r="F322" i="2"/>
  <c r="E322" i="2"/>
  <c r="D322" i="2"/>
  <c r="C322" i="2"/>
  <c r="B322" i="2"/>
  <c r="A322" i="2"/>
  <c r="J321" i="2"/>
  <c r="I321" i="2"/>
  <c r="H321" i="2"/>
  <c r="G321" i="2"/>
  <c r="F321" i="2"/>
  <c r="E321" i="2"/>
  <c r="D321" i="2"/>
  <c r="C321" i="2"/>
  <c r="B321" i="2"/>
  <c r="A321" i="2"/>
  <c r="J320" i="2"/>
  <c r="I320" i="2"/>
  <c r="H320" i="2"/>
  <c r="G320" i="2"/>
  <c r="F320" i="2"/>
  <c r="E320" i="2"/>
  <c r="D320" i="2"/>
  <c r="C320" i="2"/>
  <c r="B320" i="2"/>
  <c r="A320" i="2"/>
  <c r="J319" i="2"/>
  <c r="I319" i="2"/>
  <c r="H319" i="2"/>
  <c r="G319" i="2"/>
  <c r="F319" i="2"/>
  <c r="E319" i="2"/>
  <c r="D319" i="2"/>
  <c r="C319" i="2"/>
  <c r="B319" i="2"/>
  <c r="A319" i="2"/>
  <c r="J318" i="2"/>
  <c r="I318" i="2"/>
  <c r="H318" i="2"/>
  <c r="G318" i="2"/>
  <c r="F318" i="2"/>
  <c r="E318" i="2"/>
  <c r="D318" i="2"/>
  <c r="C318" i="2"/>
  <c r="B318" i="2"/>
  <c r="A318" i="2"/>
  <c r="J317" i="2"/>
  <c r="I317" i="2"/>
  <c r="H317" i="2"/>
  <c r="G317" i="2"/>
  <c r="F317" i="2"/>
  <c r="E317" i="2"/>
  <c r="D317" i="2"/>
  <c r="C317" i="2"/>
  <c r="B317" i="2"/>
  <c r="A317" i="2"/>
  <c r="J316" i="2"/>
  <c r="I316" i="2"/>
  <c r="H316" i="2"/>
  <c r="G316" i="2"/>
  <c r="F316" i="2"/>
  <c r="E316" i="2"/>
  <c r="D316" i="2"/>
  <c r="C316" i="2"/>
  <c r="B316" i="2"/>
  <c r="A316" i="2"/>
  <c r="J315" i="2"/>
  <c r="I315" i="2"/>
  <c r="H315" i="2"/>
  <c r="G315" i="2"/>
  <c r="F315" i="2"/>
  <c r="E315" i="2"/>
  <c r="D315" i="2"/>
  <c r="C315" i="2"/>
  <c r="B315" i="2"/>
  <c r="A315" i="2"/>
  <c r="J314" i="2"/>
  <c r="I314" i="2"/>
  <c r="H314" i="2"/>
  <c r="G314" i="2"/>
  <c r="F314" i="2"/>
  <c r="E314" i="2"/>
  <c r="D314" i="2"/>
  <c r="C314" i="2"/>
  <c r="B314" i="2"/>
  <c r="A314" i="2"/>
  <c r="J313" i="2"/>
  <c r="I313" i="2"/>
  <c r="H313" i="2"/>
  <c r="G313" i="2"/>
  <c r="F313" i="2"/>
  <c r="E313" i="2"/>
  <c r="D313" i="2"/>
  <c r="C313" i="2"/>
  <c r="B313" i="2"/>
  <c r="A313" i="2"/>
  <c r="J312" i="2"/>
  <c r="I312" i="2"/>
  <c r="H312" i="2"/>
  <c r="G312" i="2"/>
  <c r="F312" i="2"/>
  <c r="E312" i="2"/>
  <c r="D312" i="2"/>
  <c r="C312" i="2"/>
  <c r="B312" i="2"/>
  <c r="A312" i="2"/>
  <c r="J311" i="2"/>
  <c r="I311" i="2"/>
  <c r="H311" i="2"/>
  <c r="G311" i="2"/>
  <c r="F311" i="2"/>
  <c r="E311" i="2"/>
  <c r="D311" i="2"/>
  <c r="C311" i="2"/>
  <c r="B311" i="2"/>
  <c r="A311" i="2"/>
  <c r="J310" i="2"/>
  <c r="I310" i="2"/>
  <c r="H310" i="2"/>
  <c r="G310" i="2"/>
  <c r="F310" i="2"/>
  <c r="E310" i="2"/>
  <c r="D310" i="2"/>
  <c r="C310" i="2"/>
  <c r="B310" i="2"/>
  <c r="A310" i="2"/>
  <c r="J309" i="2"/>
  <c r="I309" i="2"/>
  <c r="H309" i="2"/>
  <c r="G309" i="2"/>
  <c r="F309" i="2"/>
  <c r="E309" i="2"/>
  <c r="D309" i="2"/>
  <c r="C309" i="2"/>
  <c r="B309" i="2"/>
  <c r="A309" i="2"/>
  <c r="J308" i="2"/>
  <c r="I308" i="2"/>
  <c r="H308" i="2"/>
  <c r="G308" i="2"/>
  <c r="F308" i="2"/>
  <c r="E308" i="2"/>
  <c r="D308" i="2"/>
  <c r="C308" i="2"/>
  <c r="B308" i="2"/>
  <c r="A308" i="2"/>
  <c r="J307" i="2"/>
  <c r="I307" i="2"/>
  <c r="H307" i="2"/>
  <c r="G307" i="2"/>
  <c r="F307" i="2"/>
  <c r="E307" i="2"/>
  <c r="D307" i="2"/>
  <c r="C307" i="2"/>
  <c r="B307" i="2"/>
  <c r="A307" i="2"/>
  <c r="J306" i="2"/>
  <c r="I306" i="2"/>
  <c r="H306" i="2"/>
  <c r="G306" i="2"/>
  <c r="F306" i="2"/>
  <c r="E306" i="2"/>
  <c r="D306" i="2"/>
  <c r="C306" i="2"/>
  <c r="B306" i="2"/>
  <c r="A306" i="2"/>
  <c r="J305" i="2"/>
  <c r="I305" i="2"/>
  <c r="H305" i="2"/>
  <c r="G305" i="2"/>
  <c r="F305" i="2"/>
  <c r="E305" i="2"/>
  <c r="D305" i="2"/>
  <c r="C305" i="2"/>
  <c r="B305" i="2"/>
  <c r="A305" i="2"/>
  <c r="J304" i="2"/>
  <c r="I304" i="2"/>
  <c r="H304" i="2"/>
  <c r="G304" i="2"/>
  <c r="F304" i="2"/>
  <c r="E304" i="2"/>
  <c r="D304" i="2"/>
  <c r="C304" i="2"/>
  <c r="B304" i="2"/>
  <c r="A304" i="2"/>
  <c r="J303" i="2"/>
  <c r="I303" i="2"/>
  <c r="H303" i="2"/>
  <c r="G303" i="2"/>
  <c r="F303" i="2"/>
  <c r="E303" i="2"/>
  <c r="D303" i="2"/>
  <c r="C303" i="2"/>
  <c r="B303" i="2"/>
  <c r="A303" i="2"/>
  <c r="J302" i="2"/>
  <c r="I302" i="2"/>
  <c r="H302" i="2"/>
  <c r="G302" i="2"/>
  <c r="F302" i="2"/>
  <c r="E302" i="2"/>
  <c r="D302" i="2"/>
  <c r="C302" i="2"/>
  <c r="B302" i="2"/>
  <c r="A302" i="2"/>
  <c r="J301" i="2"/>
  <c r="I301" i="2"/>
  <c r="H301" i="2"/>
  <c r="G301" i="2"/>
  <c r="F301" i="2"/>
  <c r="E301" i="2"/>
  <c r="D301" i="2"/>
  <c r="C301" i="2"/>
  <c r="B301" i="2"/>
  <c r="A301" i="2"/>
  <c r="J300" i="2"/>
  <c r="I300" i="2"/>
  <c r="H300" i="2"/>
  <c r="G300" i="2"/>
  <c r="F300" i="2"/>
  <c r="E300" i="2"/>
  <c r="D300" i="2"/>
  <c r="C300" i="2"/>
  <c r="B300" i="2"/>
  <c r="A300" i="2"/>
  <c r="J299" i="2"/>
  <c r="I299" i="2"/>
  <c r="H299" i="2"/>
  <c r="G299" i="2"/>
  <c r="F299" i="2"/>
  <c r="E299" i="2"/>
  <c r="D299" i="2"/>
  <c r="C299" i="2"/>
  <c r="B299" i="2"/>
  <c r="A299" i="2"/>
  <c r="J298" i="2"/>
  <c r="I298" i="2"/>
  <c r="H298" i="2"/>
  <c r="G298" i="2"/>
  <c r="F298" i="2"/>
  <c r="E298" i="2"/>
  <c r="D298" i="2"/>
  <c r="C298" i="2"/>
  <c r="B298" i="2"/>
  <c r="A298" i="2"/>
  <c r="J297" i="2"/>
  <c r="I297" i="2"/>
  <c r="H297" i="2"/>
  <c r="G297" i="2"/>
  <c r="F297" i="2"/>
  <c r="E297" i="2"/>
  <c r="D297" i="2"/>
  <c r="C297" i="2"/>
  <c r="B297" i="2"/>
  <c r="A297" i="2"/>
  <c r="J296" i="2"/>
  <c r="I296" i="2"/>
  <c r="H296" i="2"/>
  <c r="G296" i="2"/>
  <c r="F296" i="2"/>
  <c r="E296" i="2"/>
  <c r="D296" i="2"/>
  <c r="C296" i="2"/>
  <c r="B296" i="2"/>
  <c r="A296" i="2"/>
  <c r="J295" i="2"/>
  <c r="I295" i="2"/>
  <c r="H295" i="2"/>
  <c r="G295" i="2"/>
  <c r="F295" i="2"/>
  <c r="E295" i="2"/>
  <c r="D295" i="2"/>
  <c r="C295" i="2"/>
  <c r="B295" i="2"/>
  <c r="A295" i="2"/>
  <c r="J294" i="2"/>
  <c r="I294" i="2"/>
  <c r="H294" i="2"/>
  <c r="G294" i="2"/>
  <c r="F294" i="2"/>
  <c r="E294" i="2"/>
  <c r="D294" i="2"/>
  <c r="C294" i="2"/>
  <c r="B294" i="2"/>
  <c r="A294" i="2"/>
  <c r="J293" i="2"/>
  <c r="I293" i="2"/>
  <c r="H293" i="2"/>
  <c r="G293" i="2"/>
  <c r="F293" i="2"/>
  <c r="E293" i="2"/>
  <c r="D293" i="2"/>
  <c r="C293" i="2"/>
  <c r="B293" i="2"/>
  <c r="A293" i="2"/>
  <c r="J292" i="2"/>
  <c r="I292" i="2"/>
  <c r="H292" i="2"/>
  <c r="G292" i="2"/>
  <c r="F292" i="2"/>
  <c r="E292" i="2"/>
  <c r="D292" i="2"/>
  <c r="C292" i="2"/>
  <c r="B292" i="2"/>
  <c r="A292" i="2"/>
  <c r="J291" i="2"/>
  <c r="I291" i="2"/>
  <c r="H291" i="2"/>
  <c r="G291" i="2"/>
  <c r="F291" i="2"/>
  <c r="E291" i="2"/>
  <c r="D291" i="2"/>
  <c r="C291" i="2"/>
  <c r="B291" i="2"/>
  <c r="A291" i="2"/>
  <c r="J290" i="2"/>
  <c r="I290" i="2"/>
  <c r="H290" i="2"/>
  <c r="G290" i="2"/>
  <c r="F290" i="2"/>
  <c r="E290" i="2"/>
  <c r="D290" i="2"/>
  <c r="C290" i="2"/>
  <c r="B290" i="2"/>
  <c r="A290" i="2"/>
  <c r="J289" i="2"/>
  <c r="I289" i="2"/>
  <c r="H289" i="2"/>
  <c r="G289" i="2"/>
  <c r="F289" i="2"/>
  <c r="E289" i="2"/>
  <c r="D289" i="2"/>
  <c r="C289" i="2"/>
  <c r="B289" i="2"/>
  <c r="A289" i="2"/>
  <c r="J288" i="2"/>
  <c r="I288" i="2"/>
  <c r="H288" i="2"/>
  <c r="G288" i="2"/>
  <c r="F288" i="2"/>
  <c r="E288" i="2"/>
  <c r="D288" i="2"/>
  <c r="C288" i="2"/>
  <c r="B288" i="2"/>
  <c r="A288" i="2"/>
  <c r="J287" i="2"/>
  <c r="I287" i="2"/>
  <c r="H287" i="2"/>
  <c r="G287" i="2"/>
  <c r="F287" i="2"/>
  <c r="E287" i="2"/>
  <c r="D287" i="2"/>
  <c r="C287" i="2"/>
  <c r="B287" i="2"/>
  <c r="A287" i="2"/>
  <c r="J286" i="2"/>
  <c r="I286" i="2"/>
  <c r="H286" i="2"/>
  <c r="G286" i="2"/>
  <c r="F286" i="2"/>
  <c r="E286" i="2"/>
  <c r="D286" i="2"/>
  <c r="C286" i="2"/>
  <c r="B286" i="2"/>
  <c r="A286" i="2"/>
  <c r="J285" i="2"/>
  <c r="I285" i="2"/>
  <c r="H285" i="2"/>
  <c r="G285" i="2"/>
  <c r="F285" i="2"/>
  <c r="E285" i="2"/>
  <c r="D285" i="2"/>
  <c r="C285" i="2"/>
  <c r="B285" i="2"/>
  <c r="A285" i="2"/>
  <c r="J284" i="2"/>
  <c r="I284" i="2"/>
  <c r="H284" i="2"/>
  <c r="G284" i="2"/>
  <c r="F284" i="2"/>
  <c r="E284" i="2"/>
  <c r="D284" i="2"/>
  <c r="C284" i="2"/>
  <c r="B284" i="2"/>
  <c r="A284" i="2"/>
  <c r="J283" i="2"/>
  <c r="I283" i="2"/>
  <c r="H283" i="2"/>
  <c r="G283" i="2"/>
  <c r="F283" i="2"/>
  <c r="E283" i="2"/>
  <c r="D283" i="2"/>
  <c r="C283" i="2"/>
  <c r="B283" i="2"/>
  <c r="A283" i="2"/>
  <c r="J282" i="2"/>
  <c r="I282" i="2"/>
  <c r="H282" i="2"/>
  <c r="G282" i="2"/>
  <c r="F282" i="2"/>
  <c r="E282" i="2"/>
  <c r="D282" i="2"/>
  <c r="C282" i="2"/>
  <c r="B282" i="2"/>
  <c r="A282" i="2"/>
  <c r="J281" i="2"/>
  <c r="I281" i="2"/>
  <c r="H281" i="2"/>
  <c r="G281" i="2"/>
  <c r="F281" i="2"/>
  <c r="E281" i="2"/>
  <c r="D281" i="2"/>
  <c r="C281" i="2"/>
  <c r="B281" i="2"/>
  <c r="A281" i="2"/>
  <c r="J280" i="2"/>
  <c r="I280" i="2"/>
  <c r="H280" i="2"/>
  <c r="G280" i="2"/>
  <c r="F280" i="2"/>
  <c r="E280" i="2"/>
  <c r="D280" i="2"/>
  <c r="C280" i="2"/>
  <c r="B280" i="2"/>
  <c r="A280" i="2"/>
  <c r="J279" i="2"/>
  <c r="I279" i="2"/>
  <c r="H279" i="2"/>
  <c r="G279" i="2"/>
  <c r="F279" i="2"/>
  <c r="E279" i="2"/>
  <c r="D279" i="2"/>
  <c r="C279" i="2"/>
  <c r="B279" i="2"/>
  <c r="A279" i="2"/>
  <c r="J278" i="2"/>
  <c r="I278" i="2"/>
  <c r="H278" i="2"/>
  <c r="G278" i="2"/>
  <c r="F278" i="2"/>
  <c r="E278" i="2"/>
  <c r="D278" i="2"/>
  <c r="C278" i="2"/>
  <c r="B278" i="2"/>
  <c r="A278" i="2"/>
  <c r="J277" i="2"/>
  <c r="I277" i="2"/>
  <c r="H277" i="2"/>
  <c r="G277" i="2"/>
  <c r="F277" i="2"/>
  <c r="E277" i="2"/>
  <c r="D277" i="2"/>
  <c r="C277" i="2"/>
  <c r="B277" i="2"/>
  <c r="A277" i="2"/>
  <c r="J276" i="2"/>
  <c r="I276" i="2"/>
  <c r="H276" i="2"/>
  <c r="G276" i="2"/>
  <c r="F276" i="2"/>
  <c r="E276" i="2"/>
  <c r="D276" i="2"/>
  <c r="C276" i="2"/>
  <c r="B276" i="2"/>
  <c r="A276" i="2"/>
  <c r="J275" i="2"/>
  <c r="I275" i="2"/>
  <c r="H275" i="2"/>
  <c r="G275" i="2"/>
  <c r="F275" i="2"/>
  <c r="E275" i="2"/>
  <c r="D275" i="2"/>
  <c r="C275" i="2"/>
  <c r="B275" i="2"/>
  <c r="A275" i="2"/>
  <c r="J274" i="2"/>
  <c r="I274" i="2"/>
  <c r="H274" i="2"/>
  <c r="G274" i="2"/>
  <c r="F274" i="2"/>
  <c r="E274" i="2"/>
  <c r="D274" i="2"/>
  <c r="C274" i="2"/>
  <c r="B274" i="2"/>
  <c r="A274" i="2"/>
  <c r="J273" i="2"/>
  <c r="I273" i="2"/>
  <c r="H273" i="2"/>
  <c r="G273" i="2"/>
  <c r="F273" i="2"/>
  <c r="E273" i="2"/>
  <c r="D273" i="2"/>
  <c r="C273" i="2"/>
  <c r="B273" i="2"/>
  <c r="A273" i="2"/>
  <c r="J272" i="2"/>
  <c r="I272" i="2"/>
  <c r="H272" i="2"/>
  <c r="G272" i="2"/>
  <c r="F272" i="2"/>
  <c r="E272" i="2"/>
  <c r="D272" i="2"/>
  <c r="C272" i="2"/>
  <c r="B272" i="2"/>
  <c r="A272" i="2"/>
  <c r="J271" i="2"/>
  <c r="I271" i="2"/>
  <c r="H271" i="2"/>
  <c r="G271" i="2"/>
  <c r="F271" i="2"/>
  <c r="E271" i="2"/>
  <c r="D271" i="2"/>
  <c r="C271" i="2"/>
  <c r="B271" i="2"/>
  <c r="A271" i="2"/>
  <c r="J270" i="2"/>
  <c r="I270" i="2"/>
  <c r="H270" i="2"/>
  <c r="G270" i="2"/>
  <c r="F270" i="2"/>
  <c r="E270" i="2"/>
  <c r="D270" i="2"/>
  <c r="C270" i="2"/>
  <c r="B270" i="2"/>
  <c r="A270" i="2"/>
  <c r="J269" i="2"/>
  <c r="I269" i="2"/>
  <c r="H269" i="2"/>
  <c r="G269" i="2"/>
  <c r="F269" i="2"/>
  <c r="E269" i="2"/>
  <c r="D269" i="2"/>
  <c r="C269" i="2"/>
  <c r="B269" i="2"/>
  <c r="A269" i="2"/>
  <c r="J268" i="2"/>
  <c r="I268" i="2"/>
  <c r="H268" i="2"/>
  <c r="G268" i="2"/>
  <c r="F268" i="2"/>
  <c r="E268" i="2"/>
  <c r="D268" i="2"/>
  <c r="C268" i="2"/>
  <c r="B268" i="2"/>
  <c r="A268" i="2"/>
  <c r="J267" i="2"/>
  <c r="I267" i="2"/>
  <c r="H267" i="2"/>
  <c r="G267" i="2"/>
  <c r="F267" i="2"/>
  <c r="E267" i="2"/>
  <c r="D267" i="2"/>
  <c r="C267" i="2"/>
  <c r="B267" i="2"/>
  <c r="A267" i="2"/>
  <c r="J266" i="2"/>
  <c r="I266" i="2"/>
  <c r="H266" i="2"/>
  <c r="G266" i="2"/>
  <c r="F266" i="2"/>
  <c r="E266" i="2"/>
  <c r="D266" i="2"/>
  <c r="C266" i="2"/>
  <c r="B266" i="2"/>
  <c r="A266" i="2"/>
  <c r="J265" i="2"/>
  <c r="I265" i="2"/>
  <c r="H265" i="2"/>
  <c r="G265" i="2"/>
  <c r="F265" i="2"/>
  <c r="E265" i="2"/>
  <c r="D265" i="2"/>
  <c r="C265" i="2"/>
  <c r="B265" i="2"/>
  <c r="A265" i="2"/>
  <c r="J264" i="2"/>
  <c r="I264" i="2"/>
  <c r="H264" i="2"/>
  <c r="G264" i="2"/>
  <c r="F264" i="2"/>
  <c r="E264" i="2"/>
  <c r="D264" i="2"/>
  <c r="C264" i="2"/>
  <c r="B264" i="2"/>
  <c r="A264" i="2"/>
  <c r="J263" i="2"/>
  <c r="I263" i="2"/>
  <c r="H263" i="2"/>
  <c r="G263" i="2"/>
  <c r="F263" i="2"/>
  <c r="E263" i="2"/>
  <c r="D263" i="2"/>
  <c r="C263" i="2"/>
  <c r="B263" i="2"/>
  <c r="A263" i="2"/>
  <c r="J262" i="2"/>
  <c r="I262" i="2"/>
  <c r="H262" i="2"/>
  <c r="G262" i="2"/>
  <c r="F262" i="2"/>
  <c r="E262" i="2"/>
  <c r="D262" i="2"/>
  <c r="C262" i="2"/>
  <c r="B262" i="2"/>
  <c r="A262" i="2"/>
  <c r="J261" i="2"/>
  <c r="I261" i="2"/>
  <c r="H261" i="2"/>
  <c r="G261" i="2"/>
  <c r="F261" i="2"/>
  <c r="E261" i="2"/>
  <c r="D261" i="2"/>
  <c r="C261" i="2"/>
  <c r="B261" i="2"/>
  <c r="A261" i="2"/>
  <c r="J260" i="2"/>
  <c r="I260" i="2"/>
  <c r="H260" i="2"/>
  <c r="G260" i="2"/>
  <c r="F260" i="2"/>
  <c r="E260" i="2"/>
  <c r="D260" i="2"/>
  <c r="C260" i="2"/>
  <c r="B260" i="2"/>
  <c r="A260" i="2"/>
  <c r="J259" i="2"/>
  <c r="I259" i="2"/>
  <c r="H259" i="2"/>
  <c r="G259" i="2"/>
  <c r="F259" i="2"/>
  <c r="E259" i="2"/>
  <c r="D259" i="2"/>
  <c r="C259" i="2"/>
  <c r="B259" i="2"/>
  <c r="A259" i="2"/>
  <c r="J258" i="2"/>
  <c r="I258" i="2"/>
  <c r="H258" i="2"/>
  <c r="G258" i="2"/>
  <c r="F258" i="2"/>
  <c r="E258" i="2"/>
  <c r="D258" i="2"/>
  <c r="C258" i="2"/>
  <c r="B258" i="2"/>
  <c r="A258" i="2"/>
  <c r="J257" i="2"/>
  <c r="I257" i="2"/>
  <c r="H257" i="2"/>
  <c r="G257" i="2"/>
  <c r="F257" i="2"/>
  <c r="E257" i="2"/>
  <c r="D257" i="2"/>
  <c r="C257" i="2"/>
  <c r="B257" i="2"/>
  <c r="A257" i="2"/>
  <c r="J256" i="2"/>
  <c r="I256" i="2"/>
  <c r="H256" i="2"/>
  <c r="G256" i="2"/>
  <c r="F256" i="2"/>
  <c r="E256" i="2"/>
  <c r="D256" i="2"/>
  <c r="C256" i="2"/>
  <c r="B256" i="2"/>
  <c r="A256" i="2"/>
  <c r="J255" i="2"/>
  <c r="I255" i="2"/>
  <c r="H255" i="2"/>
  <c r="G255" i="2"/>
  <c r="F255" i="2"/>
  <c r="E255" i="2"/>
  <c r="D255" i="2"/>
  <c r="C255" i="2"/>
  <c r="B255" i="2"/>
  <c r="A255" i="2"/>
  <c r="J254" i="2"/>
  <c r="I254" i="2"/>
  <c r="H254" i="2"/>
  <c r="G254" i="2"/>
  <c r="F254" i="2"/>
  <c r="E254" i="2"/>
  <c r="D254" i="2"/>
  <c r="C254" i="2"/>
  <c r="B254" i="2"/>
  <c r="A254" i="2"/>
  <c r="J253" i="2"/>
  <c r="I253" i="2"/>
  <c r="H253" i="2"/>
  <c r="G253" i="2"/>
  <c r="F253" i="2"/>
  <c r="E253" i="2"/>
  <c r="D253" i="2"/>
  <c r="C253" i="2"/>
  <c r="B253" i="2"/>
  <c r="A253" i="2"/>
  <c r="J252" i="2"/>
  <c r="I252" i="2"/>
  <c r="H252" i="2"/>
  <c r="G252" i="2"/>
  <c r="F252" i="2"/>
  <c r="E252" i="2"/>
  <c r="D252" i="2"/>
  <c r="C252" i="2"/>
  <c r="B252" i="2"/>
  <c r="A252" i="2"/>
  <c r="J251" i="2"/>
  <c r="I251" i="2"/>
  <c r="H251" i="2"/>
  <c r="G251" i="2"/>
  <c r="F251" i="2"/>
  <c r="E251" i="2"/>
  <c r="D251" i="2"/>
  <c r="C251" i="2"/>
  <c r="B251" i="2"/>
  <c r="A251" i="2"/>
  <c r="J250" i="2"/>
  <c r="I250" i="2"/>
  <c r="H250" i="2"/>
  <c r="G250" i="2"/>
  <c r="F250" i="2"/>
  <c r="E250" i="2"/>
  <c r="D250" i="2"/>
  <c r="C250" i="2"/>
  <c r="B250" i="2"/>
  <c r="A250" i="2"/>
  <c r="J249" i="2"/>
  <c r="I249" i="2"/>
  <c r="H249" i="2"/>
  <c r="G249" i="2"/>
  <c r="F249" i="2"/>
  <c r="E249" i="2"/>
  <c r="D249" i="2"/>
  <c r="C249" i="2"/>
  <c r="B249" i="2"/>
  <c r="A249" i="2"/>
  <c r="J248" i="2"/>
  <c r="I248" i="2"/>
  <c r="H248" i="2"/>
  <c r="G248" i="2"/>
  <c r="F248" i="2"/>
  <c r="E248" i="2"/>
  <c r="D248" i="2"/>
  <c r="C248" i="2"/>
  <c r="B248" i="2"/>
  <c r="A248" i="2"/>
  <c r="J247" i="2"/>
  <c r="I247" i="2"/>
  <c r="H247" i="2"/>
  <c r="G247" i="2"/>
  <c r="F247" i="2"/>
  <c r="E247" i="2"/>
  <c r="D247" i="2"/>
  <c r="C247" i="2"/>
  <c r="B247" i="2"/>
  <c r="A247" i="2"/>
  <c r="J246" i="2"/>
  <c r="I246" i="2"/>
  <c r="H246" i="2"/>
  <c r="G246" i="2"/>
  <c r="F246" i="2"/>
  <c r="E246" i="2"/>
  <c r="D246" i="2"/>
  <c r="C246" i="2"/>
  <c r="B246" i="2"/>
  <c r="A246" i="2"/>
  <c r="J245" i="2"/>
  <c r="I245" i="2"/>
  <c r="H245" i="2"/>
  <c r="G245" i="2"/>
  <c r="F245" i="2"/>
  <c r="E245" i="2"/>
  <c r="D245" i="2"/>
  <c r="C245" i="2"/>
  <c r="B245" i="2"/>
  <c r="A245" i="2"/>
  <c r="J244" i="2"/>
  <c r="I244" i="2"/>
  <c r="H244" i="2"/>
  <c r="G244" i="2"/>
  <c r="F244" i="2"/>
  <c r="E244" i="2"/>
  <c r="D244" i="2"/>
  <c r="C244" i="2"/>
  <c r="B244" i="2"/>
  <c r="A244" i="2"/>
  <c r="J243" i="2"/>
  <c r="I243" i="2"/>
  <c r="H243" i="2"/>
  <c r="G243" i="2"/>
  <c r="F243" i="2"/>
  <c r="E243" i="2"/>
  <c r="D243" i="2"/>
  <c r="C243" i="2"/>
  <c r="B243" i="2"/>
  <c r="A243" i="2"/>
  <c r="J242" i="2"/>
  <c r="I242" i="2"/>
  <c r="H242" i="2"/>
  <c r="G242" i="2"/>
  <c r="F242" i="2"/>
  <c r="E242" i="2"/>
  <c r="D242" i="2"/>
  <c r="C242" i="2"/>
  <c r="B242" i="2"/>
  <c r="A242" i="2"/>
  <c r="J241" i="2"/>
  <c r="I241" i="2"/>
  <c r="H241" i="2"/>
  <c r="G241" i="2"/>
  <c r="F241" i="2"/>
  <c r="E241" i="2"/>
  <c r="D241" i="2"/>
  <c r="C241" i="2"/>
  <c r="B241" i="2"/>
  <c r="A241" i="2"/>
  <c r="J240" i="2"/>
  <c r="I240" i="2"/>
  <c r="H240" i="2"/>
  <c r="G240" i="2"/>
  <c r="F240" i="2"/>
  <c r="E240" i="2"/>
  <c r="D240" i="2"/>
  <c r="C240" i="2"/>
  <c r="B240" i="2"/>
  <c r="A240" i="2"/>
  <c r="J239" i="2"/>
  <c r="I239" i="2"/>
  <c r="H239" i="2"/>
  <c r="G239" i="2"/>
  <c r="F239" i="2"/>
  <c r="E239" i="2"/>
  <c r="D239" i="2"/>
  <c r="C239" i="2"/>
  <c r="B239" i="2"/>
  <c r="A239" i="2"/>
  <c r="J238" i="2"/>
  <c r="I238" i="2"/>
  <c r="H238" i="2"/>
  <c r="G238" i="2"/>
  <c r="F238" i="2"/>
  <c r="E238" i="2"/>
  <c r="D238" i="2"/>
  <c r="C238" i="2"/>
  <c r="B238" i="2"/>
  <c r="A238" i="2"/>
  <c r="J237" i="2"/>
  <c r="I237" i="2"/>
  <c r="H237" i="2"/>
  <c r="G237" i="2"/>
  <c r="F237" i="2"/>
  <c r="E237" i="2"/>
  <c r="D237" i="2"/>
  <c r="C237" i="2"/>
  <c r="B237" i="2"/>
  <c r="A237" i="2"/>
  <c r="J236" i="2"/>
  <c r="I236" i="2"/>
  <c r="H236" i="2"/>
  <c r="G236" i="2"/>
  <c r="F236" i="2"/>
  <c r="E236" i="2"/>
  <c r="D236" i="2"/>
  <c r="C236" i="2"/>
  <c r="B236" i="2"/>
  <c r="A236" i="2"/>
  <c r="J235" i="2"/>
  <c r="I235" i="2"/>
  <c r="H235" i="2"/>
  <c r="G235" i="2"/>
  <c r="F235" i="2"/>
  <c r="E235" i="2"/>
  <c r="D235" i="2"/>
  <c r="C235" i="2"/>
  <c r="B235" i="2"/>
  <c r="A235" i="2"/>
  <c r="J234" i="2"/>
  <c r="I234" i="2"/>
  <c r="H234" i="2"/>
  <c r="G234" i="2"/>
  <c r="F234" i="2"/>
  <c r="E234" i="2"/>
  <c r="D234" i="2"/>
  <c r="C234" i="2"/>
  <c r="B234" i="2"/>
  <c r="A234" i="2"/>
  <c r="J233" i="2"/>
  <c r="I233" i="2"/>
  <c r="H233" i="2"/>
  <c r="G233" i="2"/>
  <c r="F233" i="2"/>
  <c r="E233" i="2"/>
  <c r="D233" i="2"/>
  <c r="C233" i="2"/>
  <c r="B233" i="2"/>
  <c r="A233" i="2"/>
  <c r="J232" i="2"/>
  <c r="I232" i="2"/>
  <c r="H232" i="2"/>
  <c r="G232" i="2"/>
  <c r="F232" i="2"/>
  <c r="E232" i="2"/>
  <c r="D232" i="2"/>
  <c r="C232" i="2"/>
  <c r="B232" i="2"/>
  <c r="A232" i="2"/>
  <c r="J231" i="2"/>
  <c r="I231" i="2"/>
  <c r="H231" i="2"/>
  <c r="G231" i="2"/>
  <c r="F231" i="2"/>
  <c r="E231" i="2"/>
  <c r="D231" i="2"/>
  <c r="C231" i="2"/>
  <c r="B231" i="2"/>
  <c r="A231" i="2"/>
  <c r="J230" i="2"/>
  <c r="I230" i="2"/>
  <c r="H230" i="2"/>
  <c r="G230" i="2"/>
  <c r="F230" i="2"/>
  <c r="E230" i="2"/>
  <c r="D230" i="2"/>
  <c r="C230" i="2"/>
  <c r="B230" i="2"/>
  <c r="A230" i="2"/>
  <c r="J229" i="2"/>
  <c r="I229" i="2"/>
  <c r="H229" i="2"/>
  <c r="G229" i="2"/>
  <c r="F229" i="2"/>
  <c r="E229" i="2"/>
  <c r="D229" i="2"/>
  <c r="C229" i="2"/>
  <c r="B229" i="2"/>
  <c r="A229" i="2"/>
  <c r="J228" i="2"/>
  <c r="I228" i="2"/>
  <c r="H228" i="2"/>
  <c r="G228" i="2"/>
  <c r="F228" i="2"/>
  <c r="E228" i="2"/>
  <c r="D228" i="2"/>
  <c r="C228" i="2"/>
  <c r="B228" i="2"/>
  <c r="A228" i="2"/>
  <c r="J227" i="2"/>
  <c r="I227" i="2"/>
  <c r="H227" i="2"/>
  <c r="G227" i="2"/>
  <c r="F227" i="2"/>
  <c r="E227" i="2"/>
  <c r="D227" i="2"/>
  <c r="C227" i="2"/>
  <c r="B227" i="2"/>
  <c r="A227" i="2"/>
  <c r="J226" i="2"/>
  <c r="I226" i="2"/>
  <c r="H226" i="2"/>
  <c r="G226" i="2"/>
  <c r="F226" i="2"/>
  <c r="E226" i="2"/>
  <c r="D226" i="2"/>
  <c r="C226" i="2"/>
  <c r="B226" i="2"/>
  <c r="A226" i="2"/>
  <c r="J225" i="2"/>
  <c r="I225" i="2"/>
  <c r="H225" i="2"/>
  <c r="G225" i="2"/>
  <c r="F225" i="2"/>
  <c r="E225" i="2"/>
  <c r="D225" i="2"/>
  <c r="C225" i="2"/>
  <c r="B225" i="2"/>
  <c r="A225" i="2"/>
  <c r="J224" i="2"/>
  <c r="I224" i="2"/>
  <c r="H224" i="2"/>
  <c r="G224" i="2"/>
  <c r="F224" i="2"/>
  <c r="E224" i="2"/>
  <c r="D224" i="2"/>
  <c r="C224" i="2"/>
  <c r="B224" i="2"/>
  <c r="A224" i="2"/>
  <c r="J223" i="2"/>
  <c r="I223" i="2"/>
  <c r="H223" i="2"/>
  <c r="G223" i="2"/>
  <c r="F223" i="2"/>
  <c r="E223" i="2"/>
  <c r="D223" i="2"/>
  <c r="C223" i="2"/>
  <c r="B223" i="2"/>
  <c r="A223" i="2"/>
  <c r="J222" i="2"/>
  <c r="I222" i="2"/>
  <c r="H222" i="2"/>
  <c r="G222" i="2"/>
  <c r="F222" i="2"/>
  <c r="E222" i="2"/>
  <c r="D222" i="2"/>
  <c r="C222" i="2"/>
  <c r="B222" i="2"/>
  <c r="A222" i="2"/>
  <c r="J221" i="2"/>
  <c r="I221" i="2"/>
  <c r="H221" i="2"/>
  <c r="G221" i="2"/>
  <c r="F221" i="2"/>
  <c r="E221" i="2"/>
  <c r="D221" i="2"/>
  <c r="C221" i="2"/>
  <c r="B221" i="2"/>
  <c r="A221" i="2"/>
  <c r="J220" i="2"/>
  <c r="I220" i="2"/>
  <c r="H220" i="2"/>
  <c r="G220" i="2"/>
  <c r="F220" i="2"/>
  <c r="E220" i="2"/>
  <c r="D220" i="2"/>
  <c r="C220" i="2"/>
  <c r="B220" i="2"/>
  <c r="A220" i="2"/>
  <c r="J219" i="2"/>
  <c r="I219" i="2"/>
  <c r="H219" i="2"/>
  <c r="G219" i="2"/>
  <c r="F219" i="2"/>
  <c r="E219" i="2"/>
  <c r="D219" i="2"/>
  <c r="C219" i="2"/>
  <c r="B219" i="2"/>
  <c r="A219" i="2"/>
  <c r="J218" i="2"/>
  <c r="I218" i="2"/>
  <c r="H218" i="2"/>
  <c r="G218" i="2"/>
  <c r="F218" i="2"/>
  <c r="E218" i="2"/>
  <c r="D218" i="2"/>
  <c r="C218" i="2"/>
  <c r="B218" i="2"/>
  <c r="A218" i="2"/>
  <c r="J217" i="2"/>
  <c r="I217" i="2"/>
  <c r="H217" i="2"/>
  <c r="G217" i="2"/>
  <c r="F217" i="2"/>
  <c r="E217" i="2"/>
  <c r="D217" i="2"/>
  <c r="C217" i="2"/>
  <c r="B217" i="2"/>
  <c r="A217" i="2"/>
  <c r="J216" i="2"/>
  <c r="I216" i="2"/>
  <c r="H216" i="2"/>
  <c r="G216" i="2"/>
  <c r="F216" i="2"/>
  <c r="E216" i="2"/>
  <c r="D216" i="2"/>
  <c r="C216" i="2"/>
  <c r="B216" i="2"/>
  <c r="A216" i="2"/>
  <c r="J215" i="2"/>
  <c r="I215" i="2"/>
  <c r="H215" i="2"/>
  <c r="G215" i="2"/>
  <c r="F215" i="2"/>
  <c r="E215" i="2"/>
  <c r="D215" i="2"/>
  <c r="C215" i="2"/>
  <c r="B215" i="2"/>
  <c r="A215" i="2"/>
  <c r="J214" i="2"/>
  <c r="I214" i="2"/>
  <c r="H214" i="2"/>
  <c r="G214" i="2"/>
  <c r="F214" i="2"/>
  <c r="E214" i="2"/>
  <c r="D214" i="2"/>
  <c r="C214" i="2"/>
  <c r="B214" i="2"/>
  <c r="A214" i="2"/>
  <c r="J213" i="2"/>
  <c r="I213" i="2"/>
  <c r="H213" i="2"/>
  <c r="G213" i="2"/>
  <c r="F213" i="2"/>
  <c r="E213" i="2"/>
  <c r="D213" i="2"/>
  <c r="C213" i="2"/>
  <c r="B213" i="2"/>
  <c r="A213" i="2"/>
  <c r="J212" i="2"/>
  <c r="I212" i="2"/>
  <c r="H212" i="2"/>
  <c r="G212" i="2"/>
  <c r="F212" i="2"/>
  <c r="E212" i="2"/>
  <c r="D212" i="2"/>
  <c r="C212" i="2"/>
  <c r="B212" i="2"/>
  <c r="A212" i="2"/>
  <c r="J211" i="2"/>
  <c r="I211" i="2"/>
  <c r="H211" i="2"/>
  <c r="G211" i="2"/>
  <c r="F211" i="2"/>
  <c r="E211" i="2"/>
  <c r="D211" i="2"/>
  <c r="C211" i="2"/>
  <c r="B211" i="2"/>
  <c r="A211" i="2"/>
  <c r="J210" i="2"/>
  <c r="I210" i="2"/>
  <c r="H210" i="2"/>
  <c r="G210" i="2"/>
  <c r="F210" i="2"/>
  <c r="E210" i="2"/>
  <c r="D210" i="2"/>
  <c r="C210" i="2"/>
  <c r="B210" i="2"/>
  <c r="A210" i="2"/>
  <c r="J209" i="2"/>
  <c r="I209" i="2"/>
  <c r="H209" i="2"/>
  <c r="G209" i="2"/>
  <c r="F209" i="2"/>
  <c r="E209" i="2"/>
  <c r="D209" i="2"/>
  <c r="C209" i="2"/>
  <c r="B209" i="2"/>
  <c r="A209" i="2"/>
  <c r="J208" i="2"/>
  <c r="I208" i="2"/>
  <c r="H208" i="2"/>
  <c r="G208" i="2"/>
  <c r="F208" i="2"/>
  <c r="E208" i="2"/>
  <c r="D208" i="2"/>
  <c r="C208" i="2"/>
  <c r="B208" i="2"/>
  <c r="A208" i="2"/>
  <c r="J207" i="2"/>
  <c r="I207" i="2"/>
  <c r="H207" i="2"/>
  <c r="G207" i="2"/>
  <c r="F207" i="2"/>
  <c r="E207" i="2"/>
  <c r="D207" i="2"/>
  <c r="C207" i="2"/>
  <c r="B207" i="2"/>
  <c r="A207" i="2"/>
  <c r="J206" i="2"/>
  <c r="I206" i="2"/>
  <c r="H206" i="2"/>
  <c r="G206" i="2"/>
  <c r="F206" i="2"/>
  <c r="E206" i="2"/>
  <c r="D206" i="2"/>
  <c r="C206" i="2"/>
  <c r="B206" i="2"/>
  <c r="A206" i="2"/>
  <c r="J205" i="2"/>
  <c r="I205" i="2"/>
  <c r="H205" i="2"/>
  <c r="G205" i="2"/>
  <c r="F205" i="2"/>
  <c r="E205" i="2"/>
  <c r="D205" i="2"/>
  <c r="C205" i="2"/>
  <c r="B205" i="2"/>
  <c r="A205" i="2"/>
  <c r="J204" i="2"/>
  <c r="I204" i="2"/>
  <c r="H204" i="2"/>
  <c r="G204" i="2"/>
  <c r="F204" i="2"/>
  <c r="E204" i="2"/>
  <c r="D204" i="2"/>
  <c r="C204" i="2"/>
  <c r="B204" i="2"/>
  <c r="A204" i="2"/>
  <c r="J203" i="2"/>
  <c r="I203" i="2"/>
  <c r="H203" i="2"/>
  <c r="G203" i="2"/>
  <c r="F203" i="2"/>
  <c r="E203" i="2"/>
  <c r="D203" i="2"/>
  <c r="C203" i="2"/>
  <c r="B203" i="2"/>
  <c r="A203" i="2"/>
  <c r="J202" i="2"/>
  <c r="I202" i="2"/>
  <c r="H202" i="2"/>
  <c r="G202" i="2"/>
  <c r="F202" i="2"/>
  <c r="E202" i="2"/>
  <c r="D202" i="2"/>
  <c r="C202" i="2"/>
  <c r="B202" i="2"/>
  <c r="A202" i="2"/>
  <c r="J201" i="2"/>
  <c r="I201" i="2"/>
  <c r="H201" i="2"/>
  <c r="G201" i="2"/>
  <c r="F201" i="2"/>
  <c r="E201" i="2"/>
  <c r="D201" i="2"/>
  <c r="C201" i="2"/>
  <c r="B201" i="2"/>
  <c r="A201" i="2"/>
  <c r="J200" i="2"/>
  <c r="I200" i="2"/>
  <c r="H200" i="2"/>
  <c r="G200" i="2"/>
  <c r="F200" i="2"/>
  <c r="E200" i="2"/>
  <c r="D200" i="2"/>
  <c r="C200" i="2"/>
  <c r="B200" i="2"/>
  <c r="A200" i="2"/>
  <c r="J199" i="2"/>
  <c r="I199" i="2"/>
  <c r="H199" i="2"/>
  <c r="G199" i="2"/>
  <c r="F199" i="2"/>
  <c r="E199" i="2"/>
  <c r="D199" i="2"/>
  <c r="C199" i="2"/>
  <c r="B199" i="2"/>
  <c r="A199" i="2"/>
  <c r="J198" i="2"/>
  <c r="I198" i="2"/>
  <c r="H198" i="2"/>
  <c r="G198" i="2"/>
  <c r="F198" i="2"/>
  <c r="E198" i="2"/>
  <c r="D198" i="2"/>
  <c r="C198" i="2"/>
  <c r="B198" i="2"/>
  <c r="A198" i="2"/>
  <c r="J197" i="2"/>
  <c r="I197" i="2"/>
  <c r="H197" i="2"/>
  <c r="G197" i="2"/>
  <c r="F197" i="2"/>
  <c r="E197" i="2"/>
  <c r="D197" i="2"/>
  <c r="C197" i="2"/>
  <c r="B197" i="2"/>
  <c r="A197" i="2"/>
  <c r="J196" i="2"/>
  <c r="I196" i="2"/>
  <c r="H196" i="2"/>
  <c r="G196" i="2"/>
  <c r="F196" i="2"/>
  <c r="E196" i="2"/>
  <c r="D196" i="2"/>
  <c r="C196" i="2"/>
  <c r="B196" i="2"/>
  <c r="A196" i="2"/>
  <c r="J195" i="2"/>
  <c r="I195" i="2"/>
  <c r="H195" i="2"/>
  <c r="G195" i="2"/>
  <c r="F195" i="2"/>
  <c r="E195" i="2"/>
  <c r="D195" i="2"/>
  <c r="C195" i="2"/>
  <c r="B195" i="2"/>
  <c r="A195" i="2"/>
  <c r="J194" i="2"/>
  <c r="I194" i="2"/>
  <c r="H194" i="2"/>
  <c r="G194" i="2"/>
  <c r="F194" i="2"/>
  <c r="E194" i="2"/>
  <c r="D194" i="2"/>
  <c r="C194" i="2"/>
  <c r="B194" i="2"/>
  <c r="A194" i="2"/>
  <c r="J193" i="2"/>
  <c r="I193" i="2"/>
  <c r="H193" i="2"/>
  <c r="G193" i="2"/>
  <c r="F193" i="2"/>
  <c r="E193" i="2"/>
  <c r="D193" i="2"/>
  <c r="C193" i="2"/>
  <c r="B193" i="2"/>
  <c r="A193" i="2"/>
  <c r="J192" i="2"/>
  <c r="I192" i="2"/>
  <c r="H192" i="2"/>
  <c r="G192" i="2"/>
  <c r="F192" i="2"/>
  <c r="E192" i="2"/>
  <c r="D192" i="2"/>
  <c r="C192" i="2"/>
  <c r="B192" i="2"/>
  <c r="A192" i="2"/>
  <c r="J191" i="2"/>
  <c r="I191" i="2"/>
  <c r="H191" i="2"/>
  <c r="G191" i="2"/>
  <c r="F191" i="2"/>
  <c r="E191" i="2"/>
  <c r="D191" i="2"/>
  <c r="C191" i="2"/>
  <c r="B191" i="2"/>
  <c r="A191" i="2"/>
  <c r="J190" i="2"/>
  <c r="I190" i="2"/>
  <c r="H190" i="2"/>
  <c r="G190" i="2"/>
  <c r="F190" i="2"/>
  <c r="E190" i="2"/>
  <c r="D190" i="2"/>
  <c r="C190" i="2"/>
  <c r="B190" i="2"/>
  <c r="A190" i="2"/>
  <c r="J189" i="2"/>
  <c r="I189" i="2"/>
  <c r="H189" i="2"/>
  <c r="G189" i="2"/>
  <c r="F189" i="2"/>
  <c r="E189" i="2"/>
  <c r="D189" i="2"/>
  <c r="C189" i="2"/>
  <c r="B189" i="2"/>
  <c r="A189" i="2"/>
  <c r="J188" i="2"/>
  <c r="I188" i="2"/>
  <c r="H188" i="2"/>
  <c r="G188" i="2"/>
  <c r="F188" i="2"/>
  <c r="E188" i="2"/>
  <c r="D188" i="2"/>
  <c r="C188" i="2"/>
  <c r="B188" i="2"/>
  <c r="A188" i="2"/>
  <c r="J187" i="2"/>
  <c r="I187" i="2"/>
  <c r="H187" i="2"/>
  <c r="G187" i="2"/>
  <c r="F187" i="2"/>
  <c r="E187" i="2"/>
  <c r="D187" i="2"/>
  <c r="C187" i="2"/>
  <c r="B187" i="2"/>
  <c r="A187" i="2"/>
  <c r="J186" i="2"/>
  <c r="I186" i="2"/>
  <c r="H186" i="2"/>
  <c r="G186" i="2"/>
  <c r="F186" i="2"/>
  <c r="E186" i="2"/>
  <c r="D186" i="2"/>
  <c r="C186" i="2"/>
  <c r="B186" i="2"/>
  <c r="A186" i="2"/>
  <c r="J185" i="2"/>
  <c r="I185" i="2"/>
  <c r="H185" i="2"/>
  <c r="G185" i="2"/>
  <c r="F185" i="2"/>
  <c r="E185" i="2"/>
  <c r="D185" i="2"/>
  <c r="C185" i="2"/>
  <c r="B185" i="2"/>
  <c r="A185" i="2"/>
  <c r="J184" i="2"/>
  <c r="I184" i="2"/>
  <c r="H184" i="2"/>
  <c r="G184" i="2"/>
  <c r="F184" i="2"/>
  <c r="E184" i="2"/>
  <c r="D184" i="2"/>
  <c r="C184" i="2"/>
  <c r="B184" i="2"/>
  <c r="A184" i="2"/>
  <c r="J183" i="2"/>
  <c r="I183" i="2"/>
  <c r="H183" i="2"/>
  <c r="G183" i="2"/>
  <c r="F183" i="2"/>
  <c r="E183" i="2"/>
  <c r="D183" i="2"/>
  <c r="C183" i="2"/>
  <c r="B183" i="2"/>
  <c r="A183" i="2"/>
  <c r="J182" i="2"/>
  <c r="I182" i="2"/>
  <c r="H182" i="2"/>
  <c r="G182" i="2"/>
  <c r="F182" i="2"/>
  <c r="E182" i="2"/>
  <c r="D182" i="2"/>
  <c r="C182" i="2"/>
  <c r="B182" i="2"/>
  <c r="A182" i="2"/>
  <c r="J181" i="2"/>
  <c r="I181" i="2"/>
  <c r="H181" i="2"/>
  <c r="G181" i="2"/>
  <c r="F181" i="2"/>
  <c r="E181" i="2"/>
  <c r="D181" i="2"/>
  <c r="C181" i="2"/>
  <c r="B181" i="2"/>
  <c r="A181" i="2"/>
  <c r="J180" i="2"/>
  <c r="I180" i="2"/>
  <c r="H180" i="2"/>
  <c r="G180" i="2"/>
  <c r="F180" i="2"/>
  <c r="E180" i="2"/>
  <c r="D180" i="2"/>
  <c r="C180" i="2"/>
  <c r="B180" i="2"/>
  <c r="A180" i="2"/>
  <c r="J179" i="2"/>
  <c r="I179" i="2"/>
  <c r="H179" i="2"/>
  <c r="G179" i="2"/>
  <c r="F179" i="2"/>
  <c r="E179" i="2"/>
  <c r="D179" i="2"/>
  <c r="C179" i="2"/>
  <c r="B179" i="2"/>
  <c r="A179" i="2"/>
  <c r="J178" i="2"/>
  <c r="I178" i="2"/>
  <c r="H178" i="2"/>
  <c r="G178" i="2"/>
  <c r="F178" i="2"/>
  <c r="E178" i="2"/>
  <c r="D178" i="2"/>
  <c r="C178" i="2"/>
  <c r="B178" i="2"/>
  <c r="A178" i="2"/>
  <c r="J177" i="2"/>
  <c r="I177" i="2"/>
  <c r="H177" i="2"/>
  <c r="G177" i="2"/>
  <c r="F177" i="2"/>
  <c r="E177" i="2"/>
  <c r="D177" i="2"/>
  <c r="C177" i="2"/>
  <c r="B177" i="2"/>
  <c r="A177" i="2"/>
  <c r="J176" i="2"/>
  <c r="I176" i="2"/>
  <c r="H176" i="2"/>
  <c r="G176" i="2"/>
  <c r="F176" i="2"/>
  <c r="E176" i="2"/>
  <c r="D176" i="2"/>
  <c r="C176" i="2"/>
  <c r="B176" i="2"/>
  <c r="A176" i="2"/>
  <c r="J175" i="2"/>
  <c r="I175" i="2"/>
  <c r="H175" i="2"/>
  <c r="G175" i="2"/>
  <c r="F175" i="2"/>
  <c r="E175" i="2"/>
  <c r="D175" i="2"/>
  <c r="C175" i="2"/>
  <c r="B175" i="2"/>
  <c r="A175" i="2"/>
  <c r="J174" i="2"/>
  <c r="I174" i="2"/>
  <c r="H174" i="2"/>
  <c r="G174" i="2"/>
  <c r="F174" i="2"/>
  <c r="E174" i="2"/>
  <c r="D174" i="2"/>
  <c r="C174" i="2"/>
  <c r="B174" i="2"/>
  <c r="A174" i="2"/>
  <c r="J173" i="2"/>
  <c r="I173" i="2"/>
  <c r="H173" i="2"/>
  <c r="G173" i="2"/>
  <c r="F173" i="2"/>
  <c r="E173" i="2"/>
  <c r="D173" i="2"/>
  <c r="C173" i="2"/>
  <c r="B173" i="2"/>
  <c r="A173" i="2"/>
  <c r="J172" i="2"/>
  <c r="I172" i="2"/>
  <c r="H172" i="2"/>
  <c r="G172" i="2"/>
  <c r="F172" i="2"/>
  <c r="E172" i="2"/>
  <c r="D172" i="2"/>
  <c r="C172" i="2"/>
  <c r="B172" i="2"/>
  <c r="A172" i="2"/>
  <c r="J171" i="2"/>
  <c r="I171" i="2"/>
  <c r="H171" i="2"/>
  <c r="G171" i="2"/>
  <c r="F171" i="2"/>
  <c r="E171" i="2"/>
  <c r="D171" i="2"/>
  <c r="C171" i="2"/>
  <c r="B171" i="2"/>
  <c r="A171" i="2"/>
  <c r="J170" i="2"/>
  <c r="I170" i="2"/>
  <c r="H170" i="2"/>
  <c r="G170" i="2"/>
  <c r="F170" i="2"/>
  <c r="E170" i="2"/>
  <c r="D170" i="2"/>
  <c r="C170" i="2"/>
  <c r="B170" i="2"/>
  <c r="A170" i="2"/>
  <c r="J169" i="2"/>
  <c r="I169" i="2"/>
  <c r="H169" i="2"/>
  <c r="G169" i="2"/>
  <c r="F169" i="2"/>
  <c r="E169" i="2"/>
  <c r="D169" i="2"/>
  <c r="C169" i="2"/>
  <c r="B169" i="2"/>
  <c r="A169" i="2"/>
  <c r="J168" i="2"/>
  <c r="I168" i="2"/>
  <c r="H168" i="2"/>
  <c r="G168" i="2"/>
  <c r="F168" i="2"/>
  <c r="E168" i="2"/>
  <c r="D168" i="2"/>
  <c r="C168" i="2"/>
  <c r="B168" i="2"/>
  <c r="A168" i="2"/>
  <c r="J167" i="2"/>
  <c r="I167" i="2"/>
  <c r="H167" i="2"/>
  <c r="G167" i="2"/>
  <c r="F167" i="2"/>
  <c r="E167" i="2"/>
  <c r="D167" i="2"/>
  <c r="C167" i="2"/>
  <c r="B167" i="2"/>
  <c r="A167" i="2"/>
  <c r="J166" i="2"/>
  <c r="I166" i="2"/>
  <c r="H166" i="2"/>
  <c r="G166" i="2"/>
  <c r="F166" i="2"/>
  <c r="E166" i="2"/>
  <c r="D166" i="2"/>
  <c r="C166" i="2"/>
  <c r="B166" i="2"/>
  <c r="A166" i="2"/>
  <c r="J165" i="2"/>
  <c r="I165" i="2"/>
  <c r="H165" i="2"/>
  <c r="G165" i="2"/>
  <c r="F165" i="2"/>
  <c r="E165" i="2"/>
  <c r="D165" i="2"/>
  <c r="C165" i="2"/>
  <c r="B165" i="2"/>
  <c r="A165" i="2"/>
  <c r="J164" i="2"/>
  <c r="I164" i="2"/>
  <c r="H164" i="2"/>
  <c r="G164" i="2"/>
  <c r="F164" i="2"/>
  <c r="E164" i="2"/>
  <c r="D164" i="2"/>
  <c r="C164" i="2"/>
  <c r="B164" i="2"/>
  <c r="A164" i="2"/>
  <c r="J163" i="2"/>
  <c r="I163" i="2"/>
  <c r="H163" i="2"/>
  <c r="G163" i="2"/>
  <c r="F163" i="2"/>
  <c r="E163" i="2"/>
  <c r="D163" i="2"/>
  <c r="C163" i="2"/>
  <c r="B163" i="2"/>
  <c r="A163" i="2"/>
  <c r="J162" i="2"/>
  <c r="I162" i="2"/>
  <c r="H162" i="2"/>
  <c r="G162" i="2"/>
  <c r="F162" i="2"/>
  <c r="E162" i="2"/>
  <c r="D162" i="2"/>
  <c r="C162" i="2"/>
  <c r="B162" i="2"/>
  <c r="A162" i="2"/>
  <c r="J161" i="2"/>
  <c r="I161" i="2"/>
  <c r="H161" i="2"/>
  <c r="G161" i="2"/>
  <c r="F161" i="2"/>
  <c r="E161" i="2"/>
  <c r="D161" i="2"/>
  <c r="C161" i="2"/>
  <c r="B161" i="2"/>
  <c r="A161" i="2"/>
  <c r="J160" i="2"/>
  <c r="I160" i="2"/>
  <c r="H160" i="2"/>
  <c r="G160" i="2"/>
  <c r="F160" i="2"/>
  <c r="E160" i="2"/>
  <c r="D160" i="2"/>
  <c r="C160" i="2"/>
  <c r="B160" i="2"/>
  <c r="A160" i="2"/>
  <c r="J159" i="2"/>
  <c r="I159" i="2"/>
  <c r="H159" i="2"/>
  <c r="G159" i="2"/>
  <c r="F159" i="2"/>
  <c r="E159" i="2"/>
  <c r="D159" i="2"/>
  <c r="C159" i="2"/>
  <c r="B159" i="2"/>
  <c r="A159" i="2"/>
  <c r="J158" i="2"/>
  <c r="I158" i="2"/>
  <c r="H158" i="2"/>
  <c r="G158" i="2"/>
  <c r="F158" i="2"/>
  <c r="E158" i="2"/>
  <c r="D158" i="2"/>
  <c r="C158" i="2"/>
  <c r="B158" i="2"/>
  <c r="A158" i="2"/>
  <c r="J157" i="2"/>
  <c r="I157" i="2"/>
  <c r="H157" i="2"/>
  <c r="G157" i="2"/>
  <c r="F157" i="2"/>
  <c r="E157" i="2"/>
  <c r="D157" i="2"/>
  <c r="C157" i="2"/>
  <c r="B157" i="2"/>
  <c r="A157" i="2"/>
  <c r="J156" i="2"/>
  <c r="I156" i="2"/>
  <c r="H156" i="2"/>
  <c r="G156" i="2"/>
  <c r="F156" i="2"/>
  <c r="E156" i="2"/>
  <c r="D156" i="2"/>
  <c r="C156" i="2"/>
  <c r="B156" i="2"/>
  <c r="A156" i="2"/>
  <c r="J155" i="2"/>
  <c r="I155" i="2"/>
  <c r="H155" i="2"/>
  <c r="G155" i="2"/>
  <c r="F155" i="2"/>
  <c r="E155" i="2"/>
  <c r="D155" i="2"/>
  <c r="C155" i="2"/>
  <c r="B155" i="2"/>
  <c r="A155" i="2"/>
  <c r="J154" i="2"/>
  <c r="I154" i="2"/>
  <c r="H154" i="2"/>
  <c r="G154" i="2"/>
  <c r="F154" i="2"/>
  <c r="E154" i="2"/>
  <c r="D154" i="2"/>
  <c r="C154" i="2"/>
  <c r="B154" i="2"/>
  <c r="A154" i="2"/>
  <c r="J153" i="2"/>
  <c r="I153" i="2"/>
  <c r="H153" i="2"/>
  <c r="G153" i="2"/>
  <c r="F153" i="2"/>
  <c r="E153" i="2"/>
  <c r="D153" i="2"/>
  <c r="C153" i="2"/>
  <c r="B153" i="2"/>
  <c r="A153" i="2"/>
  <c r="J152" i="2"/>
  <c r="I152" i="2"/>
  <c r="H152" i="2"/>
  <c r="G152" i="2"/>
  <c r="F152" i="2"/>
  <c r="E152" i="2"/>
  <c r="D152" i="2"/>
  <c r="C152" i="2"/>
  <c r="B152" i="2"/>
  <c r="A152" i="2"/>
  <c r="J151" i="2"/>
  <c r="I151" i="2"/>
  <c r="H151" i="2"/>
  <c r="G151" i="2"/>
  <c r="F151" i="2"/>
  <c r="E151" i="2"/>
  <c r="D151" i="2"/>
  <c r="C151" i="2"/>
  <c r="B151" i="2"/>
  <c r="A151" i="2"/>
  <c r="J150" i="2"/>
  <c r="I150" i="2"/>
  <c r="H150" i="2"/>
  <c r="G150" i="2"/>
  <c r="F150" i="2"/>
  <c r="E150" i="2"/>
  <c r="D150" i="2"/>
  <c r="C150" i="2"/>
  <c r="B150" i="2"/>
  <c r="A150" i="2"/>
  <c r="J149" i="2"/>
  <c r="I149" i="2"/>
  <c r="H149" i="2"/>
  <c r="G149" i="2"/>
  <c r="F149" i="2"/>
  <c r="E149" i="2"/>
  <c r="D149" i="2"/>
  <c r="C149" i="2"/>
  <c r="B149" i="2"/>
  <c r="A149" i="2"/>
  <c r="J148" i="2"/>
  <c r="I148" i="2"/>
  <c r="H148" i="2"/>
  <c r="G148" i="2"/>
  <c r="F148" i="2"/>
  <c r="E148" i="2"/>
  <c r="D148" i="2"/>
  <c r="C148" i="2"/>
  <c r="B148" i="2"/>
  <c r="A148" i="2"/>
  <c r="J147" i="2"/>
  <c r="I147" i="2"/>
  <c r="H147" i="2"/>
  <c r="G147" i="2"/>
  <c r="F147" i="2"/>
  <c r="E147" i="2"/>
  <c r="D147" i="2"/>
  <c r="C147" i="2"/>
  <c r="B147" i="2"/>
  <c r="A147" i="2"/>
  <c r="J146" i="2"/>
  <c r="I146" i="2"/>
  <c r="H146" i="2"/>
  <c r="G146" i="2"/>
  <c r="F146" i="2"/>
  <c r="E146" i="2"/>
  <c r="D146" i="2"/>
  <c r="C146" i="2"/>
  <c r="B146" i="2"/>
  <c r="A146" i="2"/>
  <c r="J145" i="2"/>
  <c r="I145" i="2"/>
  <c r="H145" i="2"/>
  <c r="G145" i="2"/>
  <c r="F145" i="2"/>
  <c r="E145" i="2"/>
  <c r="D145" i="2"/>
  <c r="C145" i="2"/>
  <c r="B145" i="2"/>
  <c r="A145" i="2"/>
  <c r="J144" i="2"/>
  <c r="I144" i="2"/>
  <c r="H144" i="2"/>
  <c r="G144" i="2"/>
  <c r="F144" i="2"/>
  <c r="E144" i="2"/>
  <c r="D144" i="2"/>
  <c r="C144" i="2"/>
  <c r="B144" i="2"/>
  <c r="A144" i="2"/>
  <c r="J143" i="2"/>
  <c r="I143" i="2"/>
  <c r="H143" i="2"/>
  <c r="G143" i="2"/>
  <c r="F143" i="2"/>
  <c r="E143" i="2"/>
  <c r="D143" i="2"/>
  <c r="C143" i="2"/>
  <c r="B143" i="2"/>
  <c r="A143" i="2"/>
  <c r="J142" i="2"/>
  <c r="I142" i="2"/>
  <c r="H142" i="2"/>
  <c r="G142" i="2"/>
  <c r="F142" i="2"/>
  <c r="E142" i="2"/>
  <c r="D142" i="2"/>
  <c r="C142" i="2"/>
  <c r="B142" i="2"/>
  <c r="A142" i="2"/>
  <c r="J141" i="2"/>
  <c r="I141" i="2"/>
  <c r="H141" i="2"/>
  <c r="G141" i="2"/>
  <c r="F141" i="2"/>
  <c r="E141" i="2"/>
  <c r="D141" i="2"/>
  <c r="C141" i="2"/>
  <c r="B141" i="2"/>
  <c r="A141" i="2"/>
  <c r="J140" i="2"/>
  <c r="I140" i="2"/>
  <c r="H140" i="2"/>
  <c r="G140" i="2"/>
  <c r="F140" i="2"/>
  <c r="E140" i="2"/>
  <c r="D140" i="2"/>
  <c r="C140" i="2"/>
  <c r="B140" i="2"/>
  <c r="A140" i="2"/>
  <c r="J139" i="2"/>
  <c r="I139" i="2"/>
  <c r="H139" i="2"/>
  <c r="G139" i="2"/>
  <c r="F139" i="2"/>
  <c r="E139" i="2"/>
  <c r="D139" i="2"/>
  <c r="C139" i="2"/>
  <c r="B139" i="2"/>
  <c r="A139" i="2"/>
  <c r="J138" i="2"/>
  <c r="I138" i="2"/>
  <c r="H138" i="2"/>
  <c r="G138" i="2"/>
  <c r="F138" i="2"/>
  <c r="E138" i="2"/>
  <c r="D138" i="2"/>
  <c r="C138" i="2"/>
  <c r="B138" i="2"/>
  <c r="A138" i="2"/>
  <c r="J137" i="2"/>
  <c r="I137" i="2"/>
  <c r="H137" i="2"/>
  <c r="G137" i="2"/>
  <c r="F137" i="2"/>
  <c r="E137" i="2"/>
  <c r="D137" i="2"/>
  <c r="C137" i="2"/>
  <c r="B137" i="2"/>
  <c r="A137" i="2"/>
  <c r="J136" i="2"/>
  <c r="I136" i="2"/>
  <c r="H136" i="2"/>
  <c r="G136" i="2"/>
  <c r="F136" i="2"/>
  <c r="E136" i="2"/>
  <c r="D136" i="2"/>
  <c r="C136" i="2"/>
  <c r="B136" i="2"/>
  <c r="A136" i="2"/>
  <c r="J135" i="2"/>
  <c r="I135" i="2"/>
  <c r="H135" i="2"/>
  <c r="G135" i="2"/>
  <c r="F135" i="2"/>
  <c r="E135" i="2"/>
  <c r="D135" i="2"/>
  <c r="C135" i="2"/>
  <c r="B135" i="2"/>
  <c r="A135" i="2"/>
  <c r="J134" i="2"/>
  <c r="I134" i="2"/>
  <c r="H134" i="2"/>
  <c r="G134" i="2"/>
  <c r="F134" i="2"/>
  <c r="E134" i="2"/>
  <c r="D134" i="2"/>
  <c r="C134" i="2"/>
  <c r="B134" i="2"/>
  <c r="A134" i="2"/>
  <c r="J133" i="2"/>
  <c r="I133" i="2"/>
  <c r="H133" i="2"/>
  <c r="G133" i="2"/>
  <c r="F133" i="2"/>
  <c r="E133" i="2"/>
  <c r="D133" i="2"/>
  <c r="C133" i="2"/>
  <c r="B133" i="2"/>
  <c r="A133" i="2"/>
  <c r="J132" i="2"/>
  <c r="I132" i="2"/>
  <c r="H132" i="2"/>
  <c r="G132" i="2"/>
  <c r="F132" i="2"/>
  <c r="E132" i="2"/>
  <c r="D132" i="2"/>
  <c r="C132" i="2"/>
  <c r="B132" i="2"/>
  <c r="A132" i="2"/>
  <c r="J131" i="2"/>
  <c r="I131" i="2"/>
  <c r="H131" i="2"/>
  <c r="G131" i="2"/>
  <c r="F131" i="2"/>
  <c r="E131" i="2"/>
  <c r="D131" i="2"/>
  <c r="C131" i="2"/>
  <c r="B131" i="2"/>
  <c r="A131" i="2"/>
  <c r="J130" i="2"/>
  <c r="I130" i="2"/>
  <c r="H130" i="2"/>
  <c r="G130" i="2"/>
  <c r="F130" i="2"/>
  <c r="E130" i="2"/>
  <c r="D130" i="2"/>
  <c r="C130" i="2"/>
  <c r="B130" i="2"/>
  <c r="A130" i="2"/>
  <c r="J129" i="2"/>
  <c r="I129" i="2"/>
  <c r="H129" i="2"/>
  <c r="G129" i="2"/>
  <c r="F129" i="2"/>
  <c r="E129" i="2"/>
  <c r="D129" i="2"/>
  <c r="C129" i="2"/>
  <c r="B129" i="2"/>
  <c r="A129" i="2"/>
  <c r="J128" i="2"/>
  <c r="I128" i="2"/>
  <c r="H128" i="2"/>
  <c r="G128" i="2"/>
  <c r="F128" i="2"/>
  <c r="E128" i="2"/>
  <c r="D128" i="2"/>
  <c r="C128" i="2"/>
  <c r="B128" i="2"/>
  <c r="A128" i="2"/>
  <c r="J127" i="2"/>
  <c r="I127" i="2"/>
  <c r="H127" i="2"/>
  <c r="G127" i="2"/>
  <c r="F127" i="2"/>
  <c r="E127" i="2"/>
  <c r="D127" i="2"/>
  <c r="C127" i="2"/>
  <c r="B127" i="2"/>
  <c r="A127" i="2"/>
  <c r="J126" i="2"/>
  <c r="I126" i="2"/>
  <c r="H126" i="2"/>
  <c r="G126" i="2"/>
  <c r="F126" i="2"/>
  <c r="E126" i="2"/>
  <c r="D126" i="2"/>
  <c r="C126" i="2"/>
  <c r="B126" i="2"/>
  <c r="A126" i="2"/>
  <c r="J125" i="2"/>
  <c r="I125" i="2"/>
  <c r="H125" i="2"/>
  <c r="G125" i="2"/>
  <c r="F125" i="2"/>
  <c r="E125" i="2"/>
  <c r="D125" i="2"/>
  <c r="C125" i="2"/>
  <c r="B125" i="2"/>
  <c r="A125" i="2"/>
  <c r="J124" i="2"/>
  <c r="I124" i="2"/>
  <c r="H124" i="2"/>
  <c r="G124" i="2"/>
  <c r="F124" i="2"/>
  <c r="E124" i="2"/>
  <c r="D124" i="2"/>
  <c r="C124" i="2"/>
  <c r="B124" i="2"/>
  <c r="A124" i="2"/>
  <c r="J123" i="2"/>
  <c r="I123" i="2"/>
  <c r="H123" i="2"/>
  <c r="G123" i="2"/>
  <c r="F123" i="2"/>
  <c r="E123" i="2"/>
  <c r="D123" i="2"/>
  <c r="C123" i="2"/>
  <c r="B123" i="2"/>
  <c r="A123" i="2"/>
  <c r="J122" i="2"/>
  <c r="I122" i="2"/>
  <c r="H122" i="2"/>
  <c r="G122" i="2"/>
  <c r="F122" i="2"/>
  <c r="E122" i="2"/>
  <c r="D122" i="2"/>
  <c r="C122" i="2"/>
  <c r="B122" i="2"/>
  <c r="A122" i="2"/>
  <c r="J121" i="2"/>
  <c r="I121" i="2"/>
  <c r="H121" i="2"/>
  <c r="G121" i="2"/>
  <c r="F121" i="2"/>
  <c r="E121" i="2"/>
  <c r="D121" i="2"/>
  <c r="C121" i="2"/>
  <c r="B121" i="2"/>
  <c r="A121" i="2"/>
  <c r="J120" i="2"/>
  <c r="I120" i="2"/>
  <c r="H120" i="2"/>
  <c r="G120" i="2"/>
  <c r="F120" i="2"/>
  <c r="E120" i="2"/>
  <c r="D120" i="2"/>
  <c r="C120" i="2"/>
  <c r="B120" i="2"/>
  <c r="A120" i="2"/>
  <c r="J119" i="2"/>
  <c r="I119" i="2"/>
  <c r="H119" i="2"/>
  <c r="G119" i="2"/>
  <c r="F119" i="2"/>
  <c r="E119" i="2"/>
  <c r="D119" i="2"/>
  <c r="C119" i="2"/>
  <c r="B119" i="2"/>
  <c r="A119" i="2"/>
  <c r="J118" i="2"/>
  <c r="I118" i="2"/>
  <c r="H118" i="2"/>
  <c r="G118" i="2"/>
  <c r="F118" i="2"/>
  <c r="E118" i="2"/>
  <c r="D118" i="2"/>
  <c r="C118" i="2"/>
  <c r="B118" i="2"/>
  <c r="A118" i="2"/>
  <c r="J117" i="2"/>
  <c r="I117" i="2"/>
  <c r="H117" i="2"/>
  <c r="G117" i="2"/>
  <c r="F117" i="2"/>
  <c r="E117" i="2"/>
  <c r="D117" i="2"/>
  <c r="C117" i="2"/>
  <c r="B117" i="2"/>
  <c r="A117" i="2"/>
  <c r="J116" i="2"/>
  <c r="I116" i="2"/>
  <c r="H116" i="2"/>
  <c r="G116" i="2"/>
  <c r="F116" i="2"/>
  <c r="E116" i="2"/>
  <c r="D116" i="2"/>
  <c r="C116" i="2"/>
  <c r="B116" i="2"/>
  <c r="A116" i="2"/>
  <c r="J115" i="2"/>
  <c r="I115" i="2"/>
  <c r="H115" i="2"/>
  <c r="G115" i="2"/>
  <c r="F115" i="2"/>
  <c r="E115" i="2"/>
  <c r="D115" i="2"/>
  <c r="C115" i="2"/>
  <c r="B115" i="2"/>
  <c r="A115" i="2"/>
  <c r="J114" i="2"/>
  <c r="I114" i="2"/>
  <c r="H114" i="2"/>
  <c r="G114" i="2"/>
  <c r="F114" i="2"/>
  <c r="E114" i="2"/>
  <c r="D114" i="2"/>
  <c r="C114" i="2"/>
  <c r="B114" i="2"/>
  <c r="A114" i="2"/>
  <c r="J113" i="2"/>
  <c r="I113" i="2"/>
  <c r="H113" i="2"/>
  <c r="G113" i="2"/>
  <c r="F113" i="2"/>
  <c r="E113" i="2"/>
  <c r="D113" i="2"/>
  <c r="C113" i="2"/>
  <c r="B113" i="2"/>
  <c r="A113" i="2"/>
  <c r="J112" i="2"/>
  <c r="I112" i="2"/>
  <c r="H112" i="2"/>
  <c r="G112" i="2"/>
  <c r="F112" i="2"/>
  <c r="E112" i="2"/>
  <c r="D112" i="2"/>
  <c r="C112" i="2"/>
  <c r="B112" i="2"/>
  <c r="A112" i="2"/>
  <c r="J111" i="2"/>
  <c r="I111" i="2"/>
  <c r="H111" i="2"/>
  <c r="G111" i="2"/>
  <c r="F111" i="2"/>
  <c r="E111" i="2"/>
  <c r="D111" i="2"/>
  <c r="C111" i="2"/>
  <c r="B111" i="2"/>
  <c r="A111" i="2"/>
  <c r="J110" i="2"/>
  <c r="I110" i="2"/>
  <c r="H110" i="2"/>
  <c r="G110" i="2"/>
  <c r="F110" i="2"/>
  <c r="E110" i="2"/>
  <c r="D110" i="2"/>
  <c r="C110" i="2"/>
  <c r="B110" i="2"/>
  <c r="A110" i="2"/>
  <c r="J109" i="2"/>
  <c r="I109" i="2"/>
  <c r="H109" i="2"/>
  <c r="G109" i="2"/>
  <c r="F109" i="2"/>
  <c r="E109" i="2"/>
  <c r="D109" i="2"/>
  <c r="C109" i="2"/>
  <c r="B109" i="2"/>
  <c r="A109" i="2"/>
  <c r="J108" i="2"/>
  <c r="I108" i="2"/>
  <c r="H108" i="2"/>
  <c r="G108" i="2"/>
  <c r="F108" i="2"/>
  <c r="E108" i="2"/>
  <c r="D108" i="2"/>
  <c r="C108" i="2"/>
  <c r="B108" i="2"/>
  <c r="A108" i="2"/>
  <c r="J107" i="2"/>
  <c r="I107" i="2"/>
  <c r="H107" i="2"/>
  <c r="G107" i="2"/>
  <c r="F107" i="2"/>
  <c r="E107" i="2"/>
  <c r="D107" i="2"/>
  <c r="C107" i="2"/>
  <c r="B107" i="2"/>
  <c r="A107" i="2"/>
  <c r="J106" i="2"/>
  <c r="I106" i="2"/>
  <c r="H106" i="2"/>
  <c r="G106" i="2"/>
  <c r="F106" i="2"/>
  <c r="E106" i="2"/>
  <c r="D106" i="2"/>
  <c r="C106" i="2"/>
  <c r="B106" i="2"/>
  <c r="A106" i="2"/>
  <c r="J105" i="2"/>
  <c r="I105" i="2"/>
  <c r="H105" i="2"/>
  <c r="G105" i="2"/>
  <c r="F105" i="2"/>
  <c r="E105" i="2"/>
  <c r="D105" i="2"/>
  <c r="C105" i="2"/>
  <c r="B105" i="2"/>
  <c r="A105" i="2"/>
  <c r="J104" i="2"/>
  <c r="I104" i="2"/>
  <c r="H104" i="2"/>
  <c r="G104" i="2"/>
  <c r="F104" i="2"/>
  <c r="E104" i="2"/>
  <c r="D104" i="2"/>
  <c r="C104" i="2"/>
  <c r="B104" i="2"/>
  <c r="A104" i="2"/>
  <c r="J103" i="2"/>
  <c r="I103" i="2"/>
  <c r="H103" i="2"/>
  <c r="G103" i="2"/>
  <c r="F103" i="2"/>
  <c r="E103" i="2"/>
  <c r="D103" i="2"/>
  <c r="C103" i="2"/>
  <c r="B103" i="2"/>
  <c r="A103" i="2"/>
  <c r="J102" i="2"/>
  <c r="I102" i="2"/>
  <c r="H102" i="2"/>
  <c r="G102" i="2"/>
  <c r="F102" i="2"/>
  <c r="E102" i="2"/>
  <c r="D102" i="2"/>
  <c r="C102" i="2"/>
  <c r="B102" i="2"/>
  <c r="A102" i="2"/>
  <c r="J101" i="2"/>
  <c r="I101" i="2"/>
  <c r="H101" i="2"/>
  <c r="G101" i="2"/>
  <c r="F101" i="2"/>
  <c r="E101" i="2"/>
  <c r="D101" i="2"/>
  <c r="C101" i="2"/>
  <c r="B101" i="2"/>
  <c r="A101" i="2"/>
  <c r="J100" i="2"/>
  <c r="I100" i="2"/>
  <c r="H100" i="2"/>
  <c r="G100" i="2"/>
  <c r="F100" i="2"/>
  <c r="E100" i="2"/>
  <c r="D100" i="2"/>
  <c r="C100" i="2"/>
  <c r="B100" i="2"/>
  <c r="A100" i="2"/>
  <c r="J99" i="2"/>
  <c r="I99" i="2"/>
  <c r="H99" i="2"/>
  <c r="G99" i="2"/>
  <c r="F99" i="2"/>
  <c r="E99" i="2"/>
  <c r="D99" i="2"/>
  <c r="C99" i="2"/>
  <c r="B99" i="2"/>
  <c r="A99" i="2"/>
  <c r="J98" i="2"/>
  <c r="I98" i="2"/>
  <c r="H98" i="2"/>
  <c r="G98" i="2"/>
  <c r="F98" i="2"/>
  <c r="E98" i="2"/>
  <c r="D98" i="2"/>
  <c r="C98" i="2"/>
  <c r="B98" i="2"/>
  <c r="A98" i="2"/>
  <c r="J97" i="2"/>
  <c r="I97" i="2"/>
  <c r="H97" i="2"/>
  <c r="G97" i="2"/>
  <c r="F97" i="2"/>
  <c r="E97" i="2"/>
  <c r="D97" i="2"/>
  <c r="C97" i="2"/>
  <c r="B97" i="2"/>
  <c r="A97" i="2"/>
  <c r="J96" i="2"/>
  <c r="I96" i="2"/>
  <c r="H96" i="2"/>
  <c r="G96" i="2"/>
  <c r="F96" i="2"/>
  <c r="E96" i="2"/>
  <c r="D96" i="2"/>
  <c r="C96" i="2"/>
  <c r="B96" i="2"/>
  <c r="A96" i="2"/>
  <c r="J95" i="2"/>
  <c r="I95" i="2"/>
  <c r="H95" i="2"/>
  <c r="G95" i="2"/>
  <c r="F95" i="2"/>
  <c r="E95" i="2"/>
  <c r="D95" i="2"/>
  <c r="C95" i="2"/>
  <c r="B95" i="2"/>
  <c r="A95" i="2"/>
  <c r="J94" i="2"/>
  <c r="I94" i="2"/>
  <c r="H94" i="2"/>
  <c r="G94" i="2"/>
  <c r="F94" i="2"/>
  <c r="E94" i="2"/>
  <c r="D94" i="2"/>
  <c r="C94" i="2"/>
  <c r="B94" i="2"/>
  <c r="A94" i="2"/>
  <c r="J93" i="2"/>
  <c r="I93" i="2"/>
  <c r="H93" i="2"/>
  <c r="G93" i="2"/>
  <c r="F93" i="2"/>
  <c r="E93" i="2"/>
  <c r="D93" i="2"/>
  <c r="C93" i="2"/>
  <c r="B93" i="2"/>
  <c r="A93" i="2"/>
  <c r="J92" i="2"/>
  <c r="I92" i="2"/>
  <c r="H92" i="2"/>
  <c r="G92" i="2"/>
  <c r="F92" i="2"/>
  <c r="E92" i="2"/>
  <c r="D92" i="2"/>
  <c r="C92" i="2"/>
  <c r="B92" i="2"/>
  <c r="A92" i="2"/>
  <c r="J91" i="2"/>
  <c r="I91" i="2"/>
  <c r="H91" i="2"/>
  <c r="G91" i="2"/>
  <c r="F91" i="2"/>
  <c r="E91" i="2"/>
  <c r="D91" i="2"/>
  <c r="C91" i="2"/>
  <c r="B91" i="2"/>
  <c r="A91" i="2"/>
  <c r="J90" i="2"/>
  <c r="I90" i="2"/>
  <c r="H90" i="2"/>
  <c r="G90" i="2"/>
  <c r="F90" i="2"/>
  <c r="E90" i="2"/>
  <c r="D90" i="2"/>
  <c r="C90" i="2"/>
  <c r="B90" i="2"/>
  <c r="A90" i="2"/>
  <c r="J89" i="2"/>
  <c r="I89" i="2"/>
  <c r="H89" i="2"/>
  <c r="G89" i="2"/>
  <c r="F89" i="2"/>
  <c r="E89" i="2"/>
  <c r="D89" i="2"/>
  <c r="C89" i="2"/>
  <c r="B89" i="2"/>
  <c r="A89" i="2"/>
  <c r="J88" i="2"/>
  <c r="I88" i="2"/>
  <c r="H88" i="2"/>
  <c r="G88" i="2"/>
  <c r="F88" i="2"/>
  <c r="E88" i="2"/>
  <c r="D88" i="2"/>
  <c r="C88" i="2"/>
  <c r="B88" i="2"/>
  <c r="A88" i="2"/>
  <c r="J87" i="2"/>
  <c r="I87" i="2"/>
  <c r="H87" i="2"/>
  <c r="G87" i="2"/>
  <c r="F87" i="2"/>
  <c r="E87" i="2"/>
  <c r="D87" i="2"/>
  <c r="C87" i="2"/>
  <c r="B87" i="2"/>
  <c r="A87" i="2"/>
  <c r="J86" i="2"/>
  <c r="I86" i="2"/>
  <c r="H86" i="2"/>
  <c r="G86" i="2"/>
  <c r="F86" i="2"/>
  <c r="E86" i="2"/>
  <c r="D86" i="2"/>
  <c r="C86" i="2"/>
  <c r="B86" i="2"/>
  <c r="A86" i="2"/>
  <c r="J85" i="2"/>
  <c r="I85" i="2"/>
  <c r="H85" i="2"/>
  <c r="G85" i="2"/>
  <c r="F85" i="2"/>
  <c r="E85" i="2"/>
  <c r="D85" i="2"/>
  <c r="C85" i="2"/>
  <c r="B85" i="2"/>
  <c r="A85" i="2"/>
  <c r="J84" i="2"/>
  <c r="I84" i="2"/>
  <c r="H84" i="2"/>
  <c r="G84" i="2"/>
  <c r="F84" i="2"/>
  <c r="E84" i="2"/>
  <c r="D84" i="2"/>
  <c r="C84" i="2"/>
  <c r="B84" i="2"/>
  <c r="A84" i="2"/>
  <c r="J83" i="2"/>
  <c r="I83" i="2"/>
  <c r="H83" i="2"/>
  <c r="G83" i="2"/>
  <c r="F83" i="2"/>
  <c r="E83" i="2"/>
  <c r="D83" i="2"/>
  <c r="C83" i="2"/>
  <c r="B83" i="2"/>
  <c r="A83" i="2"/>
  <c r="J82" i="2"/>
  <c r="I82" i="2"/>
  <c r="H82" i="2"/>
  <c r="G82" i="2"/>
  <c r="F82" i="2"/>
  <c r="E82" i="2"/>
  <c r="D82" i="2"/>
  <c r="C82" i="2"/>
  <c r="B82" i="2"/>
  <c r="A82" i="2"/>
  <c r="J81" i="2"/>
  <c r="I81" i="2"/>
  <c r="H81" i="2"/>
  <c r="G81" i="2"/>
  <c r="F81" i="2"/>
  <c r="E81" i="2"/>
  <c r="D81" i="2"/>
  <c r="C81" i="2"/>
  <c r="B81" i="2"/>
  <c r="A81" i="2"/>
  <c r="J80" i="2"/>
  <c r="I80" i="2"/>
  <c r="H80" i="2"/>
  <c r="G80" i="2"/>
  <c r="F80" i="2"/>
  <c r="E80" i="2"/>
  <c r="D80" i="2"/>
  <c r="C80" i="2"/>
  <c r="B80" i="2"/>
  <c r="A80" i="2"/>
  <c r="J79" i="2"/>
  <c r="I79" i="2"/>
  <c r="H79" i="2"/>
  <c r="G79" i="2"/>
  <c r="F79" i="2"/>
  <c r="E79" i="2"/>
  <c r="D79" i="2"/>
  <c r="C79" i="2"/>
  <c r="B79" i="2"/>
  <c r="A79" i="2"/>
  <c r="J78" i="2"/>
  <c r="I78" i="2"/>
  <c r="H78" i="2"/>
  <c r="G78" i="2"/>
  <c r="F78" i="2"/>
  <c r="E78" i="2"/>
  <c r="D78" i="2"/>
  <c r="C78" i="2"/>
  <c r="B78" i="2"/>
  <c r="A78" i="2"/>
  <c r="J77" i="2"/>
  <c r="I77" i="2"/>
  <c r="H77" i="2"/>
  <c r="G77" i="2"/>
  <c r="F77" i="2"/>
  <c r="E77" i="2"/>
  <c r="D77" i="2"/>
  <c r="C77" i="2"/>
  <c r="B77" i="2"/>
  <c r="A77" i="2"/>
  <c r="J76" i="2"/>
  <c r="I76" i="2"/>
  <c r="H76" i="2"/>
  <c r="G76" i="2"/>
  <c r="F76" i="2"/>
  <c r="E76" i="2"/>
  <c r="D76" i="2"/>
  <c r="C76" i="2"/>
  <c r="B76" i="2"/>
  <c r="A76" i="2"/>
  <c r="J75" i="2"/>
  <c r="I75" i="2"/>
  <c r="H75" i="2"/>
  <c r="G75" i="2"/>
  <c r="F75" i="2"/>
  <c r="E75" i="2"/>
  <c r="D75" i="2"/>
  <c r="C75" i="2"/>
  <c r="B75" i="2"/>
  <c r="A75" i="2"/>
  <c r="J74" i="2"/>
  <c r="I74" i="2"/>
  <c r="H74" i="2"/>
  <c r="G74" i="2"/>
  <c r="F74" i="2"/>
  <c r="E74" i="2"/>
  <c r="D74" i="2"/>
  <c r="C74" i="2"/>
  <c r="B74" i="2"/>
  <c r="A74" i="2"/>
  <c r="J73" i="2"/>
  <c r="I73" i="2"/>
  <c r="H73" i="2"/>
  <c r="G73" i="2"/>
  <c r="F73" i="2"/>
  <c r="E73" i="2"/>
  <c r="D73" i="2"/>
  <c r="C73" i="2"/>
  <c r="B73" i="2"/>
  <c r="A73" i="2"/>
  <c r="J72" i="2"/>
  <c r="I72" i="2"/>
  <c r="H72" i="2"/>
  <c r="G72" i="2"/>
  <c r="F72" i="2"/>
  <c r="E72" i="2"/>
  <c r="D72" i="2"/>
  <c r="C72" i="2"/>
  <c r="B72" i="2"/>
  <c r="A72" i="2"/>
  <c r="J71" i="2"/>
  <c r="I71" i="2"/>
  <c r="H71" i="2"/>
  <c r="G71" i="2"/>
  <c r="F71" i="2"/>
  <c r="E71" i="2"/>
  <c r="D71" i="2"/>
  <c r="C71" i="2"/>
  <c r="B71" i="2"/>
  <c r="A71" i="2"/>
  <c r="J70" i="2"/>
  <c r="I70" i="2"/>
  <c r="H70" i="2"/>
  <c r="G70" i="2"/>
  <c r="F70" i="2"/>
  <c r="E70" i="2"/>
  <c r="D70" i="2"/>
  <c r="C70" i="2"/>
  <c r="B70" i="2"/>
  <c r="A70" i="2"/>
  <c r="J69" i="2"/>
  <c r="I69" i="2"/>
  <c r="H69" i="2"/>
  <c r="G69" i="2"/>
  <c r="F69" i="2"/>
  <c r="E69" i="2"/>
  <c r="D69" i="2"/>
  <c r="C69" i="2"/>
  <c r="B69" i="2"/>
  <c r="A69" i="2"/>
  <c r="J68" i="2"/>
  <c r="I68" i="2"/>
  <c r="H68" i="2"/>
  <c r="G68" i="2"/>
  <c r="F68" i="2"/>
  <c r="E68" i="2"/>
  <c r="D68" i="2"/>
  <c r="C68" i="2"/>
  <c r="B68" i="2"/>
  <c r="A68" i="2"/>
  <c r="J67" i="2"/>
  <c r="I67" i="2"/>
  <c r="H67" i="2"/>
  <c r="G67" i="2"/>
  <c r="F67" i="2"/>
  <c r="E67" i="2"/>
  <c r="D67" i="2"/>
  <c r="C67" i="2"/>
  <c r="B67" i="2"/>
  <c r="A67" i="2"/>
  <c r="J66" i="2"/>
  <c r="I66" i="2"/>
  <c r="H66" i="2"/>
  <c r="G66" i="2"/>
  <c r="F66" i="2"/>
  <c r="E66" i="2"/>
  <c r="D66" i="2"/>
  <c r="C66" i="2"/>
  <c r="B66" i="2"/>
  <c r="A66" i="2"/>
  <c r="J65" i="2"/>
  <c r="I65" i="2"/>
  <c r="H65" i="2"/>
  <c r="G65" i="2"/>
  <c r="F65" i="2"/>
  <c r="E65" i="2"/>
  <c r="D65" i="2"/>
  <c r="C65" i="2"/>
  <c r="B65" i="2"/>
  <c r="A65" i="2"/>
  <c r="J64" i="2"/>
  <c r="I64" i="2"/>
  <c r="H64" i="2"/>
  <c r="G64" i="2"/>
  <c r="F64" i="2"/>
  <c r="E64" i="2"/>
  <c r="D64" i="2"/>
  <c r="C64" i="2"/>
  <c r="B64" i="2"/>
  <c r="A64" i="2"/>
  <c r="J63" i="2"/>
  <c r="I63" i="2"/>
  <c r="H63" i="2"/>
  <c r="G63" i="2"/>
  <c r="F63" i="2"/>
  <c r="E63" i="2"/>
  <c r="D63" i="2"/>
  <c r="C63" i="2"/>
  <c r="B63" i="2"/>
  <c r="A63" i="2"/>
  <c r="J62" i="2"/>
  <c r="I62" i="2"/>
  <c r="H62" i="2"/>
  <c r="G62" i="2"/>
  <c r="F62" i="2"/>
  <c r="E62" i="2"/>
  <c r="D62" i="2"/>
  <c r="C62" i="2"/>
  <c r="B62" i="2"/>
  <c r="A62" i="2"/>
  <c r="J61" i="2"/>
  <c r="I61" i="2"/>
  <c r="H61" i="2"/>
  <c r="G61" i="2"/>
  <c r="F61" i="2"/>
  <c r="E61" i="2"/>
  <c r="D61" i="2"/>
  <c r="C61" i="2"/>
  <c r="B61" i="2"/>
  <c r="A61" i="2"/>
  <c r="J60" i="2"/>
  <c r="I60" i="2"/>
  <c r="H60" i="2"/>
  <c r="G60" i="2"/>
  <c r="F60" i="2"/>
  <c r="E60" i="2"/>
  <c r="D60" i="2"/>
  <c r="C60" i="2"/>
  <c r="B60" i="2"/>
  <c r="A60" i="2"/>
  <c r="J59" i="2"/>
  <c r="I59" i="2"/>
  <c r="H59" i="2"/>
  <c r="G59" i="2"/>
  <c r="F59" i="2"/>
  <c r="E59" i="2"/>
  <c r="D59" i="2"/>
  <c r="C59" i="2"/>
  <c r="B59" i="2"/>
  <c r="A59" i="2"/>
  <c r="J58" i="2"/>
  <c r="I58" i="2"/>
  <c r="H58" i="2"/>
  <c r="G58" i="2"/>
  <c r="F58" i="2"/>
  <c r="E58" i="2"/>
  <c r="D58" i="2"/>
  <c r="C58" i="2"/>
  <c r="B58" i="2"/>
  <c r="A58" i="2"/>
  <c r="J57" i="2"/>
  <c r="I57" i="2"/>
  <c r="H57" i="2"/>
  <c r="G57" i="2"/>
  <c r="F57" i="2"/>
  <c r="E57" i="2"/>
  <c r="D57" i="2"/>
  <c r="C57" i="2"/>
  <c r="B57" i="2"/>
  <c r="A57" i="2"/>
  <c r="J56" i="2"/>
  <c r="I56" i="2"/>
  <c r="H56" i="2"/>
  <c r="G56" i="2"/>
  <c r="F56" i="2"/>
  <c r="E56" i="2"/>
  <c r="D56" i="2"/>
  <c r="C56" i="2"/>
  <c r="B56" i="2"/>
  <c r="A56" i="2"/>
  <c r="J55" i="2"/>
  <c r="I55" i="2"/>
  <c r="H55" i="2"/>
  <c r="G55" i="2"/>
  <c r="F55" i="2"/>
  <c r="E55" i="2"/>
  <c r="D55" i="2"/>
  <c r="C55" i="2"/>
  <c r="B55" i="2"/>
  <c r="A55" i="2"/>
  <c r="J54" i="2"/>
  <c r="I54" i="2"/>
  <c r="H54" i="2"/>
  <c r="G54" i="2"/>
  <c r="F54" i="2"/>
  <c r="E54" i="2"/>
  <c r="D54" i="2"/>
  <c r="C54" i="2"/>
  <c r="B54" i="2"/>
  <c r="A54" i="2"/>
  <c r="J53" i="2"/>
  <c r="I53" i="2"/>
  <c r="H53" i="2"/>
  <c r="G53" i="2"/>
  <c r="F53" i="2"/>
  <c r="E53" i="2"/>
  <c r="D53" i="2"/>
  <c r="C53" i="2"/>
  <c r="B53" i="2"/>
  <c r="A53" i="2"/>
  <c r="J52" i="2"/>
  <c r="I52" i="2"/>
  <c r="H52" i="2"/>
  <c r="G52" i="2"/>
  <c r="F52" i="2"/>
  <c r="E52" i="2"/>
  <c r="D52" i="2"/>
  <c r="C52" i="2"/>
  <c r="B52" i="2"/>
  <c r="A52" i="2"/>
  <c r="J51" i="2"/>
  <c r="I51" i="2"/>
  <c r="H51" i="2"/>
  <c r="G51" i="2"/>
  <c r="F51" i="2"/>
  <c r="E51" i="2"/>
  <c r="D51" i="2"/>
  <c r="C51" i="2"/>
  <c r="B51" i="2"/>
  <c r="A51" i="2"/>
  <c r="J50" i="2"/>
  <c r="I50" i="2"/>
  <c r="H50" i="2"/>
  <c r="G50" i="2"/>
  <c r="F50" i="2"/>
  <c r="E50" i="2"/>
  <c r="D50" i="2"/>
  <c r="C50" i="2"/>
  <c r="B50" i="2"/>
  <c r="A50" i="2"/>
  <c r="J49" i="2"/>
  <c r="I49" i="2"/>
  <c r="H49" i="2"/>
  <c r="G49" i="2"/>
  <c r="F49" i="2"/>
  <c r="E49" i="2"/>
  <c r="D49" i="2"/>
  <c r="C49" i="2"/>
  <c r="B49" i="2"/>
  <c r="A49" i="2"/>
  <c r="J48" i="2"/>
  <c r="I48" i="2"/>
  <c r="H48" i="2"/>
  <c r="G48" i="2"/>
  <c r="F48" i="2"/>
  <c r="E48" i="2"/>
  <c r="D48" i="2"/>
  <c r="C48" i="2"/>
  <c r="B48" i="2"/>
  <c r="A48" i="2"/>
  <c r="J47" i="2"/>
  <c r="I47" i="2"/>
  <c r="H47" i="2"/>
  <c r="G47" i="2"/>
  <c r="F47" i="2"/>
  <c r="E47" i="2"/>
  <c r="D47" i="2"/>
  <c r="C47" i="2"/>
  <c r="B47" i="2"/>
  <c r="A47" i="2"/>
  <c r="J46" i="2"/>
  <c r="I46" i="2"/>
  <c r="H46" i="2"/>
  <c r="G46" i="2"/>
  <c r="F46" i="2"/>
  <c r="E46" i="2"/>
  <c r="D46" i="2"/>
  <c r="C46" i="2"/>
  <c r="B46" i="2"/>
  <c r="A46" i="2"/>
  <c r="J45" i="2"/>
  <c r="I45" i="2"/>
  <c r="H45" i="2"/>
  <c r="G45" i="2"/>
  <c r="F45" i="2"/>
  <c r="E45" i="2"/>
  <c r="D45" i="2"/>
  <c r="C45" i="2"/>
  <c r="B45" i="2"/>
  <c r="A45" i="2"/>
  <c r="J44" i="2"/>
  <c r="I44" i="2"/>
  <c r="H44" i="2"/>
  <c r="G44" i="2"/>
  <c r="F44" i="2"/>
  <c r="E44" i="2"/>
  <c r="D44" i="2"/>
  <c r="C44" i="2"/>
  <c r="B44" i="2"/>
  <c r="A44" i="2"/>
  <c r="J43" i="2"/>
  <c r="I43" i="2"/>
  <c r="H43" i="2"/>
  <c r="G43" i="2"/>
  <c r="F43" i="2"/>
  <c r="E43" i="2"/>
  <c r="D43" i="2"/>
  <c r="C43" i="2"/>
  <c r="B43" i="2"/>
  <c r="A43" i="2"/>
  <c r="J42" i="2"/>
  <c r="I42" i="2"/>
  <c r="H42" i="2"/>
  <c r="G42" i="2"/>
  <c r="F42" i="2"/>
  <c r="E42" i="2"/>
  <c r="D42" i="2"/>
  <c r="C42" i="2"/>
  <c r="B42" i="2"/>
  <c r="A42" i="2"/>
  <c r="J41" i="2"/>
  <c r="I41" i="2"/>
  <c r="H41" i="2"/>
  <c r="G41" i="2"/>
  <c r="F41" i="2"/>
  <c r="E41" i="2"/>
  <c r="D41" i="2"/>
  <c r="C41" i="2"/>
  <c r="B41" i="2"/>
  <c r="A41" i="2"/>
  <c r="J40" i="2"/>
  <c r="I40" i="2"/>
  <c r="H40" i="2"/>
  <c r="G40" i="2"/>
  <c r="F40" i="2"/>
  <c r="E40" i="2"/>
  <c r="D40" i="2"/>
  <c r="C40" i="2"/>
  <c r="B40" i="2"/>
  <c r="A40" i="2"/>
  <c r="J39" i="2"/>
  <c r="I39" i="2"/>
  <c r="H39" i="2"/>
  <c r="G39" i="2"/>
  <c r="F39" i="2"/>
  <c r="E39" i="2"/>
  <c r="D39" i="2"/>
  <c r="C39" i="2"/>
  <c r="B39" i="2"/>
  <c r="A39" i="2"/>
  <c r="J38" i="2"/>
  <c r="I38" i="2"/>
  <c r="H38" i="2"/>
  <c r="G38" i="2"/>
  <c r="F38" i="2"/>
  <c r="E38" i="2"/>
  <c r="D38" i="2"/>
  <c r="C38" i="2"/>
  <c r="B38" i="2"/>
  <c r="A38" i="2"/>
  <c r="J37" i="2"/>
  <c r="I37" i="2"/>
  <c r="H37" i="2"/>
  <c r="G37" i="2"/>
  <c r="F37" i="2"/>
  <c r="E37" i="2"/>
  <c r="D37" i="2"/>
  <c r="C37" i="2"/>
  <c r="B37" i="2"/>
  <c r="A37" i="2"/>
  <c r="J36" i="2"/>
  <c r="I36" i="2"/>
  <c r="H36" i="2"/>
  <c r="G36" i="2"/>
  <c r="F36" i="2"/>
  <c r="E36" i="2"/>
  <c r="D36" i="2"/>
  <c r="C36" i="2"/>
  <c r="B36" i="2"/>
  <c r="A36" i="2"/>
  <c r="J35" i="2"/>
  <c r="I35" i="2"/>
  <c r="H35" i="2"/>
  <c r="G35" i="2"/>
  <c r="F35" i="2"/>
  <c r="E35" i="2"/>
  <c r="D35" i="2"/>
  <c r="C35" i="2"/>
  <c r="B35" i="2"/>
  <c r="A35" i="2"/>
  <c r="J34" i="2"/>
  <c r="I34" i="2"/>
  <c r="H34" i="2"/>
  <c r="G34" i="2"/>
  <c r="F34" i="2"/>
  <c r="E34" i="2"/>
  <c r="D34" i="2"/>
  <c r="C34" i="2"/>
  <c r="B34" i="2"/>
  <c r="A34" i="2"/>
  <c r="J33" i="2"/>
  <c r="I33" i="2"/>
  <c r="H33" i="2"/>
  <c r="G33" i="2"/>
  <c r="F33" i="2"/>
  <c r="E33" i="2"/>
  <c r="D33" i="2"/>
  <c r="C33" i="2"/>
  <c r="B33" i="2"/>
  <c r="A33" i="2"/>
  <c r="J32" i="2"/>
  <c r="I32" i="2"/>
  <c r="H32" i="2"/>
  <c r="G32" i="2"/>
  <c r="F32" i="2"/>
  <c r="E32" i="2"/>
  <c r="D32" i="2"/>
  <c r="C32" i="2"/>
  <c r="B32" i="2"/>
  <c r="A32" i="2"/>
  <c r="J31" i="2"/>
  <c r="I31" i="2"/>
  <c r="H31" i="2"/>
  <c r="G31" i="2"/>
  <c r="F31" i="2"/>
  <c r="E31" i="2"/>
  <c r="D31" i="2"/>
  <c r="C31" i="2"/>
  <c r="B31" i="2"/>
  <c r="A31" i="2"/>
  <c r="J30" i="2"/>
  <c r="I30" i="2"/>
  <c r="H30" i="2"/>
  <c r="G30" i="2"/>
  <c r="F30" i="2"/>
  <c r="E30" i="2"/>
  <c r="D30" i="2"/>
  <c r="C30" i="2"/>
  <c r="B30" i="2"/>
  <c r="A30" i="2"/>
  <c r="J29" i="2"/>
  <c r="I29" i="2"/>
  <c r="H29" i="2"/>
  <c r="G29" i="2"/>
  <c r="F29" i="2"/>
  <c r="E29" i="2"/>
  <c r="D29" i="2"/>
  <c r="C29" i="2"/>
  <c r="B29" i="2"/>
  <c r="A29" i="2"/>
  <c r="J28" i="2"/>
  <c r="I28" i="2"/>
  <c r="H28" i="2"/>
  <c r="G28" i="2"/>
  <c r="F28" i="2"/>
  <c r="E28" i="2"/>
  <c r="D28" i="2"/>
  <c r="C28" i="2"/>
  <c r="B28" i="2"/>
  <c r="A28" i="2"/>
  <c r="J27" i="2"/>
  <c r="I27" i="2"/>
  <c r="H27" i="2"/>
  <c r="G27" i="2"/>
  <c r="F27" i="2"/>
  <c r="E27" i="2"/>
  <c r="D27" i="2"/>
  <c r="C27" i="2"/>
  <c r="B27" i="2"/>
  <c r="A27" i="2"/>
  <c r="J26" i="2"/>
  <c r="I26" i="2"/>
  <c r="H26" i="2"/>
  <c r="G26" i="2"/>
  <c r="F26" i="2"/>
  <c r="E26" i="2"/>
  <c r="D26" i="2"/>
  <c r="C26" i="2"/>
  <c r="B26" i="2"/>
  <c r="A26" i="2"/>
  <c r="J25" i="2"/>
  <c r="I25" i="2"/>
  <c r="H25" i="2"/>
  <c r="G25" i="2"/>
  <c r="F25" i="2"/>
  <c r="E25" i="2"/>
  <c r="D25" i="2"/>
  <c r="C25" i="2"/>
  <c r="B25" i="2"/>
  <c r="A25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2" i="2"/>
  <c r="I22" i="2"/>
  <c r="H22" i="2"/>
  <c r="G22" i="2"/>
  <c r="F22" i="2"/>
  <c r="E22" i="2"/>
  <c r="D22" i="2"/>
  <c r="C22" i="2"/>
  <c r="B22" i="2"/>
  <c r="A22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J19" i="2"/>
  <c r="I19" i="2"/>
  <c r="H19" i="2"/>
  <c r="G19" i="2"/>
  <c r="F19" i="2"/>
  <c r="E19" i="2"/>
  <c r="D19" i="2"/>
  <c r="C19" i="2"/>
  <c r="B19" i="2"/>
  <c r="A19" i="2"/>
  <c r="J18" i="2"/>
  <c r="I18" i="2"/>
  <c r="H18" i="2"/>
  <c r="G18" i="2"/>
  <c r="F18" i="2"/>
  <c r="E18" i="2"/>
  <c r="D18" i="2"/>
  <c r="C18" i="2"/>
  <c r="B18" i="2"/>
  <c r="A18" i="2"/>
  <c r="J17" i="2"/>
  <c r="I17" i="2"/>
  <c r="H17" i="2"/>
  <c r="G17" i="2"/>
  <c r="F17" i="2"/>
  <c r="E17" i="2"/>
  <c r="D17" i="2"/>
  <c r="C17" i="2"/>
  <c r="B17" i="2"/>
  <c r="A17" i="2"/>
  <c r="J16" i="2"/>
  <c r="I16" i="2"/>
  <c r="H16" i="2"/>
  <c r="G16" i="2"/>
  <c r="F16" i="2"/>
  <c r="E16" i="2"/>
  <c r="D16" i="2"/>
  <c r="C16" i="2"/>
  <c r="B16" i="2"/>
  <c r="A16" i="2"/>
  <c r="J15" i="2"/>
  <c r="I15" i="2"/>
  <c r="H15" i="2"/>
  <c r="G15" i="2"/>
  <c r="F15" i="2"/>
  <c r="E15" i="2"/>
  <c r="D15" i="2"/>
  <c r="C15" i="2"/>
  <c r="B15" i="2"/>
  <c r="A15" i="2"/>
  <c r="J14" i="2"/>
  <c r="I14" i="2"/>
  <c r="H14" i="2"/>
  <c r="G14" i="2"/>
  <c r="F14" i="2"/>
  <c r="E14" i="2"/>
  <c r="D14" i="2"/>
  <c r="C14" i="2"/>
  <c r="B14" i="2"/>
  <c r="A14" i="2"/>
  <c r="J13" i="2"/>
  <c r="I13" i="2"/>
  <c r="H13" i="2"/>
  <c r="G13" i="2"/>
  <c r="F13" i="2"/>
  <c r="E13" i="2"/>
  <c r="D13" i="2"/>
  <c r="C13" i="2"/>
  <c r="B13" i="2"/>
  <c r="A13" i="2"/>
  <c r="J12" i="2"/>
  <c r="I12" i="2"/>
  <c r="H12" i="2"/>
  <c r="G12" i="2"/>
  <c r="F12" i="2"/>
  <c r="E12" i="2"/>
  <c r="D12" i="2"/>
  <c r="C12" i="2"/>
  <c r="B12" i="2"/>
  <c r="A12" i="2"/>
  <c r="J11" i="2"/>
  <c r="I11" i="2"/>
  <c r="H11" i="2"/>
  <c r="G11" i="2"/>
  <c r="F11" i="2"/>
  <c r="E11" i="2"/>
  <c r="D11" i="2"/>
  <c r="C11" i="2"/>
  <c r="B11" i="2"/>
  <c r="A11" i="2"/>
  <c r="J10" i="2"/>
  <c r="I10" i="2"/>
  <c r="H10" i="2"/>
  <c r="G10" i="2"/>
  <c r="F10" i="2"/>
  <c r="E10" i="2"/>
  <c r="D10" i="2"/>
  <c r="C10" i="2"/>
  <c r="B10" i="2"/>
  <c r="A10" i="2"/>
  <c r="J9" i="2"/>
  <c r="I9" i="2"/>
  <c r="H9" i="2"/>
  <c r="G9" i="2"/>
  <c r="F9" i="2"/>
  <c r="E9" i="2"/>
  <c r="D9" i="2"/>
  <c r="C9" i="2"/>
  <c r="B9" i="2"/>
  <c r="A9" i="2"/>
  <c r="J8" i="2"/>
  <c r="I8" i="2"/>
  <c r="H8" i="2"/>
  <c r="G8" i="2"/>
  <c r="F8" i="2"/>
  <c r="E8" i="2"/>
  <c r="D8" i="2"/>
  <c r="C8" i="2"/>
  <c r="B8" i="2"/>
  <c r="A8" i="2"/>
  <c r="J7" i="2"/>
  <c r="I7" i="2"/>
  <c r="H7" i="2"/>
  <c r="G7" i="2"/>
  <c r="F7" i="2"/>
  <c r="E7" i="2"/>
  <c r="D7" i="2"/>
  <c r="C7" i="2"/>
  <c r="B7" i="2"/>
  <c r="A7" i="2"/>
  <c r="J6" i="2"/>
  <c r="I6" i="2"/>
  <c r="H6" i="2"/>
  <c r="G6" i="2"/>
  <c r="F6" i="2"/>
  <c r="E6" i="2"/>
  <c r="D6" i="2"/>
  <c r="C6" i="2"/>
  <c r="B6" i="2"/>
  <c r="A6" i="2"/>
  <c r="J5" i="2"/>
  <c r="I5" i="2"/>
  <c r="H5" i="2"/>
  <c r="G5" i="2"/>
  <c r="F5" i="2"/>
  <c r="E5" i="2"/>
  <c r="D5" i="2"/>
  <c r="C5" i="2"/>
  <c r="B5" i="2"/>
  <c r="A5" i="2"/>
  <c r="J4" i="2"/>
  <c r="I4" i="2"/>
  <c r="H4" i="2"/>
  <c r="G4" i="2"/>
  <c r="F4" i="2"/>
  <c r="E4" i="2"/>
  <c r="D4" i="2"/>
  <c r="C4" i="2"/>
  <c r="B4" i="2"/>
  <c r="A4" i="2"/>
  <c r="J3" i="2"/>
  <c r="I3" i="2"/>
  <c r="H3" i="2"/>
  <c r="G3" i="2"/>
  <c r="F3" i="2"/>
  <c r="E3" i="2"/>
  <c r="D3" i="2"/>
  <c r="C3" i="2"/>
  <c r="B3" i="2"/>
  <c r="A3" i="2"/>
  <c r="J2" i="2"/>
  <c r="I2" i="2"/>
  <c r="H2" i="2"/>
  <c r="G2" i="2"/>
  <c r="F2" i="2"/>
  <c r="E2" i="2"/>
  <c r="D2" i="2"/>
  <c r="C2" i="2"/>
  <c r="B2" i="2"/>
  <c r="A2" i="2"/>
  <c r="E3" i="3" l="1"/>
  <c r="E5" i="3"/>
  <c r="E7" i="3"/>
</calcChain>
</file>

<file path=xl/sharedStrings.xml><?xml version="1.0" encoding="utf-8"?>
<sst xmlns="http://schemas.openxmlformats.org/spreadsheetml/2006/main" count="9794" uniqueCount="5475">
  <si>
    <t>Serial</t>
  </si>
  <si>
    <t>File_Number</t>
  </si>
  <si>
    <t>Name</t>
  </si>
  <si>
    <t>Sex</t>
  </si>
  <si>
    <t>Name_of_the_Father</t>
  </si>
  <si>
    <t>Name_of_the_Mother</t>
  </si>
  <si>
    <t>When_and_where_born</t>
  </si>
  <si>
    <t>Description_and_residence_of_informant</t>
  </si>
  <si>
    <t>Registration_date</t>
  </si>
  <si>
    <t>MHA_File_And_date</t>
  </si>
  <si>
    <t>STATUS</t>
  </si>
  <si>
    <t>Date_Printed</t>
  </si>
  <si>
    <t>Date_Issued</t>
  </si>
  <si>
    <t>Sighning_Authority</t>
  </si>
  <si>
    <t>PRINTED</t>
  </si>
  <si>
    <t>22/03/2026</t>
  </si>
  <si>
    <t>MANISH KATARIA, VICE CONSUL</t>
  </si>
  <si>
    <t>15/12/2025</t>
  </si>
  <si>
    <t>TEJ KRISHAN, HOC AND CONSUL</t>
  </si>
  <si>
    <t>30/12/2025</t>
  </si>
  <si>
    <t>S No.</t>
  </si>
  <si>
    <t>Date of birth</t>
  </si>
  <si>
    <t>Place of birth</t>
  </si>
  <si>
    <t>File No</t>
  </si>
  <si>
    <t>Name of Father</t>
  </si>
  <si>
    <t>Name of Mother</t>
  </si>
  <si>
    <t>Fathers passport No</t>
  </si>
  <si>
    <t>Registration date</t>
  </si>
  <si>
    <t>ADD 1</t>
  </si>
  <si>
    <t>ADD 2</t>
  </si>
  <si>
    <t>ADD 3</t>
  </si>
  <si>
    <t>MHA_File_No</t>
  </si>
  <si>
    <t>MHA_Date</t>
  </si>
  <si>
    <t>SHRIJEET SARANG HINGASPURE</t>
  </si>
  <si>
    <t xml:space="preserve">PARKVILLE, AUSTRALIA  </t>
  </si>
  <si>
    <t>AU2065646519525</t>
  </si>
  <si>
    <t>M</t>
  </si>
  <si>
    <t>SARANG SANJAY HINGASPURE</t>
  </si>
  <si>
    <t>PAYAL ARUN  GULHANE</t>
  </si>
  <si>
    <t xml:space="preserve">(N8376462) </t>
  </si>
  <si>
    <t>PLOT NO 41 VIVEKANAND COLONY,RUKHMINI NAGAR</t>
  </si>
  <si>
    <t>AMRAVATI,AMRAVATI CITY</t>
  </si>
  <si>
    <t>PIN:444606,MAHARASHTRA,INDIA</t>
  </si>
  <si>
    <t>IZHAAN MOHAMMED SHAIK</t>
  </si>
  <si>
    <t xml:space="preserve">WERIBEE, AUSTRALIA </t>
  </si>
  <si>
    <t>AU206564652032</t>
  </si>
  <si>
    <t>ABDUL ASIF</t>
  </si>
  <si>
    <t>SANIA ANJUM  SHAIK</t>
  </si>
  <si>
    <t xml:space="preserve">(N4982081) </t>
  </si>
  <si>
    <t>9-60-60,SUBBARAO STREET</t>
  </si>
  <si>
    <t>ISLAMPET,VIJAYAWADA,NTR DISTRICT</t>
  </si>
  <si>
    <t>PIN:520001,ANDHRA PRADESH,INDIA</t>
  </si>
  <si>
    <t>MEHAR DAMANI</t>
  </si>
  <si>
    <t xml:space="preserve">ST ALBANS, AUSTRALIA  </t>
  </si>
  <si>
    <t>AU2065646520525</t>
  </si>
  <si>
    <t>F</t>
  </si>
  <si>
    <t>JAI KISHAN</t>
  </si>
  <si>
    <t>JYOTI </t>
  </si>
  <si>
    <t xml:space="preserve">(R8807909) </t>
  </si>
  <si>
    <t>WARD NO.5</t>
  </si>
  <si>
    <t>PADAMPUR,SRI GANGANAGAR</t>
  </si>
  <si>
    <t>PIN:335041,RAJASTHAN,INDIA</t>
  </si>
  <si>
    <t>ZOHAN VANIB MANSURI</t>
  </si>
  <si>
    <t xml:space="preserve">HOBART, AUSTRALIA  </t>
  </si>
  <si>
    <t>AU2065646520925</t>
  </si>
  <si>
    <t>VANIB MOHMEDHARUN MANSURI</t>
  </si>
  <si>
    <t>RIZA VANIB  MANSURI</t>
  </si>
  <si>
    <t xml:space="preserve">(T2762446) </t>
  </si>
  <si>
    <t>74 MAULANA AZAD PARK SOC.,OPP AEGRO PETROL PUMP</t>
  </si>
  <si>
    <t>SARKHEJ ROAD,JUHAPURA,AHMEDABAD</t>
  </si>
  <si>
    <t>PIN:380055,GUJARAT,INDIA</t>
  </si>
  <si>
    <t>ARJAN SINGH SEKHON</t>
  </si>
  <si>
    <t xml:space="preserve">WERRIBEE, AUSTRALIA </t>
  </si>
  <si>
    <t>AU2065646521325</t>
  </si>
  <si>
    <t>HARKAMALPREET SINGH</t>
  </si>
  <si>
    <t>ARSHPREET  KAUR</t>
  </si>
  <si>
    <t xml:space="preserve">(Y6938892) </t>
  </si>
  <si>
    <t>VILLAGE DHENTHAL</t>
  </si>
  <si>
    <t>TEHSIL SAMANA,PATIALA</t>
  </si>
  <si>
    <t>PIN:147101,PUNJAB,INDIA</t>
  </si>
  <si>
    <t>LOKESH CHOWDARY JAMMIGUMPULA</t>
  </si>
  <si>
    <t xml:space="preserve">BACCHUS MARSH, AUSTRALIA  </t>
  </si>
  <si>
    <t>AU2065646521525</t>
  </si>
  <si>
    <t>HARIKRISHNA JAMMIGUMPULA</t>
  </si>
  <si>
    <t>NAVYA VADLAMUDI </t>
  </si>
  <si>
    <t xml:space="preserve">(N6471669) </t>
  </si>
  <si>
    <t>H.NO: 3-54,KOTHAPALEM VILLAGE</t>
  </si>
  <si>
    <t>MACHAVARAM MD,PALNADU</t>
  </si>
  <si>
    <t>PIN:522435,ANDHRA PRADESH,INDIA</t>
  </si>
  <si>
    <t>AAYRA VERMA</t>
  </si>
  <si>
    <t xml:space="preserve">EPPING, AUSTRALIA </t>
  </si>
  <si>
    <t>AU2065649408125</t>
  </si>
  <si>
    <t>PARAMJIT SINGH</t>
  </si>
  <si>
    <t>ARTI </t>
  </si>
  <si>
    <t xml:space="preserve">(R5012661) </t>
  </si>
  <si>
    <t>H NO 20</t>
  </si>
  <si>
    <t>UKSI JATTAN TEH RAJPURA,PATIALA</t>
  </si>
  <si>
    <t>PIN:140401,PUNJAB,INDIA</t>
  </si>
  <si>
    <t>VANDAN MIHIRKUMAR PAREKH</t>
  </si>
  <si>
    <t xml:space="preserve">CLAYTON, AUSTRALIA </t>
  </si>
  <si>
    <t>AU2065649408725</t>
  </si>
  <si>
    <t>MIHIRKUMAR NIRANJANKUMAR PAREKH</t>
  </si>
  <si>
    <t>URVISHABEN MIHIRKUMAR  PAREKH</t>
  </si>
  <si>
    <t xml:space="preserve">(P9563920) </t>
  </si>
  <si>
    <t>B/9 SATKARPARK SOCIETY RAMTALAWADI ROAD</t>
  </si>
  <si>
    <t>NADIAD,KHEDA</t>
  </si>
  <si>
    <t>PIN:387002,GUJARAT,INDIA</t>
  </si>
  <si>
    <t>PRABHDOOR SINGH KHALSA</t>
  </si>
  <si>
    <t xml:space="preserve">HOBART, AUSTRALIA </t>
  </si>
  <si>
    <t>AU2065649409125</t>
  </si>
  <si>
    <t>GURSEWAK SINGH</t>
  </si>
  <si>
    <t>RAMANJIT KAUR </t>
  </si>
  <si>
    <t xml:space="preserve">(U0254730) </t>
  </si>
  <si>
    <t>V.P.O</t>
  </si>
  <si>
    <t>NANDA CHAUR,HOSHIARPUR</t>
  </si>
  <si>
    <t>PIN:146114,PUNJAB,INDIA</t>
  </si>
  <si>
    <t>AJIT SINGH SIDHU</t>
  </si>
  <si>
    <t xml:space="preserve">ST SLBANS, AUSTRALIA </t>
  </si>
  <si>
    <t>AU2065649409725</t>
  </si>
  <si>
    <t>SHAGANDEEP SINGH SIDHU</t>
  </si>
  <si>
    <t>BAVANPREET KAUR </t>
  </si>
  <si>
    <t xml:space="preserve">(X3343149) </t>
  </si>
  <si>
    <t>V.P.O QILA HAKIMA</t>
  </si>
  <si>
    <t>DHURI,SANGRUR</t>
  </si>
  <si>
    <t>PIN:148034,PUNJAB,INDIA</t>
  </si>
  <si>
    <t>SEHBAZ SINGH</t>
  </si>
  <si>
    <t xml:space="preserve">ST ALBANS, AUSTRALIA </t>
  </si>
  <si>
    <t>AU2065649409925</t>
  </si>
  <si>
    <t>HARPREET SINGH</t>
  </si>
  <si>
    <t>REENA  TALWAR</t>
  </si>
  <si>
    <t xml:space="preserve">(S5192239) </t>
  </si>
  <si>
    <t>VPO JANDIALA ,PATTI RAM KI</t>
  </si>
  <si>
    <t>TEH. PHILLAUR,JALANDHAR</t>
  </si>
  <si>
    <t>PIN:144033,PUNJAB,INDIA</t>
  </si>
  <si>
    <t>SHAIVI JAGLAN</t>
  </si>
  <si>
    <t xml:space="preserve">EPPING, AUSTRALIA  </t>
  </si>
  <si>
    <t>AU2065649410725</t>
  </si>
  <si>
    <t>SUMIT KUMAR</t>
  </si>
  <si>
    <t>VEENITA  RAJ</t>
  </si>
  <si>
    <t xml:space="preserve">(U3235472) </t>
  </si>
  <si>
    <t>VPO KURANA(54)</t>
  </si>
  <si>
    <t>ISRANA,PANIPAT</t>
  </si>
  <si>
    <t>PIN:132107,HARYANA,INDIA</t>
  </si>
  <si>
    <t>AVREEN KAUR TOOR</t>
  </si>
  <si>
    <t xml:space="preserve">BERWICK, AUSTRALIA  </t>
  </si>
  <si>
    <t>AU2065649411125</t>
  </si>
  <si>
    <t>SATVINDER SINGH TOOR</t>
  </si>
  <si>
    <t>GURPREET KAUR </t>
  </si>
  <si>
    <t xml:space="preserve">(B9754941) </t>
  </si>
  <si>
    <t>PATTI PADARTH KI</t>
  </si>
  <si>
    <t>VPO BHINDER KALAN,MOGA</t>
  </si>
  <si>
    <t>PIN:142001,PUNJAB,INDIA</t>
  </si>
  <si>
    <t>SHIVIK DHANYAN</t>
  </si>
  <si>
    <t xml:space="preserve">CLAYTON, AUSTRALIA  </t>
  </si>
  <si>
    <t>AU2065650583325</t>
  </si>
  <si>
    <t>RAJIV KUMAR</t>
  </si>
  <si>
    <t>ANJALI </t>
  </si>
  <si>
    <t xml:space="preserve">(V9067726) </t>
  </si>
  <si>
    <t>VPO</t>
  </si>
  <si>
    <t>PEONT,KARNAL</t>
  </si>
  <si>
    <t>PIN:132001,HARYANA,INDIA</t>
  </si>
  <si>
    <t>TEJVEER SINGH</t>
  </si>
  <si>
    <t>AU2065650583525</t>
  </si>
  <si>
    <t>JASWANT SINGH</t>
  </si>
  <si>
    <t>MANDEEP KOUR </t>
  </si>
  <si>
    <t xml:space="preserve">(R9305222) </t>
  </si>
  <si>
    <t>KOULPUR,SAMBA</t>
  </si>
  <si>
    <t>PIN:184120,JAMMU AND KASHMIR,INDIA</t>
  </si>
  <si>
    <t>AGAMVEER SINGH</t>
  </si>
  <si>
    <t>AU2065650583725</t>
  </si>
  <si>
    <t>HANVI SHARMA</t>
  </si>
  <si>
    <t>AU2065650583925</t>
  </si>
  <si>
    <t>RAJAT SHARMA</t>
  </si>
  <si>
    <t>PALAK SHARMA </t>
  </si>
  <si>
    <t xml:space="preserve">(C8545378) </t>
  </si>
  <si>
    <t>HARMILAPI MOHALLA</t>
  </si>
  <si>
    <t>MACHHIWARA,KHANNA (LUDHIANA)</t>
  </si>
  <si>
    <t>PIN:141115,PUNJAB,INDIA</t>
  </si>
  <si>
    <t>ABDULLAH ALI SYED</t>
  </si>
  <si>
    <t>AU2065650584125</t>
  </si>
  <si>
    <t>ABRAR ALI SYED</t>
  </si>
  <si>
    <t>SABIHA SULTANA </t>
  </si>
  <si>
    <t xml:space="preserve">(W4098405) </t>
  </si>
  <si>
    <t>20-7-429/5 INSIDE KAMAN MD SHUKOOR</t>
  </si>
  <si>
    <t>FATHE DARWAZA,HYDERABAD</t>
  </si>
  <si>
    <t>PIN:500065,TELANGANA,INDIA</t>
  </si>
  <si>
    <t>SHIVIN VIGNESH RAJA</t>
  </si>
  <si>
    <t>AU2065650584325</t>
  </si>
  <si>
    <t>VIGNESH RAJA MOORTHI</t>
  </si>
  <si>
    <t>SUSHMAA  RAJARAM PRABAKARAN</t>
  </si>
  <si>
    <t xml:space="preserve">(P3377709) </t>
  </si>
  <si>
    <t>32B,MANICKA NAGAR</t>
  </si>
  <si>
    <t>THIRUNAGAR,MADURAI CITY</t>
  </si>
  <si>
    <t>PIN:625006,TAMIL NADU,INDIA</t>
  </si>
  <si>
    <t>GURNIWAZ KAUR</t>
  </si>
  <si>
    <t xml:space="preserve">BOX HILL, AUSTRALIA </t>
  </si>
  <si>
    <t>AU2065650584525</t>
  </si>
  <si>
    <t>JAGJIT SINGH</t>
  </si>
  <si>
    <t>AMANDEEP  KAUR</t>
  </si>
  <si>
    <t xml:space="preserve">(S6103154) </t>
  </si>
  <si>
    <t>VILL. KALAS KHURD</t>
  </si>
  <si>
    <t>DISTT.,LUDHIANA</t>
  </si>
  <si>
    <t>PIN:141126,PUNJAB,INDIA</t>
  </si>
  <si>
    <t>JIVANSH GRAK</t>
  </si>
  <si>
    <t>AU2065650584725</t>
  </si>
  <si>
    <t>KULDEEP SINGH</t>
  </si>
  <si>
    <t>PRERNA </t>
  </si>
  <si>
    <t xml:space="preserve">(W6449832) </t>
  </si>
  <si>
    <t>VILLAGE PREM KHERA</t>
  </si>
  <si>
    <t>PO BRASS,KARNAL</t>
  </si>
  <si>
    <t>PIN:132024,HARYANA,INDIA</t>
  </si>
  <si>
    <t>YUMNA ALI KHAN</t>
  </si>
  <si>
    <t xml:space="preserve">GEELONG, AUSTRALIA  </t>
  </si>
  <si>
    <t>AU2065650584925</t>
  </si>
  <si>
    <t>MIR AZHERUDDIN ALI KHAN</t>
  </si>
  <si>
    <t>MARYAM BEGUM </t>
  </si>
  <si>
    <t xml:space="preserve">(B8016779) </t>
  </si>
  <si>
    <t>9-4-86/169/1,FLAT NO. 403,SALARJUNG COLONY</t>
  </si>
  <si>
    <t>TOLICHOWKI,HYDERABAD</t>
  </si>
  <si>
    <t>PIN:500008,TELANGANA,INDIA</t>
  </si>
  <si>
    <t>GURSANJH KAUR DHANJU</t>
  </si>
  <si>
    <t>AU2065650585125</t>
  </si>
  <si>
    <t>GURINDER JEET SINGH DHANJU</t>
  </si>
  <si>
    <t>KOMAL PREET KAUR  THIND</t>
  </si>
  <si>
    <t xml:space="preserve">(N7975889) </t>
  </si>
  <si>
    <t>VILL-1-Z PO SADHUWALI</t>
  </si>
  <si>
    <t>SRIGANGANAGAR - DIST,SRI GANGANAGAR</t>
  </si>
  <si>
    <t>PIN:335001,RAJASTHAN,INDIA</t>
  </si>
  <si>
    <t>NITYA THAKUR</t>
  </si>
  <si>
    <t>AU2065650585325</t>
  </si>
  <si>
    <t>HITESH THAKUR</t>
  </si>
  <si>
    <t>SWATI </t>
  </si>
  <si>
    <t xml:space="preserve">(W5588460) </t>
  </si>
  <si>
    <t>T-14/765 KUCHA SONIA GALI LAMBA WALI</t>
  </si>
  <si>
    <t>AMRITSAR,AMRITSAR</t>
  </si>
  <si>
    <t>PIN:143001,PUNJAB,INDIA</t>
  </si>
  <si>
    <t>Safa Fatima Khan</t>
  </si>
  <si>
    <t xml:space="preserve">PARKVILLE MELBOURNE, AUSTRALIA  </t>
  </si>
  <si>
    <t>AU2065652692325</t>
  </si>
  <si>
    <t>Gulam Ghouse Khan</t>
  </si>
  <si>
    <t>Heena  Gulraiz</t>
  </si>
  <si>
    <t xml:space="preserve">(T6926331) </t>
  </si>
  <si>
    <t>19-4-8/362/A,HASHAMABAD</t>
  </si>
  <si>
    <t>CHANDRAYANGUTTA,BANDLAGUDA,HYDERABAD</t>
  </si>
  <si>
    <t>PIN:500005,TELANGANA,INDIA</t>
  </si>
  <si>
    <t>Aravdeep Singh Vartia</t>
  </si>
  <si>
    <t xml:space="preserve">BALLARAT CENTRAL, AUSTRALIA  </t>
  </si>
  <si>
    <t>AU2065652693125</t>
  </si>
  <si>
    <t>Sandeep Singh</t>
  </si>
  <si>
    <t>Baljeet Kaur </t>
  </si>
  <si>
    <t xml:space="preserve">(N0431935) </t>
  </si>
  <si>
    <t>5304,GOPAL NAGAR,VEROWAL ROAD</t>
  </si>
  <si>
    <t>JANDIALA GURU,AMRITSAR</t>
  </si>
  <si>
    <t>PIN:143115,PUNJAB,INDIA</t>
  </si>
  <si>
    <t>Dhriti Yaram</t>
  </si>
  <si>
    <t>AU2065652693525</t>
  </si>
  <si>
    <t>Kuladeep Kumar Yaram</t>
  </si>
  <si>
    <t>Manasa  Allenki</t>
  </si>
  <si>
    <t xml:space="preserve">(P8311355) </t>
  </si>
  <si>
    <t>H NO 1-43 GUNTURPALLI</t>
  </si>
  <si>
    <t>SANGEM,WARANGAL</t>
  </si>
  <si>
    <t>PIN:506005,TELANGANA,INDIA</t>
  </si>
  <si>
    <t>Rehmat Kaur</t>
  </si>
  <si>
    <t>AU2065652694125</t>
  </si>
  <si>
    <t>Jagpreet Singh</t>
  </si>
  <si>
    <t>Manjot Kaur </t>
  </si>
  <si>
    <t xml:space="preserve">(R5202427) </t>
  </si>
  <si>
    <t>VILL KOT KARAM CHAND PO JAURA SINGHA</t>
  </si>
  <si>
    <t>TEH BATALA DISTT,GURDASPUR</t>
  </si>
  <si>
    <t>PIN:143505,PUNJAB,INDIA</t>
  </si>
  <si>
    <t>Ahaan Marwah</t>
  </si>
  <si>
    <t xml:space="preserve">BALLARAT CENTRAL, AUSTRALIA </t>
  </si>
  <si>
    <t>AU2065652694725</t>
  </si>
  <si>
    <t>Prabhneet Marwah</t>
  </si>
  <si>
    <t>Manpreet  Kaur</t>
  </si>
  <si>
    <t xml:space="preserve">(N7790058) </t>
  </si>
  <si>
    <t>B 54 TARANG APARTMENTS PLOT-19 MOTHER DAIRY MARG</t>
  </si>
  <si>
    <t>I P EXTENSION,DELHI</t>
  </si>
  <si>
    <t>PIN:110092,DELHI,INDIA</t>
  </si>
  <si>
    <t>Vedanth Vaitla</t>
  </si>
  <si>
    <t>AU2065652907125</t>
  </si>
  <si>
    <t>Vijaykumar Vaitla</t>
  </si>
  <si>
    <t>Vamshee Priya  Pamu</t>
  </si>
  <si>
    <t xml:space="preserve">(N5819448) </t>
  </si>
  <si>
    <t>5-7 RAJIV CHOWRASTHA</t>
  </si>
  <si>
    <t>PALAKURTHY,JANGOAN</t>
  </si>
  <si>
    <t>PIN:506252,TELANGANA,INDIA</t>
  </si>
  <si>
    <t>Ishank Mishra</t>
  </si>
  <si>
    <t>AU2065652912325</t>
  </si>
  <si>
    <t>Rudra Prasad Mishra</t>
  </si>
  <si>
    <t>Subhalaxmi  Dash</t>
  </si>
  <si>
    <t xml:space="preserve">(Z6609230) </t>
  </si>
  <si>
    <t>PLOT NO-3672,SASAN PADIA,OLDTOWN</t>
  </si>
  <si>
    <t>BHUBANESWAR,BHUBANESWAR URBAN</t>
  </si>
  <si>
    <t>PIN:751002,ODISHA,INDIA</t>
  </si>
  <si>
    <t>Dhritav Akash Patel</t>
  </si>
  <si>
    <t>AU2065652920925</t>
  </si>
  <si>
    <t>Akash Sukhabhai Patel</t>
  </si>
  <si>
    <t>Dhruviben Akash  Patel</t>
  </si>
  <si>
    <t xml:space="preserve">(C7344292) </t>
  </si>
  <si>
    <t>A-4 HARIBAPARK SOCIETY DIWALIPURA O.P. ROAD</t>
  </si>
  <si>
    <t>VADODARA,VADODARA</t>
  </si>
  <si>
    <t>PIN:390007,GUJARAT,INDIA</t>
  </si>
  <si>
    <t>Parmroop Singh</t>
  </si>
  <si>
    <t>AU2065652925125</t>
  </si>
  <si>
    <t>Jiwanjeet Singh</t>
  </si>
  <si>
    <t>Harjinderpal  Kaur</t>
  </si>
  <si>
    <t xml:space="preserve">(R2493574) </t>
  </si>
  <si>
    <t>VPO DIALPURA</t>
  </si>
  <si>
    <t>TEHSIL PATTI,TARN TARAN</t>
  </si>
  <si>
    <t>PIN:143401,PUNJAB,INDIA</t>
  </si>
  <si>
    <t>Jacob Thomas Philips</t>
  </si>
  <si>
    <t xml:space="preserve">BACCHUS MARSH MELBOURNE, AUSTRALIA  </t>
  </si>
  <si>
    <t>AU2065652932925</t>
  </si>
  <si>
    <t>Thomas George</t>
  </si>
  <si>
    <t>Deepa Thomas </t>
  </si>
  <si>
    <t xml:space="preserve">(U0872683) </t>
  </si>
  <si>
    <t>34 BAPAT NAGAR</t>
  </si>
  <si>
    <t>CHANDRAPUR,CHANDRAPUR</t>
  </si>
  <si>
    <t>PIN:442401,MAHARASHTRA,INDIA</t>
  </si>
  <si>
    <t>Noah Shamfeel Marakkar</t>
  </si>
  <si>
    <t>AU2065652938725</t>
  </si>
  <si>
    <t>Shamfeel Thevankulangara</t>
  </si>
  <si>
    <t>Rezny  Yousaf</t>
  </si>
  <si>
    <t xml:space="preserve">(V7335860) </t>
  </si>
  <si>
    <t>THEVANKULANGARA HOUSE</t>
  </si>
  <si>
    <t>OTHALOOR POST,PALAKKAD</t>
  </si>
  <si>
    <t>PIN:679534,KERALA,INDIA</t>
  </si>
  <si>
    <t>Kudrat Kaur Bajwa</t>
  </si>
  <si>
    <t xml:space="preserve">BLACKTOWN, AUSTRALIA  </t>
  </si>
  <si>
    <t>AU2065653897525</t>
  </si>
  <si>
    <t>Karnpreet Singh</t>
  </si>
  <si>
    <t>Kirandeep Kaur </t>
  </si>
  <si>
    <t xml:space="preserve">(N9916619) </t>
  </si>
  <si>
    <t>VILL. CHHOD</t>
  </si>
  <si>
    <t>P.O. DOSTPUR,GURDASPUR</t>
  </si>
  <si>
    <t>PIN:143526,PUNJAB,INDIA</t>
  </si>
  <si>
    <t>Akaay Aman Aneja</t>
  </si>
  <si>
    <t>AU2065653968525</t>
  </si>
  <si>
    <t>Aman Aneja</t>
  </si>
  <si>
    <t>Simran  Arora</t>
  </si>
  <si>
    <t xml:space="preserve">(V9057975) </t>
  </si>
  <si>
    <t>E-12 LAJPAT NAGAR PART 1 TOP FLOOR</t>
  </si>
  <si>
    <t>NEW DELHI,DELHI</t>
  </si>
  <si>
    <t>PIN:110024,DELHI,INDIA</t>
  </si>
  <si>
    <t>Kanishka Sharma</t>
  </si>
  <si>
    <t>AU2065653898125</t>
  </si>
  <si>
    <t>Abhishek Sharma</t>
  </si>
  <si>
    <t xml:space="preserve">(R7979570) </t>
  </si>
  <si>
    <t>1415 B ,MODERN COLONY</t>
  </si>
  <si>
    <t>YAMUNA NAGAR,YAMUNANAGAR</t>
  </si>
  <si>
    <t>PIN:135001,HARYANA,INDIA</t>
  </si>
  <si>
    <t>Jaiveer Singh Khattra</t>
  </si>
  <si>
    <t>AU2065653899125</t>
  </si>
  <si>
    <t>Ranvir Singh</t>
  </si>
  <si>
    <t>Jaspreet Kaur </t>
  </si>
  <si>
    <t xml:space="preserve">(X5289968) </t>
  </si>
  <si>
    <t>VPO SEHRA</t>
  </si>
  <si>
    <t>TEH- RAJPURA,PATIALA</t>
  </si>
  <si>
    <t>PIN:140701,PUNJAB,INDIA</t>
  </si>
  <si>
    <t>Waris Gaba</t>
  </si>
  <si>
    <t>AU2065653899925</t>
  </si>
  <si>
    <t>Gagandeep Singh</t>
  </si>
  <si>
    <t>Priya </t>
  </si>
  <si>
    <t xml:space="preserve">(U0140661) </t>
  </si>
  <si>
    <t>HOUSE NO 200 BHAI DIT SINGH NAGAR</t>
  </si>
  <si>
    <t>PS DIV NO 3,JALANDHAR</t>
  </si>
  <si>
    <t>PIN:144001,PUNJAB,INDIA</t>
  </si>
  <si>
    <t>Sehaj Kaur</t>
  </si>
  <si>
    <t>AU2065653900525</t>
  </si>
  <si>
    <t>Yadbir Singh</t>
  </si>
  <si>
    <t>Jatinder  Kaur</t>
  </si>
  <si>
    <t xml:space="preserve">(V1804572) </t>
  </si>
  <si>
    <t>FATTUBHEELA</t>
  </si>
  <si>
    <t>PO BABOWAL,AMRITSAR</t>
  </si>
  <si>
    <t>PIN:143119,PUNJAB,INDIA</t>
  </si>
  <si>
    <t>Ayzal Fatima Syeda</t>
  </si>
  <si>
    <t>AU2065653900925</t>
  </si>
  <si>
    <t>Ata Moinuddin Syed</t>
  </si>
  <si>
    <t>Ajmal Farkunda </t>
  </si>
  <si>
    <t xml:space="preserve">(Y6840927) </t>
  </si>
  <si>
    <t>17-3B-462/1,CHANDRA NAGAR</t>
  </si>
  <si>
    <t>YAKUTPURA,HYDERABAD</t>
  </si>
  <si>
    <t>PIN:500023,TELANGANA,INDIA</t>
  </si>
  <si>
    <t>Mira Patel</t>
  </si>
  <si>
    <t xml:space="preserve">HEIDELBERG, AUSTRALIA  </t>
  </si>
  <si>
    <t>AU2065653901525</t>
  </si>
  <si>
    <t>Mayurkumar Karashanbhai Patel</t>
  </si>
  <si>
    <t>Asha Dashrathbhai  Patel</t>
  </si>
  <si>
    <t>X6929136</t>
  </si>
  <si>
    <t>KHERPUR,PO.SARSAV</t>
  </si>
  <si>
    <t>KADI,MEHSANA</t>
  </si>
  <si>
    <t>PIN:382715,GUJARAT,INDIA</t>
  </si>
  <si>
    <t>Amaris Leah Pravin</t>
  </si>
  <si>
    <t>AU2065653902125</t>
  </si>
  <si>
    <t>Pravin Vazhakal George</t>
  </si>
  <si>
    <t>Biji  Leela Babu</t>
  </si>
  <si>
    <t xml:space="preserve">(U0211326) </t>
  </si>
  <si>
    <t>KARMEL VAZHAKAL HOUSE,HOSPITAL JUNCTION</t>
  </si>
  <si>
    <t>VAKATHANAM P.O,KOTTAYAM</t>
  </si>
  <si>
    <t>PIN:686538,KERALA,INDIA</t>
  </si>
  <si>
    <t>Jayasasvika Karthick</t>
  </si>
  <si>
    <t>MOUNT WAVERLEY, AUSTRALIA</t>
  </si>
  <si>
    <t>AU2065653902925</t>
  </si>
  <si>
    <t>Karthick Kannan</t>
  </si>
  <si>
    <t>Ramya  Athmanathan</t>
  </si>
  <si>
    <t xml:space="preserve">(Y2907990) </t>
  </si>
  <si>
    <t>NO 1/988 VENNAMPATTI ROAD</t>
  </si>
  <si>
    <t>LAKKIYAMPATTI,DHARMAPURI</t>
  </si>
  <si>
    <t>PIN:636705,TAMIL NADU,INDIA</t>
  </si>
  <si>
    <t>Azaad Singh Hari</t>
  </si>
  <si>
    <t xml:space="preserve">PARKVILLE , AUSTRALIA  </t>
  </si>
  <si>
    <t>AU2065653903725</t>
  </si>
  <si>
    <t>Dustdaman Singh</t>
  </si>
  <si>
    <t>Amandeep Kaur </t>
  </si>
  <si>
    <t xml:space="preserve">(X2974951) </t>
  </si>
  <si>
    <t>VILLAGE MEHAL KHURD</t>
  </si>
  <si>
    <t>MEHAL KALAN,BARNALA</t>
  </si>
  <si>
    <t>PIN:148104,PUNJAB,INDIA</t>
  </si>
  <si>
    <t>Aviraj Singh Saroya</t>
  </si>
  <si>
    <t>AU2065653904325</t>
  </si>
  <si>
    <t>Navjot Songh Saroya</t>
  </si>
  <si>
    <t>Sneh  Arora</t>
  </si>
  <si>
    <t xml:space="preserve">(T5972541) </t>
  </si>
  <si>
    <t>67 SHALIMAR GARDEN PHASE 2</t>
  </si>
  <si>
    <t>CHOHAK KALAN,JALANDHAR</t>
  </si>
  <si>
    <t>PIN:144101,PUNJAB,INDIA</t>
  </si>
  <si>
    <t>Kabir Jain</t>
  </si>
  <si>
    <t>AU2065653904525</t>
  </si>
  <si>
    <t>Mitul Jain</t>
  </si>
  <si>
    <t>Deepika Sethi  Suresh Kumar</t>
  </si>
  <si>
    <t xml:space="preserve">(X4318811) </t>
  </si>
  <si>
    <t>77/175 SHIPRA PATH</t>
  </si>
  <si>
    <t>MANSAROVAR,JAIPUR</t>
  </si>
  <si>
    <t>PIN:302020,RAJASTHAN,INDIA</t>
  </si>
  <si>
    <t>Aariv Jatinkumar Solanki</t>
  </si>
  <si>
    <t>AU2065653904925</t>
  </si>
  <si>
    <t>Jatinkumar Ratilal Solanki</t>
  </si>
  <si>
    <t>Janki Ramanbhai  Chauhan</t>
  </si>
  <si>
    <t xml:space="preserve">(W7266333) </t>
  </si>
  <si>
    <t>B-127,PARISHNAGAR SOCIETY,NR-LIONS HALL</t>
  </si>
  <si>
    <t>RACECOURSE,VADODARA</t>
  </si>
  <si>
    <t>Dhruva Surasani</t>
  </si>
  <si>
    <t xml:space="preserve">CLAYTON MELBOURNE, AUSTRALIA  </t>
  </si>
  <si>
    <t>AU2065653905925</t>
  </si>
  <si>
    <t>Gopi Mohan</t>
  </si>
  <si>
    <t>Navyasri  Adicherla</t>
  </si>
  <si>
    <t xml:space="preserve">(P2306211) </t>
  </si>
  <si>
    <t>6 AMBETHKAR NAGAR VELMURUGAN NAGAR EXTN</t>
  </si>
  <si>
    <t>KOLATHUR,CHENNAI</t>
  </si>
  <si>
    <t>PIN:600099,TAMIL NADU,INDIA</t>
  </si>
  <si>
    <t>Aveer Singh Maan</t>
  </si>
  <si>
    <t xml:space="preserve">GEELONG , AUSTRALIA </t>
  </si>
  <si>
    <t>AU2065653906925</t>
  </si>
  <si>
    <t>Ankit Singh</t>
  </si>
  <si>
    <t>Priyanka  Singh</t>
  </si>
  <si>
    <t xml:space="preserve">(P4632497) </t>
  </si>
  <si>
    <t>VPO GHOGRIPUR</t>
  </si>
  <si>
    <t>KARNAL,KARNAL</t>
  </si>
  <si>
    <t>Rabab Kaur Brar</t>
  </si>
  <si>
    <t>AU2065659429125</t>
  </si>
  <si>
    <t>Sukhwant Singh</t>
  </si>
  <si>
    <t>Ramanjot Kaur  Kang</t>
  </si>
  <si>
    <t xml:space="preserve">(P4280515) </t>
  </si>
  <si>
    <t>VILLAGE</t>
  </si>
  <si>
    <t>ITTAN WALI,FEROZEPUR</t>
  </si>
  <si>
    <t>PIN:142052,PUNJAB,INDIA</t>
  </si>
  <si>
    <t>Ruvee Bansal</t>
  </si>
  <si>
    <t>AU2065659430925</t>
  </si>
  <si>
    <t>Siddhant Bansal</t>
  </si>
  <si>
    <t>Apeksha  Agarwal</t>
  </si>
  <si>
    <t xml:space="preserve">(V0830476) </t>
  </si>
  <si>
    <t>GH-52,FLAT-402,SECTOR 20</t>
  </si>
  <si>
    <t>PANCHKULA,PANCHKULA</t>
  </si>
  <si>
    <t>PIN:134116,HARYANA,INDIA</t>
  </si>
  <si>
    <t>Tanishka Patel</t>
  </si>
  <si>
    <t>AU2065659433125</t>
  </si>
  <si>
    <t>Ashishkumar Dashrathbhai Patel</t>
  </si>
  <si>
    <t>Divya Dineshbhai  Patel</t>
  </si>
  <si>
    <t xml:space="preserve">(S2547604) </t>
  </si>
  <si>
    <t>SAVARIYA VAS,RAMJI MANDIR</t>
  </si>
  <si>
    <t>NAGALPUR,MEHSANA</t>
  </si>
  <si>
    <t>PIN:384001,GUJARAT,INDIA</t>
  </si>
  <si>
    <t>Parisha Saini</t>
  </si>
  <si>
    <t xml:space="preserve">BERWICK MELBOURNE, AUSTRALIA  </t>
  </si>
  <si>
    <t>AU2065659434725</t>
  </si>
  <si>
    <t>Rajat Kumar</t>
  </si>
  <si>
    <t>Kirti </t>
  </si>
  <si>
    <t xml:space="preserve">(R7071256) </t>
  </si>
  <si>
    <t>RAVIDASS MANDIR</t>
  </si>
  <si>
    <t>VILLAGE SANGOHI P.O SANGOHA,KARNAL</t>
  </si>
  <si>
    <t>Zorawar Singh Dhillon</t>
  </si>
  <si>
    <t xml:space="preserve">FRANKSTON, AUSTRALIA </t>
  </si>
  <si>
    <t>AU2065659436525</t>
  </si>
  <si>
    <t>Sharandeep Singh Dhillon</t>
  </si>
  <si>
    <t>Gurpreet Kaur </t>
  </si>
  <si>
    <t xml:space="preserve">(X9181845) </t>
  </si>
  <si>
    <t>VPO GUDDARH DHANDI TEHSIL</t>
  </si>
  <si>
    <t>GURU HARSAHAI,FEROZEPUR</t>
  </si>
  <si>
    <t>PIN:152022,PUNJAB,INDIA</t>
  </si>
  <si>
    <t>Atharv Munigala</t>
  </si>
  <si>
    <t>AU2065659438525</t>
  </si>
  <si>
    <t>Raghavender Munigala</t>
  </si>
  <si>
    <t>Redhima  Gampa</t>
  </si>
  <si>
    <t xml:space="preserve">(N7983472) </t>
  </si>
  <si>
    <t>H-NO:15-68,RTC COLONY,POTHREDDIPALLE</t>
  </si>
  <si>
    <t>MEDAK,SANGAREDDY</t>
  </si>
  <si>
    <t>PIN:502295,TELANGANA,INDIA</t>
  </si>
  <si>
    <t>Hazel Sharma</t>
  </si>
  <si>
    <t xml:space="preserve">ST ALBANS , AUSTRALIA </t>
  </si>
  <si>
    <t>AU2065659439925</t>
  </si>
  <si>
    <t>Prince Sharma</t>
  </si>
  <si>
    <t>Pallvi  Bali</t>
  </si>
  <si>
    <t>R7996191</t>
  </si>
  <si>
    <t>SUBHASH NAGAR</t>
  </si>
  <si>
    <t>WARD NO 16,GIDDERBAHA,SRI MUKTSAR SAHIB</t>
  </si>
  <si>
    <t>PIN:152101,PUNJAB,INDIA</t>
  </si>
  <si>
    <t>Rudra Sharma</t>
  </si>
  <si>
    <t xml:space="preserve">WERRIBEE, AUSTRALIA  </t>
  </si>
  <si>
    <t>AU2065658123525</t>
  </si>
  <si>
    <t>Varun Sharma</t>
  </si>
  <si>
    <t>Sunita  Makkar</t>
  </si>
  <si>
    <t xml:space="preserve">(I0614931) </t>
  </si>
  <si>
    <t>4537 STREET NUMBER 3 SHIVAJI NAGAR</t>
  </si>
  <si>
    <t>LUDHIANA,LUDHIANA</t>
  </si>
  <si>
    <t>PIN:141008,PUNJAB,INDIA</t>
  </si>
  <si>
    <t>Aryan Javaji</t>
  </si>
  <si>
    <t xml:space="preserve">HEIDELBERG , AUSTRALIA </t>
  </si>
  <si>
    <t>AU2065658125125</t>
  </si>
  <si>
    <t>Hemanth Javaji</t>
  </si>
  <si>
    <t>Keerthi  Yedla</t>
  </si>
  <si>
    <t xml:space="preserve">(U8549793) </t>
  </si>
  <si>
    <t>12-11-451</t>
  </si>
  <si>
    <t>WARASIGUDA,HYDERABAD</t>
  </si>
  <si>
    <t>PIN:500061,TELANGANA,INDIA</t>
  </si>
  <si>
    <t>Joseph Binto</t>
  </si>
  <si>
    <t xml:space="preserve">CLAYTON , AUSTRALIA  </t>
  </si>
  <si>
    <t>AU2065658130925</t>
  </si>
  <si>
    <t>Binto Jacob</t>
  </si>
  <si>
    <t>Riya Mary  Mathew</t>
  </si>
  <si>
    <t xml:space="preserve">(V7101234) </t>
  </si>
  <si>
    <t>588(11/215) KUZHIKKATTIL HOUSE</t>
  </si>
  <si>
    <t>KALAMPOOR PO PIRAVOM,ERNAKULAM</t>
  </si>
  <si>
    <t>PIN:686664,KERALA,INDIA</t>
  </si>
  <si>
    <t>Philip Binto</t>
  </si>
  <si>
    <t>AU2065658133925</t>
  </si>
  <si>
    <t>Vairin Madaan</t>
  </si>
  <si>
    <t xml:space="preserve">BERWICK , AUSTRALIA  </t>
  </si>
  <si>
    <t>AU2065658139125</t>
  </si>
  <si>
    <t>Nitin Madaan</t>
  </si>
  <si>
    <t>Deepika Madaan </t>
  </si>
  <si>
    <t xml:space="preserve">(U8396915) </t>
  </si>
  <si>
    <t>D2/A,50C</t>
  </si>
  <si>
    <t>JANAKPURI,DELHI</t>
  </si>
  <si>
    <t>PIN:110058,DELHI,INDIA</t>
  </si>
  <si>
    <t>Nayra Harsh Patel</t>
  </si>
  <si>
    <t>AU2065658140125</t>
  </si>
  <si>
    <t>Harsh Kirtibhai Patel</t>
  </si>
  <si>
    <t>Roma Harsh  Patel</t>
  </si>
  <si>
    <t xml:space="preserve">(Y4888686) </t>
  </si>
  <si>
    <t>A/7 SAROVAR ANEXEE OPP ICHHABEN VADI</t>
  </si>
  <si>
    <t>KANKARIA MANINAGAR,AHMEDABAD</t>
  </si>
  <si>
    <t>PIN:380008,GUJARAT,INDIA</t>
  </si>
  <si>
    <t>Bala Guhan Prabu</t>
  </si>
  <si>
    <t>AU2065658137125</t>
  </si>
  <si>
    <t>Prabu Thangarasu</t>
  </si>
  <si>
    <t>Saravana Priya  Ravichandran</t>
  </si>
  <si>
    <t xml:space="preserve">B6752570) </t>
  </si>
  <si>
    <t>1/233,AMMAN KOVIL STREET</t>
  </si>
  <si>
    <t>POTTANAM,NAMAKKAL</t>
  </si>
  <si>
    <t>PIN:637409,TAMIL NADU,INDIA</t>
  </si>
  <si>
    <t xml:space="preserve">OJAS MOKSH REDDY BORAMPETA  </t>
  </si>
  <si>
    <t xml:space="preserve">AU2EC5672709525 </t>
  </si>
  <si>
    <t xml:space="preserve">NISHANTH REDDY BORAMPETA  </t>
  </si>
  <si>
    <t xml:space="preserve">NAGA DIVYA DEVI KALIDINDI  </t>
  </si>
  <si>
    <t xml:space="preserve">X1024378  </t>
  </si>
  <si>
    <t xml:space="preserve">1-1-54/54 SUBRAHMANYA NAGAR COLONY, KAPRA </t>
  </si>
  <si>
    <t xml:space="preserve">ECIL POST, RACHAKONDA-MEDCHAL </t>
  </si>
  <si>
    <t xml:space="preserve">TELANGANA - 500062, INDIA  </t>
  </si>
  <si>
    <t>VEER SHAH</t>
  </si>
  <si>
    <t>GEELONG, AUSTRALIA</t>
  </si>
  <si>
    <t>AU2065655248325</t>
  </si>
  <si>
    <t>SAGARKUMAR NATWARLAL SHAH</t>
  </si>
  <si>
    <t>ARPITABEN SAGARKUMAR SHAH </t>
  </si>
  <si>
    <t>(U0063593)</t>
  </si>
  <si>
    <t>G-502,SATATYA AVENUE</t>
  </si>
  <si>
    <t>NEW RANIP,AHMEDABAD</t>
  </si>
  <si>
    <t>PIN:382480,GUJARAT,INDIA</t>
  </si>
  <si>
    <t>YUVIN TOMAR</t>
  </si>
  <si>
    <t>CLAYTON, AUSTRALIA</t>
  </si>
  <si>
    <t>AU2065655248525</t>
  </si>
  <si>
    <t>NIKHIL TOMAR</t>
  </si>
  <si>
    <t>KIRAN</t>
  </si>
  <si>
    <t>(T9708906)</t>
  </si>
  <si>
    <t>HOUSE NO 245,GALI NO 5</t>
  </si>
  <si>
    <t>VASANT VIHAR ,KARNAL,KARNAL</t>
  </si>
  <si>
    <t>VAMIKA NAYAK DARAVATH</t>
  </si>
  <si>
    <t>BACCHUS MARSH, AUSTRALIA</t>
  </si>
  <si>
    <t>AU2065655248925</t>
  </si>
  <si>
    <t>SHEKAR NAYAK DARAVATH</t>
  </si>
  <si>
    <t>DIVYA BHARATHI NAIK DARAVATH</t>
  </si>
  <si>
    <t>C7352471)</t>
  </si>
  <si>
    <t>1-1/13/4/F/2/1 VIDHYA NAGAR</t>
  </si>
  <si>
    <t>BHEEMGAL,NIZAMABAD</t>
  </si>
  <si>
    <t>PIN:503307,TELANGANA,INDIA</t>
  </si>
  <si>
    <t>WARIS SINGH SANDHU</t>
  </si>
  <si>
    <t>CLAYTON, AUSTRALIA </t>
  </si>
  <si>
    <t>AU2065655249525</t>
  </si>
  <si>
    <t>RAJWINDER SINGH SANDHU </t>
  </si>
  <si>
    <t>RAJDEEP KAUR</t>
  </si>
  <si>
    <t>(V0677528)</t>
  </si>
  <si>
    <t>NEAR WATER BOX TANK</t>
  </si>
  <si>
    <t>KAMIANA,FARIDKOT</t>
  </si>
  <si>
    <t>PIN:151203,PUNJAB,INDIA</t>
  </si>
  <si>
    <t>GURASEES KAUR</t>
  </si>
  <si>
    <t>BERWICK, AUSTRALIA</t>
  </si>
  <si>
    <t>AU2065655250325</t>
  </si>
  <si>
    <t>MALKEET SINGH</t>
  </si>
  <si>
    <t>MANDEEP KAUR</t>
  </si>
  <si>
    <t>U0125373</t>
  </si>
  <si>
    <t>V.P.O LADHEWAL</t>
  </si>
  <si>
    <t>TEH AND DISTT,AMRITSAR</t>
  </si>
  <si>
    <t>PIN:143107,PUNJAB,INDIA</t>
  </si>
  <si>
    <t>VYOM JAIMINKUMAR PATEL</t>
  </si>
  <si>
    <t>21/07/2025 </t>
  </si>
  <si>
    <t>AU2065655250725</t>
  </si>
  <si>
    <t>JAIMINKUMAR KANUBHAI PATEL</t>
  </si>
  <si>
    <t>KOMALBAHEN JAIMINKUMAR PATEL</t>
  </si>
  <si>
    <t>X4319626</t>
  </si>
  <si>
    <t>D1-104,FORTUNE AMPIRE,BORISANA ROAD</t>
  </si>
  <si>
    <t>KALOL,GANDHINAGAR</t>
  </si>
  <si>
    <t>PIN:382721,GUJARAT,INDIA</t>
  </si>
  <si>
    <t>ZORAWAR SINGH SUBEDAR</t>
  </si>
  <si>
    <t>CANBERRA ACT, AUSTRALIA</t>
  </si>
  <si>
    <t>AU2065655251525</t>
  </si>
  <si>
    <t>PARDEEP SINGH</t>
  </si>
  <si>
    <t>TALJINDER KAUR</t>
  </si>
  <si>
    <t>S8555609</t>
  </si>
  <si>
    <t>VILL JATI MAJRA</t>
  </si>
  <si>
    <t>PO HIMTANA TEH DHURI DISTT,SANGRUR</t>
  </si>
  <si>
    <t>PIN:148023,PUNJAB,INDIA</t>
  </si>
  <si>
    <t>SARAH MARIAM RICHY</t>
  </si>
  <si>
    <t>HOBART, AUSTRALIA</t>
  </si>
  <si>
    <t>AU2065656456925</t>
  </si>
  <si>
    <t>RICHY ALEX MATHEW</t>
  </si>
  <si>
    <t>CHRISTINA MATHEWS</t>
  </si>
  <si>
    <t>S6910969</t>
  </si>
  <si>
    <t>CHEERAMATTATHU HOUSE,PUNNAVELI PO</t>
  </si>
  <si>
    <t>MULAYAMVELI,NEDUMKUNNAM,KOTTAYAM</t>
  </si>
  <si>
    <t>PIN:689589,KERALA,INDIA</t>
  </si>
  <si>
    <t>PAVIT KAUR SANDHU</t>
  </si>
  <si>
    <t>30/05/2025 </t>
  </si>
  <si>
    <t>WERRIBEE, AUSTRALIA</t>
  </si>
  <si>
    <t>AU2065656457125</t>
  </si>
  <si>
    <t>ARPANDEEP SINGH SANDHU</t>
  </si>
  <si>
    <t>NAVJOT KAUR SANDHU </t>
  </si>
  <si>
    <t>P4243544</t>
  </si>
  <si>
    <t>VILL MAUJGARH</t>
  </si>
  <si>
    <t>PO KAILA,MOGA</t>
  </si>
  <si>
    <t>PIN:142042,PUNJAB,INDIA</t>
  </si>
  <si>
    <t>RAUNAK KAUR</t>
  </si>
  <si>
    <t>FRANKSTON, AUSTRALIA</t>
  </si>
  <si>
    <t>AU2065656457325</t>
  </si>
  <si>
    <t>PARAMJEET SINGH </t>
  </si>
  <si>
    <t>PARMINDER KAUR</t>
  </si>
  <si>
    <t>U6991388</t>
  </si>
  <si>
    <t>VPO KHAIRA</t>
  </si>
  <si>
    <t>TEHSIL PHILLAUR,JALANDHAR</t>
  </si>
  <si>
    <t>PIN:144410,PUNJAB,INDIA</t>
  </si>
  <si>
    <t>MISHA PATEL</t>
  </si>
  <si>
    <t>BALLARAT CENTRAL, AUSTRALIA</t>
  </si>
  <si>
    <t>AU2065656457525</t>
  </si>
  <si>
    <t>HARSH ASHWINKUMAR PATEL</t>
  </si>
  <si>
    <t>MITWA HEMANTBHAI JOSHI</t>
  </si>
  <si>
    <t>V8383506</t>
  </si>
  <si>
    <t>3 NITYANANDINI SOCIETY PART-1</t>
  </si>
  <si>
    <t>GHATLODIA,AHMEDABAD</t>
  </si>
  <si>
    <t>PIN:380061,GUJARAT,INDIA</t>
  </si>
  <si>
    <t>NADAR KAUR</t>
  </si>
  <si>
    <t>AU2065656457725</t>
  </si>
  <si>
    <t>MALKIT SINGH</t>
  </si>
  <si>
    <t>EMANPREET KAUR</t>
  </si>
  <si>
    <t>S7294995</t>
  </si>
  <si>
    <t>VILL SANGRAI PO PANJGRAIN</t>
  </si>
  <si>
    <t>TEHSIL BATALA,GURDASPUR</t>
  </si>
  <si>
    <t>AVY SINGH</t>
  </si>
  <si>
    <t>EPPING VICTORIA, AUSTRALIA</t>
  </si>
  <si>
    <t>AU2065656457925</t>
  </si>
  <si>
    <t>DAWINDER SINGH</t>
  </si>
  <si>
    <t>W7797834</t>
  </si>
  <si>
    <t>VILL. PANDORI LUBANA</t>
  </si>
  <si>
    <t>PO PANDORI WARRAICH,AMRITSAR</t>
  </si>
  <si>
    <t>PIN:143008,PUNJAB,INDIA</t>
  </si>
  <si>
    <t>VIHA JANJIRALA</t>
  </si>
  <si>
    <t>WESTMEAD, AUSTRALIA</t>
  </si>
  <si>
    <t>AU2065656458325</t>
  </si>
  <si>
    <t>SHIVA JANJIRALA</t>
  </si>
  <si>
    <t>VAISHNAVI DESHAMONI</t>
  </si>
  <si>
    <t>X4314692</t>
  </si>
  <si>
    <t>H NO 19-1-529 UMDA BAZAR</t>
  </si>
  <si>
    <t>DOODH BOWLI,HYDERABAD</t>
  </si>
  <si>
    <t>PIN:500064,TELANGANA,INDIA</t>
  </si>
  <si>
    <t>SIDIKSHA SHIVAPRASAD</t>
  </si>
  <si>
    <t>AU2065656458725</t>
  </si>
  <si>
    <t>SHIVAPRASAD MALLAPPA HOLAGUNDI</t>
  </si>
  <si>
    <t>CHAITRA IRANI SHETTRU</t>
  </si>
  <si>
    <t>S6335181</t>
  </si>
  <si>
    <t>1556/57,1ST MAIN,15TH CROSS,VINOBHANAGARA</t>
  </si>
  <si>
    <t>DAVANGERE,DAVANGERE</t>
  </si>
  <si>
    <t>PIN:577006,KARNATAKA,INDIA</t>
  </si>
  <si>
    <t>AJOONI KAUR</t>
  </si>
  <si>
    <t>AU2065656458925</t>
  </si>
  <si>
    <t>DAVINDER SINGH</t>
  </si>
  <si>
    <t>LOVEPREET KAUR</t>
  </si>
  <si>
    <t>V9118008</t>
  </si>
  <si>
    <t>37 KAILASH PURI COLONY ALOHRAN GATE</t>
  </si>
  <si>
    <t>NABHA,PATIALA</t>
  </si>
  <si>
    <t>PIN:147201,PUNJAB,INDIA</t>
  </si>
  <si>
    <t>SUKHRAJ KAUR</t>
  </si>
  <si>
    <t>PARKVILLE, AUSTRALIA</t>
  </si>
  <si>
    <t>AU2065656459325</t>
  </si>
  <si>
    <t>KARANBIR SINGH</t>
  </si>
  <si>
    <t>DIKSHA CHAUDHARY</t>
  </si>
  <si>
    <t>W1159646</t>
  </si>
  <si>
    <t>HOUSE NO. 1226/1</t>
  </si>
  <si>
    <t>SECTOR 19B,CHANDIGARH</t>
  </si>
  <si>
    <t>PIN:160009,CHANDIGARH,INDIA</t>
  </si>
  <si>
    <t>AVITAAZ SINGH GARCHA</t>
  </si>
  <si>
    <t>BACCHUS MARSH MELBOURNE, AUSTRALIA</t>
  </si>
  <si>
    <t>AU2065656459725</t>
  </si>
  <si>
    <t>CHARANJOT SINGH</t>
  </si>
  <si>
    <t>MUSKANPREET KAUR</t>
  </si>
  <si>
    <t>S4137450</t>
  </si>
  <si>
    <t>VILL KOTLI KHAKHIAN</t>
  </si>
  <si>
    <t>PO MANDHALI,JALANDHAR</t>
  </si>
  <si>
    <t>PIN:144502,PUNJAB,INDIA</t>
  </si>
  <si>
    <t>HARLEEN KAUR MAHAL</t>
  </si>
  <si>
    <t>SHEPPARTON, AUSTRALIA</t>
  </si>
  <si>
    <t>AU2065656459925</t>
  </si>
  <si>
    <t>IQBAL SINGH MAHAL</t>
  </si>
  <si>
    <t>JAGROOP KAUR</t>
  </si>
  <si>
    <t>S7040407</t>
  </si>
  <si>
    <t>VILL BHAGWANPUR PATTI MAHAL PO KOTLI SURAT MALHI</t>
  </si>
  <si>
    <t>TEH DERA BABA NANAK,GURDASPUR</t>
  </si>
  <si>
    <t>PIN:143605,PUNJAB,INDIA</t>
  </si>
  <si>
    <t>IMAANVIR SINGH PABLA</t>
  </si>
  <si>
    <t>WERRIBEE, AUSTRALIA </t>
  </si>
  <si>
    <t>AU2065656460125</t>
  </si>
  <si>
    <t>GURPREET SINGH</t>
  </si>
  <si>
    <t>HARKAMAL KAUR</t>
  </si>
  <si>
    <t>V8389481</t>
  </si>
  <si>
    <t>NEAR MELA SINGH KARYANA STORE</t>
  </si>
  <si>
    <t>LANGROYA,SBS NAGAR</t>
  </si>
  <si>
    <t>PIN:144516,PUNJAB,INDIA</t>
  </si>
  <si>
    <t>PARV SAINI</t>
  </si>
  <si>
    <t>AU2065656460325</t>
  </si>
  <si>
    <t>VIKAS </t>
  </si>
  <si>
    <t>SIMRANJEET KAUR</t>
  </si>
  <si>
    <t>V9557591</t>
  </si>
  <si>
    <t>VILLAGE AURANGABAD</t>
  </si>
  <si>
    <t>TEHSIL JAGADHRI,YAMUNANAGAR</t>
  </si>
  <si>
    <t>AMBER KAUR RANDHAWA</t>
  </si>
  <si>
    <t>ST ALBANS, AUSTRALIA </t>
  </si>
  <si>
    <t>AU2065656485125</t>
  </si>
  <si>
    <t>MANRAJ SINGH</t>
  </si>
  <si>
    <t>JOBANJIT KAUR</t>
  </si>
  <si>
    <t>V9057277</t>
  </si>
  <si>
    <t>NIJAM PURA HAULIAN,AMRITSAR</t>
  </si>
  <si>
    <t>PIN:143603,PUNJAB,INDIA</t>
  </si>
  <si>
    <t>RANBIR SINGH</t>
  </si>
  <si>
    <t>EPPING, AUSTRALIA</t>
  </si>
  <si>
    <t>AU2065656485525</t>
  </si>
  <si>
    <t>RUPINDERJIT SINGH</t>
  </si>
  <si>
    <t>VEERPAL KOUR</t>
  </si>
  <si>
    <t>N1453845</t>
  </si>
  <si>
    <t>VPO SIKHWALA</t>
  </si>
  <si>
    <t>TEHSIL MALOUT,SRI MUKTSAR SAHIB</t>
  </si>
  <si>
    <t>PIN:152113,PUNJAB,INDIA</t>
  </si>
  <si>
    <t>ARZAAN AHMED OSMAN</t>
  </si>
  <si>
    <t>AU2065656486125</t>
  </si>
  <si>
    <t>ASRAR AHMED AHSAN</t>
  </si>
  <si>
    <t>FABIHA SULTANA</t>
  </si>
  <si>
    <t>W7044038</t>
  </si>
  <si>
    <t>17-2-181/77 WAHED COLONY</t>
  </si>
  <si>
    <t>ZORAWAR SINGH MANES</t>
  </si>
  <si>
    <t>AU2065656486525</t>
  </si>
  <si>
    <t>MANDEEP SINGH MANES</t>
  </si>
  <si>
    <t>KAMALPREET KAUR</t>
  </si>
  <si>
    <t>V7486587</t>
  </si>
  <si>
    <t>DHARAMKOT ROAD,NEAR BABA ISHER SINGH COLLEGE</t>
  </si>
  <si>
    <t>VPO. KOT ISE KHAN,MOGA</t>
  </si>
  <si>
    <t>PIN:142043,PUNJAB,INDIA</t>
  </si>
  <si>
    <t>SIARA MAHARJAN SINGH</t>
  </si>
  <si>
    <t>AU2065656546325</t>
  </si>
  <si>
    <t>SUKHPREET SINGH</t>
  </si>
  <si>
    <t>PRIYANKA MAHARJAN </t>
  </si>
  <si>
    <t>W7810573</t>
  </si>
  <si>
    <t>HNO 3296/7 BASANT NAGAR</t>
  </si>
  <si>
    <t>ROPAR,ROPAR</t>
  </si>
  <si>
    <t>PIN:140001,PUNJAB,INDIA</t>
  </si>
  <si>
    <t>HAYZEL JOSEPH</t>
  </si>
  <si>
    <t>BALLARAT, AUSTRALIA</t>
  </si>
  <si>
    <t>AU2065656549125</t>
  </si>
  <si>
    <t>RAKESH PARANTHARA VASU</t>
  </si>
  <si>
    <t>NEETHU RAKESH</t>
  </si>
  <si>
    <t>P0466228</t>
  </si>
  <si>
    <t>PARANTHARA HOUSE</t>
  </si>
  <si>
    <t>CHAMPAKARA P.O,KARUKACHAL,KOTTAYAM</t>
  </si>
  <si>
    <t>PIN:686540,KERALA,INDIA</t>
  </si>
  <si>
    <t>MIR SEHBHAAG KAUR SIDHU</t>
  </si>
  <si>
    <t>AU2065656551125</t>
  </si>
  <si>
    <t>SUKHPREET SINGH SIDHU</t>
  </si>
  <si>
    <t>KULDEEP KAUR</t>
  </si>
  <si>
    <t>Y8071306</t>
  </si>
  <si>
    <t>KOTHE AULAKH</t>
  </si>
  <si>
    <t>VILLAGE JETHUKE,BATHINDA</t>
  </si>
  <si>
    <t>PIN:151103,PUNJAB,INDIA</t>
  </si>
  <si>
    <t>HUSSAIN MOHAMMED</t>
  </si>
  <si>
    <t>AU2065656552325</t>
  </si>
  <si>
    <t>MOHAMMED HASAN</t>
  </si>
  <si>
    <t>LUBNA </t>
  </si>
  <si>
    <t>C7186512</t>
  </si>
  <si>
    <t>17-3-3/1/86/A,AZMATH NAGAR</t>
  </si>
  <si>
    <t>KUDRAT KAUR KALER</t>
  </si>
  <si>
    <t>AU2065656553325</t>
  </si>
  <si>
    <t>TALWINDER SINGH</t>
  </si>
  <si>
    <t>SIMARJIT KAUR</t>
  </si>
  <si>
    <t>Y5057483</t>
  </si>
  <si>
    <t>V.P.O - SARWALI,GURDASPUR</t>
  </si>
  <si>
    <t>PIN:143511,PUNJAB,INDIA</t>
  </si>
  <si>
    <t>TAJ SINGH</t>
  </si>
  <si>
    <t>AU2065656554525</t>
  </si>
  <si>
    <t>SUKHWINDER SINGH</t>
  </si>
  <si>
    <t>KULDEEP KAUR BRAR</t>
  </si>
  <si>
    <t>X5414710</t>
  </si>
  <si>
    <t>CHIDA,MOGA</t>
  </si>
  <si>
    <t>PIN:142049,PUNJAB,INDIA</t>
  </si>
  <si>
    <t>GURREHMAT KAUR</t>
  </si>
  <si>
    <t>ST ALBANS, AUSTRALIA</t>
  </si>
  <si>
    <t>AU2065656555725</t>
  </si>
  <si>
    <t>RAMANDEEP SINGH MATHARU</t>
  </si>
  <si>
    <t>PRABHJOT MAHEY</t>
  </si>
  <si>
    <t>W2383645</t>
  </si>
  <si>
    <t>30 NEW SUKHDEV NAGAR</t>
  </si>
  <si>
    <t>JAMALPUR COLONY,LUDHIANA</t>
  </si>
  <si>
    <t>PIN:141010,PUNJAB,INDIA</t>
  </si>
  <si>
    <t>WARIS SINGH MAAN</t>
  </si>
  <si>
    <t>AU2065655252125</t>
  </si>
  <si>
    <t>MASTINDERBIR SINGH</t>
  </si>
  <si>
    <t>KULWINDER KAUR</t>
  </si>
  <si>
    <t>P9512026</t>
  </si>
  <si>
    <t>VPO MAN SANDWAL</t>
  </si>
  <si>
    <t>PIN:143602,PUNJAB,INDIA</t>
  </si>
  <si>
    <t>ELIZA KASHYAP</t>
  </si>
  <si>
    <t>BENDIGO, AUSTRALIA</t>
  </si>
  <si>
    <t>AU2065655252525</t>
  </si>
  <si>
    <t>PALWINDER SINGH</t>
  </si>
  <si>
    <t>MONIKA </t>
  </si>
  <si>
    <t>R5645439</t>
  </si>
  <si>
    <t>H NO 57/5,NEAR AMAR TENT HOUSE</t>
  </si>
  <si>
    <t>NANGAL KOTLI,GURDASPUR</t>
  </si>
  <si>
    <t>PIN:143521,PUNJAB,INDIA</t>
  </si>
  <si>
    <t>JIND KAUR BHANGU</t>
  </si>
  <si>
    <t>29/04/2025 </t>
  </si>
  <si>
    <t>GEELONG, AUSTRALIA </t>
  </si>
  <si>
    <t>AU2065655253125</t>
  </si>
  <si>
    <t>SANDEEP SINGH BHANGU</t>
  </si>
  <si>
    <t>GURPINDER KAUR</t>
  </si>
  <si>
    <t>S3075186</t>
  </si>
  <si>
    <t>VILL.DHANGERA</t>
  </si>
  <si>
    <t>PO. AGOL DISTT,PATIALA</t>
  </si>
  <si>
    <t>PIN:147202,PUNJAB,INDIA</t>
  </si>
  <si>
    <t>REHMAT KAUR</t>
  </si>
  <si>
    <t>AU2065655253525</t>
  </si>
  <si>
    <t>HARPREET SINGH SARAN</t>
  </si>
  <si>
    <t>HARPREET KAUR</t>
  </si>
  <si>
    <t>T3395971</t>
  </si>
  <si>
    <t>MANDIANI,JAGRAON (LUDHIANA)</t>
  </si>
  <si>
    <t>PIN:141101,PUNJAB,INDIA</t>
  </si>
  <si>
    <t>AVANTHIKA SELLABHARATHI</t>
  </si>
  <si>
    <t>AU2065655253725</t>
  </si>
  <si>
    <t>SELLABHARATHI ANNADURAI</t>
  </si>
  <si>
    <t>PRIYA JAYABALAN</t>
  </si>
  <si>
    <t>U8104742</t>
  </si>
  <si>
    <t>383C/8/1,VIP STREET,VASANTHAM NAGAR,PERIYAR</t>
  </si>
  <si>
    <t>NAGAR SOUTH,VIRUDHACHALAM,CUDDALORE</t>
  </si>
  <si>
    <t>PIN:606001,TAMIL NADU,INDIA</t>
  </si>
  <si>
    <t>HOONAR GOGNA</t>
  </si>
  <si>
    <t>AU2065655254325</t>
  </si>
  <si>
    <t>ASHUTOSH GOGNA</t>
  </si>
  <si>
    <t>PRABHJOT MALHOTRA</t>
  </si>
  <si>
    <t>V4695132</t>
  </si>
  <si>
    <t>H.NO. 205</t>
  </si>
  <si>
    <t>GREEN PARK,PATIALA</t>
  </si>
  <si>
    <t>PIN:147001,PUNJAB,INDIA</t>
  </si>
  <si>
    <t>KASHVIK KASHYAP</t>
  </si>
  <si>
    <t>AU2065655254725</t>
  </si>
  <si>
    <t>YASHARTH MISHRA</t>
  </si>
  <si>
    <t>VIJETA JHA</t>
  </si>
  <si>
    <t>P6166562</t>
  </si>
  <si>
    <t>FLAT 4/4 NARAYANI APTT SANTOSHPUR ROAD</t>
  </si>
  <si>
    <t>MAHESTALA,SOUTH 24 PARGANAS</t>
  </si>
  <si>
    <t>PIN:700066,WEST BENGAL,INDIA</t>
  </si>
  <si>
    <t>RUDRA PATEL</t>
  </si>
  <si>
    <t>DANDENONG, AUSTRALIA</t>
  </si>
  <si>
    <t>AU2065655254925</t>
  </si>
  <si>
    <t>NIRAVKUMAR CHANDRAKANT PATEL</t>
  </si>
  <si>
    <t>DIPSIBEN NIRAVKUMAR PATEL</t>
  </si>
  <si>
    <t>X7385383</t>
  </si>
  <si>
    <t>VATODIYU FALIYU</t>
  </si>
  <si>
    <t>RASIKPURA,KHEDA</t>
  </si>
  <si>
    <t>PIN:387560,GUJARAT,INDIA</t>
  </si>
  <si>
    <t>AARIV KUNDAL</t>
  </si>
  <si>
    <t>AU2065655255525</t>
  </si>
  <si>
    <t>RAJDEEP KUNDAL</t>
  </si>
  <si>
    <t>DEEPIKA</t>
  </si>
  <si>
    <t>P9504118</t>
  </si>
  <si>
    <t>H. NO. 49/200 SHASTRI NAGAR</t>
  </si>
  <si>
    <t>BATALA,GURDASPUR</t>
  </si>
  <si>
    <t>PRANIL PATEL</t>
  </si>
  <si>
    <t>AU2065661598725</t>
  </si>
  <si>
    <t>YASH PATEL</t>
  </si>
  <si>
    <t>KRINA YASH PATEL</t>
  </si>
  <si>
    <t>U0866345</t>
  </si>
  <si>
    <t>67 SHREE NARAYANDHAM HEBATPUR ROAD</t>
  </si>
  <si>
    <t>THALTEJ,AHMEDABAD</t>
  </si>
  <si>
    <t>PIN:380059,GUJARAT,INDIA</t>
  </si>
  <si>
    <t>HAROON SHUJAUDDIN MOHAMMED</t>
  </si>
  <si>
    <t>AU2065661598925</t>
  </si>
  <si>
    <t>MOHAMMED SHUJAUDDIN</t>
  </si>
  <si>
    <t>AQSA MOHAMMADI SYEDA</t>
  </si>
  <si>
    <t>P7472107</t>
  </si>
  <si>
    <t>18-8-244/C/38/1 FATEH SHA NAGAR, EDI BAZAR</t>
  </si>
  <si>
    <t>HYDERABAD, HYDERABAD</t>
  </si>
  <si>
    <t xml:space="preserve">PIN:500059, TELANGANA, INDIA </t>
  </si>
  <si>
    <t>GURISHA MANDHAN</t>
  </si>
  <si>
    <t>LENAH VALLEY, AUSTRALIA</t>
  </si>
  <si>
    <t>AU2065661599325</t>
  </si>
  <si>
    <t>SANDEEP KUMAR</t>
  </si>
  <si>
    <t>ANU SHEOKAND</t>
  </si>
  <si>
    <t>W6442367</t>
  </si>
  <si>
    <t>VILLAGE JOGNA KHERA,PO DABKHERI</t>
  </si>
  <si>
    <t>THANESAR,KURUKSHETRA</t>
  </si>
  <si>
    <t>PIN:136119,HARYANA,INDIA</t>
  </si>
  <si>
    <t>ADVIKA YADAV</t>
  </si>
  <si>
    <t>EPPING, AUSTRALIA </t>
  </si>
  <si>
    <t>AU2065661600525</t>
  </si>
  <si>
    <t>ARAJ KOSARIYA</t>
  </si>
  <si>
    <t>PRITI KUMARI YADAV</t>
  </si>
  <si>
    <t>T4122160</t>
  </si>
  <si>
    <t>3/MB/163,INDIRA GANDHI NAGAR,JAGATPURA</t>
  </si>
  <si>
    <t>JAIPUR,JAIPUR</t>
  </si>
  <si>
    <t>PIN:302017,RAJASTHAN,INDIA</t>
  </si>
  <si>
    <t>EILEEN ELIZA VARGHESE</t>
  </si>
  <si>
    <t>AU2065661600925</t>
  </si>
  <si>
    <t>VARGHESE CHACKO</t>
  </si>
  <si>
    <t>TITTY MAREENA GEORGE</t>
  </si>
  <si>
    <t>V1003808</t>
  </si>
  <si>
    <t>VADAKKEPURATHU HOUSE,NIRANAM NORTH P.O</t>
  </si>
  <si>
    <t>THIRUVALLA,PATHANAMTHITTA</t>
  </si>
  <si>
    <t>PIN:689621,KERALA,INDIA</t>
  </si>
  <si>
    <t>AVITAAZ SINGH RANDHAWA</t>
  </si>
  <si>
    <t>AU2065661601125</t>
  </si>
  <si>
    <t>RAMANDEEP KAUR</t>
  </si>
  <si>
    <t>W7056116</t>
  </si>
  <si>
    <t>KHAIRABAD AMRITSAR PUNJAB,AMRITSAR</t>
  </si>
  <si>
    <t>SHABAD KAUR BANIWAL</t>
  </si>
  <si>
    <t>AU2065661601725</t>
  </si>
  <si>
    <t>PARMINDER SINGH BANIWAL</t>
  </si>
  <si>
    <t>Y9477865</t>
  </si>
  <si>
    <t>633,WARD NO.4,NEAR PAUL TYERS</t>
  </si>
  <si>
    <t>RAJPURA,PATIALA</t>
  </si>
  <si>
    <t>KAUSHAL ANAHAT</t>
  </si>
  <si>
    <t>AU2065661602525</t>
  </si>
  <si>
    <t>CHARANDEEP </t>
  </si>
  <si>
    <t>ARADHNA </t>
  </si>
  <si>
    <t>P7685644</t>
  </si>
  <si>
    <t>ST. NO. 1,EKTA ENCLAVE</t>
  </si>
  <si>
    <t>NEAR BULLANWARI CHOWK,HOSHIARPUR</t>
  </si>
  <si>
    <t>PIN:146001,PUNJAB,INDIA</t>
  </si>
  <si>
    <t>SAMRATH KAUR KAMBOJ</t>
  </si>
  <si>
    <t>AU2065664190525</t>
  </si>
  <si>
    <t>GURDEEP SINGH</t>
  </si>
  <si>
    <t>HARJOT KAUR </t>
  </si>
  <si>
    <t xml:space="preserve">(U3112104) </t>
  </si>
  <si>
    <t>HOUSE NO.170,B BLOCK,WARD NO 15</t>
  </si>
  <si>
    <t>ARZOI KAUR</t>
  </si>
  <si>
    <t xml:space="preserve">WODONGA, AUSTRALIA  </t>
  </si>
  <si>
    <t>AU2065664192125</t>
  </si>
  <si>
    <t>GURJOT SINGH SAROYA</t>
  </si>
  <si>
    <t>POONAMPREET  KAUR</t>
  </si>
  <si>
    <t xml:space="preserve">(T2783827) </t>
  </si>
  <si>
    <t>GHAGON RORAN WALI</t>
  </si>
  <si>
    <t>GARHSHANKAR,HOSHIARPUR</t>
  </si>
  <si>
    <t>PIN:144527,PUNJAB,INDIA</t>
  </si>
  <si>
    <t>GURU RISHI NANDHAN MOLKA</t>
  </si>
  <si>
    <t>AU2065664192725</t>
  </si>
  <si>
    <t>SAI SRIKANTH MOLKA</t>
  </si>
  <si>
    <t>GURU SWETHA BANDI </t>
  </si>
  <si>
    <t xml:space="preserve">(Y1386259) </t>
  </si>
  <si>
    <t>15 - 29 EWS 513 ROAD NO 2 KPHB COLONY</t>
  </si>
  <si>
    <t>KUKATPALLY,MEDCHAL</t>
  </si>
  <si>
    <t>PIN:500072,TELANGANA,INDIA</t>
  </si>
  <si>
    <t>AYAAN BUTT</t>
  </si>
  <si>
    <t>AU2065664193725</t>
  </si>
  <si>
    <t>NISHAR KHAN BUTT</t>
  </si>
  <si>
    <t>RAJIA </t>
  </si>
  <si>
    <t xml:space="preserve">(N7321326) </t>
  </si>
  <si>
    <t>VPO CHOWBASS</t>
  </si>
  <si>
    <t>JAKHEPAL,SANGRUR</t>
  </si>
  <si>
    <t>PIN:148028,PUNJAB,INDIA</t>
  </si>
  <si>
    <t>GURNAYAK KAUR</t>
  </si>
  <si>
    <t>AU2065664194525</t>
  </si>
  <si>
    <t>RANJIT SINGH</t>
  </si>
  <si>
    <t>SIMRATPAL KAUR </t>
  </si>
  <si>
    <t xml:space="preserve">(S3067378) </t>
  </si>
  <si>
    <t>VPO BHAKNA KALAN</t>
  </si>
  <si>
    <t>PS GHARNDA DISTT,AMRITSAR</t>
  </si>
  <si>
    <t>WAHENOOR SINGH</t>
  </si>
  <si>
    <t xml:space="preserve">CLAYTON VICTORIA, AUSTRALIA  </t>
  </si>
  <si>
    <t>AU2065641821525</t>
  </si>
  <si>
    <t>LOVEPREET  KAUR</t>
  </si>
  <si>
    <t xml:space="preserve">(N1181851) </t>
  </si>
  <si>
    <t>PALIKA BAZAR</t>
  </si>
  <si>
    <t>BARARA,AMBALA</t>
  </si>
  <si>
    <t>PIN:133201,HARYANA,INDIA</t>
  </si>
  <si>
    <t>HAR PARWAAN SINGH KAHLON</t>
  </si>
  <si>
    <t xml:space="preserve">DANDENONG, AUSTRALIA  </t>
  </si>
  <si>
    <t>AU2065637433725</t>
  </si>
  <si>
    <t>NAVDEEP SINGH</t>
  </si>
  <si>
    <t>HARMANDEEP KAUR </t>
  </si>
  <si>
    <t xml:space="preserve">(I0649374) </t>
  </si>
  <si>
    <t>VPO.KALA AFGANA</t>
  </si>
  <si>
    <t>TEH.BATALA,GURDASPUR</t>
  </si>
  <si>
    <t>PIN:143513,PUNJAB,INDIA</t>
  </si>
  <si>
    <t>AVLEEN KAUR BHANGU</t>
  </si>
  <si>
    <t>AU2065655247725</t>
  </si>
  <si>
    <t>HARVINDER SINGH BHANGU </t>
  </si>
  <si>
    <t>JASPREET KAUR BHANGU </t>
  </si>
  <si>
    <t>(X5275729)</t>
  </si>
  <si>
    <t>HOUSE NO 1063,MANDOFAL ROAD,GALI NUMBER 2</t>
  </si>
  <si>
    <t>MATA GUJRI COLONY,SIRHIND,FATEHGARH SAHIB</t>
  </si>
  <si>
    <t>PIN:140406,PUNJAB,INDIA</t>
  </si>
  <si>
    <t>HARTAJ SINGH GILL</t>
  </si>
  <si>
    <t>AU2065671202125</t>
  </si>
  <si>
    <t>HARVRINDER SINGH GILL</t>
  </si>
  <si>
    <t>TAJINDER KAUR  SARAS</t>
  </si>
  <si>
    <t xml:space="preserve">(P7774477) </t>
  </si>
  <si>
    <t>H.NO 228,S.T NO 6E/2</t>
  </si>
  <si>
    <t>DASHMESH NAGAR,MOGA</t>
  </si>
  <si>
    <t>SAHIB KAUR BARN</t>
  </si>
  <si>
    <t>AU2065666482325</t>
  </si>
  <si>
    <t>MANPREET SINGH</t>
  </si>
  <si>
    <t>GURJEET KAUR </t>
  </si>
  <si>
    <t xml:space="preserve">(R7924341) </t>
  </si>
  <si>
    <t>VPO. GOH</t>
  </si>
  <si>
    <t>TEH. KHANNA,KHANNA (LUDHIANA)</t>
  </si>
  <si>
    <t>PIN:141411,PUNJAB,INDIA</t>
  </si>
  <si>
    <t>KRISHAV SHARMA</t>
  </si>
  <si>
    <t>AU2065666482525</t>
  </si>
  <si>
    <t>PRINCE SHARMA</t>
  </si>
  <si>
    <t>SONIA SHARMA </t>
  </si>
  <si>
    <t xml:space="preserve">(V8989805) </t>
  </si>
  <si>
    <t>VILL. KAMODA</t>
  </si>
  <si>
    <t>DISTT,KURUKSHETRA</t>
  </si>
  <si>
    <t>SAMMAR SINGH GILL</t>
  </si>
  <si>
    <t>AU2065666483125</t>
  </si>
  <si>
    <t>JASPREET SINGH GILL</t>
  </si>
  <si>
    <t>RAJWANT KAUR </t>
  </si>
  <si>
    <t xml:space="preserve">(Y6326532) </t>
  </si>
  <si>
    <t>GP 233</t>
  </si>
  <si>
    <t>JHANDEWALA,MOGA</t>
  </si>
  <si>
    <t>IBADAT KAUR DHILLON</t>
  </si>
  <si>
    <t>AU2065666483525</t>
  </si>
  <si>
    <t>ANMOL DEEP SINGH</t>
  </si>
  <si>
    <t>MANDEEP  KAUR</t>
  </si>
  <si>
    <t xml:space="preserve">(X7605215) </t>
  </si>
  <si>
    <t>H.NO HE 1132,PHASE 1</t>
  </si>
  <si>
    <t>MOHALI,SAS NAGAR</t>
  </si>
  <si>
    <t>PIN:160055,PUNJAB,INDIA</t>
  </si>
  <si>
    <t>GURDAAT SINGH SANDHU</t>
  </si>
  <si>
    <t>AU2065666484125</t>
  </si>
  <si>
    <t>GAGANDEEP SINGH</t>
  </si>
  <si>
    <t>DALJEET KAUR </t>
  </si>
  <si>
    <t xml:space="preserve">(U1514078) </t>
  </si>
  <si>
    <t>VILL. JAGGE WALA PO. SHIANPARI</t>
  </si>
  <si>
    <t>MAKHU,FEROZEPUR</t>
  </si>
  <si>
    <t>PIN:142044,PUNJAB,INDIA</t>
  </si>
  <si>
    <t>RAUNAK KAUR BHANGU</t>
  </si>
  <si>
    <t>AU2065666484525</t>
  </si>
  <si>
    <t>CHANPREET SINGH</t>
  </si>
  <si>
    <t>SATWANT KAUR </t>
  </si>
  <si>
    <t xml:space="preserve">(T4433070) </t>
  </si>
  <si>
    <t>H.NO.475</t>
  </si>
  <si>
    <t>VPO- BALACHOUR,YAMUNANAGAR</t>
  </si>
  <si>
    <t>PIN:135103,HARYANA,INDIA</t>
  </si>
  <si>
    <t>EKNOOR KAUR BHANDOL</t>
  </si>
  <si>
    <t>AU2065666485125</t>
  </si>
  <si>
    <t>SATINDERPAL SINGH BHANDOL</t>
  </si>
  <si>
    <t>HARMANJOT KAUR  BHANDOL</t>
  </si>
  <si>
    <t xml:space="preserve">(P6617117) </t>
  </si>
  <si>
    <t>VPO. RAUWAL</t>
  </si>
  <si>
    <t>TEHSIL,JAGRAON (LUDHIANA)</t>
  </si>
  <si>
    <t>PIN:142033,PUNJAB,INDIA</t>
  </si>
  <si>
    <t>ANGAD SINGH CHEEMA</t>
  </si>
  <si>
    <t xml:space="preserve">GEELONG, AUSTRALIA </t>
  </si>
  <si>
    <t>AU2065666485525</t>
  </si>
  <si>
    <t>HARPALJEET SINGH</t>
  </si>
  <si>
    <t>PAWANDEEP KAUR </t>
  </si>
  <si>
    <t xml:space="preserve">(T9723201) </t>
  </si>
  <si>
    <t>KOTLA BAJJA SINGH,GURDASPUR</t>
  </si>
  <si>
    <t>EVA SINGH</t>
  </si>
  <si>
    <t xml:space="preserve">EAST MELBOURNE, AUSTRALIA  </t>
  </si>
  <si>
    <t>AU2065666486325</t>
  </si>
  <si>
    <t>ESHANT SINGH</t>
  </si>
  <si>
    <t>URVASHI  CHAUHAN</t>
  </si>
  <si>
    <t xml:space="preserve">(Z6374230) </t>
  </si>
  <si>
    <t>FLAT A-502,TOWER 4,SIKKA KIMAYA GREENS,IT PARK</t>
  </si>
  <si>
    <t>NEAR NABARD BANK,DANDA DHORAN,DEHRADUN</t>
  </si>
  <si>
    <t>PIN:248001,UTTARAKHAND,INDIA</t>
  </si>
  <si>
    <t>ANJNEY RAVI PANCHAL</t>
  </si>
  <si>
    <t xml:space="preserve">BOX HILL, AUSTRALIA  </t>
  </si>
  <si>
    <t>AU2065666486925</t>
  </si>
  <si>
    <t>RAVI RAJESHKUMAR PANCHAL</t>
  </si>
  <si>
    <t>SHRUJAL JAYPRAKASHBHAI  PATEL</t>
  </si>
  <si>
    <t xml:space="preserve">(Y8086815) </t>
  </si>
  <si>
    <t>B/804 SATYAMEV SUARYA APARTMENT</t>
  </si>
  <si>
    <t>KOBA,GANDHINAGAR</t>
  </si>
  <si>
    <t>PIN:382007,GUJARAT,INDIA</t>
  </si>
  <si>
    <t>MEHER KAUR DHILLON</t>
  </si>
  <si>
    <t>AU2065666487925</t>
  </si>
  <si>
    <t>BALRAJ SINGH DHILLON</t>
  </si>
  <si>
    <t>HUSANPREET KAUR </t>
  </si>
  <si>
    <t xml:space="preserve">(N2452791) </t>
  </si>
  <si>
    <t>RUPAHERI,SANGRUR</t>
  </si>
  <si>
    <t>PIN:148001,PUNJAB,INDIA</t>
  </si>
  <si>
    <t>KRISHVI MAYANKKUMAR PATEL</t>
  </si>
  <si>
    <t>AU2065666488125</t>
  </si>
  <si>
    <t>MAYANKKUMAR SHAILESHBHAI PATEL</t>
  </si>
  <si>
    <t>PALAKBEN MAYANKKUMAR PATEL </t>
  </si>
  <si>
    <t xml:space="preserve">(S3640473) </t>
  </si>
  <si>
    <t>AT POST SARDARPUR</t>
  </si>
  <si>
    <t>VIJAPUR,MEHSANA</t>
  </si>
  <si>
    <t>PIN:382820,GUJARAT,INDIA</t>
  </si>
  <si>
    <t>AGAMPREET SINGH</t>
  </si>
  <si>
    <t>AU2065666490525</t>
  </si>
  <si>
    <t xml:space="preserve">(R3477427) </t>
  </si>
  <si>
    <t>VILLAGE KOT PATTI,PO. PALLI JHIKKI</t>
  </si>
  <si>
    <t>TEHSIL NAWANSHAHR,SBS NAGAR</t>
  </si>
  <si>
    <t>PIN:144512,PUNJAB,INDIA</t>
  </si>
  <si>
    <t>ADITI SUMUKH BHARADWAJ</t>
  </si>
  <si>
    <t>AU2065666491325</t>
  </si>
  <si>
    <t>SUMUKH BHARADWAJ METIKURKE VASUKI</t>
  </si>
  <si>
    <t>NISCHITHA  TURUVEKERE SRINATH</t>
  </si>
  <si>
    <t xml:space="preserve">(S9363871) </t>
  </si>
  <si>
    <t>NO. 2477,27TH MAIN,15TH CROSS</t>
  </si>
  <si>
    <t>HSR LAYOUT SECTOR-1,BENGALURU,BENGALURU</t>
  </si>
  <si>
    <t>PIN:560102,KARNATAKA,INDIA</t>
  </si>
  <si>
    <t>FAAZ HUSSAYN ALI MOHAMMED</t>
  </si>
  <si>
    <t>AU2065666492125</t>
  </si>
  <si>
    <t>FAROOQ ALI MOHAMMED</t>
  </si>
  <si>
    <t>SYEDA AFREEN SULTANA </t>
  </si>
  <si>
    <t xml:space="preserve">(Y6938055) </t>
  </si>
  <si>
    <t>PLOT NO 40 FLAT NO 302 ROYAL ARCH NEAR ROSARY</t>
  </si>
  <si>
    <t>PRAGATHI NAGAR,MEDCHAL</t>
  </si>
  <si>
    <t>PIN:500090,TELANGANA,INDIA</t>
  </si>
  <si>
    <t>ADVIK NAIN</t>
  </si>
  <si>
    <t>AU2065666492925</t>
  </si>
  <si>
    <t>JUGJEET</t>
  </si>
  <si>
    <t>MANISHA </t>
  </si>
  <si>
    <t xml:space="preserve">(V5927016) </t>
  </si>
  <si>
    <t>VPO GULAHRI,SANGRUR</t>
  </si>
  <si>
    <t>PIN:148027,PUNJAB,INDIA</t>
  </si>
  <si>
    <t>LAVANYA SAINI</t>
  </si>
  <si>
    <t>AU2065666493325</t>
  </si>
  <si>
    <t>NEERAJ SAINI</t>
  </si>
  <si>
    <t>SHIKHA  SAINI</t>
  </si>
  <si>
    <t xml:space="preserve">(S6044500) </t>
  </si>
  <si>
    <t>VPO BIR KALWA,KURUKSHETRA</t>
  </si>
  <si>
    <t>PIN:136156,HARYANA,INDIA</t>
  </si>
  <si>
    <t>AMANAT KAUR</t>
  </si>
  <si>
    <t>AU2065666493925</t>
  </si>
  <si>
    <t>KULVINDER KAUR </t>
  </si>
  <si>
    <t xml:space="preserve">(T9706588) </t>
  </si>
  <si>
    <t>S/O SUCHA SINGH</t>
  </si>
  <si>
    <t>SAID KHERI SUHRON,PATIALA</t>
  </si>
  <si>
    <t>HARNAAZ KOUR</t>
  </si>
  <si>
    <t>AU2065666498125</t>
  </si>
  <si>
    <t>PARAMJEET SINGH</t>
  </si>
  <si>
    <t>PRABHJOT KOUR </t>
  </si>
  <si>
    <t xml:space="preserve">(Y6323392) </t>
  </si>
  <si>
    <t>H NO 498 SEC-3 EXT BASANT VIHAR</t>
  </si>
  <si>
    <t>TRIKUTA NAGAR,JAMMU</t>
  </si>
  <si>
    <t>PIN:180012,JAMMU AND KASHMIR,INDIA</t>
  </si>
  <si>
    <t>EVELYN KAUR</t>
  </si>
  <si>
    <t>AU2065666499525</t>
  </si>
  <si>
    <t>AVTAR SINGH</t>
  </si>
  <si>
    <t>KAMALJEET KAUR </t>
  </si>
  <si>
    <t xml:space="preserve">(S6012616) </t>
  </si>
  <si>
    <t>H NO 267 SEC 22 C SANGATPURA</t>
  </si>
  <si>
    <t>MANDI GOBINDGARH,FATEHGARH SAHIB</t>
  </si>
  <si>
    <t>PIN:147301,PUNJAB,INDIA</t>
  </si>
  <si>
    <t>AU2065666500725</t>
  </si>
  <si>
    <t>KHUSHDEEP SINGH</t>
  </si>
  <si>
    <t>VEERPAL KAUR </t>
  </si>
  <si>
    <t xml:space="preserve">(T1335118) </t>
  </si>
  <si>
    <t>VPO-24-O-BHUTTIWALA</t>
  </si>
  <si>
    <t>TEHSIL-SRIKARANPUR,SRI GANGANAGAR</t>
  </si>
  <si>
    <t>PIN:335073,RAJASTHAN,INDIA</t>
  </si>
  <si>
    <t>HARNAAZ KAUR CHAHAL</t>
  </si>
  <si>
    <t>AU2065666501125</t>
  </si>
  <si>
    <t>HARDAS SINGH</t>
  </si>
  <si>
    <t>SANDEEP KOUR </t>
  </si>
  <si>
    <t xml:space="preserve">(W4362775) </t>
  </si>
  <si>
    <t>HOUSE NO. 83</t>
  </si>
  <si>
    <t>KHIWADIALUWALA ,MANSA,MANSA</t>
  </si>
  <si>
    <t>PIN:151504,PUNJAB,INDIA</t>
  </si>
  <si>
    <t>ROYCE SINGH</t>
  </si>
  <si>
    <t xml:space="preserve">BACCHUS MARSH , AUSTRALIA  </t>
  </si>
  <si>
    <t>AU2065666501925</t>
  </si>
  <si>
    <t>ROSEDEEP SINGH</t>
  </si>
  <si>
    <t>LOVEPREET KAUR </t>
  </si>
  <si>
    <t xml:space="preserve">(U4450030) </t>
  </si>
  <si>
    <t>VILLAGE ALI CHAK PO SAHOWAL</t>
  </si>
  <si>
    <t>TEH DINANAGAR,GURDASPUR</t>
  </si>
  <si>
    <t>PIN:143531,PUNJAB,INDIA</t>
  </si>
  <si>
    <t>GURBAAZ SINGH UPPAL</t>
  </si>
  <si>
    <t>AU2065666503325</t>
  </si>
  <si>
    <t>GURINDER SINGH</t>
  </si>
  <si>
    <t>JASJOT KAUR </t>
  </si>
  <si>
    <t xml:space="preserve">(U7405453) </t>
  </si>
  <si>
    <t>VILLAGE-KALAL MAJRA</t>
  </si>
  <si>
    <t>GANESHPUR,AMBALA</t>
  </si>
  <si>
    <t>PIN:134202,HARYANA,INDIA</t>
  </si>
  <si>
    <t>GURNIWAZ SINGH</t>
  </si>
  <si>
    <t>AU2065666505925</t>
  </si>
  <si>
    <t>MANDEEP SINGH</t>
  </si>
  <si>
    <t>RUPINDER KAUR </t>
  </si>
  <si>
    <t xml:space="preserve">(W2380110) </t>
  </si>
  <si>
    <t>VPO SIWAN MAJRA,AMBALA</t>
  </si>
  <si>
    <t>LAYAL SHAHEEN</t>
  </si>
  <si>
    <t>AU2065666507525</t>
  </si>
  <si>
    <t>SHAHEEN MOHAMED URUNIYAN PARAMBAN</t>
  </si>
  <si>
    <t>FATHIMA RUSHDA  KOLANGARA KANDY</t>
  </si>
  <si>
    <t xml:space="preserve">(V6165459) </t>
  </si>
  <si>
    <t>SEENAS HOUSE,GUEST HOUSE ROAD</t>
  </si>
  <si>
    <t>KAVUNGAL,MALAPPURAM</t>
  </si>
  <si>
    <t>PIN:676505,KERALA,INDIA</t>
  </si>
  <si>
    <t>AU2065666508725</t>
  </si>
  <si>
    <t>PARMINDER SINGH</t>
  </si>
  <si>
    <t>SIMRANJEET KAUR </t>
  </si>
  <si>
    <t xml:space="preserve">(S2497027) </t>
  </si>
  <si>
    <t>VILL SULEHRIAN KHURD</t>
  </si>
  <si>
    <t>PO.TANDA RAM SAHAI,HOSHIARPUR</t>
  </si>
  <si>
    <t>PIN:144214,PUNJAB,INDIA</t>
  </si>
  <si>
    <t>HARNOOR KAUR</t>
  </si>
  <si>
    <t>AU2065666509325</t>
  </si>
  <si>
    <t>BALJINDER SINGH</t>
  </si>
  <si>
    <t>MANINDERJIT KAUR </t>
  </si>
  <si>
    <t xml:space="preserve">(V6401126) </t>
  </si>
  <si>
    <t>D 17/1092 SANDHU COLONY PI B/S INDO PIPE</t>
  </si>
  <si>
    <t>CHHEHARTA,AMRITSAR</t>
  </si>
  <si>
    <t>MANSHER SINGH SANDHU</t>
  </si>
  <si>
    <t xml:space="preserve">MOUNT WAVERLEY, AUSTRALIA  </t>
  </si>
  <si>
    <t>AU2065666509925</t>
  </si>
  <si>
    <t>KARANPREET SINGH</t>
  </si>
  <si>
    <t>KIRANJOT KAUR </t>
  </si>
  <si>
    <t xml:space="preserve">(C2355508) </t>
  </si>
  <si>
    <t>GURU RAM DAS COLONY,SANGATPURA ROAD</t>
  </si>
  <si>
    <t>FGC,GURDASPUR</t>
  </si>
  <si>
    <t>DIVYANT SHARMA</t>
  </si>
  <si>
    <t>AU2065666510325</t>
  </si>
  <si>
    <t>PARDEEP SHARMA</t>
  </si>
  <si>
    <t>RITURAJ </t>
  </si>
  <si>
    <t xml:space="preserve">(V2629379) </t>
  </si>
  <si>
    <t>AMIN,KURUKSHETRA</t>
  </si>
  <si>
    <t>PIN:136038,HARYANA,INDIA</t>
  </si>
  <si>
    <t>IBADAT KAUR BUTTAR</t>
  </si>
  <si>
    <t>AU2065666510925</t>
  </si>
  <si>
    <t>AMANJOT SINGH BUTTAR</t>
  </si>
  <si>
    <t>JASDEEP KAUR  THIND</t>
  </si>
  <si>
    <t xml:space="preserve">(U6968360) </t>
  </si>
  <si>
    <t>VILL BURJ NAKLIAN</t>
  </si>
  <si>
    <t>P.O BINJAL TEHSIL RAIKOT,JAGRAON (LUDHIANA)</t>
  </si>
  <si>
    <t>PIN:142032,PUNJAB,INDIA</t>
  </si>
  <si>
    <t>AVIRAJ RANDHAWA</t>
  </si>
  <si>
    <t>AU2065666511525</t>
  </si>
  <si>
    <t>SARBJEET SINGH</t>
  </si>
  <si>
    <t>KARAMJOT KAUR </t>
  </si>
  <si>
    <t xml:space="preserve">(V3736248) </t>
  </si>
  <si>
    <t>H.NO. 37 VILL: GOWARA</t>
  </si>
  <si>
    <t>PO FATTUPUR,GURDASPUR</t>
  </si>
  <si>
    <t>PIN:143512,PUNJAB,INDIA</t>
  </si>
  <si>
    <t>JIND KAUR</t>
  </si>
  <si>
    <t xml:space="preserve">MILDURA, AUSTRALIA </t>
  </si>
  <si>
    <t>AU2065666512125</t>
  </si>
  <si>
    <t>ARVINDER KAUR  BANGA</t>
  </si>
  <si>
    <t xml:space="preserve">(C7352124) </t>
  </si>
  <si>
    <t>VILLAGE MULLIANWAL</t>
  </si>
  <si>
    <t>PO DHARIWAL,GURDASPUR</t>
  </si>
  <si>
    <t>PIN:143519,PUNJAB,INDIA</t>
  </si>
  <si>
    <t>ABARNATHI INDU</t>
  </si>
  <si>
    <t>AU2065666512925</t>
  </si>
  <si>
    <t>NITHEESH KUNNEL SATHIYAN</t>
  </si>
  <si>
    <t>INDULEKHA  PALAKKAL UNNIKRISHNAN</t>
  </si>
  <si>
    <t xml:space="preserve">(U6875589) </t>
  </si>
  <si>
    <t>KUNNEL HOUSE</t>
  </si>
  <si>
    <t>KUMBALANGHI SOUTH P O,ERNAKULAM</t>
  </si>
  <si>
    <t>PIN:682007,KERALA,INDIA</t>
  </si>
  <si>
    <t xml:space="preserve">SAANVI PUNIA  </t>
  </si>
  <si>
    <t xml:space="preserve">AU2065673726525  </t>
  </si>
  <si>
    <t xml:space="preserve">SANDEEP KUMAR  </t>
  </si>
  <si>
    <t xml:space="preserve">PINKY DEVI  </t>
  </si>
  <si>
    <t>P7390166</t>
  </si>
  <si>
    <t xml:space="preserve">VPO BAROTA, </t>
  </si>
  <si>
    <t>DISTT, KARNAL -132001,</t>
  </si>
  <si>
    <t xml:space="preserve">HARYANA, INDIA  </t>
  </si>
  <si>
    <t xml:space="preserve">ABIJOT KAUR BAATH  </t>
  </si>
  <si>
    <t xml:space="preserve">MILDURA, AUSTRALIA  </t>
  </si>
  <si>
    <t xml:space="preserve">AU2065673728725  </t>
  </si>
  <si>
    <t xml:space="preserve">SURJIT SINGH BAATH  </t>
  </si>
  <si>
    <t xml:space="preserve">SUKHWINDER KAUR   </t>
  </si>
  <si>
    <t>S2701180</t>
  </si>
  <si>
    <t>VILLAGE CHAMB, ZIRA,</t>
  </si>
  <si>
    <t>FEROZEPUR -142044,</t>
  </si>
  <si>
    <t xml:space="preserve">  PUNJAB, INDIA  </t>
  </si>
  <si>
    <t>AGAMJOT KAUR</t>
  </si>
  <si>
    <t>AU2065673729325</t>
  </si>
  <si>
    <t>GURINDER BIR SINGH</t>
  </si>
  <si>
    <t>BHUPINDER KAUR </t>
  </si>
  <si>
    <t xml:space="preserve">(H2844590) </t>
  </si>
  <si>
    <t>VPO. GULALIPUR</t>
  </si>
  <si>
    <t>DISTT.,TARN TARAN</t>
  </si>
  <si>
    <t>DHURUV SAKTHIVEL</t>
  </si>
  <si>
    <t>AU2065669986125</t>
  </si>
  <si>
    <t>SAKTHIVEL PANNEER</t>
  </si>
  <si>
    <t>SARASWATHY  MATHAIYAN</t>
  </si>
  <si>
    <t xml:space="preserve">(V7657786) </t>
  </si>
  <si>
    <t>1/174,VENGAPULIYAN KOTTAI</t>
  </si>
  <si>
    <t>PANNANDUR,KRISHNAGIRI</t>
  </si>
  <si>
    <t>PIN:635123,TAMIL NADU,INDIA</t>
  </si>
  <si>
    <t>RUDRANSH KHATRI</t>
  </si>
  <si>
    <t>AU2065669991725</t>
  </si>
  <si>
    <t>MOHIT</t>
  </si>
  <si>
    <t>MUSKAN  GHILORIA</t>
  </si>
  <si>
    <t xml:space="preserve">(W3496257) </t>
  </si>
  <si>
    <t>HOUSE NO.87 WARD NO.1</t>
  </si>
  <si>
    <t>MEHAM,ROHTAK</t>
  </si>
  <si>
    <t>PIN:124112,HARYANA,INDIA</t>
  </si>
  <si>
    <t>AARZA MONGA</t>
  </si>
  <si>
    <t xml:space="preserve">GEELONG MELBOURNE, AUSTRALIA  </t>
  </si>
  <si>
    <t>AU2065669995925</t>
  </si>
  <si>
    <t>SAHIL MONGA</t>
  </si>
  <si>
    <t>RABEENA </t>
  </si>
  <si>
    <t xml:space="preserve">(V3745254) </t>
  </si>
  <si>
    <t>I/S MULTANI GATE,MOHALLA DOLLIAN WALA</t>
  </si>
  <si>
    <t>FEROZEPUR,FEROZEPUR</t>
  </si>
  <si>
    <t>PIN:152002,PUNJAB,INDIA</t>
  </si>
  <si>
    <t>MOMIN HUSSAIN</t>
  </si>
  <si>
    <t>AU2065669999125</t>
  </si>
  <si>
    <t>DILSHAD KHAN</t>
  </si>
  <si>
    <t>KOUSHER </t>
  </si>
  <si>
    <t xml:space="preserve">(R3829069) </t>
  </si>
  <si>
    <t>HOUSE NO 269,SAROUD ROAD,NEAR CHUNGI</t>
  </si>
  <si>
    <t>MALERKOTLA,MALERKOTLA</t>
  </si>
  <si>
    <t>ANANT SINGH</t>
  </si>
  <si>
    <t>AU2065670012325</t>
  </si>
  <si>
    <t>ABHEY SINGH</t>
  </si>
  <si>
    <t>SNEH  PAL</t>
  </si>
  <si>
    <t xml:space="preserve">(S5928076) </t>
  </si>
  <si>
    <t>H.N. 131A</t>
  </si>
  <si>
    <t>NANAKPUR PO BHAMBHOOR,SIRSA</t>
  </si>
  <si>
    <t>PIN:125055,HARYANA,INDIA</t>
  </si>
  <si>
    <t>ABIR SINGH JOSAN</t>
  </si>
  <si>
    <t>AU2065670034725</t>
  </si>
  <si>
    <t>MANPREET SINGH JOSAN</t>
  </si>
  <si>
    <t>NAVNEET  JOSAN</t>
  </si>
  <si>
    <t xml:space="preserve">(S9913323) </t>
  </si>
  <si>
    <t>VILL-11-O,PO- BARINGAN</t>
  </si>
  <si>
    <t>TEH-SRIKARANPUR,SRI GANGANAGAR</t>
  </si>
  <si>
    <t>GURDIDAAR SINGH BEDI</t>
  </si>
  <si>
    <t>AU2065670055925</t>
  </si>
  <si>
    <t>NAVJOT  KAUR</t>
  </si>
  <si>
    <t xml:space="preserve">(U7496995) </t>
  </si>
  <si>
    <t>H.NO.114,STREET NO.3</t>
  </si>
  <si>
    <t>SHAHEED BABU LABH SINGH NAGAR,JALANDHAR</t>
  </si>
  <si>
    <t>RIYAN SINGAREDDY</t>
  </si>
  <si>
    <t>AU2065671197725</t>
  </si>
  <si>
    <t>GOWTHAM REDDY SINGAREDDY</t>
  </si>
  <si>
    <t>MAHA LAKSHMI  KOTHAKOTA</t>
  </si>
  <si>
    <t xml:space="preserve">(X4865018) </t>
  </si>
  <si>
    <t>1-215-B1,N.S NAGAR</t>
  </si>
  <si>
    <t>MARKAPUR,PRAKASAM</t>
  </si>
  <si>
    <t>PIN:523316,ANDHRA PRADESH,INDIA</t>
  </si>
  <si>
    <t>AMAIRA HARSH PATEL</t>
  </si>
  <si>
    <t>AU2065671197925</t>
  </si>
  <si>
    <t>HARSH JIGNASUKUMAR PATEL</t>
  </si>
  <si>
    <t>RUTU KETAN  GANDHI</t>
  </si>
  <si>
    <t xml:space="preserve">(U4697844) </t>
  </si>
  <si>
    <t>A-203 SAHAJBAG APP.,OPP GITABAG SOCIETY</t>
  </si>
  <si>
    <t>PALDI,AHMEDABAD</t>
  </si>
  <si>
    <t>PIN:380007,GUJARAT,INDIA</t>
  </si>
  <si>
    <t>DIKSHAN SHISHIRKUMAR PATEL</t>
  </si>
  <si>
    <t>AU2065671198125</t>
  </si>
  <si>
    <t>SHISHIRKUMAR BHARATBHAI PATEL</t>
  </si>
  <si>
    <t>PAYAL SHISHIRKUMAR  PATEL</t>
  </si>
  <si>
    <t xml:space="preserve">(Y3125929) </t>
  </si>
  <si>
    <t>B/57 SHAKUNTAL SOCIETY</t>
  </si>
  <si>
    <t>PIN:382870,GUJARAT,INDIA</t>
  </si>
  <si>
    <t>NUSAIBAH AIMAN</t>
  </si>
  <si>
    <t>AU2065671198725</t>
  </si>
  <si>
    <t>GHUFRAN UDDIN MOHAMMED</t>
  </si>
  <si>
    <t>RAHELA </t>
  </si>
  <si>
    <t xml:space="preserve">(V4060808) </t>
  </si>
  <si>
    <t>PLOT NO 55,OPP FORTUNE VAJRA,BADANGPET</t>
  </si>
  <si>
    <t>KANCHANBAGH,HYDERABAD</t>
  </si>
  <si>
    <t>PIN:500058,TELANGANA,INDIA</t>
  </si>
  <si>
    <t>RABAB KAUR</t>
  </si>
  <si>
    <t xml:space="preserve">BERWICK, AUSTRALIA </t>
  </si>
  <si>
    <t>AU2065671326325</t>
  </si>
  <si>
    <t>GURBAKASH SINGH</t>
  </si>
  <si>
    <t>SANDEEP KAUR </t>
  </si>
  <si>
    <t xml:space="preserve">(T3890775) </t>
  </si>
  <si>
    <t>H NO 76</t>
  </si>
  <si>
    <t>VPO ATTARI,AMRITSAR</t>
  </si>
  <si>
    <t>PIN:143108,PUNJAB,INDIA</t>
  </si>
  <si>
    <t>ASEES KAUR</t>
  </si>
  <si>
    <t>AU2065671327725</t>
  </si>
  <si>
    <t>LOVEPREET SINGH</t>
  </si>
  <si>
    <t>SIMRANJEET  KAUR</t>
  </si>
  <si>
    <t xml:space="preserve">(T2524849) </t>
  </si>
  <si>
    <t>04 TAPA MAKRANDPUR</t>
  </si>
  <si>
    <t>PURANPUR,PILIBHIT</t>
  </si>
  <si>
    <t>PIN:262122,UTTAR PRADESH,INDIA</t>
  </si>
  <si>
    <t>ANAYA KADIAN</t>
  </si>
  <si>
    <t>AU2065661600325</t>
  </si>
  <si>
    <t>SUDHIR</t>
  </si>
  <si>
    <t>SUNAINA </t>
  </si>
  <si>
    <t xml:space="preserve">(B6748554) </t>
  </si>
  <si>
    <t>NARKATARI,KURUKSHETRA</t>
  </si>
  <si>
    <t>KARTHIK CHALUVADI</t>
  </si>
  <si>
    <t>AU2065671330125</t>
  </si>
  <si>
    <t>EASWAR VENKATA GOWTHAM CHALUVADI</t>
  </si>
  <si>
    <t>LAKSHMI PRIYANKA  CHALUVADI</t>
  </si>
  <si>
    <t xml:space="preserve">(W2385014) </t>
  </si>
  <si>
    <t>6-2-3/1 NYAPATHIVARI STREET</t>
  </si>
  <si>
    <t>RAJAHMUNDRY,EAST GODAVARI</t>
  </si>
  <si>
    <t>PIN:533101,ANDHRA PRADESH,INDIA</t>
  </si>
  <si>
    <t>VRISHANK REDDY DASARI</t>
  </si>
  <si>
    <t>AU2065671332925</t>
  </si>
  <si>
    <t>DHANA VARDHAN REDDY DASARI</t>
  </si>
  <si>
    <t>NAVYA REDDY  SAMA</t>
  </si>
  <si>
    <t xml:space="preserve">(N7099968) </t>
  </si>
  <si>
    <t>12-8/3 PLOT NO 52,SAI SAMRAT NAGAR</t>
  </si>
  <si>
    <t>JILLELGUDA,RANGAREDDY</t>
  </si>
  <si>
    <t>PIN:500097,TELANGANA,INDIA</t>
  </si>
  <si>
    <t>ANAND KAUR</t>
  </si>
  <si>
    <t xml:space="preserve">FOSTER, AUSTRALIA </t>
  </si>
  <si>
    <t>AU2065671336725</t>
  </si>
  <si>
    <t>GURINDER SINGH BRAR</t>
  </si>
  <si>
    <t>AMANDEEP KAUR </t>
  </si>
  <si>
    <t xml:space="preserve">(Y6927537) </t>
  </si>
  <si>
    <t>VPO DHINDSA,FEROZEPUR</t>
  </si>
  <si>
    <t>MANSIFAT KAUR</t>
  </si>
  <si>
    <t>AU2065671337525</t>
  </si>
  <si>
    <t>INDER PAL SINGH</t>
  </si>
  <si>
    <t>INDERPREET  KAUR</t>
  </si>
  <si>
    <t xml:space="preserve">(S6642948) </t>
  </si>
  <si>
    <t>A-78</t>
  </si>
  <si>
    <t>PANDAV NAGAR OPP MOTHER DAIRY,DELHI</t>
  </si>
  <si>
    <t>JASMAIRA KOUR</t>
  </si>
  <si>
    <t xml:space="preserve">BELLA VISTA, AUSTRALIA  </t>
  </si>
  <si>
    <t>AU2065672394925</t>
  </si>
  <si>
    <t>JATINDERPAL SINGH</t>
  </si>
  <si>
    <t>GURJOT KOUR </t>
  </si>
  <si>
    <t xml:space="preserve">(N7228017) </t>
  </si>
  <si>
    <t>R/O LINK ROAD SIMBAL</t>
  </si>
  <si>
    <t>P.O RATTIAN,TEH R S PURA,JAMMU</t>
  </si>
  <si>
    <t>PIN:181105,JAMMU AND KASHMIR,INDIA</t>
  </si>
  <si>
    <t>SAHIRA PANJLA</t>
  </si>
  <si>
    <t>AU2065672395525</t>
  </si>
  <si>
    <t>RITISH PANJLA</t>
  </si>
  <si>
    <t>PREETI  BAMBA</t>
  </si>
  <si>
    <t xml:space="preserve">(N5641359) </t>
  </si>
  <si>
    <t>H.NO. 49,GALI NO. 14,GOBINDPURA</t>
  </si>
  <si>
    <t>PO RAYON AND SILK MILLS,AMRITSAR</t>
  </si>
  <si>
    <t>PIN:143104,PUNJAB,INDIA</t>
  </si>
  <si>
    <t>DHRITI YEMULA</t>
  </si>
  <si>
    <t>AU2065672395925</t>
  </si>
  <si>
    <t>NAGENDRA BABU YEMULA</t>
  </si>
  <si>
    <t>SHRUTHI  KUDEKALA</t>
  </si>
  <si>
    <t xml:space="preserve">(Z5981835) </t>
  </si>
  <si>
    <t>1-105/4</t>
  </si>
  <si>
    <t>SIRPOOR VILLAGE,NIZAMABAD</t>
  </si>
  <si>
    <t>PIN:503230,TELANGANA,INDIA</t>
  </si>
  <si>
    <t>AMBER KAUR</t>
  </si>
  <si>
    <t>AU2065672396325</t>
  </si>
  <si>
    <t>RAVIPAL</t>
  </si>
  <si>
    <t xml:space="preserve">(AD173448) </t>
  </si>
  <si>
    <t>VPO MALRI</t>
  </si>
  <si>
    <t>NAKODAR,JALANDHAR</t>
  </si>
  <si>
    <t>PIN:144042,PUNJAB,INDIA</t>
  </si>
  <si>
    <t>DEVISHREE TATSAT BRAHMBHATT</t>
  </si>
  <si>
    <t xml:space="preserve">MALVERN, AUSTRALIA </t>
  </si>
  <si>
    <t>AU2065672397125</t>
  </si>
  <si>
    <t>TATSAT MAYANKBHAI BRAHMBHATT</t>
  </si>
  <si>
    <t>CHINTAL TATSAT  BRAHMBHATT</t>
  </si>
  <si>
    <t xml:space="preserve">(C7349923) </t>
  </si>
  <si>
    <t>41,JAYNAGAR SOCIETY NR. RAMBAUG</t>
  </si>
  <si>
    <t>MANINAGAR,AHMEDABAD</t>
  </si>
  <si>
    <t>GURNAV SINGH PANNU</t>
  </si>
  <si>
    <t>AU2065672434325</t>
  </si>
  <si>
    <t>TAJINDERPAL SINGH PANNU</t>
  </si>
  <si>
    <t>NAVNEET  KAUR</t>
  </si>
  <si>
    <t xml:space="preserve">(V0664760) </t>
  </si>
  <si>
    <t>VILL. MOHAN BHANDARIAN</t>
  </si>
  <si>
    <t>PO CHETANPURA TEH. AJNALA,AMRITSAR</t>
  </si>
  <si>
    <t>JISHNU BETHAPUDI</t>
  </si>
  <si>
    <t>AU2065672434525</t>
  </si>
  <si>
    <t>HARISH KUMAR BETHAPUDI</t>
  </si>
  <si>
    <t>CHINMAI SWARAJ  CHEPURI</t>
  </si>
  <si>
    <t xml:space="preserve">(T3490076) </t>
  </si>
  <si>
    <t>FLAT NO 204,VIJAYA TOWERS 1ST LINE</t>
  </si>
  <si>
    <t>LAKSHMIPURAM,GUNTUR,GUNTUR</t>
  </si>
  <si>
    <t>PIN:522007,ANDHRA PRADESH,INDIA</t>
  </si>
  <si>
    <t>AVIRA RISHI</t>
  </si>
  <si>
    <t>AU2065672434725</t>
  </si>
  <si>
    <t>NITIN RISHI</t>
  </si>
  <si>
    <t>SAGARIKA  SETHI</t>
  </si>
  <si>
    <t xml:space="preserve">(V6069106) </t>
  </si>
  <si>
    <t>A704 THE BPTP RESORT</t>
  </si>
  <si>
    <t>SECTOR 75,FARIDABAD</t>
  </si>
  <si>
    <t>PIN:121002,HARYANA,INDIA</t>
  </si>
  <si>
    <t>NIDHAAN SINGH KHEHRA</t>
  </si>
  <si>
    <t>AU2065672434925</t>
  </si>
  <si>
    <t>SARBJIT SINGH</t>
  </si>
  <si>
    <t>HARPREET KAUR </t>
  </si>
  <si>
    <t xml:space="preserve">(W1151368) </t>
  </si>
  <si>
    <t>VPO NAGOKE</t>
  </si>
  <si>
    <t>TEH KHADOOR SAHIB,TARN TARAN</t>
  </si>
  <si>
    <t>PIN:143117,PUNJAB,INDIA</t>
  </si>
  <si>
    <t>DEVANSH SINGH</t>
  </si>
  <si>
    <t xml:space="preserve">WARRNAMBOOL, AUSTRALIA  </t>
  </si>
  <si>
    <t>AU2065672435125</t>
  </si>
  <si>
    <t>AZAD SINGH</t>
  </si>
  <si>
    <t>SARITA DEVI </t>
  </si>
  <si>
    <t xml:space="preserve">(P5729645) </t>
  </si>
  <si>
    <t>NEAR WATER TANK</t>
  </si>
  <si>
    <t>VPO KAIMLA,KARNAL</t>
  </si>
  <si>
    <t>PIN:132114,HARYANA,INDIA</t>
  </si>
  <si>
    <t>AARNIKA REDDY KOTHAPALLY</t>
  </si>
  <si>
    <t>AU2065672435525</t>
  </si>
  <si>
    <t>CHANDRAVARUN REDDY KOTHAPALLY</t>
  </si>
  <si>
    <t>PRATHYUSHA  MALLAPALLY</t>
  </si>
  <si>
    <t xml:space="preserve">(C6728405) </t>
  </si>
  <si>
    <t>15/108/12 BEHIND TELEPHONE EXCHANGE OFFICE</t>
  </si>
  <si>
    <t>NAGARKURNOOL,NAGARKURNOOL</t>
  </si>
  <si>
    <t>PIN:509209,TELANGANA,INDIA</t>
  </si>
  <si>
    <t>AARAV BUJUNURU</t>
  </si>
  <si>
    <t>AU2065672435725</t>
  </si>
  <si>
    <t>SAI SAGAR BUJUNURU</t>
  </si>
  <si>
    <t>SHIVA PRIYA  VINUKONDA</t>
  </si>
  <si>
    <t xml:space="preserve">(R5269847) </t>
  </si>
  <si>
    <t>H.NO:- 1-1-192/1,GANDHI NAGAR,KAPRA</t>
  </si>
  <si>
    <t>ECIL POST,MEDCHAL</t>
  </si>
  <si>
    <t>PIN:500062,TELANGANA,INDIA</t>
  </si>
  <si>
    <t>MEHAR KAUR SANDHU</t>
  </si>
  <si>
    <t>AU2065666501325</t>
  </si>
  <si>
    <t>AMRITDEEP SINGH SANDHU</t>
  </si>
  <si>
    <t>RAMANPREET KAUR </t>
  </si>
  <si>
    <t xml:space="preserve">(V9120683) </t>
  </si>
  <si>
    <t>VPO. BHAKHA TARA SINGH</t>
  </si>
  <si>
    <t>TEH. AJNALA,AMRITSAR</t>
  </si>
  <si>
    <t>PIN:143102,PUNJAB,INDIA</t>
  </si>
  <si>
    <t>ASEES GURBAKSH KAUR</t>
  </si>
  <si>
    <t xml:space="preserve">BACCHUS MARSH VIC, AUSTRALIA </t>
  </si>
  <si>
    <t>AU2065666498925</t>
  </si>
  <si>
    <t>PRIYANKA </t>
  </si>
  <si>
    <t xml:space="preserve">(Y9534863) </t>
  </si>
  <si>
    <t>BALER KHAN PUR,KAPURTHALA</t>
  </si>
  <si>
    <t>PIN:144601,PUNJAB,INDIA</t>
  </si>
  <si>
    <t>AAVYA TANWAR</t>
  </si>
  <si>
    <t>AU2065671334725</t>
  </si>
  <si>
    <t>SHUBHAM TANWAR</t>
  </si>
  <si>
    <t>NISHA  RANI</t>
  </si>
  <si>
    <t xml:space="preserve">(X5307542) </t>
  </si>
  <si>
    <t>H NO. 381 KEORAK</t>
  </si>
  <si>
    <t>BHAYANKAR PATTI,KAITHAL</t>
  </si>
  <si>
    <t>PIN:136027,HARYANA,INDIA</t>
  </si>
  <si>
    <t>ADVIK MANDAL</t>
  </si>
  <si>
    <t>AU2065677662125</t>
  </si>
  <si>
    <t>ABHISEK MANDAL</t>
  </si>
  <si>
    <t>SANGEETA  SEN</t>
  </si>
  <si>
    <t xml:space="preserve">(X4319010) </t>
  </si>
  <si>
    <t>NEAR KASHMAR PRIMARY SCHOOL</t>
  </si>
  <si>
    <t>VILL - KASHMAR,P.O. - CHAKADOBA,JHARGRAM</t>
  </si>
  <si>
    <t>PIN:721501,WEST BENGAL,INDIA</t>
  </si>
  <si>
    <t>AYVENBIR SINGH KHAROUD</t>
  </si>
  <si>
    <t>AU2065677662925</t>
  </si>
  <si>
    <t>LAKHWINDER SINGH</t>
  </si>
  <si>
    <t>PRABHJOT KAUR </t>
  </si>
  <si>
    <t xml:space="preserve">(B6738159) </t>
  </si>
  <si>
    <t>VILL- DANDRALA KHAROUD</t>
  </si>
  <si>
    <t>P.O-DAKAUNDA,PATIALA</t>
  </si>
  <si>
    <t>PIN:147104,PUNJAB,INDIA</t>
  </si>
  <si>
    <t>RABAB KAUR PANNU</t>
  </si>
  <si>
    <t>HOBART, TASMANIA, AUSTRALIA</t>
  </si>
  <si>
    <t>AU2065677665725</t>
  </si>
  <si>
    <t>YUGRAJ SINGH</t>
  </si>
  <si>
    <t xml:space="preserve">(U1332995) </t>
  </si>
  <si>
    <t>MUGHAL CHAK PANNUAN,TEH &amp; DISTT,TARN TARAN</t>
  </si>
  <si>
    <t>ALISHA SHARMA</t>
  </si>
  <si>
    <t>AU2065677667725</t>
  </si>
  <si>
    <t>SOURABH SHARMA</t>
  </si>
  <si>
    <t>NEHA  THAKUR</t>
  </si>
  <si>
    <t xml:space="preserve">(Y4885024) </t>
  </si>
  <si>
    <t>T-3/143 RSD COLONY</t>
  </si>
  <si>
    <t>SHAHPURKANDI TOWNSHIP,PATHANKOT</t>
  </si>
  <si>
    <t>PIN:145029,PUNJAB,INDIA</t>
  </si>
  <si>
    <t>AGAM SINGH BHINDER</t>
  </si>
  <si>
    <t>AU2065677668525</t>
  </si>
  <si>
    <t>HARJAP SINGH BHINDER</t>
  </si>
  <si>
    <t>HARJINDER KAUR </t>
  </si>
  <si>
    <t xml:space="preserve">(C8684048) </t>
  </si>
  <si>
    <t>51/52,GALI NO.9,AMRIT VIHAR COLONY</t>
  </si>
  <si>
    <t>PIN:143105,PUNJAB,INDIA</t>
  </si>
  <si>
    <t>NIRVAIR SINGH SANDHU</t>
  </si>
  <si>
    <t>AU2065677669525</t>
  </si>
  <si>
    <t>MANDEEP SINGH SANDHU</t>
  </si>
  <si>
    <t>MANPREET KAUR  SANDHU</t>
  </si>
  <si>
    <t xml:space="preserve">(N8422441) </t>
  </si>
  <si>
    <t>ZIRA ROAD</t>
  </si>
  <si>
    <t>KOT ISE KHAN,MOGA</t>
  </si>
  <si>
    <t>VRINDA CHAKRAVERTY</t>
  </si>
  <si>
    <t>AU2065679856925</t>
  </si>
  <si>
    <t>ARNAB CHAKRAVERTY</t>
  </si>
  <si>
    <t>SHREYOSI  CHAKRABORTY</t>
  </si>
  <si>
    <t xml:space="preserve">(P9322701) </t>
  </si>
  <si>
    <t>124A VIVEKANANDA ROAD</t>
  </si>
  <si>
    <t>KOLKATA,KOLKATA</t>
  </si>
  <si>
    <t>PIN:700006,WEST BENGAL,INDIA</t>
  </si>
  <si>
    <t>UMAIMA MUQEETH</t>
  </si>
  <si>
    <t>AU2065679857525</t>
  </si>
  <si>
    <t>MOHAMMED ABDUL MUQEETH</t>
  </si>
  <si>
    <t>FIRDOUS  FATIMA</t>
  </si>
  <si>
    <t xml:space="preserve">(Z4276659) </t>
  </si>
  <si>
    <t>20-3-250/1/A,FLAT NO : 104,RKS MEHER RESIDENCY</t>
  </si>
  <si>
    <t>HUSSAINI ALAM,BAHADURPURA,HYDERABAD</t>
  </si>
  <si>
    <t>JAPNAAZ KAUR</t>
  </si>
  <si>
    <t>AU2065679858125</t>
  </si>
  <si>
    <t>BALVINDER SINGH</t>
  </si>
  <si>
    <t>BANNY  SHARMA</t>
  </si>
  <si>
    <t xml:space="preserve">(U5890680) </t>
  </si>
  <si>
    <t>KATRON,SANGRUR</t>
  </si>
  <si>
    <t>PIN:148025,PUNJAB,INDIA</t>
  </si>
  <si>
    <t>ANAHAT KAUR KALSI</t>
  </si>
  <si>
    <t>AU2065681053525</t>
  </si>
  <si>
    <t>JAGDEEP SINGH</t>
  </si>
  <si>
    <t>MANDEEP KAUR </t>
  </si>
  <si>
    <t xml:space="preserve">(V0538062) </t>
  </si>
  <si>
    <t>VPO NARDU</t>
  </si>
  <si>
    <t>DISTT,PATIALA</t>
  </si>
  <si>
    <t>YUVAAN CHAUHAN</t>
  </si>
  <si>
    <t>AU2065681053725</t>
  </si>
  <si>
    <t>DEEPAK CHAUHAN</t>
  </si>
  <si>
    <t>DEEPALI  CHAUHAN</t>
  </si>
  <si>
    <t xml:space="preserve">(U6441937) </t>
  </si>
  <si>
    <t>A-185,SECTOR-47</t>
  </si>
  <si>
    <t>NOIDA,GAUTAM BUDH NAGAR</t>
  </si>
  <si>
    <t>PIN:201301,UTTAR PRADESH,INDIA</t>
  </si>
  <si>
    <t>MARVICK REDDY BEEREDDY</t>
  </si>
  <si>
    <t>AU2065681053925</t>
  </si>
  <si>
    <t>BALA DEEKSHITH REDDY BEEREDDY</t>
  </si>
  <si>
    <t>MANEESHA  DAGGULA</t>
  </si>
  <si>
    <t xml:space="preserve">(T0804308) </t>
  </si>
  <si>
    <t>11-57</t>
  </si>
  <si>
    <t>NARMETTA,JANGOAN</t>
  </si>
  <si>
    <t>PIN:506167,TELANGANA,INDIA</t>
  </si>
  <si>
    <t>DHARVIK HARDIKKUMAR PATEL</t>
  </si>
  <si>
    <t>AU2065681057925</t>
  </si>
  <si>
    <t>HARDIKKUMAR VISHNUBHAI PATEL</t>
  </si>
  <si>
    <t>AMI HARDIKKUMAR PATEL </t>
  </si>
  <si>
    <t xml:space="preserve">(C6836921) </t>
  </si>
  <si>
    <t>AT. GANESHPURA</t>
  </si>
  <si>
    <t>TA. VIJAPUR,MEHSANA</t>
  </si>
  <si>
    <t>AIRA DEHLIA</t>
  </si>
  <si>
    <t>AU2065681058125</t>
  </si>
  <si>
    <t>ANKUSH DEHLIA</t>
  </si>
  <si>
    <t>PALAK  MITTAL</t>
  </si>
  <si>
    <t xml:space="preserve">(Z4331905) </t>
  </si>
  <si>
    <t>H.NO. 943,FRIENDS COLONY,MODEL TOWN</t>
  </si>
  <si>
    <t>AMBALA CITY,AMBALA</t>
  </si>
  <si>
    <t>PIN:134003,HARYANA,INDIA</t>
  </si>
  <si>
    <t>VANI CHAUDHARI</t>
  </si>
  <si>
    <t>AU2065681058525</t>
  </si>
  <si>
    <t>ILESH SHANKARBHAI CHAUDHARI</t>
  </si>
  <si>
    <t>RASNABEN ILESH  CHAUDHARI</t>
  </si>
  <si>
    <t xml:space="preserve">(C7353195) </t>
  </si>
  <si>
    <t>1556,MAHAKALI SOCIETY</t>
  </si>
  <si>
    <t>PAMOL,MEHSANA</t>
  </si>
  <si>
    <t>AIZEL KAMBOJ</t>
  </si>
  <si>
    <t>AU2065681059125</t>
  </si>
  <si>
    <t>KARAN DEEP SINGH</t>
  </si>
  <si>
    <t>NAVPREET KAUR </t>
  </si>
  <si>
    <t xml:space="preserve">(V9119563) </t>
  </si>
  <si>
    <t>H.NO.543/5 GALI KAMBOJ WALI</t>
  </si>
  <si>
    <t>CHOWNK LACCHMANSAR,AMRITSAR</t>
  </si>
  <si>
    <t>ERAYA BHAGI</t>
  </si>
  <si>
    <t>AU2065681059525</t>
  </si>
  <si>
    <t>PRINCE BHAGI</t>
  </si>
  <si>
    <t>ANU  BHANOT</t>
  </si>
  <si>
    <t xml:space="preserve">(T2377745) </t>
  </si>
  <si>
    <t>H. NO 22 MODERN ESTATE TALHAN ROAD</t>
  </si>
  <si>
    <t>DAKOHA,JALANDHAR</t>
  </si>
  <si>
    <t>PIN:144023,PUNJAB,INDIA</t>
  </si>
  <si>
    <t>YASHREE PATEL</t>
  </si>
  <si>
    <t>AU2065681060125</t>
  </si>
  <si>
    <t>DISHANTKUMAR SATISHCHANDRA PATEL</t>
  </si>
  <si>
    <t>RUTVI NANDITKUMAR  THAKOR</t>
  </si>
  <si>
    <t xml:space="preserve">(Y3128325) </t>
  </si>
  <si>
    <t>BEHIND MAHADEV</t>
  </si>
  <si>
    <t>LIMBASI,KHEDA</t>
  </si>
  <si>
    <t>PIN:387520,GUJARAT,INDIA</t>
  </si>
  <si>
    <t>RUBAB KAUR</t>
  </si>
  <si>
    <t>AU2065681060525</t>
  </si>
  <si>
    <t>SUKHTEJ SINGH</t>
  </si>
  <si>
    <t>KIRANDEEP  KAUR</t>
  </si>
  <si>
    <t xml:space="preserve">(Y6323343) </t>
  </si>
  <si>
    <t>DERA AMRITSARIA</t>
  </si>
  <si>
    <t>VPO LUKHI,KURUKSHETRA</t>
  </si>
  <si>
    <t>KIAAN KASHYAPKUMAR PATEL</t>
  </si>
  <si>
    <t>AU2065681061525</t>
  </si>
  <si>
    <t>KASHYAPKUMAR CHANDULAL PATEL</t>
  </si>
  <si>
    <t>KRIMABEN KASHYAPKUMAR  PATEL</t>
  </si>
  <si>
    <t xml:space="preserve">(R4021381) </t>
  </si>
  <si>
    <t>58 SARDARPATEL SOCIETY BHAUPURA</t>
  </si>
  <si>
    <t>ARJAN SINGH</t>
  </si>
  <si>
    <t xml:space="preserve">FITZROY, AUSTRALIA </t>
  </si>
  <si>
    <t>AU2065681062125</t>
  </si>
  <si>
    <t>JEEWAN SINGH</t>
  </si>
  <si>
    <t>RAJWINDER KAUR </t>
  </si>
  <si>
    <t xml:space="preserve">(S6047773) </t>
  </si>
  <si>
    <t>VPO BAJEKAN</t>
  </si>
  <si>
    <t>DISTT,SIRSA</t>
  </si>
  <si>
    <t>VAANI KAUR</t>
  </si>
  <si>
    <t>AU2065681082325</t>
  </si>
  <si>
    <t>TEJINDER SINGH</t>
  </si>
  <si>
    <t>BALJINDER  KAUR</t>
  </si>
  <si>
    <t xml:space="preserve">(U6828123) </t>
  </si>
  <si>
    <t>54 INDUSTRIAL AREA</t>
  </si>
  <si>
    <t>AMBALA CANTT,AMBALA</t>
  </si>
  <si>
    <t>PIN:133001,HARYANA,INDIA</t>
  </si>
  <si>
    <t>KRISHA PRITESHBHAI PATEL</t>
  </si>
  <si>
    <t>AU2065681082525</t>
  </si>
  <si>
    <t>PRITESHBHAI JOGESHKUMAR PATEL</t>
  </si>
  <si>
    <t>KRISHNABEN PRITESHBHAI  PATEL</t>
  </si>
  <si>
    <t xml:space="preserve">(SO763874) </t>
  </si>
  <si>
    <t>MAHADEV FALIYA</t>
  </si>
  <si>
    <t>AT POST SOKHDA,VADODARA</t>
  </si>
  <si>
    <t>PIN:391745,GUJARAT,INDIA</t>
  </si>
  <si>
    <t>JIND KAUR SANDHU</t>
  </si>
  <si>
    <t>AU2065681083125</t>
  </si>
  <si>
    <t>NAVNEET SINGH SANDHU</t>
  </si>
  <si>
    <t>VIPANVEER KAUR </t>
  </si>
  <si>
    <t xml:space="preserve">(M8806936) </t>
  </si>
  <si>
    <t>VPO RAJOMAJRA</t>
  </si>
  <si>
    <t>PIN:148024,PUNJAB,INDIA</t>
  </si>
  <si>
    <t>ANGADVEER SINGH</t>
  </si>
  <si>
    <t xml:space="preserve">WODONGA , AUSTRALIA  </t>
  </si>
  <si>
    <t>AU2065681084125</t>
  </si>
  <si>
    <t>HARINDER SINGH</t>
  </si>
  <si>
    <t xml:space="preserve">(X4876363) </t>
  </si>
  <si>
    <t>VILLAGE JATTIWAL,PO ,PANJGRAIN</t>
  </si>
  <si>
    <t>TEH,SAMRALA,KHANNA (LUDHIANA)</t>
  </si>
  <si>
    <t>JASVITH TALLAPAREDDY</t>
  </si>
  <si>
    <t>AU2065681102125</t>
  </si>
  <si>
    <t>SIVA TALLAPAREDDY</t>
  </si>
  <si>
    <t>HIMA PRAVALLIKA  BEESABATHUNI</t>
  </si>
  <si>
    <t xml:space="preserve">(N5625411) </t>
  </si>
  <si>
    <t>43-106/1-14A/1,PLOT 107 AYYAPPASWAMY TEMPLEROAD</t>
  </si>
  <si>
    <t>SINGHNAGAR,VIJAYAWADA,NTR DISTRICT</t>
  </si>
  <si>
    <t>PIN:520015,ANDHRA PRADESH,INDIA</t>
  </si>
  <si>
    <t>LAHNA ZAINAB PARAKKAL</t>
  </si>
  <si>
    <t>AU2065681102925</t>
  </si>
  <si>
    <t>UMAR FAROOQUE PARAKKAL</t>
  </si>
  <si>
    <t>JASMIN  PALARA KIZHAKKETHIL</t>
  </si>
  <si>
    <t xml:space="preserve">(W3146318) </t>
  </si>
  <si>
    <t>PARAKKAL HOUSE</t>
  </si>
  <si>
    <t>KOLATHUR POST,MALAPPURAM</t>
  </si>
  <si>
    <t>PIN:679338,KERALA,INDIA</t>
  </si>
  <si>
    <t>AVNOOR SINGH KANG</t>
  </si>
  <si>
    <t>AU2065681104125</t>
  </si>
  <si>
    <t>JAGROOP SINGH</t>
  </si>
  <si>
    <t>SUPREET KAUR </t>
  </si>
  <si>
    <t xml:space="preserve">(V9119230) </t>
  </si>
  <si>
    <t>HNO 5391 GALI NO 1 GOBIND NAGAR MANDIR WALA</t>
  </si>
  <si>
    <t>BAZAR SULTANWIND ROAD P S B DIV,AMRITSAR</t>
  </si>
  <si>
    <t>RAKSHAN SIVAJI SAIRAM</t>
  </si>
  <si>
    <t>AU2065681104925</t>
  </si>
  <si>
    <t>SAIRAM PARAMASIVAM</t>
  </si>
  <si>
    <t>SURYA  SELVAM</t>
  </si>
  <si>
    <t xml:space="preserve">(B8022708) </t>
  </si>
  <si>
    <t>3/420,MAIN ST,THIRU ILANJI KUMARAN ROYAL CITY</t>
  </si>
  <si>
    <t>ILANJI - POST,TENKASI</t>
  </si>
  <si>
    <t>PIN:627805,TAMIL NADU,INDIA</t>
  </si>
  <si>
    <t>VANYA MAYURBHAI SOLANKI</t>
  </si>
  <si>
    <t xml:space="preserve">NORTH ADELAIDE, AUSTRALIA </t>
  </si>
  <si>
    <t>AU2065681114125</t>
  </si>
  <si>
    <t>MAYURBHAI BIPINBHAI SOLANKI</t>
  </si>
  <si>
    <t>YASHASWI MAYURBHAI  SOLANKI</t>
  </si>
  <si>
    <t xml:space="preserve">(U3446267) </t>
  </si>
  <si>
    <t>16 SHREEJI NAGAR SOCIETY EAST RAILWAY</t>
  </si>
  <si>
    <t>CHRIS MISQUITTA</t>
  </si>
  <si>
    <t>AU2065681116525</t>
  </si>
  <si>
    <t>SUNIL MISQUITTA</t>
  </si>
  <si>
    <t>SHARMILA SHARON  LOBO</t>
  </si>
  <si>
    <t xml:space="preserve">(V6417064) </t>
  </si>
  <si>
    <t>11-93 P,NEAR YASHNI BUS STAND</t>
  </si>
  <si>
    <t>PRATHYA VILLAGE,MOODBIDRI TALUK,MANGALURU CITY</t>
  </si>
  <si>
    <t>PIN:574197,KARNATAKA,INDIA</t>
  </si>
  <si>
    <t>SIDAK KAUR DHALIWAL</t>
  </si>
  <si>
    <t>AU2065681121125</t>
  </si>
  <si>
    <t>RUPINDER SINGH</t>
  </si>
  <si>
    <t xml:space="preserve">(W3155264) </t>
  </si>
  <si>
    <t>HNO.63</t>
  </si>
  <si>
    <t>VILL CHUPKI TEH PATRAN,PATIALA</t>
  </si>
  <si>
    <t>PIN:147102,PUNJAB,INDIA</t>
  </si>
  <si>
    <t>HOORAIN KHAN</t>
  </si>
  <si>
    <t>AU2065681122125</t>
  </si>
  <si>
    <t>IZAZ AHMAD KHAN</t>
  </si>
  <si>
    <t>NEHA  KHANAM</t>
  </si>
  <si>
    <t xml:space="preserve">(B6739037) </t>
  </si>
  <si>
    <t>26 RAM KRISHNA ROAD</t>
  </si>
  <si>
    <t>RISHRA,HOOGHLY</t>
  </si>
  <si>
    <t>PIN:712248,WEST BENGAL,INDIA</t>
  </si>
  <si>
    <t>PAHAL PATEL</t>
  </si>
  <si>
    <t>AU2065681206125</t>
  </si>
  <si>
    <t>UTSAVKUMAR AMRUTBHAI PATEL</t>
  </si>
  <si>
    <t>CHETALIBEN UTSAVKUMAR PATEL </t>
  </si>
  <si>
    <t xml:space="preserve">(S0742458) </t>
  </si>
  <si>
    <t>C/203,SAI FLORA,NEAR GOKUL PARTY PLOT</t>
  </si>
  <si>
    <t>NR KUNJMALL,NIKOL,AHMEDABAD</t>
  </si>
  <si>
    <t>PIN:382350,GUJARAT,INDIA</t>
  </si>
  <si>
    <t>JAASIEL SUBHAKAR VATTIPROLU</t>
  </si>
  <si>
    <t>AU2065681210925</t>
  </si>
  <si>
    <t>VIJAY VATTIPROLU</t>
  </si>
  <si>
    <t>BINDU MADHURI  DUPPADA</t>
  </si>
  <si>
    <t xml:space="preserve">(Z3953036) </t>
  </si>
  <si>
    <t>H NO. 20/659-5-3/2,LAKSHAMANARAO PURAM</t>
  </si>
  <si>
    <t>RTC COLONY,MACHILIPATNAM,KRISHNA</t>
  </si>
  <si>
    <t>PIN:521002,ANDHRA PRADESH,INDIA</t>
  </si>
  <si>
    <t>KASHVIN KAUR</t>
  </si>
  <si>
    <t>AU2065681212125</t>
  </si>
  <si>
    <t>DEEPINDER SINGH</t>
  </si>
  <si>
    <t>PAVANDEEP KAUR  DHILLON</t>
  </si>
  <si>
    <t xml:space="preserve">(T9182143) </t>
  </si>
  <si>
    <t>HNO.602 W.NO. 31</t>
  </si>
  <si>
    <t>NEAR KHOONI MASJID MEHLA SINGH,MOGA</t>
  </si>
  <si>
    <t>AMANAT KAUR GHUMAN</t>
  </si>
  <si>
    <t>AU2065681213525</t>
  </si>
  <si>
    <t>HARSHDEEP KAUR </t>
  </si>
  <si>
    <t xml:space="preserve">(N4023773) </t>
  </si>
  <si>
    <t>L3/851,NAMDEV COLONY</t>
  </si>
  <si>
    <t>SULTANWIND ROAD,AMRITSAR</t>
  </si>
  <si>
    <t>GURBAAZ SINGH</t>
  </si>
  <si>
    <t>AU2065681215525</t>
  </si>
  <si>
    <t>BIKRAMJEET SINGH</t>
  </si>
  <si>
    <t>KIRANDEEP KAUR </t>
  </si>
  <si>
    <t xml:space="preserve">(S4765130) </t>
  </si>
  <si>
    <t>L-8/164-165,GALI NO 1,DILBAGH NAGAR</t>
  </si>
  <si>
    <t>TARN TARAN ROAD,AMRITSAR,AMRITSAR</t>
  </si>
  <si>
    <t>AU2065672396725</t>
  </si>
  <si>
    <t>MANJINDER SINGH</t>
  </si>
  <si>
    <t>CHAHAT </t>
  </si>
  <si>
    <t xml:space="preserve">(C8542917) </t>
  </si>
  <si>
    <t>DHALIWAL BET,KAPURTHALA</t>
  </si>
  <si>
    <t>PIN:144804,PUNJAB,INDIA</t>
  </si>
  <si>
    <t>PRISHAKUVAR BHATI</t>
  </si>
  <si>
    <t>AU2065683762125</t>
  </si>
  <si>
    <t>PARAGKUMAR SATUJI BHATI</t>
  </si>
  <si>
    <t>SHILPABA PARAGSINH  BHATI</t>
  </si>
  <si>
    <t xml:space="preserve">(P6041404) </t>
  </si>
  <si>
    <t>NAVARATRI CHOK ATPO BALVA</t>
  </si>
  <si>
    <t>TA KALOL,GANDHINAGAR</t>
  </si>
  <si>
    <t>PIN:382655,GUJARAT,INDIA</t>
  </si>
  <si>
    <t>MANVIKA TANWAR</t>
  </si>
  <si>
    <t>AU2065683878525</t>
  </si>
  <si>
    <t>VISHAL TANWAR</t>
  </si>
  <si>
    <t>VANSHIKA </t>
  </si>
  <si>
    <t xml:space="preserve">(N0776407) </t>
  </si>
  <si>
    <t>H.NO. 913,WARD NO. 10</t>
  </si>
  <si>
    <t>MOHAN NAGAR,KURUKSHETRA</t>
  </si>
  <si>
    <t>PIN:136118,HARYANA,INDIA</t>
  </si>
  <si>
    <t>PARWAAZ SINGH BRAR</t>
  </si>
  <si>
    <t>AU2065685083325</t>
  </si>
  <si>
    <t>JOBANPREET SINGH</t>
  </si>
  <si>
    <t>PRABJOT KAUR </t>
  </si>
  <si>
    <t xml:space="preserve">(C6840735) </t>
  </si>
  <si>
    <t>VPO ALLOWAL</t>
  </si>
  <si>
    <t>TEHSIL KHADUR SAHIB,TARN TARAN</t>
  </si>
  <si>
    <t>JIYANSH SHARMA</t>
  </si>
  <si>
    <t>AU2065666502725</t>
  </si>
  <si>
    <t>SACHIN SHARMA</t>
  </si>
  <si>
    <t>MANISHA  SHARMA</t>
  </si>
  <si>
    <t xml:space="preserve">(N9912401) </t>
  </si>
  <si>
    <t>H.NO.F-174,SREET NO.14</t>
  </si>
  <si>
    <t>ROSE AVENUE,KAPURTHALA</t>
  </si>
  <si>
    <t>Hukam Singh Sandhu</t>
  </si>
  <si>
    <t>AU2065670050325</t>
  </si>
  <si>
    <t>Mandeep Singh</t>
  </si>
  <si>
    <t>Baljit Kaur </t>
  </si>
  <si>
    <t xml:space="preserve">(W5580567) </t>
  </si>
  <si>
    <t>VPO MAKHI KALAN</t>
  </si>
  <si>
    <t>Vihaan Panchal</t>
  </si>
  <si>
    <t xml:space="preserve">ELIZABETH VALE, AUSTRALIA </t>
  </si>
  <si>
    <t>AU2065683757725</t>
  </si>
  <si>
    <t>Niren Jitendrabhai Panchal</t>
  </si>
  <si>
    <t>Tulsiben Babubhai  Gondaliya</t>
  </si>
  <si>
    <t xml:space="preserve">(P4991137) </t>
  </si>
  <si>
    <t>D/393 KRISHNANAGAR PART-2,ADINATHNAGAR</t>
  </si>
  <si>
    <t>ODHAV,AHMEDABAD</t>
  </si>
  <si>
    <t>PIN:382415,GUJARAT,INDIA</t>
  </si>
  <si>
    <t>Aadvik Tejas Gunnala</t>
  </si>
  <si>
    <t>AU2065683758125</t>
  </si>
  <si>
    <t>Venugopal Gunnala</t>
  </si>
  <si>
    <t>Bhavani  Gunnala</t>
  </si>
  <si>
    <t xml:space="preserve">(U6733355) </t>
  </si>
  <si>
    <t>1-9-183,RAMNAGAR NEAR BAPTIST CHURCH</t>
  </si>
  <si>
    <t>MUSHEERABAD,HYDERABAD</t>
  </si>
  <si>
    <t>PIN:500020,TELANGANA,INDIA</t>
  </si>
  <si>
    <t>Atharv Mogili</t>
  </si>
  <si>
    <t xml:space="preserve">EPPING , AUSTRALIA </t>
  </si>
  <si>
    <t>AU2065683758325</t>
  </si>
  <si>
    <t>Narvind Kumar Mogili</t>
  </si>
  <si>
    <t>Jayashree  Chennaiahgari</t>
  </si>
  <si>
    <t xml:space="preserve">(N7829903) </t>
  </si>
  <si>
    <t>18-4-143/A/57,KALVAGADDA HANUMAN TEMPLE</t>
  </si>
  <si>
    <t>GAYATRI NAGAR COLONY,HYDERABAD</t>
  </si>
  <si>
    <t>PIN:500053,TELANGANA,INDIA</t>
  </si>
  <si>
    <t>Amaira Kaur</t>
  </si>
  <si>
    <t>AU2065683758925</t>
  </si>
  <si>
    <t>Sooraj Parkash</t>
  </si>
  <si>
    <t>Amita Banga </t>
  </si>
  <si>
    <t xml:space="preserve">(U4470989) </t>
  </si>
  <si>
    <t>B-1/992</t>
  </si>
  <si>
    <t>RAM NAGAR,JALANDHAR</t>
  </si>
  <si>
    <t>PIN:144008,PUNJAB,INDIA</t>
  </si>
  <si>
    <t>Zorawar Singh</t>
  </si>
  <si>
    <t>AU2065683759325</t>
  </si>
  <si>
    <t>Dilawar Singh</t>
  </si>
  <si>
    <t>Prabhjit Kaur </t>
  </si>
  <si>
    <t xml:space="preserve">(Y4211862) </t>
  </si>
  <si>
    <t>H.NO.16,ANAND AVENUE</t>
  </si>
  <si>
    <t>RAM TIRATH ROAD,AMRITSAR</t>
  </si>
  <si>
    <t>Veda Surya</t>
  </si>
  <si>
    <t>AU2065683759725</t>
  </si>
  <si>
    <t>Surya Akshinthala Prabhu</t>
  </si>
  <si>
    <t>Mrinal Kishor  Dighe</t>
  </si>
  <si>
    <t>C6364961)</t>
  </si>
  <si>
    <t>383,1ST FLOOR 3RD CROSS 1ST B MAIN ROAD JAYANAGA</t>
  </si>
  <si>
    <t>BENGLURU,BENGALURU</t>
  </si>
  <si>
    <t>PIN:560070,KARNATAKA,INDIA</t>
  </si>
  <si>
    <t>Ibadat Kaur</t>
  </si>
  <si>
    <t>AU2065683759925</t>
  </si>
  <si>
    <t>Rajveer Singh Chahal</t>
  </si>
  <si>
    <t xml:space="preserve">(U0861059) </t>
  </si>
  <si>
    <t>VPO JAKHEPAL HAMBALVASS</t>
  </si>
  <si>
    <t>TEHSIL SUNAM,SANGRUR</t>
  </si>
  <si>
    <t>Ganeev Singh Bahia</t>
  </si>
  <si>
    <t>AU2065683760525</t>
  </si>
  <si>
    <t>Jaswant Singh</t>
  </si>
  <si>
    <t>Gagandeep Kaur </t>
  </si>
  <si>
    <t xml:space="preserve">(P5033718) </t>
  </si>
  <si>
    <t>VILL-20-PS PO-19-PS</t>
  </si>
  <si>
    <t>RAISINGHNAGAR,SRI GANGANAGAR</t>
  </si>
  <si>
    <t>PIN:335039,RAJASTHAN,INDIA</t>
  </si>
  <si>
    <t>Sirjan Kaur Dhaliwal</t>
  </si>
  <si>
    <t>AU2065683760925</t>
  </si>
  <si>
    <t>Sukhwinder Singh Dhaliwal</t>
  </si>
  <si>
    <t>Rashdeep Kaur  Dhaliwal</t>
  </si>
  <si>
    <t xml:space="preserve">(U0537404) </t>
  </si>
  <si>
    <t>LANGAR PATTI</t>
  </si>
  <si>
    <t>SAIDOKE,MOGA</t>
  </si>
  <si>
    <t>PIN:142055,PUNJAB,INDIA</t>
  </si>
  <si>
    <t>Mirha Mujeeb</t>
  </si>
  <si>
    <t>AU2065683761125</t>
  </si>
  <si>
    <t>Abdul Mujeeb</t>
  </si>
  <si>
    <t>Nimrah Hyder </t>
  </si>
  <si>
    <t xml:space="preserve">(V9559271) </t>
  </si>
  <si>
    <t>17-8-419/4/E/4/1,BAGH-E-JAHAN ARA</t>
  </si>
  <si>
    <t>Veda Sampat</t>
  </si>
  <si>
    <t>AU2065683761525</t>
  </si>
  <si>
    <t>Saumya Dakshesh Sampat</t>
  </si>
  <si>
    <t>Malvika Saumya  Sampat</t>
  </si>
  <si>
    <t xml:space="preserve">(W1679764) </t>
  </si>
  <si>
    <t>602 B KRISHNA,NEELKANTH VIHAR</t>
  </si>
  <si>
    <t>NEW TILAK NAGAR,MUMBAI</t>
  </si>
  <si>
    <t>PIN:400089,MAHARASHTRA,INDIA</t>
  </si>
  <si>
    <t>Krishivnath Cherepally</t>
  </si>
  <si>
    <t>AU2065683807325</t>
  </si>
  <si>
    <t>Gopinath Cherepally</t>
  </si>
  <si>
    <t>Kalyani  Rachamalla</t>
  </si>
  <si>
    <t xml:space="preserve">(C5179546) </t>
  </si>
  <si>
    <t>7-51/1 ZPHS COLONY</t>
  </si>
  <si>
    <t>YADAVELLY,NALGONDA</t>
  </si>
  <si>
    <t>PIN:508255,TELANGANA,INDIA</t>
  </si>
  <si>
    <t>Asees Kaur</t>
  </si>
  <si>
    <t>AU2065683807925</t>
  </si>
  <si>
    <t>Amandeep Singh</t>
  </si>
  <si>
    <t>Mandeep Kaur </t>
  </si>
  <si>
    <t xml:space="preserve">(C9208421) </t>
  </si>
  <si>
    <t>VPO DAROLI BHAI</t>
  </si>
  <si>
    <t>AGHWAR BABA JIWAN SINGH JI,MOGA</t>
  </si>
  <si>
    <t>PIN:142048,PUNJAB,INDIA</t>
  </si>
  <si>
    <t>Airadhya Shri Appana</t>
  </si>
  <si>
    <t>AU2065683808725</t>
  </si>
  <si>
    <t>Ganga Rajarama Krishna Pradeep Appana</t>
  </si>
  <si>
    <t>Sesha Sai Sree Rama Sweatha  Kancharla</t>
  </si>
  <si>
    <t xml:space="preserve">(C7353197) </t>
  </si>
  <si>
    <t>1-171 RAJA STREET</t>
  </si>
  <si>
    <t>IRUSUMANDA,DR. B.R. AMBEDKAR KONASEEMA</t>
  </si>
  <si>
    <t>PIN:533239,ANDHRA PRADESH,INDIA</t>
  </si>
  <si>
    <t>Manhar Singh</t>
  </si>
  <si>
    <t>AU2065683813525</t>
  </si>
  <si>
    <t>Sarabpreet Singh</t>
  </si>
  <si>
    <t>Jasleen  Kaur</t>
  </si>
  <si>
    <t xml:space="preserve">(Y2421421) </t>
  </si>
  <si>
    <t>127/416,U-BLOCK</t>
  </si>
  <si>
    <t>NIRALA NAGAR,KANPUR NAGAR</t>
  </si>
  <si>
    <t>PIN:208014,UTTAR PRADESH,INDIA</t>
  </si>
  <si>
    <t>Vedaant Lather</t>
  </si>
  <si>
    <t>AU2065683819725</t>
  </si>
  <si>
    <t>Sumit Lather</t>
  </si>
  <si>
    <t>Mansi </t>
  </si>
  <si>
    <t xml:space="preserve">(U4723627) </t>
  </si>
  <si>
    <t>VILLAGE-PHOOSGARH</t>
  </si>
  <si>
    <t>DISTRICT-,KARNAL</t>
  </si>
  <si>
    <t>Adhvika Reddy Kukkala</t>
  </si>
  <si>
    <t>AU2065683820525</t>
  </si>
  <si>
    <t>Saikiran Kukkala</t>
  </si>
  <si>
    <t>Sneha  Miriyala</t>
  </si>
  <si>
    <t xml:space="preserve">(S3382199) </t>
  </si>
  <si>
    <t>1-6</t>
  </si>
  <si>
    <t>NELLIKONDI CHINNACHINTAKUNTA,MAHABUBNAGAR</t>
  </si>
  <si>
    <t>PIN:509409,TELANGANA,INDIA</t>
  </si>
  <si>
    <t>Anshrajsinh Jadeja</t>
  </si>
  <si>
    <t>AU2065683824925</t>
  </si>
  <si>
    <t>Pushpajitsinh Lakdhirsinh Jadeja</t>
  </si>
  <si>
    <t>Avniba Pushpajitsinh  Jadeja</t>
  </si>
  <si>
    <t xml:space="preserve">(R7177497) </t>
  </si>
  <si>
    <t>41 BAPUNAGAR</t>
  </si>
  <si>
    <t>RAMANIYA,TA MUNDRA,KUTCH</t>
  </si>
  <si>
    <t>PIN:370405,GUJARAT,INDIA</t>
  </si>
  <si>
    <t>Zain Mohammed</t>
  </si>
  <si>
    <t>AU2065683825725</t>
  </si>
  <si>
    <t>Aamir Saifi</t>
  </si>
  <si>
    <t>Rukhsar </t>
  </si>
  <si>
    <t xml:space="preserve">(C6838177) </t>
  </si>
  <si>
    <t>78,SECTOR 22,GULDHAR</t>
  </si>
  <si>
    <t>MEERUT ROAD,GHAZIABAD</t>
  </si>
  <si>
    <t>PIN:201002,UTTAR PRADESH,INDIA</t>
  </si>
  <si>
    <t>Jastej Singh</t>
  </si>
  <si>
    <t>AU2065683829725</t>
  </si>
  <si>
    <t>Simranjeet Singh</t>
  </si>
  <si>
    <t>Kriti Juneja </t>
  </si>
  <si>
    <t xml:space="preserve">(W7073738) </t>
  </si>
  <si>
    <t>VB-52,THIRD FLOOR,VIRENDER NAGAR,GALI NO-2</t>
  </si>
  <si>
    <t>JANAKPURI B-1,DELHI</t>
  </si>
  <si>
    <t>Arnaaz Kaur Cheema</t>
  </si>
  <si>
    <t>AU2065683837125</t>
  </si>
  <si>
    <t>Savdeep Singh</t>
  </si>
  <si>
    <t>Snehdeep Kaur </t>
  </si>
  <si>
    <t xml:space="preserve">(Y2090719) </t>
  </si>
  <si>
    <t>VILL SUKARCHAK ,PO CHEEMA KALAN</t>
  </si>
  <si>
    <t>TEH &amp; DISTT,TARN TARAN</t>
  </si>
  <si>
    <t>Aviraj Singroha</t>
  </si>
  <si>
    <t>AU2065683842325</t>
  </si>
  <si>
    <t>Baljinder Singh</t>
  </si>
  <si>
    <t>Ritu </t>
  </si>
  <si>
    <t>H.NO 1703 HANSI ROAD NEAR S.P.S CONVENT SCHOOL</t>
  </si>
  <si>
    <t>BAHADUR CHAND COLONY,KARNAL</t>
  </si>
  <si>
    <t>Parmeet Barhpagga</t>
  </si>
  <si>
    <t>AU2065684813125</t>
  </si>
  <si>
    <t>Amrik Barhpagga</t>
  </si>
  <si>
    <t>Prabhjot Kaur </t>
  </si>
  <si>
    <t xml:space="preserve">(W2381379) </t>
  </si>
  <si>
    <t>14681 ST NO 6 BHARTI COLONY</t>
  </si>
  <si>
    <t>BAHADUR KE ROAD,LUDHIANA</t>
  </si>
  <si>
    <t>PIN:141007,PUNJAB,INDIA</t>
  </si>
  <si>
    <t>Nidhan Singh Dhaliwal</t>
  </si>
  <si>
    <t>AU2065684813325</t>
  </si>
  <si>
    <t>Davinder Singh Dhaliwal</t>
  </si>
  <si>
    <t>Sandeep Kaur </t>
  </si>
  <si>
    <t xml:space="preserve">(Y6438188) </t>
  </si>
  <si>
    <t>PATTI MALU KI,RAUKE KALAN</t>
  </si>
  <si>
    <t>TEHSIL NIHAL SINGH WALA,MOGA</t>
  </si>
  <si>
    <t>PIN:142037,PUNJAB,INDIA</t>
  </si>
  <si>
    <t>Jay Thakur</t>
  </si>
  <si>
    <t>HOBART , AUSTRALIA</t>
  </si>
  <si>
    <t>AU2065684814125</t>
  </si>
  <si>
    <t>Vijay Kumar</t>
  </si>
  <si>
    <t>Pooja  Thakur</t>
  </si>
  <si>
    <t xml:space="preserve">(C1257445) </t>
  </si>
  <si>
    <t>BXII-595 K.C.ROAD</t>
  </si>
  <si>
    <t>BARNALA,BARNALA</t>
  </si>
  <si>
    <t>PIN:148101,PUNJAB,INDIA</t>
  </si>
  <si>
    <t>Avyann Deep Shah</t>
  </si>
  <si>
    <t xml:space="preserve">LAUNCESTON TASMANIA, AUSTRALIA  </t>
  </si>
  <si>
    <t>AU2065684814325</t>
  </si>
  <si>
    <t>Deep Parimalbhai Shah</t>
  </si>
  <si>
    <t>Foram Deep  Shah</t>
  </si>
  <si>
    <t xml:space="preserve">(B6752114) </t>
  </si>
  <si>
    <t>12,VISHWA BUNGLOW,OPP. VIDYAKUNJ SCHOOL</t>
  </si>
  <si>
    <t>GANDEVI ROAD,NAVSARI</t>
  </si>
  <si>
    <t>PIN:396445,GUJARAT,INDIA</t>
  </si>
  <si>
    <t>Ashman Puri</t>
  </si>
  <si>
    <t xml:space="preserve">LAUNCESTON , AUSTRALIA  </t>
  </si>
  <si>
    <t>AU2065684814925</t>
  </si>
  <si>
    <t>Ashok Puri</t>
  </si>
  <si>
    <t>Manpreet Kaur </t>
  </si>
  <si>
    <t xml:space="preserve">(W7800126) </t>
  </si>
  <si>
    <t>W.NO. 5 HARIPURA BASTI</t>
  </si>
  <si>
    <t>SANGRUR,SANGRUR</t>
  </si>
  <si>
    <t>Nawab Singh Dhaliwal</t>
  </si>
  <si>
    <t>AU2065684815125</t>
  </si>
  <si>
    <t>Gurpinder Singh Dhaliwal</t>
  </si>
  <si>
    <t>Virpal Kaur  Sidhu</t>
  </si>
  <si>
    <t xml:space="preserve">(T0463309) </t>
  </si>
  <si>
    <t>BAUDE,MOGA</t>
  </si>
  <si>
    <t>PIN:142039,PUNJAB,INDIA</t>
  </si>
  <si>
    <t>Vania Sharma</t>
  </si>
  <si>
    <t>AU2065684815725</t>
  </si>
  <si>
    <t>Vinod Kumar Sharma</t>
  </si>
  <si>
    <t>Thi Quynh Lan  Nguyen</t>
  </si>
  <si>
    <t xml:space="preserve">(W1142740) </t>
  </si>
  <si>
    <t>VILL. KOT PO PATIAL</t>
  </si>
  <si>
    <t>HOSHIARPUR,HOSHIARPUR</t>
  </si>
  <si>
    <t>PIN:144105,PUNJAB,INDIA</t>
  </si>
  <si>
    <t>Dia Chopra</t>
  </si>
  <si>
    <t>AU2065684918325</t>
  </si>
  <si>
    <t>Rajesh Kumar</t>
  </si>
  <si>
    <t>Gowthami  Rajanna</t>
  </si>
  <si>
    <t xml:space="preserve">(R9490058) </t>
  </si>
  <si>
    <t>FLAT-001 SLV NORTH BROOKE BDS LAYOUT HEGDE NAGAR</t>
  </si>
  <si>
    <t>BENGALURU,BENGALURU</t>
  </si>
  <si>
    <t>PIN:560077,KARNATAKA,INDIA</t>
  </si>
  <si>
    <t>Erick Seb Anit</t>
  </si>
  <si>
    <t xml:space="preserve">LEONGATHA, AUSTRALIA </t>
  </si>
  <si>
    <t>AU2065684919125</t>
  </si>
  <si>
    <t>Anit Sebastian</t>
  </si>
  <si>
    <t>Melby  Jacob</t>
  </si>
  <si>
    <t xml:space="preserve">(W7502895) </t>
  </si>
  <si>
    <t>CHUNDANKUZHIYIL HOUSE,SURYANELLY P.O,B L RAM</t>
  </si>
  <si>
    <t>CHINNAKKANAL,IDUKKI</t>
  </si>
  <si>
    <t>PIN:685618,KERALA,INDIA</t>
  </si>
  <si>
    <t>Evaan Singh</t>
  </si>
  <si>
    <t xml:space="preserve">DALBY, AUSTRALIA  </t>
  </si>
  <si>
    <t>AU2065684920325</t>
  </si>
  <si>
    <t>Gurpartap Singh</t>
  </si>
  <si>
    <t>Rajandeep Kaur </t>
  </si>
  <si>
    <t xml:space="preserve">(Y6938215) </t>
  </si>
  <si>
    <t>1127-A B BLOCK NEW PARTAP NAGAR G.T ROAD</t>
  </si>
  <si>
    <t>Hassan Alvi</t>
  </si>
  <si>
    <t>AU2065684921125</t>
  </si>
  <si>
    <t>Saqib Alvi</t>
  </si>
  <si>
    <t>Mehroosh Majid </t>
  </si>
  <si>
    <t xml:space="preserve">(R9001388) </t>
  </si>
  <si>
    <t>H NO 40 ALFAZAL COLONY PEERBAGH</t>
  </si>
  <si>
    <t>HYDERPORA,SRINAGAR</t>
  </si>
  <si>
    <t>PIN:190014,JAMMU AND KASHMIR,INDIA</t>
  </si>
  <si>
    <t>Vihana Teegala</t>
  </si>
  <si>
    <t>AU2065684923125</t>
  </si>
  <si>
    <t>Ganga Reddy Teegala</t>
  </si>
  <si>
    <t>Nikhitha  Thurpu</t>
  </si>
  <si>
    <t xml:space="preserve">(R0144360) </t>
  </si>
  <si>
    <t>1-69/4</t>
  </si>
  <si>
    <t>DONKAL,NIZAMABAD</t>
  </si>
  <si>
    <t>PIN:503311,TELANGANA,INDIA</t>
  </si>
  <si>
    <t>Gurbir Singh</t>
  </si>
  <si>
    <t>AU2065684926925</t>
  </si>
  <si>
    <t>Parmjit Singh</t>
  </si>
  <si>
    <t>Amarjeet Kaur  Lallia</t>
  </si>
  <si>
    <t xml:space="preserve">(W3149805) </t>
  </si>
  <si>
    <t>NANGAL LUBANA,KAPURTHALA</t>
  </si>
  <si>
    <t>PIN:144631,PUNJAB,INDIA</t>
  </si>
  <si>
    <t>Ramjot Kaur</t>
  </si>
  <si>
    <t>AU2065685011125</t>
  </si>
  <si>
    <t>Raminder Singh</t>
  </si>
  <si>
    <t>Jyoti Vandana </t>
  </si>
  <si>
    <t xml:space="preserve">(R6475692) </t>
  </si>
  <si>
    <t>HNO-40 PHASE 2</t>
  </si>
  <si>
    <t>TRICONE CITY SIRHIND ROAD,PATIALA</t>
  </si>
  <si>
    <t>Arzoi Bhinder</t>
  </si>
  <si>
    <t>AU2065685013925</t>
  </si>
  <si>
    <t>Navdeep Singh</t>
  </si>
  <si>
    <t xml:space="preserve">(W1513127) </t>
  </si>
  <si>
    <t>HOUSE NO -G-103,HMT COLONY</t>
  </si>
  <si>
    <t>PINJORE,PANCHKULA</t>
  </si>
  <si>
    <t>PIN:134102,HARYANA,INDIA</t>
  </si>
  <si>
    <t>Roohjind Kaur</t>
  </si>
  <si>
    <t>AU2065685015525</t>
  </si>
  <si>
    <t>Princepal Singh</t>
  </si>
  <si>
    <t>Mandeep  Kaur</t>
  </si>
  <si>
    <t xml:space="preserve">(R7988860) </t>
  </si>
  <si>
    <t>GANESHPUR</t>
  </si>
  <si>
    <t>PO DEVINAGAR,PATIALA</t>
  </si>
  <si>
    <t>PIN:147111,PUNJAB,INDIA</t>
  </si>
  <si>
    <t>Khwaish Gahlyan</t>
  </si>
  <si>
    <t>AU2065685017925</t>
  </si>
  <si>
    <t>Aakashdeep</t>
  </si>
  <si>
    <t>Bharti </t>
  </si>
  <si>
    <t xml:space="preserve">(V5959689) </t>
  </si>
  <si>
    <t>JURASI SARAF KHAS,PANIPAT</t>
  </si>
  <si>
    <t>PIN:132101,HARYANA,INDIA</t>
  </si>
  <si>
    <t>Jasnoor Kaur</t>
  </si>
  <si>
    <t>AU2065685020725</t>
  </si>
  <si>
    <t>Sharanjeet Singh</t>
  </si>
  <si>
    <t xml:space="preserve">(P5085474) </t>
  </si>
  <si>
    <t>HOUSE NO.173,QILLA MOHALLA</t>
  </si>
  <si>
    <t>HADIABAD PHAGWARA,KAPURTHALA</t>
  </si>
  <si>
    <t>PIN:144401,PUNJAB,INDIA</t>
  </si>
  <si>
    <t>Siddharth Sameer Mohite</t>
  </si>
  <si>
    <t>AU2065685022925</t>
  </si>
  <si>
    <t>Sameer Rajaram Mohite</t>
  </si>
  <si>
    <t>Snehal Padmakar  Katkar</t>
  </si>
  <si>
    <t xml:space="preserve">(R1328204) </t>
  </si>
  <si>
    <t>GRAMPANCHAYAT JAVAL</t>
  </si>
  <si>
    <t>KORIWALE,SATARA</t>
  </si>
  <si>
    <t>PIN:415109,MAHARASHTRA,INDIA</t>
  </si>
  <si>
    <t>Omar Abdulaziz Ahmed</t>
  </si>
  <si>
    <t>AU2065685025125</t>
  </si>
  <si>
    <t>Aziz Ahmed Riyaz</t>
  </si>
  <si>
    <t>Omaima Fatima </t>
  </si>
  <si>
    <t xml:space="preserve">(N5263046) </t>
  </si>
  <si>
    <t>9-4-134/A/12/502,ARUNA COLONY,MAWIN KAAB</t>
  </si>
  <si>
    <t>HYDERABAD,HYDERABAD</t>
  </si>
  <si>
    <t>Lavnoor Singh</t>
  </si>
  <si>
    <t>AU2065685027325</t>
  </si>
  <si>
    <t>Harpreet Singh</t>
  </si>
  <si>
    <t>Manjot Kaur  Bajwa</t>
  </si>
  <si>
    <t xml:space="preserve">(P3307828) </t>
  </si>
  <si>
    <t>H.NO. 521 WARD NO.18</t>
  </si>
  <si>
    <t>GOKAL NAGAR,HOSHIARPUR</t>
  </si>
  <si>
    <t>Shivaay Bargotra</t>
  </si>
  <si>
    <t>AU2065685029725</t>
  </si>
  <si>
    <t>Suraj Kamboj</t>
  </si>
  <si>
    <t>Diksha  Kamboj</t>
  </si>
  <si>
    <t xml:space="preserve">(T0087285) </t>
  </si>
  <si>
    <t>VILLAGE INDERGARH</t>
  </si>
  <si>
    <t>PO JOHAR MAJRA,KARNAL</t>
  </si>
  <si>
    <t>PIN:132041,HARYANA,INDIA</t>
  </si>
  <si>
    <t>Kabir Kirankumar Chaudhari</t>
  </si>
  <si>
    <t>AU2065690500525</t>
  </si>
  <si>
    <t>Kirankumar Madhavlal Chaudhari</t>
  </si>
  <si>
    <t>Ketakiben Kirankumar  Chaudhari</t>
  </si>
  <si>
    <t xml:space="preserve">(I0621363) </t>
  </si>
  <si>
    <t>82,BHALANIYAVAS,AT-DAGAVADIYA</t>
  </si>
  <si>
    <t>TA-VIJAPUR,MEHSANA</t>
  </si>
  <si>
    <t>PIN:382830,GUJARAT,INDIA</t>
  </si>
  <si>
    <t>GURASEES KAUR GHUMAN</t>
  </si>
  <si>
    <t>AU2065683821325</t>
  </si>
  <si>
    <t>NAVDEEP KAUR </t>
  </si>
  <si>
    <t xml:space="preserve">(P6514268) </t>
  </si>
  <si>
    <t>GHUMAN KALAN,GURDASPUR</t>
  </si>
  <si>
    <t>PIN:143518,PUNJAB,INDIA</t>
  </si>
  <si>
    <t>NATANIA SACHIN</t>
  </si>
  <si>
    <t>AU2065687119725</t>
  </si>
  <si>
    <t>SACHIN CLEMENT</t>
  </si>
  <si>
    <t>DEEPTHY  MATHEW</t>
  </si>
  <si>
    <t xml:space="preserve">(Z6816670) </t>
  </si>
  <si>
    <t>ARACKEL HOUSE</t>
  </si>
  <si>
    <t>KIZHATHADIYOOR PO,PALA,KOTTAYAM</t>
  </si>
  <si>
    <t>PIN:686574,KERALA,INDIA</t>
  </si>
  <si>
    <t>DISHAN SINGH</t>
  </si>
  <si>
    <t>AU2065687120125</t>
  </si>
  <si>
    <t>HARPREET  KAUR</t>
  </si>
  <si>
    <t xml:space="preserve">(N0716549) </t>
  </si>
  <si>
    <t>DAMUNDA,JALANDHAR</t>
  </si>
  <si>
    <t>PIN:144103,PUNJAB,INDIA</t>
  </si>
  <si>
    <t>SIFAT KAUR BHANGU</t>
  </si>
  <si>
    <t>AU2065687120325</t>
  </si>
  <si>
    <t>GAGANDEEP KAUR </t>
  </si>
  <si>
    <t xml:space="preserve">(V5956974) </t>
  </si>
  <si>
    <t>BALA PATTI</t>
  </si>
  <si>
    <t>VPO SANGHERA,BARNALA</t>
  </si>
  <si>
    <t>REYANA BRIJESH NANDANI</t>
  </si>
  <si>
    <t>AU2065687120725</t>
  </si>
  <si>
    <t>BRIJESH HITESHBHAI NANDANI</t>
  </si>
  <si>
    <t>KRISHNA PARAG  RAVAL</t>
  </si>
  <si>
    <t xml:space="preserve">(B9752942) </t>
  </si>
  <si>
    <t>A/003 SAGAR SAMRAT APPT TIMES OF INDIA</t>
  </si>
  <si>
    <t>PRESS ROAD SATELLITE,AHMEDABAD</t>
  </si>
  <si>
    <t>PIN:380015,GUJARAT,INDIA</t>
  </si>
  <si>
    <t>ARWYN JIAAN RATRA</t>
  </si>
  <si>
    <t>AU2065687120925</t>
  </si>
  <si>
    <t>PALLAV RATRA</t>
  </si>
  <si>
    <t>PAYAL  PRABHAKAR</t>
  </si>
  <si>
    <t xml:space="preserve">(U3993312) </t>
  </si>
  <si>
    <t>H NO 99 BLOCK C MOUNT AVENUE</t>
  </si>
  <si>
    <t>TRIAMBIKA CHAUDHARY</t>
  </si>
  <si>
    <t>AU2065687121525</t>
  </si>
  <si>
    <t>SAHIL</t>
  </si>
  <si>
    <t>SAVITA </t>
  </si>
  <si>
    <t xml:space="preserve">(Y4211528) </t>
  </si>
  <si>
    <t>VPO AJJOWAL</t>
  </si>
  <si>
    <t>TEH &amp; DISTT,HOSHIARPUR</t>
  </si>
  <si>
    <t>DILAWAR SINGH SANDHU</t>
  </si>
  <si>
    <t>AU2065687122125</t>
  </si>
  <si>
    <t>JAGDEEP SINGH SANDHU</t>
  </si>
  <si>
    <t>JASPINDER KAUR </t>
  </si>
  <si>
    <t xml:space="preserve">(S7047376) </t>
  </si>
  <si>
    <t>KHOJALA,GURDASPUR</t>
  </si>
  <si>
    <t>PIN:143516,PUNJAB,INDIA</t>
  </si>
  <si>
    <t>HANVRIT THAKUR</t>
  </si>
  <si>
    <t>AU2065690507725</t>
  </si>
  <si>
    <t>SAHIL KOHAL</t>
  </si>
  <si>
    <t>SHIWALI </t>
  </si>
  <si>
    <t xml:space="preserve">(V7870670) </t>
  </si>
  <si>
    <t>VPO GHO</t>
  </si>
  <si>
    <t>PATHANKOT,PATHANKOT</t>
  </si>
  <si>
    <t>PIN:145023,PUNJAB,INDIA</t>
  </si>
  <si>
    <t>SHANVIK KARTHIK VENKATESH</t>
  </si>
  <si>
    <t>AU2065690507925</t>
  </si>
  <si>
    <t>KARTHIK VENKATESH SUBBIAH</t>
  </si>
  <si>
    <t>SWATHI ARUMUGA NAINAR  KONAR</t>
  </si>
  <si>
    <t xml:space="preserve">(U1717180) </t>
  </si>
  <si>
    <t>14-1A MGR NAGAR 1ST CROSS STREET,3RD MAIN ROAD</t>
  </si>
  <si>
    <t>VELACHERY,CHENNAI</t>
  </si>
  <si>
    <t>PIN:600042,TAMIL NADU,INDIA</t>
  </si>
  <si>
    <t>ANAYA JANGRA</t>
  </si>
  <si>
    <t>AU2065690508325</t>
  </si>
  <si>
    <t>ANUJ JANGRA</t>
  </si>
  <si>
    <t>TANIYA </t>
  </si>
  <si>
    <t xml:space="preserve">(P4860951) </t>
  </si>
  <si>
    <t>HOUSE NO 47 GALI NO 01 HARI VISHNU COLONY</t>
  </si>
  <si>
    <t>NEAR MAMTA CLINIC,SIRSA</t>
  </si>
  <si>
    <t>NIDHAAN SINGH</t>
  </si>
  <si>
    <t>AU2065690508525</t>
  </si>
  <si>
    <t>SUKHDEEP SINGH</t>
  </si>
  <si>
    <t>JAGDEEP KAUR </t>
  </si>
  <si>
    <t xml:space="preserve">(C2299662) </t>
  </si>
  <si>
    <t>BHAGWANPUR,GURDASPUR</t>
  </si>
  <si>
    <t>PARAMHANS SINGH</t>
  </si>
  <si>
    <t>AU2065690508725</t>
  </si>
  <si>
    <t>GURULAL SINGH</t>
  </si>
  <si>
    <t xml:space="preserve">(Y8081191) </t>
  </si>
  <si>
    <t>MUDIYA POOJAGAON ASHADHI 2,LAKHIMPUR KHERI</t>
  </si>
  <si>
    <t>PIN:261506,UTTAR PRADESH,INDIA</t>
  </si>
  <si>
    <t>TAQDEER KAUR</t>
  </si>
  <si>
    <t xml:space="preserve">LENAH VALLEY TASMANIA, AUSTRALIA  </t>
  </si>
  <si>
    <t>AU2065690508925</t>
  </si>
  <si>
    <t>GAURAVDEEP SINGH</t>
  </si>
  <si>
    <t>KOMAL PREET </t>
  </si>
  <si>
    <t xml:space="preserve">(U7409262) </t>
  </si>
  <si>
    <t>DERA SAFIDON ROAD NEAR NABIABAD GURUDWARA</t>
  </si>
  <si>
    <t>ASSANDH,KARNAL</t>
  </si>
  <si>
    <t>PIN:132039,HARYANA,INDIA</t>
  </si>
  <si>
    <t>JUNAIDAH MARYAM SYEDA</t>
  </si>
  <si>
    <t xml:space="preserve">ARARAT, AUSTRALIA </t>
  </si>
  <si>
    <t>AU2065690509125</t>
  </si>
  <si>
    <t>JUNAID QUADRI SYED</t>
  </si>
  <si>
    <t>ZAREENA BEGUM </t>
  </si>
  <si>
    <t xml:space="preserve">(Z6967093) </t>
  </si>
  <si>
    <t>4-5-57/1,GADI</t>
  </si>
  <si>
    <t>ZAHEERABAD,SANGAREDDY</t>
  </si>
  <si>
    <t>PIN:502220,TELANGANA,INDIA</t>
  </si>
  <si>
    <t>GUNTAS KAUR AULAKH</t>
  </si>
  <si>
    <t>AU2065690509525</t>
  </si>
  <si>
    <t>JASWINDER SINGH</t>
  </si>
  <si>
    <t xml:space="preserve">(Y8071314) </t>
  </si>
  <si>
    <t>HOUSE NO. 323</t>
  </si>
  <si>
    <t>JETHUKE,BATHINDA</t>
  </si>
  <si>
    <t>HUKAM SINGH KANG</t>
  </si>
  <si>
    <t xml:space="preserve">WAGGA WAGGA, AUSTRALIA  </t>
  </si>
  <si>
    <t>AU2065692771325</t>
  </si>
  <si>
    <t>JOBANJEET SINGH</t>
  </si>
  <si>
    <t xml:space="preserve">(S1761068) </t>
  </si>
  <si>
    <t>VILL. BURJ NATHU KE</t>
  </si>
  <si>
    <t>P.O. SARHALI KALAN,TEH. PATTI,TARN TARAN</t>
  </si>
  <si>
    <t>GURNAAZ KAUR</t>
  </si>
  <si>
    <t>AU2065692771525</t>
  </si>
  <si>
    <t>NAVRAJ SINGH</t>
  </si>
  <si>
    <t>PAWANPREET KAUR </t>
  </si>
  <si>
    <t xml:space="preserve">(T4883639) </t>
  </si>
  <si>
    <t>VILLAGE MOWAI</t>
  </si>
  <si>
    <t>P.O. BILGA ,TEHSIL PHILLAUR,JALANDHAR</t>
  </si>
  <si>
    <t>PIN:144036,PUNJAB,INDIA</t>
  </si>
  <si>
    <t>AVIR SHARMA</t>
  </si>
  <si>
    <t>AU2065692771725</t>
  </si>
  <si>
    <t>AMIT SHARMA</t>
  </si>
  <si>
    <t>JYOTI  SHARMA</t>
  </si>
  <si>
    <t xml:space="preserve">(W3151703) </t>
  </si>
  <si>
    <t>H-NO:-1027 DISPOSAL ROAD,GRAIN MARKET</t>
  </si>
  <si>
    <t>KHANNA,KHANNA (LUDHIANA)</t>
  </si>
  <si>
    <t>PIN:141401,PUNJAB,INDIA</t>
  </si>
  <si>
    <t>VIRAJ SHARMA</t>
  </si>
  <si>
    <t>AU2065692771925</t>
  </si>
  <si>
    <t>VIPAN SHARMA</t>
  </si>
  <si>
    <t>MONA SHARMA </t>
  </si>
  <si>
    <t xml:space="preserve">(T7219976) </t>
  </si>
  <si>
    <t>VILLAGE JOGIMAJRA</t>
  </si>
  <si>
    <t>TEH PAYAL,KHANNA (LUDHIANA)</t>
  </si>
  <si>
    <t>PIN:141119,PUNJAB,INDIA</t>
  </si>
  <si>
    <t>RYAN PANJLA</t>
  </si>
  <si>
    <t>AU2065692772325</t>
  </si>
  <si>
    <t>ROHIT PANJLA</t>
  </si>
  <si>
    <t>VIMMI </t>
  </si>
  <si>
    <t xml:space="preserve">(X4316361) </t>
  </si>
  <si>
    <t>1322 SECTOR 15 B</t>
  </si>
  <si>
    <t>CHANDIGARH,CHANDIGARH</t>
  </si>
  <si>
    <t>PIN:160015,CHANDIGARH,INDIA</t>
  </si>
  <si>
    <t>NABEEZ ULLAH KHAN MOHAMMED</t>
  </si>
  <si>
    <t>AU2065690602725</t>
  </si>
  <si>
    <t>OBAIDULLA KHAN</t>
  </si>
  <si>
    <t>FATIMA KHATOON </t>
  </si>
  <si>
    <t xml:space="preserve">(V6627907) </t>
  </si>
  <si>
    <t>H NO 16-3-495/1 CHANCHAL GUDA</t>
  </si>
  <si>
    <t>GURGPAL SINGH DHILLON</t>
  </si>
  <si>
    <t>AU2065696119525</t>
  </si>
  <si>
    <t>CHAMKAUR SINGH DHILLON</t>
  </si>
  <si>
    <t>ARSHPREET KAUR </t>
  </si>
  <si>
    <t xml:space="preserve">(W6760623) </t>
  </si>
  <si>
    <t>KAHAN SINGH WALA,MOGA</t>
  </si>
  <si>
    <t>SARKHAB SINGH KANDOLA</t>
  </si>
  <si>
    <t>AU2065696117525</t>
  </si>
  <si>
    <t>MANPREET KAUR </t>
  </si>
  <si>
    <t xml:space="preserve">(I0385111) </t>
  </si>
  <si>
    <t>VILL KANG,PO BHARTA KHURD</t>
  </si>
  <si>
    <t>TEH NAWANSHAHR,SBS NAGAR</t>
  </si>
  <si>
    <t>PIN:144518,PUNJAB,INDIA</t>
  </si>
  <si>
    <t>JAPNOOR SINGH SANDHU</t>
  </si>
  <si>
    <t>AU2065696116125</t>
  </si>
  <si>
    <t>DALER SINGH</t>
  </si>
  <si>
    <t>ISHPREET KAUR </t>
  </si>
  <si>
    <t xml:space="preserve">(I0369230) </t>
  </si>
  <si>
    <t>VPO JALALDIWAL</t>
  </si>
  <si>
    <t>TEHSIL RAIKOT,JAGRAON (LUDHIANA)</t>
  </si>
  <si>
    <t>PIN:141109,PUNJAB,INDIA</t>
  </si>
  <si>
    <t>ANAHAD KAUR AUJLA</t>
  </si>
  <si>
    <t xml:space="preserve">AU2065696114325  </t>
  </si>
  <si>
    <t>JATINDER SINGH</t>
  </si>
  <si>
    <t>YADWINDER KAUR </t>
  </si>
  <si>
    <t xml:space="preserve">(V838399) </t>
  </si>
  <si>
    <t>VILL BANMAJRA</t>
  </si>
  <si>
    <t>PO KURALI,ROPAR</t>
  </si>
  <si>
    <t>PIN:140103,PUNJAB,INDIA</t>
  </si>
  <si>
    <t>ANHADD KAUR</t>
  </si>
  <si>
    <t>AU2065696112725</t>
  </si>
  <si>
    <t>PARNEET SINGH</t>
  </si>
  <si>
    <t>RAJVIR  KAUR</t>
  </si>
  <si>
    <t xml:space="preserve">(Z6681040) </t>
  </si>
  <si>
    <t>H NO. 2 GURU SAHAHE COLONY</t>
  </si>
  <si>
    <t>CHAURA,PATIALA</t>
  </si>
  <si>
    <t>PIN:147002,PUNJAB,INDIA</t>
  </si>
  <si>
    <t>AKAAL SINGH BAL</t>
  </si>
  <si>
    <t>AU2065696110525</t>
  </si>
  <si>
    <t>ATAMJIT SINGH</t>
  </si>
  <si>
    <t>RAVNEET KAUR </t>
  </si>
  <si>
    <t xml:space="preserve">(R8211270) </t>
  </si>
  <si>
    <t>VILL. PAKHANPURA</t>
  </si>
  <si>
    <t>PO. ADDA JAINTIPURA,AMRITSAR</t>
  </si>
  <si>
    <t>PIN:143502,PUNJAB,INDIA</t>
  </si>
  <si>
    <t>SHIVJOT SINGH</t>
  </si>
  <si>
    <t>AU2065696106725</t>
  </si>
  <si>
    <t>NIRVAIR SINGH</t>
  </si>
  <si>
    <t>KULWINDER KAUR </t>
  </si>
  <si>
    <t xml:space="preserve">(Y6930111) </t>
  </si>
  <si>
    <t>SARHALI KALAN,TARN TARAN</t>
  </si>
  <si>
    <t>AU2065696102725</t>
  </si>
  <si>
    <t>PAWANDEEP  KAUR</t>
  </si>
  <si>
    <t xml:space="preserve">(P7562991) </t>
  </si>
  <si>
    <t>PACHPERA TA MAHARAJPUR PO MADHOTANDA</t>
  </si>
  <si>
    <t>GURNIWAZ SINGH SODHI</t>
  </si>
  <si>
    <t>AU2065692754725</t>
  </si>
  <si>
    <t>JARNAIL SINGH SODHI</t>
  </si>
  <si>
    <t>PRIYA RANI </t>
  </si>
  <si>
    <t xml:space="preserve">(U1321692) </t>
  </si>
  <si>
    <t>VILL- BHANA</t>
  </si>
  <si>
    <t>PO- DHUDI,FARIDKOT</t>
  </si>
  <si>
    <t>ZARA KHAN</t>
  </si>
  <si>
    <t>AU2065696099525</t>
  </si>
  <si>
    <t>FEROZE KHAN</t>
  </si>
  <si>
    <t>SHABNAM  KHATOON</t>
  </si>
  <si>
    <t xml:space="preserve">(V6494788) </t>
  </si>
  <si>
    <t>NANDI KHALSA</t>
  </si>
  <si>
    <t>PO-PATHERA,TEH-INDRI,KARNAL</t>
  </si>
  <si>
    <t>SHUBHKARMAN SINGH</t>
  </si>
  <si>
    <t>AU2065696101725</t>
  </si>
  <si>
    <t>NEHANROOP  KAUR</t>
  </si>
  <si>
    <t xml:space="preserve">(Y6938633) </t>
  </si>
  <si>
    <t>VILL. KARTARPUR</t>
  </si>
  <si>
    <t>P.O. CHARASON,PATIALA</t>
  </si>
  <si>
    <t>ELAHI KAUR BRAR</t>
  </si>
  <si>
    <t>AU2065696103525</t>
  </si>
  <si>
    <t>MANIDERJIT SINGH BRAR</t>
  </si>
  <si>
    <t xml:space="preserve">(Y4888606) </t>
  </si>
  <si>
    <t>VILL CHAMBELI,PO DHUDHI,FARIDKOT</t>
  </si>
  <si>
    <t>KIAN CHAUDHARY</t>
  </si>
  <si>
    <t>AU2065696105325</t>
  </si>
  <si>
    <t>SARTHAK KUMAR</t>
  </si>
  <si>
    <t>CHELSIA </t>
  </si>
  <si>
    <t xml:space="preserve">(V4910506) </t>
  </si>
  <si>
    <t>VILLAGE CHOUPURA</t>
  </si>
  <si>
    <t>DHULAWLI,SAHARANPUR</t>
  </si>
  <si>
    <t>PIN:247341,UTTAR PRADESH,INDIA</t>
  </si>
  <si>
    <t>SAANJH KAUR KAIRVE</t>
  </si>
  <si>
    <t>AU2065692782925</t>
  </si>
  <si>
    <t>GURPREET SINGH KAIRVE</t>
  </si>
  <si>
    <t>SARABJIT KAUR </t>
  </si>
  <si>
    <t xml:space="preserve">(X4322309) </t>
  </si>
  <si>
    <t>H.NO.155,NEAR DHARAMSHALA</t>
  </si>
  <si>
    <t>VILL KHUDI KHURD,BARNALA</t>
  </si>
  <si>
    <t>PIN:148108,PUNJAB,INDIA</t>
  </si>
  <si>
    <t>HARNIWAZ SINGH DHILLON</t>
  </si>
  <si>
    <t>AU2065692783125</t>
  </si>
  <si>
    <t>GURPREET SINGH DHILLON</t>
  </si>
  <si>
    <t>KULDEEP KAUR  DHILLON</t>
  </si>
  <si>
    <t xml:space="preserve">(U9614803) </t>
  </si>
  <si>
    <t>VILLAGE NEAR DHARMSHALA GOBINDGARH</t>
  </si>
  <si>
    <t>TEHSIL JAITU,FARIDKOT</t>
  </si>
  <si>
    <t>PIN:151205,PUNJAB,INDIA</t>
  </si>
  <si>
    <t>AISHA KHATIB</t>
  </si>
  <si>
    <t>AU2065692783525</t>
  </si>
  <si>
    <t>MOHAMMED SAYAF KHATIB</t>
  </si>
  <si>
    <t>FATHIMA ZUHA </t>
  </si>
  <si>
    <t xml:space="preserve">(N4792286) </t>
  </si>
  <si>
    <t>SHAMS</t>
  </si>
  <si>
    <t>MANDIPET,TUMAKURU</t>
  </si>
  <si>
    <t>PIN:572101,KARNATAKA,INDIA</t>
  </si>
  <si>
    <t>ANGAD BANSAL</t>
  </si>
  <si>
    <t>AU2065692784125</t>
  </si>
  <si>
    <t>NEERAJ BANSAL</t>
  </si>
  <si>
    <t>KANISHKA  RANJAN</t>
  </si>
  <si>
    <t xml:space="preserve">(W8945335) </t>
  </si>
  <si>
    <t>1658/23,VISHNU COLONY</t>
  </si>
  <si>
    <t>KURUKSHETRA,KURUKSHETRA</t>
  </si>
  <si>
    <t>SADAA KAUR SRA</t>
  </si>
  <si>
    <t>AU2065692784525</t>
  </si>
  <si>
    <t>SUKHRAJ SINGH</t>
  </si>
  <si>
    <t>JASPREET KAUR </t>
  </si>
  <si>
    <t xml:space="preserve">(U0930328) </t>
  </si>
  <si>
    <t>VILL. GARHI SINGHA RATTAN GARH DERA PO.</t>
  </si>
  <si>
    <t>BHOR SAIDAN TEH. PEHOWA,KURUKSHETRA</t>
  </si>
  <si>
    <t>PIN:136128,HARYANA,INDIA</t>
  </si>
  <si>
    <t>HUKAM SINGH SANDHU</t>
  </si>
  <si>
    <t>AU2065692785125</t>
  </si>
  <si>
    <t>LOVEJEET SINGH SANDHU</t>
  </si>
  <si>
    <t>KAMALPREET KAUR  BRAR</t>
  </si>
  <si>
    <t xml:space="preserve">(W1156427) </t>
  </si>
  <si>
    <t>VILLAGE VIRKAN WALI PO LOHGARH</t>
  </si>
  <si>
    <t>TEHSIL ZIRA,FEROZEPUR</t>
  </si>
  <si>
    <t>RABAB SINGH KHAIRA</t>
  </si>
  <si>
    <t>AU2065692785325</t>
  </si>
  <si>
    <t>HARWINDER SINGH KHAIRA</t>
  </si>
  <si>
    <t>JASPREET  KAUR</t>
  </si>
  <si>
    <t xml:space="preserve">(V3741972) </t>
  </si>
  <si>
    <t>NEAR PRIMARY SCHOOL</t>
  </si>
  <si>
    <t>ABBUPURA,JAGRAON (LUDHIANA)</t>
  </si>
  <si>
    <t>NOMANSH AGGARWAL</t>
  </si>
  <si>
    <t>AU2065692785925</t>
  </si>
  <si>
    <t>LOVE AGGARWAL</t>
  </si>
  <si>
    <t>NEHA  RANI</t>
  </si>
  <si>
    <t xml:space="preserve">(P8403571) </t>
  </si>
  <si>
    <t>D 5/25 SADATPUR EXT,KARAWAL NAGAR ROAD</t>
  </si>
  <si>
    <t>DELHI,DELHI</t>
  </si>
  <si>
    <t>PIN:110094,DELHI,INDIA</t>
  </si>
  <si>
    <t>GAURI SHARMA</t>
  </si>
  <si>
    <t>AU2065692786525</t>
  </si>
  <si>
    <t>HEENA  ARORA</t>
  </si>
  <si>
    <t xml:space="preserve">(W2155013) </t>
  </si>
  <si>
    <t>1483,SECTOR 30 B</t>
  </si>
  <si>
    <t>PIN:160030,CHANDIGARH,INDIA</t>
  </si>
  <si>
    <t>RUBAAN KAUR KHEHRA</t>
  </si>
  <si>
    <t>AU2065694986325</t>
  </si>
  <si>
    <t>VISHALVIJAY SINGH</t>
  </si>
  <si>
    <t>KAMALJIT KAUR  KANG</t>
  </si>
  <si>
    <t xml:space="preserve">(Y6927506) </t>
  </si>
  <si>
    <t>ADDA JAINTIPUR,AMRITSAR,AMRITSAR</t>
  </si>
  <si>
    <t>KOHINOOR NAPHE</t>
  </si>
  <si>
    <t>AU2065692796925</t>
  </si>
  <si>
    <t>NAPHE SINGH</t>
  </si>
  <si>
    <t>RAJNI </t>
  </si>
  <si>
    <t xml:space="preserve">(P0145023) </t>
  </si>
  <si>
    <t>VILLAGE BARANI</t>
  </si>
  <si>
    <t>PO SAMANA BAHU,KARNAL</t>
  </si>
  <si>
    <t>PIN:132117,HARYANA,INDIA</t>
  </si>
  <si>
    <t>KIARAH TUNDIYA</t>
  </si>
  <si>
    <t>AU2065692797325</t>
  </si>
  <si>
    <t>RAHUL TUNDIYA</t>
  </si>
  <si>
    <t>KOMALBEN RAHUL  TUNDIYA</t>
  </si>
  <si>
    <t xml:space="preserve">(V3304711) </t>
  </si>
  <si>
    <t>52 MADHAV PARK PART-2 VASTRAL</t>
  </si>
  <si>
    <t>AHMEDABAD,AHMEDABAD</t>
  </si>
  <si>
    <t>ESHAN PAVU</t>
  </si>
  <si>
    <t>AU2065692797525</t>
  </si>
  <si>
    <t>RUTHVIK PAVU</t>
  </si>
  <si>
    <t>KALYANI  METKARI</t>
  </si>
  <si>
    <t xml:space="preserve">(X3362454) </t>
  </si>
  <si>
    <t>1-49/4</t>
  </si>
  <si>
    <t>ARGUL JAKRANPALLY NIZAMABAD,NIZAMABAD</t>
  </si>
  <si>
    <t>PIN:503224,TELANGANA,INDIA</t>
  </si>
  <si>
    <t>EKAAGAR KAMBOJ</t>
  </si>
  <si>
    <t>AU2065692797725</t>
  </si>
  <si>
    <t>AMIT KUMAR</t>
  </si>
  <si>
    <t>SANGRAMBEER </t>
  </si>
  <si>
    <t xml:space="preserve">(Y4883685) </t>
  </si>
  <si>
    <t>VILL</t>
  </si>
  <si>
    <t>SHAMA KHANKA P.O BEHAK KHAS,FAZILKA</t>
  </si>
  <si>
    <t>PIN:152123,PUNJAB,INDIA</t>
  </si>
  <si>
    <t>AU2065692797925</t>
  </si>
  <si>
    <t>PARAMPREET SINGH</t>
  </si>
  <si>
    <t xml:space="preserve">(W9032131) </t>
  </si>
  <si>
    <t>VPO SHAHBAZPUR</t>
  </si>
  <si>
    <t>TARN TARAN,TARN TARAN</t>
  </si>
  <si>
    <t>PIN:143415,PUNJAB,INDIA</t>
  </si>
  <si>
    <t>AALAM SINGH KHEHRA</t>
  </si>
  <si>
    <t>AU2065692798125</t>
  </si>
  <si>
    <t>GURIQBAL SINGH</t>
  </si>
  <si>
    <t>JASKIRAN KAUR </t>
  </si>
  <si>
    <t xml:space="preserve">(T9681959) </t>
  </si>
  <si>
    <t>KHADOOR SAHIB,TARN TARAN</t>
  </si>
  <si>
    <t>ASEES KAUR PADDA</t>
  </si>
  <si>
    <t>AU2065692798525</t>
  </si>
  <si>
    <t>AMRITPAL SINGH</t>
  </si>
  <si>
    <t>JASKIRAT KAUR </t>
  </si>
  <si>
    <t xml:space="preserve">(Y1386260) </t>
  </si>
  <si>
    <t>VILL: GANDE KE,PO CHONE</t>
  </si>
  <si>
    <t>TEH BATALA,GURDASPUR</t>
  </si>
  <si>
    <t>PIN:143514,PUNJAB,INDIA</t>
  </si>
  <si>
    <t>KARAN DEVRAJ</t>
  </si>
  <si>
    <t>AU2065692798725</t>
  </si>
  <si>
    <t>MANDEEP KUMAR</t>
  </si>
  <si>
    <t>HARMANPREET KAUR </t>
  </si>
  <si>
    <t xml:space="preserve">(T0154097) </t>
  </si>
  <si>
    <t>V.P.O- KOTRA KALAN</t>
  </si>
  <si>
    <t>DISTRICT-,MANSA</t>
  </si>
  <si>
    <t>RABNOOR KAUR</t>
  </si>
  <si>
    <t>AU2065692799125</t>
  </si>
  <si>
    <t>RAMANDEEP SINGH</t>
  </si>
  <si>
    <t xml:space="preserve">(W8931207) </t>
  </si>
  <si>
    <t>R2049,VILL. BALSARAI KHURD</t>
  </si>
  <si>
    <t>TEH BABA BAKALA,AMRITSAR</t>
  </si>
  <si>
    <t>PIN:143204,PUNJAB,INDIA</t>
  </si>
  <si>
    <t>AU2065692799525</t>
  </si>
  <si>
    <t>JANPAL SINGH</t>
  </si>
  <si>
    <t>HARJIT KAUR </t>
  </si>
  <si>
    <t xml:space="preserve">(T5066094) </t>
  </si>
  <si>
    <t>DERA GUJRAKHIYA</t>
  </si>
  <si>
    <t>TEHSIL ASSANDH,KARNAL</t>
  </si>
  <si>
    <t>YASHIKA AREEKKARA</t>
  </si>
  <si>
    <t>AU2065692799725</t>
  </si>
  <si>
    <t>VAISHAKH AREEKKARA</t>
  </si>
  <si>
    <t>GAYATHRI  VALIYAPURAKKAL</t>
  </si>
  <si>
    <t xml:space="preserve">(N1210795) </t>
  </si>
  <si>
    <t>AREEKKARA(H) PATHAIKKARA</t>
  </si>
  <si>
    <t>PERINTHALMANNA,MALAPPURAM</t>
  </si>
  <si>
    <t>PIN:679322,KERALA,INDIA</t>
  </si>
  <si>
    <t>JIGARBIR SINGH</t>
  </si>
  <si>
    <t>AU2065692800525</t>
  </si>
  <si>
    <t>GAGANBIR SINGH</t>
  </si>
  <si>
    <t>GARRY  WARAICH</t>
  </si>
  <si>
    <t xml:space="preserve">(S8046072) </t>
  </si>
  <si>
    <t>NAWI SRAN ,WARD NO. 9,AJNALA</t>
  </si>
  <si>
    <t>TEHSIL.AJNALA,AMRITSAR</t>
  </si>
  <si>
    <t>CHARVIKA SABHARWAL</t>
  </si>
  <si>
    <t>AU2065692800925</t>
  </si>
  <si>
    <t>HITESH ANAND</t>
  </si>
  <si>
    <t>MAFFI  DEVI</t>
  </si>
  <si>
    <t xml:space="preserve">(Z4433634) </t>
  </si>
  <si>
    <t>C-16 RAILVIHAR</t>
  </si>
  <si>
    <t>PIN:133004,HARYANA,INDIA</t>
  </si>
  <si>
    <t>PRABHROOP BEDI</t>
  </si>
  <si>
    <t xml:space="preserve">BUNDOORA, AUSTRALIA </t>
  </si>
  <si>
    <t>AU2065692801525</t>
  </si>
  <si>
    <t>DILPREET BEDI</t>
  </si>
  <si>
    <t>SARABJEET  BEDI</t>
  </si>
  <si>
    <t xml:space="preserve">(P4490884) </t>
  </si>
  <si>
    <t>1A/4A,FLAT 5,3RD FLOOR</t>
  </si>
  <si>
    <t>NIT,FARIDABAD</t>
  </si>
  <si>
    <t>PIN:121001,HARYANA,INDIA</t>
  </si>
  <si>
    <t>EVELYN KAUR MANN</t>
  </si>
  <si>
    <t xml:space="preserve">BLACKTOWN, AUSTRALIA </t>
  </si>
  <si>
    <t>AU2065693866525</t>
  </si>
  <si>
    <t>JASPREET SINGH MANN</t>
  </si>
  <si>
    <t xml:space="preserve">(X7368004) </t>
  </si>
  <si>
    <t>HOUSE NO.B-332</t>
  </si>
  <si>
    <t>N.F.L. COLONY,BATHINDA</t>
  </si>
  <si>
    <t>PIN:151003,PUNJAB,INDIA</t>
  </si>
  <si>
    <t>SAIAMRITHA ULLHAS KAARTHI</t>
  </si>
  <si>
    <t>AU2065863420425</t>
  </si>
  <si>
    <t>ULLHAS KAARTHI MOORTHI</t>
  </si>
  <si>
    <t>SARANYA GIRIDHARAN</t>
  </si>
  <si>
    <t xml:space="preserve"> (B8842399) </t>
  </si>
  <si>
    <t>34 SRI OM SHAKTHI NILAYA 1ST CRS</t>
  </si>
  <si>
    <t>CHOLURUPALYA MAGADI ROAD,BENGALURU</t>
  </si>
  <si>
    <t xml:space="preserve">PIN:560023,KARNATAKA,INDIA </t>
  </si>
  <si>
    <t>SHREEJI JIGAR VYAS</t>
  </si>
  <si>
    <t>AU2065693836725</t>
  </si>
  <si>
    <t>JIGAR MUKUNDKUMAR VYAS</t>
  </si>
  <si>
    <t>KINJALBEN JIGAR  VYAS</t>
  </si>
  <si>
    <t xml:space="preserve">(C4150520) </t>
  </si>
  <si>
    <t>C-1 SHREEJI AVENUE,ABU HIGHWAY,HANUMAN TEKRI</t>
  </si>
  <si>
    <t>PALANPUR,BANASKANTHA</t>
  </si>
  <si>
    <t>PIN:385001,GUJARAT,INDIA</t>
  </si>
  <si>
    <t>SITHARA REDDY PEDDOLLA</t>
  </si>
  <si>
    <t>AU2065693837125</t>
  </si>
  <si>
    <t>SUMITH REDDY PEDDOLLA</t>
  </si>
  <si>
    <t>JYOTHI  PERKIT</t>
  </si>
  <si>
    <t xml:space="preserve">(W1363438) </t>
  </si>
  <si>
    <t>H NO: 4-102,FATHEPOOR</t>
  </si>
  <si>
    <t>ARMOOR,NIZAMABAD</t>
  </si>
  <si>
    <t>PIN:503217,TELANGANA,INDIA</t>
  </si>
  <si>
    <t>SADHA KAUR KHAIRA</t>
  </si>
  <si>
    <t>AU2065693838925</t>
  </si>
  <si>
    <t>SUKHMANPREET SINGH</t>
  </si>
  <si>
    <t>NAVNEET KAUR </t>
  </si>
  <si>
    <t xml:space="preserve">(Y8079756) </t>
  </si>
  <si>
    <t>V.P.O. SARCHUR</t>
  </si>
  <si>
    <t>TEH,BATALA,GURDASPUR</t>
  </si>
  <si>
    <t>AIRA MARIAM RANJIT</t>
  </si>
  <si>
    <t>AU2065694981325</t>
  </si>
  <si>
    <t>RANJIT RAJADHAS LAILA KUMARI</t>
  </si>
  <si>
    <t>ANEESHA  APPUKKUTTAN</t>
  </si>
  <si>
    <t xml:space="preserve">(N6351625) </t>
  </si>
  <si>
    <t>KOLLIYOTTIL HOUSE EDACODE</t>
  </si>
  <si>
    <t>NEMOM PO,TRIVANDRUM</t>
  </si>
  <si>
    <t>PIN:695020,KERALA,INDIA</t>
  </si>
  <si>
    <t>AYAAN SINGH JAGDEO</t>
  </si>
  <si>
    <t>AU2065694981725</t>
  </si>
  <si>
    <t>SANJANA </t>
  </si>
  <si>
    <t xml:space="preserve">(P6004600) </t>
  </si>
  <si>
    <t>V.P.O MADPUR</t>
  </si>
  <si>
    <t>SAMRALA,KHANNA (LUDHIANA)</t>
  </si>
  <si>
    <t>PIN:141124,PUNJAB,INDIA</t>
  </si>
  <si>
    <t>ZORAWAR SINGH</t>
  </si>
  <si>
    <t>AU2065694982325</t>
  </si>
  <si>
    <t>SAJAN SINGH</t>
  </si>
  <si>
    <t>KOMALPREET KAUR </t>
  </si>
  <si>
    <t xml:space="preserve">(C2437883) </t>
  </si>
  <si>
    <t>H.NO 24,GALI NO 3 FRIENDS COLONY</t>
  </si>
  <si>
    <t>JALANDHAR,JALANDHAR</t>
  </si>
  <si>
    <t>PIN:144003,PUNJAB,INDIA</t>
  </si>
  <si>
    <t>AU2065694982725</t>
  </si>
  <si>
    <t>MAJOR SINGH</t>
  </si>
  <si>
    <t xml:space="preserve">(V8760755) </t>
  </si>
  <si>
    <t>VPO NADALA</t>
  </si>
  <si>
    <t>DISTT,KAPURTHALA</t>
  </si>
  <si>
    <t>PIN:144624,PUNJAB,INDIA</t>
  </si>
  <si>
    <t>EASTER MARIAM LINTO</t>
  </si>
  <si>
    <t>AU2065694982925</t>
  </si>
  <si>
    <t>LINTO THOMAS</t>
  </si>
  <si>
    <t>DIGIT MARIA  JOSE</t>
  </si>
  <si>
    <t xml:space="preserve">(W7042285) </t>
  </si>
  <si>
    <t>KOTTARAMTHARAPPIL</t>
  </si>
  <si>
    <t>KURIANAD,KOTTAYAM</t>
  </si>
  <si>
    <t>PIN:686636,KERALA,INDIA</t>
  </si>
  <si>
    <t>VIHAA VIKRAMKUMAR CHAUDHARI</t>
  </si>
  <si>
    <t>AU2065694983325</t>
  </si>
  <si>
    <t>VIKRAMKUMAR MANUBHAI CHAUDHARI</t>
  </si>
  <si>
    <t>SHIVANI MUKESHBHAI  BAROT</t>
  </si>
  <si>
    <t xml:space="preserve">(N2851900) </t>
  </si>
  <si>
    <t>PLOT NO-454/2</t>
  </si>
  <si>
    <t>SECTOR 5-A,GANDHINAGAR</t>
  </si>
  <si>
    <t>PIN:382006,GUJARAT,INDIA</t>
  </si>
  <si>
    <t>AARYAV PARMAR</t>
  </si>
  <si>
    <t>AU2065694983725</t>
  </si>
  <si>
    <t>SUDHIR CHHOTUBHAI PARMAR</t>
  </si>
  <si>
    <t>PRIYANKA  MAKWANA</t>
  </si>
  <si>
    <t xml:space="preserve">(Z3904531) </t>
  </si>
  <si>
    <t>B-20,AMARDHAM SOCIETY,TP-13</t>
  </si>
  <si>
    <t>CHHANI JAKAT NAKA,VADODARA</t>
  </si>
  <si>
    <t>PIN:390002,GUJARAT,INDIA</t>
  </si>
  <si>
    <t>ARBAAZ SINGH VIRK</t>
  </si>
  <si>
    <t>AU2065694984125</t>
  </si>
  <si>
    <t>MALKEET SINGH VIRK</t>
  </si>
  <si>
    <t xml:space="preserve">(B6744968) </t>
  </si>
  <si>
    <t>MANDAR,MOGA</t>
  </si>
  <si>
    <t>AMBER KAUR NAGRA</t>
  </si>
  <si>
    <t>AU2065694984325</t>
  </si>
  <si>
    <t>JAGROOP  KAUR</t>
  </si>
  <si>
    <t xml:space="preserve">(B6747432) </t>
  </si>
  <si>
    <t>METLAY,BATALA,GURDASPUR</t>
  </si>
  <si>
    <t>KADAR SINGH DHILLON</t>
  </si>
  <si>
    <t>AU2065694984725</t>
  </si>
  <si>
    <t>MANDEEP SINGH DHILLON</t>
  </si>
  <si>
    <t>SHARANJEET KAUR </t>
  </si>
  <si>
    <t xml:space="preserve">(W2388795) </t>
  </si>
  <si>
    <t>DASHMESH NAGAR MOURANWALI</t>
  </si>
  <si>
    <t>SUNAM,SANGRUR</t>
  </si>
  <si>
    <t>AVIRRAAJ SINGH</t>
  </si>
  <si>
    <t>AU2065694985125</t>
  </si>
  <si>
    <t>AMANPREET PAUL SINGH</t>
  </si>
  <si>
    <t>NEHA  KAPOOR</t>
  </si>
  <si>
    <t xml:space="preserve">(C2148626) </t>
  </si>
  <si>
    <t>76 BLOOD DONORS COLONY</t>
  </si>
  <si>
    <t>NAWANSHAHAR,SBS NAGAR</t>
  </si>
  <si>
    <t>PIN:144514,PUNJAB,INDIA</t>
  </si>
  <si>
    <t>DAIVIK SALYAN</t>
  </si>
  <si>
    <t>AU2065694985525</t>
  </si>
  <si>
    <t>ANGREJ SINGH</t>
  </si>
  <si>
    <t>POOJA  RANI</t>
  </si>
  <si>
    <t xml:space="preserve">(C2280942) </t>
  </si>
  <si>
    <t>MANJURA,KARNAL</t>
  </si>
  <si>
    <t>PAAVI SHAH</t>
  </si>
  <si>
    <t>AU2065694985725</t>
  </si>
  <si>
    <t>KOMIL SHAH</t>
  </si>
  <si>
    <t>PURVI  SHAH</t>
  </si>
  <si>
    <t xml:space="preserve">(V5331787) </t>
  </si>
  <si>
    <t>25 PAYAL VATIKA</t>
  </si>
  <si>
    <t>VANDANA NAGAR INDORE,INDORE</t>
  </si>
  <si>
    <t>PIN:452018,MADHYA PRADESH,INDIA</t>
  </si>
  <si>
    <t>ANSH SINGH</t>
  </si>
  <si>
    <t>AU2065694986525</t>
  </si>
  <si>
    <t>HANSRAJ SINGH</t>
  </si>
  <si>
    <t>ANJALI  TOMAR</t>
  </si>
  <si>
    <t xml:space="preserve">(C2405490) </t>
  </si>
  <si>
    <t>BEDHAM</t>
  </si>
  <si>
    <t>BEDHAM,DEEG</t>
  </si>
  <si>
    <t>PIN:321203,RAJASTHAN,INDIA</t>
  </si>
  <si>
    <t>ATEESHA UPADHYAY</t>
  </si>
  <si>
    <t>AU2065694986925</t>
  </si>
  <si>
    <t>NIRVED UPADHYAY</t>
  </si>
  <si>
    <t>AASHIMA  UPADHYAY</t>
  </si>
  <si>
    <t xml:space="preserve">(U5284898) </t>
  </si>
  <si>
    <t>B 20/11 VED NAGAR</t>
  </si>
  <si>
    <t>UJJAIN,UJJAIN</t>
  </si>
  <si>
    <t>PIN:456010,MADHYA PRADESH,INDIA</t>
  </si>
  <si>
    <t>SADAA KAUR VIRK</t>
  </si>
  <si>
    <t>AU2065692772125</t>
  </si>
  <si>
    <t>SIMRATPAL SINGH</t>
  </si>
  <si>
    <t xml:space="preserve">(W6443904) </t>
  </si>
  <si>
    <t>VILL CHAJJUPUR,P.O.URNAI</t>
  </si>
  <si>
    <t>TEHSIL PEHOWA,KURUKSHETRA</t>
  </si>
  <si>
    <t>PAVITAR SINGH GILL</t>
  </si>
  <si>
    <t>AU2065696020525</t>
  </si>
  <si>
    <t>AMANDEEP SINGH GILL</t>
  </si>
  <si>
    <t>SUKHDEEP KAUR </t>
  </si>
  <si>
    <t xml:space="preserve">(V9052770) </t>
  </si>
  <si>
    <t>SAFFUWALA,MOGA</t>
  </si>
  <si>
    <t>GURNAWAB SINGH MALHI</t>
  </si>
  <si>
    <t>AU2065696021125</t>
  </si>
  <si>
    <t>VISHALJEET SINGH</t>
  </si>
  <si>
    <t>SUMANPREET KAUR </t>
  </si>
  <si>
    <t xml:space="preserve">(U9613108) </t>
  </si>
  <si>
    <t>VPO: RANI WALAH</t>
  </si>
  <si>
    <t>TEHSIL &amp; DISTT,TARN TARAN</t>
  </si>
  <si>
    <t>KHALID UDDIN KHAJA MOHAMMED</t>
  </si>
  <si>
    <t>AU2065696021525</t>
  </si>
  <si>
    <t>MOHAMMED NOORUDDIN KHAJA</t>
  </si>
  <si>
    <t>SYEDA UMME SALMA </t>
  </si>
  <si>
    <t xml:space="preserve">(X7372293) </t>
  </si>
  <si>
    <t>1-8-494/5,VIQUAR NAGAR</t>
  </si>
  <si>
    <t>PRAKASH NAGAR,BEGUMPET,HYDERABAD</t>
  </si>
  <si>
    <t>PIN:500016,TELANGANA,INDIA</t>
  </si>
  <si>
    <t>KARAMVEER SINGH CHAHAL</t>
  </si>
  <si>
    <t>AU2065696022325</t>
  </si>
  <si>
    <t>GURINDERJIT SINGH</t>
  </si>
  <si>
    <t xml:space="preserve">(S6692645) </t>
  </si>
  <si>
    <t>NEAR GOVT MIDDLE SCHOOL</t>
  </si>
  <si>
    <t>KHIALI,BARNALA</t>
  </si>
  <si>
    <t>YAHYA AHMED MOHAMMED</t>
  </si>
  <si>
    <t>AU2065696023125</t>
  </si>
  <si>
    <t>BILAL AHMED MOHAMMED</t>
  </si>
  <si>
    <t>MAHEEN  SIDDIQUI</t>
  </si>
  <si>
    <t xml:space="preserve">(C9794552) </t>
  </si>
  <si>
    <t>17-1-182/D/C,BANU NAGAR</t>
  </si>
  <si>
    <t>SANTOSH NAGAR,HYDERABAD</t>
  </si>
  <si>
    <t>PIN:500059,TELANGANA,INDIA</t>
  </si>
  <si>
    <t>ABDUL WADUD KHAN</t>
  </si>
  <si>
    <t>AU2065696023525</t>
  </si>
  <si>
    <t>ABDUL MUHEET KHAN</t>
  </si>
  <si>
    <t>REEMA HASAN </t>
  </si>
  <si>
    <t xml:space="preserve">(W1152985) </t>
  </si>
  <si>
    <t>8-1-40/1/A,B,C,D,E,FLAT NO 503,HS ROYAL APTS</t>
  </si>
  <si>
    <t>SHAIKPET/ GOLCONDA,HYDERABAD</t>
  </si>
  <si>
    <t>VIHAAN PENTAPATI</t>
  </si>
  <si>
    <t>AU2065698248725</t>
  </si>
  <si>
    <t>KRISHNA SARATH PENTAPATI</t>
  </si>
  <si>
    <t>DHANALAKSHMI  KOTLA</t>
  </si>
  <si>
    <t xml:space="preserve">(Z3977594) </t>
  </si>
  <si>
    <t>DOOR NO 14-179,MEDARA STREET</t>
  </si>
  <si>
    <t>RAJAM,VIZIANAGARAM</t>
  </si>
  <si>
    <t>PIN:532127,ANDHRA PRADESH,INDIA</t>
  </si>
  <si>
    <t>SHIVAY SHARMA</t>
  </si>
  <si>
    <t>AU2065698249325</t>
  </si>
  <si>
    <t>HARSHDIP SHARMA</t>
  </si>
  <si>
    <t>MILKY </t>
  </si>
  <si>
    <t xml:space="preserve">(R1273243) </t>
  </si>
  <si>
    <t>SIHAURA,KHANNA (LUDHIANA)</t>
  </si>
  <si>
    <t>PIN:141413,PUNJAB,INDIA</t>
  </si>
  <si>
    <t>AKAALJOT SINGH</t>
  </si>
  <si>
    <t>AU2065698329325</t>
  </si>
  <si>
    <t>ARSHDEEP SINGH</t>
  </si>
  <si>
    <t>HARSHPREET KAUR </t>
  </si>
  <si>
    <t xml:space="preserve">(U1959929) </t>
  </si>
  <si>
    <t>DAUN KALAN</t>
  </si>
  <si>
    <t>VPO DAUN KALAN,PATIALA</t>
  </si>
  <si>
    <t>AVYUKT ARORA</t>
  </si>
  <si>
    <t>AU2065699302725</t>
  </si>
  <si>
    <t>ESHANT ARORA</t>
  </si>
  <si>
    <t>SAKSHI </t>
  </si>
  <si>
    <t xml:space="preserve">(Z3870308) </t>
  </si>
  <si>
    <t>H NO 1936 NEAR N.T.C SCHOOL</t>
  </si>
  <si>
    <t>RAJPURA TOWN,PATIALA</t>
  </si>
  <si>
    <t>SADA KAUR</t>
  </si>
  <si>
    <t xml:space="preserve">LAUNCESTON, AUSTRALIA  </t>
  </si>
  <si>
    <t>AU2065699302925</t>
  </si>
  <si>
    <t>RAVINDER SINGH</t>
  </si>
  <si>
    <t>HARNOOR KAUR </t>
  </si>
  <si>
    <t xml:space="preserve">(R7814195) </t>
  </si>
  <si>
    <t>ZAFFARWAL,GURDASPUR</t>
  </si>
  <si>
    <t>SHIVANSH REDDY BURUGU</t>
  </si>
  <si>
    <t>AU2065699303125</t>
  </si>
  <si>
    <t>YASHWANTH REDDY BURUGU</t>
  </si>
  <si>
    <t>MANASA REDDY  BARLA</t>
  </si>
  <si>
    <t xml:space="preserve">(P5895669) </t>
  </si>
  <si>
    <t>1-5-701 BHAVANI NAGAR</t>
  </si>
  <si>
    <t>OLD ALWAL,MEDCHAL</t>
  </si>
  <si>
    <t>PIN:500010,TELANGANA,INDIA</t>
  </si>
  <si>
    <t>SHIDDAT KANDOLA</t>
  </si>
  <si>
    <t>AU2065699304325</t>
  </si>
  <si>
    <t>MOHIT KUMAR</t>
  </si>
  <si>
    <t>POONAM DEVI </t>
  </si>
  <si>
    <t xml:space="preserve">(R0428711) </t>
  </si>
  <si>
    <t>VILL. ATELA</t>
  </si>
  <si>
    <t>P.O BABA LADANA,KAITHAL</t>
  </si>
  <si>
    <t>NOORAT KAUR MAKKAR</t>
  </si>
  <si>
    <t>AU2065699304525</t>
  </si>
  <si>
    <t>SANDEEP MAKKAR</t>
  </si>
  <si>
    <t>JASJEET  KAUR</t>
  </si>
  <si>
    <t xml:space="preserve">(U6092916) </t>
  </si>
  <si>
    <t>E-263</t>
  </si>
  <si>
    <t>SHASTRI NAGAR,DELHI</t>
  </si>
  <si>
    <t>PIN:110052,DELHI,INDIA</t>
  </si>
  <si>
    <t>SAANCHI POONIA</t>
  </si>
  <si>
    <t>AU2065863620625</t>
  </si>
  <si>
    <t>DILIP SINGH</t>
  </si>
  <si>
    <t>RITU KUMARI BAGARIA</t>
  </si>
  <si>
    <t xml:space="preserve">(R8795141)  </t>
  </si>
  <si>
    <t>KHIROD ROAD</t>
  </si>
  <si>
    <t>SIKAR,SIKAR</t>
  </si>
  <si>
    <t xml:space="preserve">PIN:332027,RAJASTHAN,INDIA </t>
  </si>
  <si>
    <t>GURNIWAZ SINGH JAURA</t>
  </si>
  <si>
    <t>AU2065700364325</t>
  </si>
  <si>
    <t>AMRITPAL SINGH JAURA</t>
  </si>
  <si>
    <t>KOMAL </t>
  </si>
  <si>
    <t xml:space="preserve">(X2658812) </t>
  </si>
  <si>
    <t>BARNALA ROAD</t>
  </si>
  <si>
    <t>NIHAL SINGH WALA,MOGA</t>
  </si>
  <si>
    <t>ELLERY BHAJAN KAUR</t>
  </si>
  <si>
    <t>AU2065700364725</t>
  </si>
  <si>
    <t>HARMEET SINGH</t>
  </si>
  <si>
    <t>ELNISE MAY PACALDO  AREVALO</t>
  </si>
  <si>
    <t xml:space="preserve">(U0244421) </t>
  </si>
  <si>
    <t>A-111 FIRST FLOOR</t>
  </si>
  <si>
    <t>RAMPRASTHA COLONY,GHAZIABAD</t>
  </si>
  <si>
    <t>PIN:201011,UTTAR PRADESH,INDIA</t>
  </si>
  <si>
    <t>REYANSH KAMDAR</t>
  </si>
  <si>
    <t>AU2065700365125</t>
  </si>
  <si>
    <t>MIHIR PARAGBHAI KAMDAR</t>
  </si>
  <si>
    <t>VISHVA BIPINKUMAR  SHAH</t>
  </si>
  <si>
    <t xml:space="preserve">(I0609332) </t>
  </si>
  <si>
    <t>PURUSHARTH,SWAMINARAYAN STREET</t>
  </si>
  <si>
    <t>KALAVAD,JAMNAGAR</t>
  </si>
  <si>
    <t>PIN:361160,GUJARAT,INDIA</t>
  </si>
  <si>
    <t>AVANT KAUR SEKHON</t>
  </si>
  <si>
    <t>AU2065700366925</t>
  </si>
  <si>
    <t>GLORY SEKHON</t>
  </si>
  <si>
    <t xml:space="preserve">(S3837318) </t>
  </si>
  <si>
    <t>NEAR GATE NO 2,NEW CANTT ROAD</t>
  </si>
  <si>
    <t>FARIDKOT,FARIDKOT</t>
  </si>
  <si>
    <t>HARDEEP KAUR CHEEMA</t>
  </si>
  <si>
    <t>AU2065700367325</t>
  </si>
  <si>
    <t>HARPAL SINGH</t>
  </si>
  <si>
    <t>DHARWINDER KAUR </t>
  </si>
  <si>
    <t xml:space="preserve">(V6416945) </t>
  </si>
  <si>
    <t>HOUSE NO. 64</t>
  </si>
  <si>
    <t>DHAINTHAL,PATIALA,PATIALA</t>
  </si>
  <si>
    <t>AKAAL SINGH PANNU</t>
  </si>
  <si>
    <t>AU2065700367525</t>
  </si>
  <si>
    <t>HARMANJOT SINGH</t>
  </si>
  <si>
    <t>RAMANDEEP KAUR </t>
  </si>
  <si>
    <t xml:space="preserve">(T0165600) </t>
  </si>
  <si>
    <t>MUKANDPUR,LUDHIANA</t>
  </si>
  <si>
    <t>PIN:141206,PUNJAB,INDIA</t>
  </si>
  <si>
    <t>RUBANI SINGHROHA</t>
  </si>
  <si>
    <t>AU2065700367925</t>
  </si>
  <si>
    <t>RAHUL</t>
  </si>
  <si>
    <t>VENU </t>
  </si>
  <si>
    <t xml:space="preserve">(P6632509) </t>
  </si>
  <si>
    <t>VPO RISALWA</t>
  </si>
  <si>
    <t>TEH ASSANDH,KARNAL</t>
  </si>
  <si>
    <t>AVNOOR KAUR</t>
  </si>
  <si>
    <t>AU2065700368325</t>
  </si>
  <si>
    <t>KARAMBIR SINGH</t>
  </si>
  <si>
    <t xml:space="preserve">(S9908026) </t>
  </si>
  <si>
    <t>VILL PULL PUKHTA</t>
  </si>
  <si>
    <t>PO WADI MIANI PS TANDA,HOSHIARPUR</t>
  </si>
  <si>
    <t>PIN:144203,PUNJAB,INDIA</t>
  </si>
  <si>
    <t>AVITAAZ SINGH</t>
  </si>
  <si>
    <t>AU2065700368725</t>
  </si>
  <si>
    <t>SHANYA GAJAREDDY</t>
  </si>
  <si>
    <t>AU2065700369125</t>
  </si>
  <si>
    <t>SUSHANTH GAJAREDDY</t>
  </si>
  <si>
    <t>SOUJANYA  KOMMULA</t>
  </si>
  <si>
    <t xml:space="preserve">(P8814368) </t>
  </si>
  <si>
    <t>HNO 4-6-9,ALOOR ROAD</t>
  </si>
  <si>
    <t>HARLEEN KAUR</t>
  </si>
  <si>
    <t>AU2065703188725</t>
  </si>
  <si>
    <t>HARVINDER SINGH</t>
  </si>
  <si>
    <t>VANESSA MAE DESOY  CANLAS</t>
  </si>
  <si>
    <t xml:space="preserve">(S0653553) </t>
  </si>
  <si>
    <t>PHULAHI,HOSHIARPUR</t>
  </si>
  <si>
    <t>BARKAT KAUR HUNDAL</t>
  </si>
  <si>
    <t>AU2065703188325</t>
  </si>
  <si>
    <t>GURBHEJ SINGH</t>
  </si>
  <si>
    <t>GURLEEN  KAUR</t>
  </si>
  <si>
    <t xml:space="preserve">(X7683464) </t>
  </si>
  <si>
    <t>VILL PANDORI</t>
  </si>
  <si>
    <t>PO MEHMA,AMRITSAR</t>
  </si>
  <si>
    <t>PIN:143022,PUNJAB,INDIA</t>
  </si>
  <si>
    <t>YANSHVIR KHICHER</t>
  </si>
  <si>
    <t>AU2065703198925</t>
  </si>
  <si>
    <t>PRAMVIR KHICHER</t>
  </si>
  <si>
    <t>SONIKA </t>
  </si>
  <si>
    <t xml:space="preserve">(U6517881) </t>
  </si>
  <si>
    <t>430 DEFENCE COLONY</t>
  </si>
  <si>
    <t>HISAR,HISAR</t>
  </si>
  <si>
    <t>PIN:125001,HARYANA,INDIA</t>
  </si>
  <si>
    <t>SIFAT KAUR GREWAL</t>
  </si>
  <si>
    <t>AU2065699303725</t>
  </si>
  <si>
    <t>FATEHDEEP SINGH GREWAL</t>
  </si>
  <si>
    <t xml:space="preserve">(C6843535) </t>
  </si>
  <si>
    <t>VILLAGE AND POST OFFICE SARABHA</t>
  </si>
  <si>
    <t>SARABHA,JAGRAON (LUDHIANA)</t>
  </si>
  <si>
    <t>PIN:141105,PUNJAB,INDIA</t>
  </si>
  <si>
    <t>HRIMAN VOJJALA</t>
  </si>
  <si>
    <t>AU2065704155725</t>
  </si>
  <si>
    <t>VIJAYKUMAR VOJJALA</t>
  </si>
  <si>
    <t>DEEPIKA  CHITNENI</t>
  </si>
  <si>
    <t xml:space="preserve">(N6457312) </t>
  </si>
  <si>
    <t>7-125 THOTLAWADA</t>
  </si>
  <si>
    <t>DHARMAPURI,JAGITYAL</t>
  </si>
  <si>
    <t>PIN:505425,TELANGANA,INDIA</t>
  </si>
  <si>
    <t>ARJAN SINGH GURU</t>
  </si>
  <si>
    <t>AU2065866875425</t>
  </si>
  <si>
    <t>RANJIT SINGH GURU</t>
  </si>
  <si>
    <t>BALJIT</t>
  </si>
  <si>
    <t xml:space="preserve"> (W7045905) </t>
  </si>
  <si>
    <t>GREEN AVENUE</t>
  </si>
  <si>
    <t>RAIKOT,JAGRAON (LUDHIANA)</t>
  </si>
  <si>
    <t xml:space="preserve">PIN:141109,PUNJAB,INDIA </t>
  </si>
  <si>
    <t>FATEHVEER SINGH</t>
  </si>
  <si>
    <t>AU2065866875825</t>
  </si>
  <si>
    <t>PAWANPREET SINGH</t>
  </si>
  <si>
    <t>RAMNEEK</t>
  </si>
  <si>
    <t xml:space="preserve">(W2590671) </t>
  </si>
  <si>
    <t>VILLAGE NEOR</t>
  </si>
  <si>
    <t>VILLAGE NEOR,BATHINDA</t>
  </si>
  <si>
    <t xml:space="preserve">PIN:151206,PUNJAB,INDIA </t>
  </si>
  <si>
    <t>ANVITH CHAND AMPELLY</t>
  </si>
  <si>
    <t>AU2065866876025</t>
  </si>
  <si>
    <t>CHANDAN AMPELLY</t>
  </si>
  <si>
    <t>AKHILA AKUTHOTA</t>
  </si>
  <si>
    <t xml:space="preserve">(R1605333) </t>
  </si>
  <si>
    <t>H.NO:2-2 B C COLONY NARSIMHULAGUDEM</t>
  </si>
  <si>
    <t>HANAMKONDA,WARANGAL URBAN,HANUMAKONDA</t>
  </si>
  <si>
    <t xml:space="preserve">PIN:506003,TELANGANA,INDIA </t>
  </si>
  <si>
    <t>PRABHLEEN KAUR BRAR</t>
  </si>
  <si>
    <t>AU2065866876225</t>
  </si>
  <si>
    <t>JASWINDER SINGH BRAR</t>
  </si>
  <si>
    <t>MANDEEP KAUR TOOR</t>
  </si>
  <si>
    <t xml:space="preserve"> (V9554291) </t>
  </si>
  <si>
    <t>VPO CHAND PURANA</t>
  </si>
  <si>
    <t>TEHSIL BAGHA PURANA,MOGA</t>
  </si>
  <si>
    <t xml:space="preserve">PIN:142038,PUNJAB,INDIA </t>
  </si>
  <si>
    <t>VIYAAN SUMRA</t>
  </si>
  <si>
    <t>AU2065866876425</t>
  </si>
  <si>
    <t>JASHAN KUMAR SUMRA</t>
  </si>
  <si>
    <t>GAGANDEEP SUMRA</t>
  </si>
  <si>
    <t xml:space="preserve">(W3151972) </t>
  </si>
  <si>
    <t>VPO NATHANA</t>
  </si>
  <si>
    <t>PATTI SUKHU,BATHINDA</t>
  </si>
  <si>
    <t xml:space="preserve">PIN:151102,PUNJAB,INDIA </t>
  </si>
  <si>
    <t>PARVAAZ SINGH</t>
  </si>
  <si>
    <t>AU2065866876625</t>
  </si>
  <si>
    <t>MANINDERJIT SINGH</t>
  </si>
  <si>
    <t>KIRANDEEP KAUR</t>
  </si>
  <si>
    <t xml:space="preserve"> (U6833144) </t>
  </si>
  <si>
    <t>H.NO,255 (NEAR KHERA)</t>
  </si>
  <si>
    <t>KUTHA KHERI,PATIALA</t>
  </si>
  <si>
    <t xml:space="preserve">PIN:140701,PUNJAB,INDIA </t>
  </si>
  <si>
    <t>NADAR NIHAAL SINGH</t>
  </si>
  <si>
    <t>AU2065866908425</t>
  </si>
  <si>
    <t>HASANPREET SINGH</t>
  </si>
  <si>
    <t>RAVNEET KAUR</t>
  </si>
  <si>
    <t xml:space="preserve">(W4430724) </t>
  </si>
  <si>
    <t>VPO HARCHANDPURA</t>
  </si>
  <si>
    <t>PATRAN,PATIALA</t>
  </si>
  <si>
    <t xml:space="preserve">PIN:147102,PUNJAB,INDIA </t>
  </si>
  <si>
    <t>ARZOI KAUR DHOT</t>
  </si>
  <si>
    <t>AU2065867421425</t>
  </si>
  <si>
    <t>JASMEET SINGH</t>
  </si>
  <si>
    <t>KOMALPREET KAUR</t>
  </si>
  <si>
    <t xml:space="preserve">(W4366654)  </t>
  </si>
  <si>
    <t>KHERI DABDALAN,KURUKSHETRA</t>
  </si>
  <si>
    <t xml:space="preserve">PIN:136132,HARYANA,INDIA </t>
  </si>
  <si>
    <t>ANVIKAA SHARMA</t>
  </si>
  <si>
    <t>AU2065867421625</t>
  </si>
  <si>
    <t>ANKUSH SHARMA</t>
  </si>
  <si>
    <t>SANGEETA BALI</t>
  </si>
  <si>
    <t xml:space="preserve">(Y2902436) </t>
  </si>
  <si>
    <t>VILL BHALKHOON PO TALMEHRA TEH BANGANA DISTT UNA</t>
  </si>
  <si>
    <t>BANGANA,UNA</t>
  </si>
  <si>
    <t xml:space="preserve">PIN:174320,HIMACHAL PRADESH,INDIA </t>
  </si>
  <si>
    <t>CARLO JOSIN KURIAKOSE</t>
  </si>
  <si>
    <t>AU2065867421825</t>
  </si>
  <si>
    <t>JOSIN KURIAKOSE KANNAMUNDAYIL</t>
  </si>
  <si>
    <t>SIJIMOL JOSEPH</t>
  </si>
  <si>
    <t xml:space="preserve"> (T4853135)  </t>
  </si>
  <si>
    <t>KANNAMUNDAYIL CHINNAR P O</t>
  </si>
  <si>
    <t>ELAPPARA,IDUKKI</t>
  </si>
  <si>
    <t xml:space="preserve">PIN:685501,KERALA,INDIA </t>
  </si>
  <si>
    <t>AARUSH KRISHNA KAPA</t>
  </si>
  <si>
    <t>AU2065867422025</t>
  </si>
  <si>
    <t>VAMSI KRISHNA KAPA</t>
  </si>
  <si>
    <t>SAI APEKSHA ANOOP</t>
  </si>
  <si>
    <t xml:space="preserve">(R7203733) </t>
  </si>
  <si>
    <t>D-NO 1-39,KOTTA RAVICHERLA</t>
  </si>
  <si>
    <t>NUZIVID MANDAL,KRISHNA,KRISHNA</t>
  </si>
  <si>
    <t xml:space="preserve">PIN:521201,ANDHRA PRADESH,INDIA </t>
  </si>
  <si>
    <t>RUDVED REDDY KOLACHI</t>
  </si>
  <si>
    <t xml:space="preserve">GOSFORD, AUSTRALIA  </t>
  </si>
  <si>
    <t>AU2065867422425</t>
  </si>
  <si>
    <t>ROHIT REDDY KOLACHI</t>
  </si>
  <si>
    <t>NAVYA REDDY BOGURAMPET</t>
  </si>
  <si>
    <t xml:space="preserve">(C7350867) </t>
  </si>
  <si>
    <t>H NO 4-42,ALMASGUDA</t>
  </si>
  <si>
    <t>SAROORNAGAR MANDAL,RANGAREDDY</t>
  </si>
  <si>
    <t xml:space="preserve">PIN:500058,TELANGANA,INDIA </t>
  </si>
  <si>
    <t>SADAA KAUR</t>
  </si>
  <si>
    <t>AU2065867422625</t>
  </si>
  <si>
    <t>SAHIL SINGH</t>
  </si>
  <si>
    <t>SEHAJPREET KAUR</t>
  </si>
  <si>
    <t xml:space="preserve"> (X4872636) </t>
  </si>
  <si>
    <t>VPO. MAAN SANDWAL</t>
  </si>
  <si>
    <t>TEH. BATALA,GURDASPUR</t>
  </si>
  <si>
    <t xml:space="preserve">PIN:143602,PUNJAB,INDIA </t>
  </si>
  <si>
    <t>Vaayu Singh Sansanwal</t>
  </si>
  <si>
    <t>AU2065698248925</t>
  </si>
  <si>
    <t>Arjun Singh Sansanwal</t>
  </si>
  <si>
    <t>Jyoti  Siwas</t>
  </si>
  <si>
    <t xml:space="preserve">(V9113137) </t>
  </si>
  <si>
    <t>D-41 NEELAMBER APARTMENT</t>
  </si>
  <si>
    <t>RANI BAGH,DELHI</t>
  </si>
  <si>
    <t>PIN:110034,DELHI,INDIA</t>
  </si>
  <si>
    <t>ADWITHA MARAR</t>
  </si>
  <si>
    <t>AU2065867423025</t>
  </si>
  <si>
    <t>ARJUN VASUDEVAN MARAR</t>
  </si>
  <si>
    <t>AMRITHA PARIYARATH</t>
  </si>
  <si>
    <t xml:space="preserve"> (X5681470) </t>
  </si>
  <si>
    <t>KRISHNANJALI MARATH,KOTTAYI PO</t>
  </si>
  <si>
    <t>KOTTAYI,PALAKKAD</t>
  </si>
  <si>
    <t xml:space="preserve">PIN:678572,KERALA,INDIA </t>
  </si>
  <si>
    <t>MEHTAB SINGH</t>
  </si>
  <si>
    <t>AU2065867423225</t>
  </si>
  <si>
    <t>HARJINDER SINGH</t>
  </si>
  <si>
    <t>GURPREET KAUR</t>
  </si>
  <si>
    <t xml:space="preserve">(C8543085) </t>
  </si>
  <si>
    <t>BHATTIKE,AMRITSAR</t>
  </si>
  <si>
    <t xml:space="preserve">PIN:143116,PUNJAB,INDIA </t>
  </si>
  <si>
    <t>UPKAR KAUR BRAR</t>
  </si>
  <si>
    <t>AU2065867423425</t>
  </si>
  <si>
    <t>GURMINDER KAUR</t>
  </si>
  <si>
    <t xml:space="preserve">(U3003262) </t>
  </si>
  <si>
    <t>MIRZA PATTI</t>
  </si>
  <si>
    <t>VPO. PANJGRAIN KALAN,FARIDKOT</t>
  </si>
  <si>
    <t xml:space="preserve">PIN:151207,PUNJAB,INDIA </t>
  </si>
  <si>
    <t>NIVAAN RANDHAWA</t>
  </si>
  <si>
    <t>AU2065867423625</t>
  </si>
  <si>
    <t>GURJEET SINGH</t>
  </si>
  <si>
    <t xml:space="preserve">(T3412240) </t>
  </si>
  <si>
    <t>VILL BHAMBRI</t>
  </si>
  <si>
    <t>THE KHAMANO,FATEHGARH SAHIB</t>
  </si>
  <si>
    <t xml:space="preserve">PIN:141801,PUNJAB,INDIA </t>
  </si>
  <si>
    <t>SHRIYANSH KONABOINA</t>
  </si>
  <si>
    <t>AU2065867423825</t>
  </si>
  <si>
    <t>NAVEEN KUMAR KONABOINA</t>
  </si>
  <si>
    <t>AISHWARYA LAXMI THOTA</t>
  </si>
  <si>
    <t xml:space="preserve">(R6885657) </t>
  </si>
  <si>
    <t>58-17,SRIRAM NAGAR COLONY,CHINTAL</t>
  </si>
  <si>
    <t>HMT TOWSHIP,QUTHUBULLAPUR,MEDCHAL</t>
  </si>
  <si>
    <t xml:space="preserve">PIN:500054,TELANGANA,INDIA </t>
  </si>
  <si>
    <t>SHANEL KAUR SARAO</t>
  </si>
  <si>
    <t>AU2065867424025</t>
  </si>
  <si>
    <t>KULBIR SINGH SARAO</t>
  </si>
  <si>
    <t>SUKHDEEP KAUR SARAO</t>
  </si>
  <si>
    <t xml:space="preserve"> (C2355565)  </t>
  </si>
  <si>
    <t>VILL BABBANPUR PO BHASAUR</t>
  </si>
  <si>
    <t>TEH. DHURI,SANGRUR</t>
  </si>
  <si>
    <t xml:space="preserve">PIN:148024,PUNJAB,INDIA </t>
  </si>
  <si>
    <t>DHARSHIK PEDDI</t>
  </si>
  <si>
    <t>AU2065869755625</t>
  </si>
  <si>
    <t>DIXITH PEDDI</t>
  </si>
  <si>
    <t>HARINI AMBALLA</t>
  </si>
  <si>
    <t xml:space="preserve">(P6487218) </t>
  </si>
  <si>
    <t>2-91</t>
  </si>
  <si>
    <t>CHOUTPALLY,KAMMARPALLY,NIZAMABAD</t>
  </si>
  <si>
    <t xml:space="preserve">PIN:503308,TELANGANA,INDIA </t>
  </si>
  <si>
    <t>HARFATEH SINGH</t>
  </si>
  <si>
    <t>AU2065869756425</t>
  </si>
  <si>
    <t>HARDEEP SINGH</t>
  </si>
  <si>
    <t>VARINDER KAUR</t>
  </si>
  <si>
    <t xml:space="preserve">(R1257695) </t>
  </si>
  <si>
    <t>VILL.BANGANWALI PO BARDWAL</t>
  </si>
  <si>
    <t>TEH DHURI,SANGRUR</t>
  </si>
  <si>
    <t>JAHAAN SINGH GREWAL</t>
  </si>
  <si>
    <t>AU2065869756825</t>
  </si>
  <si>
    <t>NAVTEJ SINGH GREWAL</t>
  </si>
  <si>
    <t xml:space="preserve">(U0119129) </t>
  </si>
  <si>
    <t>VILLAGE - DHANER P.O. CHAK BHAI KA</t>
  </si>
  <si>
    <t>P.S. MEHAL KALAN,BARNALA</t>
  </si>
  <si>
    <t xml:space="preserve">PIN:148104,PUNJAB,INDIA </t>
  </si>
  <si>
    <t>JASSICA KAUR MAAN</t>
  </si>
  <si>
    <t xml:space="preserve">KINGSWOOD, AUSTRALIA </t>
  </si>
  <si>
    <t>AU2065869757025</t>
  </si>
  <si>
    <t>JAGDEV SINGH MAAN</t>
  </si>
  <si>
    <t>JASPREET KAUR MAAN</t>
  </si>
  <si>
    <t xml:space="preserve"> (I0382304)  </t>
  </si>
  <si>
    <t>VPO KABUL SHAH KHUBAN</t>
  </si>
  <si>
    <t>FAZILKA,FAZILKA</t>
  </si>
  <si>
    <t xml:space="preserve">PIN:152123,PUNJAB,INDIA </t>
  </si>
  <si>
    <t>AIDEN ROBIN</t>
  </si>
  <si>
    <t>AU2065869757225</t>
  </si>
  <si>
    <t>ROBIN THERIKKAL THOMAS</t>
  </si>
  <si>
    <t>JULIE VALANAMKUZHIYIL JOSE</t>
  </si>
  <si>
    <t xml:space="preserve">(W3969217) </t>
  </si>
  <si>
    <t>THERIKKAL VEEDU,ESM COLONY</t>
  </si>
  <si>
    <t>KULATHUPUZHA P O,KOLLAM</t>
  </si>
  <si>
    <t xml:space="preserve">PIN:691310,KERALA,INDIA </t>
  </si>
  <si>
    <t>MASAQAT KAUR</t>
  </si>
  <si>
    <t>AU2065869773825</t>
  </si>
  <si>
    <t>AMANDEEP KAUR</t>
  </si>
  <si>
    <t xml:space="preserve"> (U0976995) </t>
  </si>
  <si>
    <t>VILL NEW DIWANA</t>
  </si>
  <si>
    <t>PO DIWANA TEH PEHOWA,KURUKSHETRA</t>
  </si>
  <si>
    <t xml:space="preserve">PIN:136128,HARYANA,INDIA </t>
  </si>
  <si>
    <t>ABHEG DIWAN SINGH SIDHU</t>
  </si>
  <si>
    <t>AU2065870882625</t>
  </si>
  <si>
    <t>GURSIRAT SINGH SIDHU</t>
  </si>
  <si>
    <t>ANKUSH</t>
  </si>
  <si>
    <t xml:space="preserve">(Y6935803) </t>
  </si>
  <si>
    <t>5 M 20/21 JAWAHAR NAGAR</t>
  </si>
  <si>
    <t>SRI GANGANAGAR,SRI GANGANAGAR</t>
  </si>
  <si>
    <t xml:space="preserve">PIN:335001,RAJASTHAN,INDIA </t>
  </si>
  <si>
    <t>EDRIC ELDHO GEORGE</t>
  </si>
  <si>
    <t>AU2065870965025</t>
  </si>
  <si>
    <t>ELDHO GEORGE</t>
  </si>
  <si>
    <t>BINCY JOY</t>
  </si>
  <si>
    <t xml:space="preserve">(Y3127513) </t>
  </si>
  <si>
    <t>MELATH HOUSE KADACKANADU PO</t>
  </si>
  <si>
    <t>KOLENCHERY,ERNAKULAM,ERNAKULAM</t>
  </si>
  <si>
    <t xml:space="preserve">PIN:682311,KERALA,INDIA </t>
  </si>
  <si>
    <t>MANVEER SINGH BAINS</t>
  </si>
  <si>
    <t>AU2065870966625</t>
  </si>
  <si>
    <t>JASDEEP SINGH</t>
  </si>
  <si>
    <t>NAVROOP KAUR</t>
  </si>
  <si>
    <t xml:space="preserve">(P0205062) </t>
  </si>
  <si>
    <t>99,BHAI BANNO JI NAGAR</t>
  </si>
  <si>
    <t>VPO KHURLA KINGRA,JALANDHAR</t>
  </si>
  <si>
    <t xml:space="preserve">PIN:144003,PUNJAB,INDIA </t>
  </si>
  <si>
    <t>ARMAAN SINGH AHIR</t>
  </si>
  <si>
    <t>AU2065870970425</t>
  </si>
  <si>
    <t>MUKESH KUMAR</t>
  </si>
  <si>
    <t>JASWINDER KAUR</t>
  </si>
  <si>
    <t xml:space="preserve">(X5383902) </t>
  </si>
  <si>
    <t>SAMMIPUR,JALANDHAR</t>
  </si>
  <si>
    <t xml:space="preserve">PIN:144026,PUNJAB,INDIA </t>
  </si>
  <si>
    <t>ZARA VINOTH</t>
  </si>
  <si>
    <t>AU2065870884625</t>
  </si>
  <si>
    <t>VINOTH SUBRAMANIYAN</t>
  </si>
  <si>
    <t>KRISHNA MAHENDRAN</t>
  </si>
  <si>
    <t xml:space="preserve">(Y2525801) </t>
  </si>
  <si>
    <t>4/100A,VALLAMEDU,SIRUKKINATHUPALAYAM</t>
  </si>
  <si>
    <t>PERIYASOLIPALAYAM,P VELUR,NAMAKKAL</t>
  </si>
  <si>
    <t xml:space="preserve">PIN:637204,TAMIL NADU,INDIA </t>
  </si>
  <si>
    <t>AARIV NIKUNJ VASANI</t>
  </si>
  <si>
    <t>AU2065870973225</t>
  </si>
  <si>
    <t>NIKUNJ VITHALBHAI VASANI</t>
  </si>
  <si>
    <t>BHUMIKA NIKUNJ VASANI</t>
  </si>
  <si>
    <t xml:space="preserve">(U6492478)  </t>
  </si>
  <si>
    <t>B/H HAVELI CHOWK,MOTA DAVDA</t>
  </si>
  <si>
    <t>TAL GONDAL,RAJKOT</t>
  </si>
  <si>
    <t xml:space="preserve">PIN:360311,GUJARAT,INDIA </t>
  </si>
  <si>
    <t>SEON SINGH</t>
  </si>
  <si>
    <t>AU2065870973825</t>
  </si>
  <si>
    <t>MANJOT SINGH</t>
  </si>
  <si>
    <t>SUSMITA SHRESTHA</t>
  </si>
  <si>
    <t xml:space="preserve">(S4136418)  </t>
  </si>
  <si>
    <t>H.NO.74 ,WARD NO.16</t>
  </si>
  <si>
    <t>PARAMJIT GANJ,KAPURTHALA</t>
  </si>
  <si>
    <t xml:space="preserve">PIN:144601,PUNJAB,INDIA </t>
  </si>
  <si>
    <t>CHARVIK SRI VATSAVAYA</t>
  </si>
  <si>
    <t>AU2065870972225</t>
  </si>
  <si>
    <t>VAMSI SRI VATSAVAYA</t>
  </si>
  <si>
    <t>SARASWATHI SRAVANTHI TIRUMALARAJU</t>
  </si>
  <si>
    <t xml:space="preserve">(I0369260) </t>
  </si>
  <si>
    <t>HNO 3-6-47/2,PLOT NO 121/5,ROAD 19,VIVEKANANDA</t>
  </si>
  <si>
    <t>NAGAR COLONY,HYDERABAD,MEDCHAL</t>
  </si>
  <si>
    <t xml:space="preserve">PIN:500072,TELANGANA,INDIA </t>
  </si>
  <si>
    <t>AHAAN PATEL</t>
  </si>
  <si>
    <t>AU2065870975225</t>
  </si>
  <si>
    <t>MAULIKKUMAR PATEL</t>
  </si>
  <si>
    <t>ANKITABEN MAULIKKUMAR PATEL</t>
  </si>
  <si>
    <t xml:space="preserve"> (S4378485) </t>
  </si>
  <si>
    <t>UMIYANAGAR LODRA</t>
  </si>
  <si>
    <t>MANSA,GANDHINAGAR</t>
  </si>
  <si>
    <t xml:space="preserve">PIN:382835,GUJARAT,INDIA </t>
  </si>
  <si>
    <t>ABBAS HYDER</t>
  </si>
  <si>
    <t>AU2065870977425</t>
  </si>
  <si>
    <t>KUMAIL HYDER</t>
  </si>
  <si>
    <t>SABAH NIHAAN SHEIKH</t>
  </si>
  <si>
    <t xml:space="preserve">(V9109706) </t>
  </si>
  <si>
    <t>MEHDI COLONY</t>
  </si>
  <si>
    <t>BUDGAM,BUDGAM</t>
  </si>
  <si>
    <t xml:space="preserve">PIN:191111,JAMMU AND KASHMIR,INDIA </t>
  </si>
  <si>
    <t>VEDVIK RAM REDDY BOPPARAM</t>
  </si>
  <si>
    <t>AU2065870978625</t>
  </si>
  <si>
    <t>VIJAYA KRISHNAREDDY BOPPARAM</t>
  </si>
  <si>
    <t>SHIREESHA BADDAMOLLA</t>
  </si>
  <si>
    <t xml:space="preserve">(Y5322400) </t>
  </si>
  <si>
    <t>2-19</t>
  </si>
  <si>
    <t>ASHTA,NIRMAL</t>
  </si>
  <si>
    <t xml:space="preserve">PIN:504101,TELANGANA,INDIA </t>
  </si>
  <si>
    <t>HARJIND KAUR RANDHAWA</t>
  </si>
  <si>
    <t>AU2065870979625</t>
  </si>
  <si>
    <t>RASHPAL SINGH</t>
  </si>
  <si>
    <t>RAMANPREET KAUR</t>
  </si>
  <si>
    <t xml:space="preserve">(P4900290) </t>
  </si>
  <si>
    <t>B-16 ,GOVT . QT. ALIWAL ROAD</t>
  </si>
  <si>
    <t>BATALA ,GURDASPUR,GURDASPUR</t>
  </si>
  <si>
    <t xml:space="preserve">PIN:143505,PUNJAB,INDIA </t>
  </si>
  <si>
    <t>AU2065870981025</t>
  </si>
  <si>
    <t>TARSEM SINGH</t>
  </si>
  <si>
    <t>SUKHWANT KAUR</t>
  </si>
  <si>
    <t xml:space="preserve">(S2182323) </t>
  </si>
  <si>
    <t>VILLAGE MUSTAFABAD POST TIHAR</t>
  </si>
  <si>
    <t>SITAPUR,SITAPUR</t>
  </si>
  <si>
    <t xml:space="preserve">PIN:261121,UTTAR PRADESH,INDIA </t>
  </si>
  <si>
    <t>BISAM SINGH GILL</t>
  </si>
  <si>
    <t>AU2065870927425</t>
  </si>
  <si>
    <t>JATINDERPAL SINGH GILL</t>
  </si>
  <si>
    <t>HARMANPREET</t>
  </si>
  <si>
    <t xml:space="preserve"> (R3269229) </t>
  </si>
  <si>
    <t>95,VPO-BHAINI DARERA</t>
  </si>
  <si>
    <t>TEHSIL-RAIKOT,JAGRAON (LUDHIANA)</t>
  </si>
  <si>
    <t xml:space="preserve">PIN:141108,PUNJAB,INDIA </t>
  </si>
  <si>
    <t>ANANT KAUR DHILLON</t>
  </si>
  <si>
    <t>AU2065871851625</t>
  </si>
  <si>
    <t>TEJWINDER SINGH</t>
  </si>
  <si>
    <t xml:space="preserve"> (T9462680)  </t>
  </si>
  <si>
    <t>BHUTTIWALA,SRI MUKTSAR SAHIB</t>
  </si>
  <si>
    <t xml:space="preserve">PIN:152025,PUNJAB,INDIA </t>
  </si>
  <si>
    <t>VIRASAT MITTU</t>
  </si>
  <si>
    <t>AU2065871853625</t>
  </si>
  <si>
    <t>ASSEEM MITTU</t>
  </si>
  <si>
    <t>TANYA DHARIWAL</t>
  </si>
  <si>
    <t xml:space="preserve">(Y8071096) </t>
  </si>
  <si>
    <t>205,ST NO. 2,MAUR RD,SAHIBZADA JUJHAR SINGH C</t>
  </si>
  <si>
    <t>RAMPURA,BATHINDA</t>
  </si>
  <si>
    <t xml:space="preserve">PIN:151103,PUNJAB,INDIA </t>
  </si>
  <si>
    <t>AGAMJOT SINGH</t>
  </si>
  <si>
    <t xml:space="preserve">KILMORE, AUSTRALIA </t>
  </si>
  <si>
    <t>AU2065871854025</t>
  </si>
  <si>
    <t>SARANPREET KAUR</t>
  </si>
  <si>
    <t xml:space="preserve">(X8672881) </t>
  </si>
  <si>
    <t>VILL JEO JULY PO SAHLE CHACK</t>
  </si>
  <si>
    <t>TEHSIL KALANAUR,GURDASPUR</t>
  </si>
  <si>
    <t xml:space="preserve">PIN:143526,PUNJAB,INDIA </t>
  </si>
  <si>
    <t>BARKAT KAUR</t>
  </si>
  <si>
    <t>AU2065871856025</t>
  </si>
  <si>
    <t>GURLEEN KAUR</t>
  </si>
  <si>
    <t xml:space="preserve">(U5407964) </t>
  </si>
  <si>
    <t>NEAR TODAR MAL GATE</t>
  </si>
  <si>
    <t>KAKRA,SANGRUR</t>
  </si>
  <si>
    <t xml:space="preserve">PIN:148026,PUNJAB,INDIA </t>
  </si>
  <si>
    <t>NIHAL SINGH MADAHAR</t>
  </si>
  <si>
    <t>AU2065871857025</t>
  </si>
  <si>
    <t>CHATWINDER SINGH MADAHAR</t>
  </si>
  <si>
    <t>NARDEEP KAUR</t>
  </si>
  <si>
    <t xml:space="preserve"> (T5081114)  </t>
  </si>
  <si>
    <t>ISSI</t>
  </si>
  <si>
    <t>RANSHER SINGH</t>
  </si>
  <si>
    <t>AU2065871857825</t>
  </si>
  <si>
    <t>SUDESHINDER SINGH</t>
  </si>
  <si>
    <t>NAVNEET KAUR</t>
  </si>
  <si>
    <t xml:space="preserve">(Y9358930) </t>
  </si>
  <si>
    <t>VILL NAJJU SHAH MISRI PO SHER KHAN WALA</t>
  </si>
  <si>
    <t xml:space="preserve">PIN:152004,PUNJAB,INDIA </t>
  </si>
  <si>
    <t>GURNAWAB SINGH</t>
  </si>
  <si>
    <t>AU2065871858425</t>
  </si>
  <si>
    <t>NARINDER SINGH</t>
  </si>
  <si>
    <t>INDERJEET KAUR</t>
  </si>
  <si>
    <t xml:space="preserve">(T2424334) </t>
  </si>
  <si>
    <t>VILL. DHANOURI</t>
  </si>
  <si>
    <t>P.O. KARHALI,PATIALA</t>
  </si>
  <si>
    <t xml:space="preserve">PIN:147101,PUNJAB,INDIA </t>
  </si>
  <si>
    <t>VIDHATHRI THOTA</t>
  </si>
  <si>
    <t>AU2065871859425</t>
  </si>
  <si>
    <t>VINOD THOTA</t>
  </si>
  <si>
    <t>VYSHALI ARE</t>
  </si>
  <si>
    <t xml:space="preserve"> (T1125125) </t>
  </si>
  <si>
    <t>1-13 RAMADUGU MANDAL</t>
  </si>
  <si>
    <t>VENKATRAOPALLI,KARIMNAGAR</t>
  </si>
  <si>
    <t xml:space="preserve">PIN:505531,TELANGANA,INDIA </t>
  </si>
  <si>
    <t>KHADIJAH ABRAR</t>
  </si>
  <si>
    <t>AU2065871860625</t>
  </si>
  <si>
    <t>ABRAR AHMED</t>
  </si>
  <si>
    <t>JAVERIA SAMREEN</t>
  </si>
  <si>
    <t xml:space="preserve">(R3956732) </t>
  </si>
  <si>
    <t>PLOT NO 1-2,RAHMAT NAGAR NEAR HUDA MASJID</t>
  </si>
  <si>
    <t>OLD JEWRGI ROAD,KALABURAGI CITY</t>
  </si>
  <si>
    <t xml:space="preserve">PIN:585102,KARNATAKA,INDIA </t>
  </si>
  <si>
    <t>Yaana Arora</t>
  </si>
  <si>
    <t>AU2065709285925</t>
  </si>
  <si>
    <t>Udit Arora</t>
  </si>
  <si>
    <t>Shivani  Verma</t>
  </si>
  <si>
    <t xml:space="preserve">(R6376670) </t>
  </si>
  <si>
    <t>327 SECTOR 15</t>
  </si>
  <si>
    <t>SONIPAT,SONIPAT</t>
  </si>
  <si>
    <t>PIN:131001,HARYANA,INDIA</t>
  </si>
  <si>
    <t>Gurshaan Singh Randhawa</t>
  </si>
  <si>
    <t>AU2065709299725</t>
  </si>
  <si>
    <t>Gagandeep Singh Randhawa</t>
  </si>
  <si>
    <t>Kuljit  Kaur</t>
  </si>
  <si>
    <t xml:space="preserve">(C8558506) </t>
  </si>
  <si>
    <t>3/98 MANDIR WALI GALI</t>
  </si>
  <si>
    <t>RAMDAS AJNALA,AMRITSAR</t>
  </si>
  <si>
    <t>Vaanya Sagwal</t>
  </si>
  <si>
    <t>AU2065709299925</t>
  </si>
  <si>
    <t>Anuj</t>
  </si>
  <si>
    <t>Mansi  Devi</t>
  </si>
  <si>
    <t xml:space="preserve">(V3541583) </t>
  </si>
  <si>
    <t>KAUL,KAITHAL</t>
  </si>
  <si>
    <t>PIN:136021,HARYANA,INDIA</t>
  </si>
  <si>
    <t>Nyra Valluri</t>
  </si>
  <si>
    <t>AU2065709300125</t>
  </si>
  <si>
    <t>Ravi Kumar Valluri</t>
  </si>
  <si>
    <t>Nivedita  Kilaru</t>
  </si>
  <si>
    <t xml:space="preserve">(S7652645) </t>
  </si>
  <si>
    <t>1-66-1,NEAR MILK CHILLING CENTRE</t>
  </si>
  <si>
    <t>VELERU,BAPULAPADU,KRISHNA</t>
  </si>
  <si>
    <t>PIN:521110,ANDHRA PRADESH,INDIA</t>
  </si>
  <si>
    <t>Zorawar Singh Ghuman</t>
  </si>
  <si>
    <t>AU2065709302325</t>
  </si>
  <si>
    <t>Shamsher Singh</t>
  </si>
  <si>
    <t xml:space="preserve">(C7343632) </t>
  </si>
  <si>
    <t>Niya Sachinkumar Patel</t>
  </si>
  <si>
    <t>AU2065709302525</t>
  </si>
  <si>
    <t>Sachinkumar Babubhai Patel</t>
  </si>
  <si>
    <t>Nilamkumari Sachinkumar  Patel</t>
  </si>
  <si>
    <t xml:space="preserve">(P6045324) </t>
  </si>
  <si>
    <t>4176 HARSIDDHI SOC SHAKTI CHOWK NR HP GAS OFFICE</t>
  </si>
  <si>
    <t>VANTA GOZARIA,MEHSANA</t>
  </si>
  <si>
    <t>PIN:382825,GUJARAT,INDIA</t>
  </si>
  <si>
    <t>Fateh Singh</t>
  </si>
  <si>
    <t>AU2065709302725</t>
  </si>
  <si>
    <t>Gurpal Singh</t>
  </si>
  <si>
    <t>Randeep Kaur </t>
  </si>
  <si>
    <t xml:space="preserve">(R7823536) </t>
  </si>
  <si>
    <t>VILL. MASTKOT,P O. DARGABAD</t>
  </si>
  <si>
    <t>DISTT,GURDASPUR</t>
  </si>
  <si>
    <t>HAMDAN SHAIK</t>
  </si>
  <si>
    <t>AU2065872923625</t>
  </si>
  <si>
    <t>SHAIK SOHAIL</t>
  </si>
  <si>
    <t>NIDA SADAF SYEDA</t>
  </si>
  <si>
    <t xml:space="preserve"> (Y6327478) </t>
  </si>
  <si>
    <t>6-5-56/2/F HABEEBNAGAR</t>
  </si>
  <si>
    <t>MAHABUBNAGAR,MAHABUBNAGAR</t>
  </si>
  <si>
    <t xml:space="preserve">PIN:509001,TELANGANA,INDIA </t>
  </si>
  <si>
    <t>GURSANJH KAUR</t>
  </si>
  <si>
    <t xml:space="preserve">BEDFORD PARK, AUSTRALIA  </t>
  </si>
  <si>
    <t>AU2065872930625</t>
  </si>
  <si>
    <t>SUKHWINDER KAUR</t>
  </si>
  <si>
    <t xml:space="preserve">(T4463956) </t>
  </si>
  <si>
    <t>CHALAKI PO MORINDA,ROPAR</t>
  </si>
  <si>
    <t xml:space="preserve">PIN:140101,PUNJAB,INDIA </t>
  </si>
  <si>
    <t>KARMAN SINGH</t>
  </si>
  <si>
    <t>AU2065872895025</t>
  </si>
  <si>
    <t>KARANDEEP SINGH</t>
  </si>
  <si>
    <t xml:space="preserve">(V7368419) </t>
  </si>
  <si>
    <t>HOUSE NO. 96 WARD NO. 14 PATWARI MOHALLA</t>
  </si>
  <si>
    <t>GHARAUNDA,KARNAL</t>
  </si>
  <si>
    <t xml:space="preserve">PIN:132114,HARYANA,INDIA </t>
  </si>
  <si>
    <t>NIHIRA CHERUKURI</t>
  </si>
  <si>
    <t>AU2065872899025</t>
  </si>
  <si>
    <t>VENU CHERUKURI</t>
  </si>
  <si>
    <t>SUPRAJA MALLINENI</t>
  </si>
  <si>
    <t xml:space="preserve">(V3146064) </t>
  </si>
  <si>
    <t>GANGAMITTA,PATHURU</t>
  </si>
  <si>
    <t>VINJAMUR,SRI POTTI SRIRAMULU NELLORE</t>
  </si>
  <si>
    <t xml:space="preserve">PIN:524228,ANDHRA PRADESH,INDIA </t>
  </si>
  <si>
    <t>ZAINAB FATIMA PERVEZ</t>
  </si>
  <si>
    <t>AU2065872900025</t>
  </si>
  <si>
    <t>PERVEZ AHMED SHERIFF NASSER</t>
  </si>
  <si>
    <t>ARIFA JAMAL ANAIKAR</t>
  </si>
  <si>
    <t xml:space="preserve"> (Z5589100) </t>
  </si>
  <si>
    <t>AG 121-124,1ST FLOOR,C,RIVER VIEW COLONY</t>
  </si>
  <si>
    <t>CHENNAI,CHENNAI</t>
  </si>
  <si>
    <t xml:space="preserve">PIN:600040,TAMIL NADU,INDIA </t>
  </si>
  <si>
    <t>DILAWAR SINGH BRAR</t>
  </si>
  <si>
    <t>AU2065872890225</t>
  </si>
  <si>
    <t>PARVINDER SINGH BRAR</t>
  </si>
  <si>
    <t xml:space="preserve">(Y1381870) </t>
  </si>
  <si>
    <t>VILL.BURJ HARIKA</t>
  </si>
  <si>
    <t>TEH.JAITU,FARIDKOT</t>
  </si>
  <si>
    <t xml:space="preserve">PIN:151208,PUNJAB,INDIA </t>
  </si>
  <si>
    <t>AYRAH CHHETRI</t>
  </si>
  <si>
    <t>AU2065872891625</t>
  </si>
  <si>
    <t>ANUJ CHHETRI</t>
  </si>
  <si>
    <t>HARCHARANKAMAL PREET KAUR</t>
  </si>
  <si>
    <t xml:space="preserve"> (T9690472)  </t>
  </si>
  <si>
    <t>VILL / PO</t>
  </si>
  <si>
    <t>SHAMSHER GARH,DEHRADUN</t>
  </si>
  <si>
    <t xml:space="preserve">PIN:248001,UTTARAKHAND,INDIA </t>
  </si>
  <si>
    <t>AARVIK SONI</t>
  </si>
  <si>
    <t>AU2065872892425</t>
  </si>
  <si>
    <t>AMBER SONI</t>
  </si>
  <si>
    <t>RUPAL NAINA</t>
  </si>
  <si>
    <t xml:space="preserve">(W9522418)  </t>
  </si>
  <si>
    <t>175,KAVI KALIDAS PATH</t>
  </si>
  <si>
    <t>BARNAGAR,UJJAIN</t>
  </si>
  <si>
    <t xml:space="preserve">PIN:456771,MADHYA PRADESH,INDIA </t>
  </si>
  <si>
    <t>ZAISH HILANI</t>
  </si>
  <si>
    <t>AU2065874879025</t>
  </si>
  <si>
    <t>ASIF DINUBHAI HILANI</t>
  </si>
  <si>
    <t>SONAM AMIRALI DHANANI</t>
  </si>
  <si>
    <t xml:space="preserve">(U0537845) </t>
  </si>
  <si>
    <t>SRISHTI COMPLEX,SECTOR-III,SARAD APT,B-14</t>
  </si>
  <si>
    <t>MIRA ROAD,THANE</t>
  </si>
  <si>
    <t xml:space="preserve">PIN:401107,MAHARASHTRA,INDIA </t>
  </si>
  <si>
    <t>SIRJAN KAUR</t>
  </si>
  <si>
    <t>AU2065874717625</t>
  </si>
  <si>
    <t>KANWALPREET SINGH</t>
  </si>
  <si>
    <t>GURBACHAN KAUR</t>
  </si>
  <si>
    <t xml:space="preserve"> (V8051520) </t>
  </si>
  <si>
    <t>H NO 309/10,EKTA COLONY</t>
  </si>
  <si>
    <t>SHAHBAD,KURUKSHETRA</t>
  </si>
  <si>
    <t xml:space="preserve">PIN:136135,HARYANA,INDIA </t>
  </si>
  <si>
    <t>PRANATI SHIVAPRASAD GOWDA</t>
  </si>
  <si>
    <t>AU2065874717825</t>
  </si>
  <si>
    <t>SHIVAPRASAD KOSTENAHALLY RAMAKRISHNEGOWDA</t>
  </si>
  <si>
    <t>VEENA SHREE RATHNAMMA PUTTASWAMY GOWDA</t>
  </si>
  <si>
    <t xml:space="preserve"> (W4627368) </t>
  </si>
  <si>
    <t>NO 46 NIRMAN LAYOUT</t>
  </si>
  <si>
    <t>KOPPA VILLAGE,JIGANI,BENGALURU RURAL</t>
  </si>
  <si>
    <t xml:space="preserve">PIN:560105,KARNATAKA,INDIA </t>
  </si>
  <si>
    <t>JIGAR SINGH AASI</t>
  </si>
  <si>
    <t xml:space="preserve">TRARALGON, AUSTRALIA </t>
  </si>
  <si>
    <t>AU2065874844625</t>
  </si>
  <si>
    <t>LAKHBIR SINGH AASI</t>
  </si>
  <si>
    <t xml:space="preserve">(V4983561) </t>
  </si>
  <si>
    <t>BXIV/385 HARI NAGAR DHANAULA ROAD</t>
  </si>
  <si>
    <t xml:space="preserve">PIN:148101,PUNJAB,INDIA </t>
  </si>
  <si>
    <t>MIHIRAAN SANGROHA</t>
  </si>
  <si>
    <t>AU2065874845425</t>
  </si>
  <si>
    <t>MONIKA</t>
  </si>
  <si>
    <t xml:space="preserve">(V0804290) </t>
  </si>
  <si>
    <t>VPO MANUMAJRA DISTT,AMBALA</t>
  </si>
  <si>
    <t xml:space="preserve">PIN:133205,HARYANA,INDIA </t>
  </si>
  <si>
    <t>MEHRAAB SINGH RANDHAWA</t>
  </si>
  <si>
    <t>AU2065874846625</t>
  </si>
  <si>
    <t>DILJOT SINGH</t>
  </si>
  <si>
    <t>KIRANPREET KAUR</t>
  </si>
  <si>
    <t xml:space="preserve">(B8016268) </t>
  </si>
  <si>
    <t>VILLAGE. UDHOWALI KALAN</t>
  </si>
  <si>
    <t>PO. UDHOWALI KURAD,GURDASPUR</t>
  </si>
  <si>
    <t xml:space="preserve">PIN:143604,PUNJAB,INDIA </t>
  </si>
  <si>
    <t>VAMIKA DEEP SHARMA</t>
  </si>
  <si>
    <t>AU2065874847625</t>
  </si>
  <si>
    <t>DEEP SANJAY SHARMA</t>
  </si>
  <si>
    <t>HETAL SHARAD SOLANKI</t>
  </si>
  <si>
    <t xml:space="preserve">(Z6013930) </t>
  </si>
  <si>
    <t>203,SHRENIK TOWER,AMRUT NAGAR</t>
  </si>
  <si>
    <t>GHATKOPAR WEST,MUMBAI</t>
  </si>
  <si>
    <t xml:space="preserve">PIN:400086,MAHARASHTRA,INDIA </t>
  </si>
  <si>
    <t>HARNIWAZ SINGH WARRAICH</t>
  </si>
  <si>
    <t>AU2065874849825</t>
  </si>
  <si>
    <t>KAMALJEET SINGH</t>
  </si>
  <si>
    <t>MANPREET KAUR</t>
  </si>
  <si>
    <t xml:space="preserve"> (N5378746) </t>
  </si>
  <si>
    <t>VPO.CHABBA ,LEHNDI PATTI,TARN TARAN ROAD</t>
  </si>
  <si>
    <t>TEH. AND DISTT,AMRITSAR</t>
  </si>
  <si>
    <t xml:space="preserve">PIN:143022,PUNJAB,INDIA </t>
  </si>
  <si>
    <t>DILRAJ SINGH SIDHU</t>
  </si>
  <si>
    <t>AU2065874850425</t>
  </si>
  <si>
    <t>AMARJEET SINGH SIDHU</t>
  </si>
  <si>
    <t>KULVEER KAUR DHALIWAL</t>
  </si>
  <si>
    <t xml:space="preserve"> (T9482395)  </t>
  </si>
  <si>
    <t>VILLAGE MALLESHAH,PO. KASSOANA</t>
  </si>
  <si>
    <t xml:space="preserve">PIN:142050,PUNJAB,INDIA </t>
  </si>
  <si>
    <t>ARMAAN JOSHI</t>
  </si>
  <si>
    <t>AU2065874861825</t>
  </si>
  <si>
    <t>AMAN JOSHI</t>
  </si>
  <si>
    <t>SAMRITI JOSHI</t>
  </si>
  <si>
    <t xml:space="preserve"> (C3104300)  </t>
  </si>
  <si>
    <t>VPO PHARWALA TEHSIL PHILLAUR</t>
  </si>
  <si>
    <t xml:space="preserve">PIN:144037,PUNJAB,INDIA </t>
  </si>
  <si>
    <t>NIRVAIR SINGH GILL</t>
  </si>
  <si>
    <t>AU2065874862825</t>
  </si>
  <si>
    <t>JAGPREET SINGH GILL</t>
  </si>
  <si>
    <t>KHUSHVEER KAUR</t>
  </si>
  <si>
    <t xml:space="preserve">(C8688370) </t>
  </si>
  <si>
    <t>HOUSE NO: 100</t>
  </si>
  <si>
    <t>RAISAR,BARNALA</t>
  </si>
  <si>
    <t>JUJHAAR SINGH BAJWA</t>
  </si>
  <si>
    <t>AU2065874863225</t>
  </si>
  <si>
    <t>BARINDER SINGH</t>
  </si>
  <si>
    <t>GAGANDEEP KAUR</t>
  </si>
  <si>
    <t xml:space="preserve">(R5213086) </t>
  </si>
  <si>
    <t>VILL. LADHU BHANA,P.O. UDHOKE</t>
  </si>
  <si>
    <t>NADAR KAUR DHINDSA</t>
  </si>
  <si>
    <t>AU2065874865025</t>
  </si>
  <si>
    <t>JASHANPREET SINGH</t>
  </si>
  <si>
    <t>PARNEET KAUR</t>
  </si>
  <si>
    <t xml:space="preserve">(S6001503) </t>
  </si>
  <si>
    <t>VILLAGE KHARAURA</t>
  </si>
  <si>
    <t>PO.ROORKI,FATEHGARH SAHIB</t>
  </si>
  <si>
    <t xml:space="preserve">PIN:140406,PUNJAB,INDIA </t>
  </si>
  <si>
    <t>OMAR RAYYAN MOHAMMED</t>
  </si>
  <si>
    <t>AU2065874865825</t>
  </si>
  <si>
    <t>ABDUL GHAFOOR MOHAMMED</t>
  </si>
  <si>
    <t>FARHATH SULTANA</t>
  </si>
  <si>
    <t xml:space="preserve">(P1178650) </t>
  </si>
  <si>
    <t>H NO 3-2-110</t>
  </si>
  <si>
    <t>RAHMATHPURA,SANGAREDDY,SANGAREDDY</t>
  </si>
  <si>
    <t xml:space="preserve">PIN:502001,TELANGANA,INDIA </t>
  </si>
  <si>
    <t>KIRPAL SINGH</t>
  </si>
  <si>
    <t>AU2065874866025</t>
  </si>
  <si>
    <t>SUMAN KAUR</t>
  </si>
  <si>
    <t xml:space="preserve">(S7712318) </t>
  </si>
  <si>
    <t>CHAMMU KALAN,KURUKSHETRA</t>
  </si>
  <si>
    <t>SANVITH SACHIN SANGODE</t>
  </si>
  <si>
    <t>AU2065874867225</t>
  </si>
  <si>
    <t>SACHIN SANGODE</t>
  </si>
  <si>
    <t>NIVEDITA BHASKAR MESHRAM</t>
  </si>
  <si>
    <t xml:space="preserve">(AA507826)  </t>
  </si>
  <si>
    <t>401 MAHALAXMI PALACE 1,NARHARI NAGAR</t>
  </si>
  <si>
    <t>MANEWADA BESA ROAD,NAGPUR CITY</t>
  </si>
  <si>
    <t xml:space="preserve">PIN:440027,MAHARASHTRA,INDIA </t>
  </si>
  <si>
    <t>YUVREEN KAUR GREWAL</t>
  </si>
  <si>
    <t xml:space="preserve">SANDRINGHAM, AUSTRALIA </t>
  </si>
  <si>
    <t>AU2065874867625</t>
  </si>
  <si>
    <t>INDERPREET SINGH</t>
  </si>
  <si>
    <t xml:space="preserve">(T4946808) </t>
  </si>
  <si>
    <t>H NO 122</t>
  </si>
  <si>
    <t>BADDOWAL,JAGRAON (LUDHIANA)</t>
  </si>
  <si>
    <t xml:space="preserve">PIN:142021,PUNJAB,INDIA </t>
  </si>
  <si>
    <t>DVITANSH DANDU</t>
  </si>
  <si>
    <t>AU2065874868425</t>
  </si>
  <si>
    <t>HARESH DANDU</t>
  </si>
  <si>
    <t>DIVYA ROOPA NAMBURI</t>
  </si>
  <si>
    <t xml:space="preserve">(Z4187816) </t>
  </si>
  <si>
    <t>H.NO : M.I.G.H -174 ,APHB COLONY</t>
  </si>
  <si>
    <t>ADONI,KURNOOL</t>
  </si>
  <si>
    <t xml:space="preserve">PIN:518301,ANDHRA PRADESH,INDIA </t>
  </si>
  <si>
    <t>RIA REDDY VANTERU</t>
  </si>
  <si>
    <t>AU2065877895825</t>
  </si>
  <si>
    <t>VENKATA KAMALESHWAR REDDY VANTERU</t>
  </si>
  <si>
    <t>SILPA PRIYA DRONADULA</t>
  </si>
  <si>
    <t xml:space="preserve"> (Z7480502) </t>
  </si>
  <si>
    <t>26-03-32,F. 103,SAHITHI RES,GATE ROAD</t>
  </si>
  <si>
    <t>VEDAYAPALEM,SRI POTTI SRIRAMULU NELLORE</t>
  </si>
  <si>
    <t xml:space="preserve">PIN:524004,ANDHRA PRADESH,INDIA </t>
  </si>
  <si>
    <t>IBADAT KAUR</t>
  </si>
  <si>
    <t>AU2065877901225</t>
  </si>
  <si>
    <t>KIRAT PAL SINGH VIRK</t>
  </si>
  <si>
    <t>SATPREET KAUR</t>
  </si>
  <si>
    <t xml:space="preserve">(S3023860) </t>
  </si>
  <si>
    <t>VPO BALOO</t>
  </si>
  <si>
    <t>TEHSIL NISSING,KARNAL</t>
  </si>
  <si>
    <t xml:space="preserve">PIN:132001,HARYANA,INDIA </t>
  </si>
  <si>
    <t>YUGAN GOKULA KRISHNAN</t>
  </si>
  <si>
    <t>AU2065877901625</t>
  </si>
  <si>
    <t>GOKULA KRISHNAN MANICKAM</t>
  </si>
  <si>
    <t>BHUVANESWARI NACHIMUTHU</t>
  </si>
  <si>
    <t xml:space="preserve">(U0275889) </t>
  </si>
  <si>
    <t>2/2793,UNION NAGAR,PAKKOTHIPALAYAM</t>
  </si>
  <si>
    <t>SULEESWARAN PATTI,COIMBATORE RURAL</t>
  </si>
  <si>
    <t xml:space="preserve">PIN:642006,TAMIL NADU,INDIA </t>
  </si>
  <si>
    <t>AVIRAJ GRAAK</t>
  </si>
  <si>
    <t>AU2065877902425</t>
  </si>
  <si>
    <t>AMAN KUMAR</t>
  </si>
  <si>
    <t>AARTI</t>
  </si>
  <si>
    <t xml:space="preserve">(T3992327)  </t>
  </si>
  <si>
    <t>H.NO-362,ROADO KA MOHALLA,VPO-CHOCHRA</t>
  </si>
  <si>
    <t xml:space="preserve">PIN:132039,HARYANA,INDIA </t>
  </si>
  <si>
    <t>Arzoi Kaur</t>
  </si>
  <si>
    <t>AU2065709972525</t>
  </si>
  <si>
    <t>Kanwalpreet Singh</t>
  </si>
  <si>
    <t>Simranjeet  Kaur</t>
  </si>
  <si>
    <t xml:space="preserve">(V6411546) </t>
  </si>
  <si>
    <t>217,PREM NAGAR,MIRAN KOT CHOWNK,AJNALA ROAD</t>
  </si>
  <si>
    <t>Sanimar Kaur Sandhu</t>
  </si>
  <si>
    <t>AU2065709972725</t>
  </si>
  <si>
    <t>Darshan Singh</t>
  </si>
  <si>
    <t>Manmeet Kaur  Sandhu</t>
  </si>
  <si>
    <t xml:space="preserve">(N4906531) </t>
  </si>
  <si>
    <t>VILL.VEERAM</t>
  </si>
  <si>
    <t>P.O.BHIKHIWIND TEH PATTI,TARN TARAN</t>
  </si>
  <si>
    <t>Arjun Srujalkumar Chaudhari</t>
  </si>
  <si>
    <t>AU2065709972925</t>
  </si>
  <si>
    <t>Srujalkumar Rameshbhai Chaudhari</t>
  </si>
  <si>
    <t>Nishaben Srujalkumar  Chaudhari</t>
  </si>
  <si>
    <t xml:space="preserve">(W8446804) </t>
  </si>
  <si>
    <t>207 KH DANGLAVAAS</t>
  </si>
  <si>
    <t>RANGAKUI VISNAGAR,MEHSANA</t>
  </si>
  <si>
    <t>PIN:384315,GUJARAT,INDIA</t>
  </si>
  <si>
    <t>SAMRATH SINGH</t>
  </si>
  <si>
    <t>AU2065880541225</t>
  </si>
  <si>
    <t>SIKANDER SINGH</t>
  </si>
  <si>
    <t>DALPREET KAUR</t>
  </si>
  <si>
    <t xml:space="preserve">(S5716389) </t>
  </si>
  <si>
    <t>WARD NO-17,6-BGP-A</t>
  </si>
  <si>
    <t>SANGARIA,HANUMANGARH</t>
  </si>
  <si>
    <t xml:space="preserve">PIN:335063,RAJASTHAN,INDIA </t>
  </si>
  <si>
    <t>01/10/.25</t>
  </si>
  <si>
    <t>HARNAAZ KAUR</t>
  </si>
  <si>
    <t>AU2065880541625</t>
  </si>
  <si>
    <t>PALVINDER KAUR</t>
  </si>
  <si>
    <t xml:space="preserve">(U0936593) </t>
  </si>
  <si>
    <t>GAUGHAT KATHARRA GOLPLAT PO SURYA NAGAR</t>
  </si>
  <si>
    <t>TEHSIL KICHHA,UDHAM SINGH NAGAR</t>
  </si>
  <si>
    <t xml:space="preserve">PIN:263148,UTTARAKHAND,INDIA </t>
  </si>
  <si>
    <t>AAYRA AMGOTH</t>
  </si>
  <si>
    <t>AU2065881812425</t>
  </si>
  <si>
    <t>RAHUL NAIK AMGOTH</t>
  </si>
  <si>
    <t>MEENAKSHI MUDAVATH</t>
  </si>
  <si>
    <t xml:space="preserve"> (X4319614) </t>
  </si>
  <si>
    <t>1-68</t>
  </si>
  <si>
    <t>AMRABAD MANCHIPPA,NIZAMABAD</t>
  </si>
  <si>
    <t xml:space="preserve">PIN:503230,TELANGANA,INDIA </t>
  </si>
  <si>
    <t>ETHAN ANOOP</t>
  </si>
  <si>
    <t>AU2065881813825</t>
  </si>
  <si>
    <t>ANOOP YOHANNAN</t>
  </si>
  <si>
    <t>SHYMOL SHAJI</t>
  </si>
  <si>
    <t xml:space="preserve">(V9544129) </t>
  </si>
  <si>
    <t>ANU BHAVAN,NEELESWARAM P O</t>
  </si>
  <si>
    <t>KOTTARAKARA,KOLLAM</t>
  </si>
  <si>
    <t xml:space="preserve">PIN:691505,KERALA,INDIA </t>
  </si>
  <si>
    <t>ANAAD SINGH RANDHAWA</t>
  </si>
  <si>
    <t xml:space="preserve">CLEVELAND, AUSTRALIA </t>
  </si>
  <si>
    <t>AU2065881815225</t>
  </si>
  <si>
    <t>SURJIT SINGH RANDHAWA</t>
  </si>
  <si>
    <t xml:space="preserve">(N6754052)  </t>
  </si>
  <si>
    <t>MOH.SUFFI,RAILWAY ROAD</t>
  </si>
  <si>
    <t xml:space="preserve">PIN:144040,PUNJAB,INDIA </t>
  </si>
  <si>
    <t>ABDUL MALIK MOHAMMED</t>
  </si>
  <si>
    <t>AU2065881816625</t>
  </si>
  <si>
    <t>ABDUL RAHMAN MOHAMMED</t>
  </si>
  <si>
    <t>SAKINA BEGUM</t>
  </si>
  <si>
    <t xml:space="preserve">(T9717430) </t>
  </si>
  <si>
    <t>18-2-241 FALAKNUMA,JANGAMMET</t>
  </si>
  <si>
    <t>BANDLAGUDA,HYDERABAD</t>
  </si>
  <si>
    <t xml:space="preserve">PIN:500053,TELANGANA,INDIA </t>
  </si>
  <si>
    <t>DITYA SANGWAN</t>
  </si>
  <si>
    <t>AU2065881817425</t>
  </si>
  <si>
    <t>ROHIT SANGWAN</t>
  </si>
  <si>
    <t>RENU</t>
  </si>
  <si>
    <t xml:space="preserve"> (T3396348) </t>
  </si>
  <si>
    <t>39,SHASTRI NAGAR,AZAD NAGAR</t>
  </si>
  <si>
    <t xml:space="preserve">PIN:125001,HARYANA,INDIA </t>
  </si>
  <si>
    <t>GUNTAAZ SINGH</t>
  </si>
  <si>
    <t>AU2065881819425</t>
  </si>
  <si>
    <t>MICKY</t>
  </si>
  <si>
    <t>MONEY</t>
  </si>
  <si>
    <t xml:space="preserve"> (W1109254) </t>
  </si>
  <si>
    <t>1050,LIGHTS FLATS,URBAN ESTATE,PHASE 1</t>
  </si>
  <si>
    <t>DUGRI,LUDHIANA</t>
  </si>
  <si>
    <t xml:space="preserve">PIN:141013,PUNJAB,INDIA </t>
  </si>
  <si>
    <t>AHMAD ALLAUDDIN MOHAMMED</t>
  </si>
  <si>
    <t xml:space="preserve">CAMPSIE, AUSTRALIA </t>
  </si>
  <si>
    <t>AU2065881823025</t>
  </si>
  <si>
    <t>MUJAHED MOHAMMED</t>
  </si>
  <si>
    <t>TAZEEN FATIMA</t>
  </si>
  <si>
    <t xml:space="preserve">(U8686381)  </t>
  </si>
  <si>
    <t>20-24-124/5 PUNCH MOHELLA</t>
  </si>
  <si>
    <t>SHAH ALI BANDA,HYDERABAD</t>
  </si>
  <si>
    <t xml:space="preserve">PIN:500002,TELANGANA,INDIA </t>
  </si>
  <si>
    <t>ADVIK SALWARA</t>
  </si>
  <si>
    <t>AU2065881802625</t>
  </si>
  <si>
    <t>HARMANDAR SINGH</t>
  </si>
  <si>
    <t xml:space="preserve">(P3174341)  </t>
  </si>
  <si>
    <t>VPO JANDWALA SIKHA WARD NO 1 ,15 AMP</t>
  </si>
  <si>
    <t>TEH- SANGARIA,HANUMANGARH</t>
  </si>
  <si>
    <t>SHIVANYA SHARMA</t>
  </si>
  <si>
    <t>AU2065884786025</t>
  </si>
  <si>
    <t>GAURAV KUMAR</t>
  </si>
  <si>
    <t>SWEETY SHARMA</t>
  </si>
  <si>
    <t xml:space="preserve"> (N7322298) </t>
  </si>
  <si>
    <t>MUNNAREHRI,KAITHAL</t>
  </si>
  <si>
    <t xml:space="preserve">PIN:136026,HARYANA,INDIA </t>
  </si>
  <si>
    <t>ARWA MUBIN SYEDA</t>
  </si>
  <si>
    <t>AU2065872897025</t>
  </si>
  <si>
    <t>MUBIN SYED</t>
  </si>
  <si>
    <t>AFSHAN SUMAYYA</t>
  </si>
  <si>
    <t xml:space="preserve"> (Y1779778) </t>
  </si>
  <si>
    <t>10-10-1096/1,80 QUARTERS,NAGARAM</t>
  </si>
  <si>
    <t>NIZAMABAD,NIZAMABAD</t>
  </si>
  <si>
    <t xml:space="preserve">PIN:503001,TELANGANA,INDIA </t>
  </si>
  <si>
    <t>SYED IBRAHIM SHAH QUADRI</t>
  </si>
  <si>
    <t xml:space="preserve">WOLLONGONG, AUSTRALIA </t>
  </si>
  <si>
    <t>AU2065884834625</t>
  </si>
  <si>
    <t>SYED MOHIUDDIN RAZA SHAH QUADRI</t>
  </si>
  <si>
    <t>AYESHA SADAF</t>
  </si>
  <si>
    <t xml:space="preserve">(N9829142) </t>
  </si>
  <si>
    <t>20-4-295,KHILWATH</t>
  </si>
  <si>
    <t>HIMMATHPURA,HYDERABAD</t>
  </si>
  <si>
    <t>ELAAHI KAUR</t>
  </si>
  <si>
    <t>AU2065871852425</t>
  </si>
  <si>
    <t>PRINCEDEEP SINGH</t>
  </si>
  <si>
    <t xml:space="preserve">(W5625073) </t>
  </si>
  <si>
    <t>NEAR KIRPAL ASHRAM</t>
  </si>
  <si>
    <t>JAGRAON,LUDHIANA</t>
  </si>
  <si>
    <t xml:space="preserve">PIN:142026,PUNJAB,INDIA </t>
  </si>
  <si>
    <t>GURFATEH SINGH</t>
  </si>
  <si>
    <t>AU2065886526425</t>
  </si>
  <si>
    <t>GURVINDER SINGH</t>
  </si>
  <si>
    <t>PARDEEP KAUR</t>
  </si>
  <si>
    <t xml:space="preserve">(C7478057)  </t>
  </si>
  <si>
    <t>HN. 355</t>
  </si>
  <si>
    <t>VILL MAUJGARH,DABWALI</t>
  </si>
  <si>
    <t xml:space="preserve">PIN:125104,HARYANA,INDIA </t>
  </si>
  <si>
    <t>IRA ARJUN</t>
  </si>
  <si>
    <t>AU2065886527225</t>
  </si>
  <si>
    <t>ARJUN PAVITHRAN</t>
  </si>
  <si>
    <t>MARY REEMA ANTONY</t>
  </si>
  <si>
    <t xml:space="preserve">(I0613107) </t>
  </si>
  <si>
    <t>UTHRADAM HOUSE ARRAKAKADAVU ROAD</t>
  </si>
  <si>
    <t>VENNALA P.O,ERNAKULAM</t>
  </si>
  <si>
    <t xml:space="preserve">PIN:682028,KERALA,INDIA </t>
  </si>
  <si>
    <t>JUJHAR SINGH</t>
  </si>
  <si>
    <t>AU2065886527825</t>
  </si>
  <si>
    <t>GURWINDER SINGH</t>
  </si>
  <si>
    <t>SUKHMEET KAUR</t>
  </si>
  <si>
    <t xml:space="preserve">(U7411987) </t>
  </si>
  <si>
    <t>VPO-CHAUNDA</t>
  </si>
  <si>
    <t>AMARGARH,MALERKOTLA</t>
  </si>
  <si>
    <t xml:space="preserve">PIN:148022,PUNJAB,INDIA </t>
  </si>
  <si>
    <t>NIVEDH REDDY MITTAPALLY</t>
  </si>
  <si>
    <t>AU2065886528425</t>
  </si>
  <si>
    <t>NIKITH REDDY MITTAPALLY</t>
  </si>
  <si>
    <t>ANOJA PANNALA</t>
  </si>
  <si>
    <t xml:space="preserve">(Y6323385) </t>
  </si>
  <si>
    <t>5-113/6</t>
  </si>
  <si>
    <t>MENDORA,NIZAMABAD</t>
  </si>
  <si>
    <t xml:space="preserve">PIN:503219,TELANGANA,INDIA </t>
  </si>
  <si>
    <t>AU2065886536025</t>
  </si>
  <si>
    <t xml:space="preserve">(W0869281)  </t>
  </si>
  <si>
    <t>VILLAGE PIPLI MAJRA</t>
  </si>
  <si>
    <t>PO BHUSTHALA,KURUKSHETRA</t>
  </si>
  <si>
    <t xml:space="preserve">PIN:136130,HARYANA,INDIA </t>
  </si>
  <si>
    <t>ARCHA KIRIT GODHANI</t>
  </si>
  <si>
    <t>AU2065886536625</t>
  </si>
  <si>
    <t>KIRIT JAYANTIBHAI GODHANI</t>
  </si>
  <si>
    <t>PURVISHA VINUBHAI BHESANIYA</t>
  </si>
  <si>
    <t xml:space="preserve">(P9998938)  </t>
  </si>
  <si>
    <t>149,ASHIRWAD BUNGLOWS</t>
  </si>
  <si>
    <t>PASODARA,SURAT CITY</t>
  </si>
  <si>
    <t xml:space="preserve">PIN:395006,GUJARAT,INDIA </t>
  </si>
  <si>
    <t>RONAVDEEP SINGH DHILLON</t>
  </si>
  <si>
    <t xml:space="preserve">MITCHAM, AUSTRALIA </t>
  </si>
  <si>
    <t>AU2065886537025</t>
  </si>
  <si>
    <t>SARABJOT SINGH</t>
  </si>
  <si>
    <t>ANTRA MAHAJAN</t>
  </si>
  <si>
    <t xml:space="preserve">(U1313111)  </t>
  </si>
  <si>
    <t>H.NO. 2/31 DASHMESH AVENUE</t>
  </si>
  <si>
    <t>FOCAL POINT LINK ROAD,AMRITSAR</t>
  </si>
  <si>
    <t xml:space="preserve">PIN:143001,PUNJAB,INDIA </t>
  </si>
  <si>
    <t>USTAT KAUR BHANGU</t>
  </si>
  <si>
    <t>AU2065886537225</t>
  </si>
  <si>
    <t>SAHIB SINGH</t>
  </si>
  <si>
    <t xml:space="preserve">(Y8084053) </t>
  </si>
  <si>
    <t>SAKRALA,HOSHIARPUR</t>
  </si>
  <si>
    <t xml:space="preserve">PIN:144212,PUNJAB,INDIA </t>
  </si>
  <si>
    <t>ACHYUTH VENKATAKRISHNAN</t>
  </si>
  <si>
    <t>AU2065886537425</t>
  </si>
  <si>
    <t>VENKATAKRISHNAN BALASUBRAMANIAN</t>
  </si>
  <si>
    <t>MAYURRI PREMALATHAA KUMAR</t>
  </si>
  <si>
    <t xml:space="preserve">(Z7093466)  </t>
  </si>
  <si>
    <t>5D,NATWEST VICEROY,49,VELACHERY TAMBARAM MAIN RD</t>
  </si>
  <si>
    <t>PALLIKARANAI,CHENNAI</t>
  </si>
  <si>
    <t xml:space="preserve">PIN:600100,TAMIL NADU,INDIA </t>
  </si>
  <si>
    <t>PARAMBIR SINGH</t>
  </si>
  <si>
    <t>AU2065886537825</t>
  </si>
  <si>
    <t>SUKHJINDER SINGH</t>
  </si>
  <si>
    <t>NAJDEEP KAUR</t>
  </si>
  <si>
    <t xml:space="preserve">(V5811648) </t>
  </si>
  <si>
    <t>VILL PADDE,P.O SHAHPUR JAJAN</t>
  </si>
  <si>
    <t>ESHAN VRITIK PAKKI</t>
  </si>
  <si>
    <t>AU2065886538225</t>
  </si>
  <si>
    <t>CHAITANYA PAKKI</t>
  </si>
  <si>
    <t>GAYATRI DEVI PAKKI</t>
  </si>
  <si>
    <t xml:space="preserve"> (U7324641) </t>
  </si>
  <si>
    <t>6-67,RAVINDRA NAGAR</t>
  </si>
  <si>
    <t>OLD DAIRY FARM,VISAKHAPATNAM</t>
  </si>
  <si>
    <t xml:space="preserve">PIN:530040,ANDHRA PRADESH,INDIA </t>
  </si>
  <si>
    <t>RAUNAK KAUR GREWAL</t>
  </si>
  <si>
    <t>AU2065887787025</t>
  </si>
  <si>
    <t xml:space="preserve">(Y9477840) </t>
  </si>
  <si>
    <t>SAKRODI,SANGRUR</t>
  </si>
  <si>
    <t>AU2065887788425</t>
  </si>
  <si>
    <t>CHARANJEET SINGH</t>
  </si>
  <si>
    <t xml:space="preserve">(V3726611) </t>
  </si>
  <si>
    <t>84 SANT CHANAN SINGH COLONY,SULTANWIND ROAD</t>
  </si>
  <si>
    <t>AU2065887789225</t>
  </si>
  <si>
    <t>NAVAL DEEP SINGH CHANDI</t>
  </si>
  <si>
    <t>RUPINDER KAUR</t>
  </si>
  <si>
    <t xml:space="preserve">(S5545873)  </t>
  </si>
  <si>
    <t>SARASWATI VIHAR COLONY NO. 1</t>
  </si>
  <si>
    <t xml:space="preserve">PIN:335051,RAJASTHAN,INDIA </t>
  </si>
  <si>
    <t>SUKOONPREET KAUR</t>
  </si>
  <si>
    <t>AU2065887794025</t>
  </si>
  <si>
    <t>GURPREET SINGH DHALIWAL</t>
  </si>
  <si>
    <t>JASHANPREET KAUR</t>
  </si>
  <si>
    <t xml:space="preserve"> (C2414711) </t>
  </si>
  <si>
    <t>VEERA SINGH PATTI</t>
  </si>
  <si>
    <t>RAUKE KALAN,MOGA</t>
  </si>
  <si>
    <t xml:space="preserve">PIN:142037,PUNJAB,INDIA </t>
  </si>
  <si>
    <t>GURMEHAR KAUR</t>
  </si>
  <si>
    <t>AU2065887795225</t>
  </si>
  <si>
    <t>KANWARBIR SINGH</t>
  </si>
  <si>
    <t>JASPREET KAUR</t>
  </si>
  <si>
    <t xml:space="preserve">(C8670429) </t>
  </si>
  <si>
    <t>H.NO. 77 A DAVINDER NAGAR,KOT MIT SINGH</t>
  </si>
  <si>
    <t>KRISHAAN MEENAKSHI SUNDARAM</t>
  </si>
  <si>
    <t>AU2065887796625</t>
  </si>
  <si>
    <t>MEENAKSHI SUNDARAM MANOHARAN</t>
  </si>
  <si>
    <t>VARDHINI DURAISWAMY</t>
  </si>
  <si>
    <t xml:space="preserve">(I0371085) </t>
  </si>
  <si>
    <t>NO:35 ,2ND BHARATHIDASAN STREET ,DURGA NAGAR</t>
  </si>
  <si>
    <t>TAMBARAM SANATORIUM,CHENNAI</t>
  </si>
  <si>
    <t xml:space="preserve">PIN:600047,TAMIL NADU,INDIA </t>
  </si>
  <si>
    <t>HASRAT SINGH KHEHRA</t>
  </si>
  <si>
    <t>AU2065887797625</t>
  </si>
  <si>
    <t>DILAWAR SINGH</t>
  </si>
  <si>
    <t xml:space="preserve"> (P6841173)  </t>
  </si>
  <si>
    <t>VPO.</t>
  </si>
  <si>
    <t>USMAN,TARN TARAN</t>
  </si>
  <si>
    <t xml:space="preserve">PIN:143401,PUNJAB,INDIA </t>
  </si>
  <si>
    <t>HAZEL ARORA</t>
  </si>
  <si>
    <t xml:space="preserve">BURNIE, AUSTRALIA </t>
  </si>
  <si>
    <t>AU2065887799225</t>
  </si>
  <si>
    <t>HIMANSHU ARORA</t>
  </si>
  <si>
    <t>KANIKA ARORA</t>
  </si>
  <si>
    <t xml:space="preserve"> (C8688436) </t>
  </si>
  <si>
    <t>EA-157,SECOND FLOOR</t>
  </si>
  <si>
    <t>TAGORE GARDEN,DELHI</t>
  </si>
  <si>
    <t xml:space="preserve">PIN:110027,DELHI,INDIA </t>
  </si>
  <si>
    <t>BAKHSHISH KAUR</t>
  </si>
  <si>
    <t>AU2065887800425</t>
  </si>
  <si>
    <t>PAWANPREET KAUR</t>
  </si>
  <si>
    <t xml:space="preserve">(S6646032) </t>
  </si>
  <si>
    <t>VILL. SUREWAL ,P.O DHER,TEH.</t>
  </si>
  <si>
    <t>ANANDPUR SAHIB,DISTT,ROPAR</t>
  </si>
  <si>
    <t xml:space="preserve">PIN:140133,PUNJAB,INDIA </t>
  </si>
  <si>
    <t>RIVANSH MODI</t>
  </si>
  <si>
    <t>AU2065887801825</t>
  </si>
  <si>
    <t>NISHIT MUKESHKUMAR MODI</t>
  </si>
  <si>
    <t>SUHANI GHANSHYAMBHAI MODI</t>
  </si>
  <si>
    <t xml:space="preserve">(X6902046) </t>
  </si>
  <si>
    <t>4 UTSAV SOCIETY</t>
  </si>
  <si>
    <t>KUKARWADA,MEHSANA</t>
  </si>
  <si>
    <t xml:space="preserve">PIN:382830,GUJARAT,INDIA </t>
  </si>
  <si>
    <t>NIVAAN SINGH</t>
  </si>
  <si>
    <t>AU2065887810225</t>
  </si>
  <si>
    <t>ADEEP SINGH MAGOO</t>
  </si>
  <si>
    <t xml:space="preserve"> (T3204847) </t>
  </si>
  <si>
    <t>A-565,DOUBLE STOREY</t>
  </si>
  <si>
    <t>KALKAJI,DELHI</t>
  </si>
  <si>
    <t xml:space="preserve">PIN:110019,DELHI,INDIA </t>
  </si>
  <si>
    <t>RAVNEET KAUR JAWANDA</t>
  </si>
  <si>
    <t>AU2065888763025</t>
  </si>
  <si>
    <t>ATMA SINGH JAWANDA</t>
  </si>
  <si>
    <t>RAJVEER KAUR</t>
  </si>
  <si>
    <t xml:space="preserve">(S9290624) </t>
  </si>
  <si>
    <t>NEAR TERWANNI DERRA PATTI MALL</t>
  </si>
  <si>
    <t>VPO. DALA,MOGA</t>
  </si>
  <si>
    <t xml:space="preserve">PIN:142011,PUNJAB,INDIA </t>
  </si>
  <si>
    <t>VAMIKA RATHI</t>
  </si>
  <si>
    <t>AU2065887673625</t>
  </si>
  <si>
    <t>SUNNY PRAKASHBHAI RATHI</t>
  </si>
  <si>
    <t>MUDRA NILESHBHAI SHAH</t>
  </si>
  <si>
    <t xml:space="preserve">(C6842497) </t>
  </si>
  <si>
    <t>61,NILKANTH SOCIETY,KARODIA ROAD</t>
  </si>
  <si>
    <t>BAJWA,VADODARA</t>
  </si>
  <si>
    <t xml:space="preserve">PIN:391310,GUJARAT,INDIA </t>
  </si>
  <si>
    <t>NIRVAN SINGH</t>
  </si>
  <si>
    <t>AU2065887673825</t>
  </si>
  <si>
    <t xml:space="preserve"> (R0198826) </t>
  </si>
  <si>
    <t>H.NO 12,PREET VIHAR,ABADI PREM NAGAR</t>
  </si>
  <si>
    <t>KHAIRABAD ROAD GUMTALA,AMRITSAR</t>
  </si>
  <si>
    <t xml:space="preserve">PIN:143008,PUNJAB,INDIA </t>
  </si>
  <si>
    <t>TORIN PATEL</t>
  </si>
  <si>
    <t>AU2065887674225</t>
  </si>
  <si>
    <t>SAURABH VIJAYKUMAR PATEL</t>
  </si>
  <si>
    <t>DRUMA SAURABH PATEL</t>
  </si>
  <si>
    <t xml:space="preserve">(Y5380246) </t>
  </si>
  <si>
    <t>18 ABHISHEK SOCIETY</t>
  </si>
  <si>
    <t>MEGHANINAGAR,AHMEDABAD</t>
  </si>
  <si>
    <t xml:space="preserve">PIN:380016,GUJARAT,INDIA </t>
  </si>
  <si>
    <t>HEER RAHULKUMAR PRAJAPATI</t>
  </si>
  <si>
    <t>AU2065887675225</t>
  </si>
  <si>
    <t>RAHULKUMAR RAMESHBHAI PRAJAPATI</t>
  </si>
  <si>
    <t>POOJABEN RAHULKUMAR PRAJAPATI</t>
  </si>
  <si>
    <t xml:space="preserve"> (P3089038) </t>
  </si>
  <si>
    <t>19 OMPARK KENALKOLONI SAME</t>
  </si>
  <si>
    <t>DEESA,BANASKANTHA</t>
  </si>
  <si>
    <t xml:space="preserve">PIN:385535,GUJARAT,INDIA </t>
  </si>
  <si>
    <t>KRIVANSH GAURAVKUMAR PATEL</t>
  </si>
  <si>
    <t>AU2065887675625</t>
  </si>
  <si>
    <t>GAURAVKUMAR RAJENDRABHAI PATEL</t>
  </si>
  <si>
    <t>VISHWA GAURAVKUMAR PATEL</t>
  </si>
  <si>
    <t xml:space="preserve">(R8414805) </t>
  </si>
  <si>
    <t>491,BHAGVATI PURA</t>
  </si>
  <si>
    <t>TATOSAN,VIJAPUR,MEHSANA</t>
  </si>
  <si>
    <t xml:space="preserve">PIN:382820,GUJARAT,INDIA </t>
  </si>
  <si>
    <t>VAMIKA VINAY VICHARE</t>
  </si>
  <si>
    <t>AU2065887676425</t>
  </si>
  <si>
    <t>VINAY VIJAY VICHARE</t>
  </si>
  <si>
    <t>BHAKTI VINAY VICHARE</t>
  </si>
  <si>
    <t xml:space="preserve"> (T545693) </t>
  </si>
  <si>
    <t>A 1 201 VISHWAKARMA NAGAR PH - 2 OPP AMBADI RD</t>
  </si>
  <si>
    <t>VASAI WEST,PALGHAR</t>
  </si>
  <si>
    <t xml:space="preserve">PIN:401202,MAHARASHTRA,INDIA </t>
  </si>
  <si>
    <t>GULDAULAT KAUR SIDHU</t>
  </si>
  <si>
    <t>AU2065887677025</t>
  </si>
  <si>
    <t>SIMRANJEET SINGH SIDHU</t>
  </si>
  <si>
    <t>KULREET KAUR SIDHU</t>
  </si>
  <si>
    <t xml:space="preserve"> (R4342827)  </t>
  </si>
  <si>
    <t>HNO.67 BABE BAHADAR SHAH DE SAHAMANE WALI GALI</t>
  </si>
  <si>
    <t>VPO CHAND PURANA,MOGA</t>
  </si>
  <si>
    <t>REHMAT KAUR RANDHAWA</t>
  </si>
  <si>
    <t>AU2065887677625</t>
  </si>
  <si>
    <t>JARMAN SINGH</t>
  </si>
  <si>
    <t>ROBANJIT KAUR</t>
  </si>
  <si>
    <t xml:space="preserve"> (B6737089) </t>
  </si>
  <si>
    <t>VILL PANDORI HASSAN</t>
  </si>
  <si>
    <t>PO LALU GHUMAN,TARN TARAN</t>
  </si>
  <si>
    <t>AGAMVEER SINGH SIDHU</t>
  </si>
  <si>
    <t>AU2065887678025</t>
  </si>
  <si>
    <t>PAVITTAR SINGH SIDHU</t>
  </si>
  <si>
    <t>SIMRANJEET KAUR BRAR</t>
  </si>
  <si>
    <t xml:space="preserve"> (V7018149) </t>
  </si>
  <si>
    <t>NEAR BUS STAND,BAKHTA PATTI</t>
  </si>
  <si>
    <t>VPO-SEKHA KALAN,MOGA</t>
  </si>
  <si>
    <t xml:space="preserve">PIN:142049,PUNJAB,INDIA </t>
  </si>
  <si>
    <t>VIRAAJ SINGH</t>
  </si>
  <si>
    <t>AU2065887678625</t>
  </si>
  <si>
    <t>HARMANPREET SINGH</t>
  </si>
  <si>
    <t>JAGMEET KAUR</t>
  </si>
  <si>
    <t xml:space="preserve">(N8396805)  </t>
  </si>
  <si>
    <t>VILLAGE- SHEKHUPUR</t>
  </si>
  <si>
    <t>POST- DUDHIA KHURD,PILIBHIT</t>
  </si>
  <si>
    <t xml:space="preserve">PIN:262122,UTTAR PRADESH,INDIA </t>
  </si>
  <si>
    <t>HASRAT KAUR DHALIWAL</t>
  </si>
  <si>
    <t>AU2065887696225</t>
  </si>
  <si>
    <t>PARGAT SINGH DHALIWAL</t>
  </si>
  <si>
    <t>BAVANDEEP KAUR DHALIWAL</t>
  </si>
  <si>
    <t xml:space="preserve"> (P4858457)  </t>
  </si>
  <si>
    <t>UMRA PATTI</t>
  </si>
  <si>
    <t>LAKHA,JAGRAON (LUDHIANA)</t>
  </si>
  <si>
    <t xml:space="preserve">PIN:142031,PUNJAB,INDIA </t>
  </si>
  <si>
    <t>SIDAK KAUR</t>
  </si>
  <si>
    <t>AU2065887697025</t>
  </si>
  <si>
    <t>MAHAL SINGH</t>
  </si>
  <si>
    <t>SANDEEP KAUR</t>
  </si>
  <si>
    <t xml:space="preserve"> (V3729593)  </t>
  </si>
  <si>
    <t>H.NO. 1,NEAR PYAR BUS SERVICE STATION</t>
  </si>
  <si>
    <t>FOCAL POINT,G.T. ROAD,AMRITSAR</t>
  </si>
  <si>
    <t>SHANVI MUDUGULA</t>
  </si>
  <si>
    <t>AU2065887699825</t>
  </si>
  <si>
    <t>SAI SAGAR MUDUGULA</t>
  </si>
  <si>
    <t>JUHI MUDUGULA</t>
  </si>
  <si>
    <t xml:space="preserve">(X7132151) </t>
  </si>
  <si>
    <t>H NO. 11113,PREM NAGAR,HAIBOWAL KALAN</t>
  </si>
  <si>
    <t xml:space="preserve">PIN:141001,PUNJAB,INDIA </t>
  </si>
  <si>
    <t>ARZ KAUR BRAR</t>
  </si>
  <si>
    <t>AU2065887701225</t>
  </si>
  <si>
    <t>ATTINDERPAL SINGH</t>
  </si>
  <si>
    <t xml:space="preserve">(U3468760) </t>
  </si>
  <si>
    <t>VILLAGE KOTLI SANGHAR</t>
  </si>
  <si>
    <t>PO. BHUTTIWALA,SRI MUKTSAR SAHIB</t>
  </si>
  <si>
    <t>NIVAAN SINGH BRAR</t>
  </si>
  <si>
    <t>AU2065887702025</t>
  </si>
  <si>
    <t>LOVEPREET SINGH BRAR</t>
  </si>
  <si>
    <t>PAWANDEEP KAUR</t>
  </si>
  <si>
    <t xml:space="preserve">(X5417770) </t>
  </si>
  <si>
    <t>PATTI ALAM VPO ALAM WALA KALAN</t>
  </si>
  <si>
    <t>NADAR SINGH MEHRA</t>
  </si>
  <si>
    <t>AU2065887722025</t>
  </si>
  <si>
    <t>SARBJEET SINGH MEHRA</t>
  </si>
  <si>
    <t>SUPREET KAUR MEHRA</t>
  </si>
  <si>
    <t xml:space="preserve">(Y3750534)  </t>
  </si>
  <si>
    <t>ST.NO.3 BHAN SINGH COLONY</t>
  </si>
  <si>
    <t xml:space="preserve">PIN:151203,PUNJAB,INDIA </t>
  </si>
  <si>
    <t>ADAM NOAH JOHN</t>
  </si>
  <si>
    <t>AU2065887723425</t>
  </si>
  <si>
    <t>NITHIN XAVIER</t>
  </si>
  <si>
    <t>TIFANIYA DEVASIA</t>
  </si>
  <si>
    <t xml:space="preserve"> (U7844240) </t>
  </si>
  <si>
    <t>KANHIRATHINKAL HOUSE</t>
  </si>
  <si>
    <t>CHEMBANODA PO,KOZHIKODE</t>
  </si>
  <si>
    <t xml:space="preserve">PIN:673528,KERALA,INDIA </t>
  </si>
  <si>
    <t>AARVIBA SHAKTISINH GOHIL</t>
  </si>
  <si>
    <t>AU2065887725425</t>
  </si>
  <si>
    <t>SHAKTISINH TAKHUBHA GOHIL</t>
  </si>
  <si>
    <t>PRAFULLABA SUKHDEVSINH SARVAIYA</t>
  </si>
  <si>
    <t xml:space="preserve">(P0982975) </t>
  </si>
  <si>
    <t>PSI QUARTER BLOCK NO B2-17,POLICE LINE</t>
  </si>
  <si>
    <t>AT-VALLABHIPUR,DIST,BHAVNAGAR</t>
  </si>
  <si>
    <t xml:space="preserve">PIN:364310,GUJARAT,INDIA </t>
  </si>
  <si>
    <t>RUDRAVEERSINH VIRENDRASINH DABHI</t>
  </si>
  <si>
    <t>AU2065887726625</t>
  </si>
  <si>
    <t>VIRENDRASINH NAVUJI DABHI</t>
  </si>
  <si>
    <t>ASHABEN DEVUJI VIHOL</t>
  </si>
  <si>
    <t xml:space="preserve">(Z8011717)  </t>
  </si>
  <si>
    <t>VACHLOVAS</t>
  </si>
  <si>
    <t>KHORAJDABHI GANDHINAGAR,GANDHINAGAR</t>
  </si>
  <si>
    <t xml:space="preserve">PIN:382735,GUJARAT,INDIA </t>
  </si>
  <si>
    <t>PRAVYA PATEL</t>
  </si>
  <si>
    <t>AU2065887728625</t>
  </si>
  <si>
    <t>ULPINKUMAR SANJAYKUMAR PATEL</t>
  </si>
  <si>
    <t>FORAM ULPINKUMAR PATEL</t>
  </si>
  <si>
    <t xml:space="preserve">(P0593179) </t>
  </si>
  <si>
    <t>3 KHAWADWALA SOCIETY NEAR CHAYA FLAT RANNAPARK</t>
  </si>
  <si>
    <t xml:space="preserve">PIN:380061,GUJARAT,INDIA </t>
  </si>
  <si>
    <t>NIDHAAN SINGH MEHRA</t>
  </si>
  <si>
    <t>AU2065887730225</t>
  </si>
  <si>
    <t xml:space="preserve">(Y3750534) </t>
  </si>
  <si>
    <t>ST. NO. 3 BHAN SINGH COLONY</t>
  </si>
  <si>
    <t>MEHRAJ SINGH</t>
  </si>
  <si>
    <t>AU2065887732025</t>
  </si>
  <si>
    <t xml:space="preserve"> (T9265872)  </t>
  </si>
  <si>
    <t>1325/4-E SAHEED KARNAIL SINGH NAGAR PHASE 2</t>
  </si>
  <si>
    <t>ST NO 4,PAKHOWAL ROAD,LUDHIANA</t>
  </si>
  <si>
    <t>PRASHIV HARSHKUMAR PATEL</t>
  </si>
  <si>
    <t>AU2065887628425</t>
  </si>
  <si>
    <t>HARSHKUMAR RASIKBHAI PATEL</t>
  </si>
  <si>
    <t>SMITABEN JITENDRABHAI PATEL</t>
  </si>
  <si>
    <t xml:space="preserve">(N7500885) </t>
  </si>
  <si>
    <t>BHRAMANVAS</t>
  </si>
  <si>
    <t>SHIHI,MEHSANA</t>
  </si>
  <si>
    <t xml:space="preserve">PIN:384170,GUJARAT,INDIA </t>
  </si>
  <si>
    <t>AU2065887629225</t>
  </si>
  <si>
    <t>DHERWINDER SINGH</t>
  </si>
  <si>
    <t>GAGANPREET KAUR</t>
  </si>
  <si>
    <t xml:space="preserve">(U0634598) </t>
  </si>
  <si>
    <t>HNO-192 VILL-BADINPUR</t>
  </si>
  <si>
    <t>PO-MANDI GOBINDGARH DISTT,FATEHGARH SAHIB</t>
  </si>
  <si>
    <t xml:space="preserve">PIN:147301,PUNJAB,INDIA </t>
  </si>
  <si>
    <t>AMBER RANA</t>
  </si>
  <si>
    <t>AU2065887629425</t>
  </si>
  <si>
    <t>MOHIT RANA</t>
  </si>
  <si>
    <t>INDU RANI</t>
  </si>
  <si>
    <t xml:space="preserve">(S5926685) </t>
  </si>
  <si>
    <t>VILL. BHAMBHOLI,P.O. BHAMBHOL</t>
  </si>
  <si>
    <t>TEH. JAGADHRI,YAMUNANAGAR</t>
  </si>
  <si>
    <t xml:space="preserve">PIN:133103,HARYANA,INDIA </t>
  </si>
  <si>
    <t>VAAYUSH DUTTA</t>
  </si>
  <si>
    <t>AU2065887629825</t>
  </si>
  <si>
    <t>VARUN DUTTA</t>
  </si>
  <si>
    <t>SHIKHA CHAUDHARY</t>
  </si>
  <si>
    <t xml:space="preserve">(R5791960) </t>
  </si>
  <si>
    <t>B1 MCH 1091/1 STREET NO-5,GAUTAM NAGAR</t>
  </si>
  <si>
    <t xml:space="preserve">PIN:146001,PUNJAB,INDIA </t>
  </si>
  <si>
    <t>HIMMAT SINGH BAJWA</t>
  </si>
  <si>
    <t>AU2065887630025</t>
  </si>
  <si>
    <t>KULWINDER SINGH BAJWA</t>
  </si>
  <si>
    <t>KARMBEER KAUR BAJWA</t>
  </si>
  <si>
    <t xml:space="preserve"> (S4528937) </t>
  </si>
  <si>
    <t>NEAR CHOTTA MOHALA</t>
  </si>
  <si>
    <t>PHARWAHI,BARNALA</t>
  </si>
  <si>
    <t>VAANI KAUR SOHAL</t>
  </si>
  <si>
    <t>AU2065887589825</t>
  </si>
  <si>
    <t>TANVIR SINGH</t>
  </si>
  <si>
    <t>HARDEEP KAUR</t>
  </si>
  <si>
    <t xml:space="preserve">(R7854288) </t>
  </si>
  <si>
    <t>VPO SOHAL</t>
  </si>
  <si>
    <t>GURDASPUR,GURDASPUR</t>
  </si>
  <si>
    <t xml:space="preserve">PIN:143520,PUNJAB,INDIA </t>
  </si>
  <si>
    <t>HIMMAT SINGH BENIPAL</t>
  </si>
  <si>
    <t>AU2065874864425</t>
  </si>
  <si>
    <t>PARGAT SINGH</t>
  </si>
  <si>
    <t xml:space="preserve"> (Y5717346)  </t>
  </si>
  <si>
    <t>VPO GANDHUAN,TEH SUNAM,SANGRUR</t>
  </si>
  <si>
    <t xml:space="preserve">PIN:148030,PUNJAB,INDIA </t>
  </si>
  <si>
    <t>Bani Kaur Gill</t>
  </si>
  <si>
    <t>AU2065710714325</t>
  </si>
  <si>
    <t>Jagdeep Singh</t>
  </si>
  <si>
    <t xml:space="preserve">(V6412690) </t>
  </si>
  <si>
    <t>VPO. KALSAN</t>
  </si>
  <si>
    <t>TEHSIL RAIKOT,JAGRAON,JAGRAON (LUDHIANA)</t>
  </si>
  <si>
    <t>NAVYA PRAVEEN PRAJAPATI</t>
  </si>
  <si>
    <t>AU2065889713825</t>
  </si>
  <si>
    <t>PRAVEEN MURARILAL PRAJAPATI</t>
  </si>
  <si>
    <t>PRIYANKA PRAVEEN PRAJAPATI</t>
  </si>
  <si>
    <t xml:space="preserve">(Y9472211) </t>
  </si>
  <si>
    <t>A-302,GAURAV TOWER,RANNA PARK</t>
  </si>
  <si>
    <t>ZAVIYAR SINGH</t>
  </si>
  <si>
    <t>AU2065888797625</t>
  </si>
  <si>
    <t>JATINDER KAUR</t>
  </si>
  <si>
    <t xml:space="preserve"> (W4368419) </t>
  </si>
  <si>
    <t>VILLAGE SULKHANI ,PO GOLPURA</t>
  </si>
  <si>
    <t>TEHSIL SHAHABAD MARKANDA,KURUKSHETRA</t>
  </si>
  <si>
    <t>REYANSH THAPAR</t>
  </si>
  <si>
    <t>AU2065888798425</t>
  </si>
  <si>
    <t>ANIL KUMAR</t>
  </si>
  <si>
    <t xml:space="preserve"> (U0977039) </t>
  </si>
  <si>
    <t>HNO 516A KACHA KOT BASTI BAWA KHEL</t>
  </si>
  <si>
    <t xml:space="preserve">PIN:144021,PUNJAB,INDIA </t>
  </si>
  <si>
    <t>HARNIWAAZ KAUR AUJLA</t>
  </si>
  <si>
    <t xml:space="preserve">GOSFORD, AUSTRALIA </t>
  </si>
  <si>
    <t>AU2065888799225</t>
  </si>
  <si>
    <t>KIRANDEEP KAUR ROOPRAI</t>
  </si>
  <si>
    <t xml:space="preserve">(S7681886)  </t>
  </si>
  <si>
    <t>VILL SIHAN DAUD TEH PAYAL</t>
  </si>
  <si>
    <t>DISTT,KHANNA (LUDHIANA)</t>
  </si>
  <si>
    <t xml:space="preserve">PIN:141119,PUNJAB,INDIA </t>
  </si>
  <si>
    <t>SIYA LAL</t>
  </si>
  <si>
    <t>ABHISHEK KUMAR</t>
  </si>
  <si>
    <t>AU2065888800025</t>
  </si>
  <si>
    <t>ARCHNA LAL</t>
  </si>
  <si>
    <t xml:space="preserve">(U3475018) </t>
  </si>
  <si>
    <t>FLAT-23163,PRESTIGE WATERFORD,ECC RD</t>
  </si>
  <si>
    <t>WHITEFIELD,BENGALURU,BENGALURU</t>
  </si>
  <si>
    <t xml:space="preserve">PIN:560066,KARNATAKA,INDIA </t>
  </si>
  <si>
    <t>SAMRAAT SINGH BENIWAL</t>
  </si>
  <si>
    <t>AU2065888802425</t>
  </si>
  <si>
    <t>VEERPAL KAUR</t>
  </si>
  <si>
    <t xml:space="preserve">(T9691135) </t>
  </si>
  <si>
    <t>L 4 SHALIMAAR BAGH</t>
  </si>
  <si>
    <t>SRIGANGANAGAR,SRI GANGANAGAR</t>
  </si>
  <si>
    <t>HARNIDH KAUR</t>
  </si>
  <si>
    <t>AU2065889731225</t>
  </si>
  <si>
    <t>INDERJEET SINGH</t>
  </si>
  <si>
    <t>PREETI</t>
  </si>
  <si>
    <t xml:space="preserve"> (R4786358) </t>
  </si>
  <si>
    <t>BLOCK NO 11 HOUSE NO 54 CHOPRA SHOP</t>
  </si>
  <si>
    <t>PO GARHI,UDHAMPUR</t>
  </si>
  <si>
    <t xml:space="preserve">PIN:182121,JAMMU AND KASHMIR,INDIA </t>
  </si>
  <si>
    <t>KULJIND KAUR LADHAR</t>
  </si>
  <si>
    <t>AU2065889731425</t>
  </si>
  <si>
    <t>SIMRANJEET SINGH</t>
  </si>
  <si>
    <t>ANMOLJYOT KAUR</t>
  </si>
  <si>
    <t xml:space="preserve">(T5043678) </t>
  </si>
  <si>
    <t>342/15C NETAJI NAGAR NR JALANDHAR</t>
  </si>
  <si>
    <t>BYEPASS CHOWK,LUDHIANA</t>
  </si>
  <si>
    <t xml:space="preserve">PIN:141008,PUNJAB,INDIA </t>
  </si>
  <si>
    <t>JUNGBIR SINGH DEOL</t>
  </si>
  <si>
    <t>AU2065889732825</t>
  </si>
  <si>
    <t xml:space="preserve">(X3353448)  </t>
  </si>
  <si>
    <t>VILL CHACK SARAI</t>
  </si>
  <si>
    <t>PO JASPALON,KHANNA (LUDHIANA)</t>
  </si>
  <si>
    <t xml:space="preserve">PIN:141421,PUNJAB,INDIA </t>
  </si>
  <si>
    <t>RADHYA MADAN</t>
  </si>
  <si>
    <t>AU2065889723025</t>
  </si>
  <si>
    <t>MOHIT MADAN</t>
  </si>
  <si>
    <t>NANCY CHHABRA</t>
  </si>
  <si>
    <t xml:space="preserve">(Z5824959) </t>
  </si>
  <si>
    <t>F-84 ASHOK VIHAR PHASE-1</t>
  </si>
  <si>
    <t xml:space="preserve">PIN:110052,DELHI,INDIA </t>
  </si>
  <si>
    <t>HARDIK SAHARAN</t>
  </si>
  <si>
    <t>AU2065889723625</t>
  </si>
  <si>
    <t>PARDEEP KUMAR</t>
  </si>
  <si>
    <t>POOJA</t>
  </si>
  <si>
    <t xml:space="preserve"> (S4569136) </t>
  </si>
  <si>
    <t>787 MEHNA PATTI</t>
  </si>
  <si>
    <t>KHARAK PANDWAN,KAITHAL</t>
  </si>
  <si>
    <t xml:space="preserve">PIN:136117,HARYANA,INDIA </t>
  </si>
  <si>
    <t>GURSAHIB SINGH GILL</t>
  </si>
  <si>
    <t>AU2065889724625</t>
  </si>
  <si>
    <t xml:space="preserve"> (W3336482) </t>
  </si>
  <si>
    <t>VPO-KHARAR RAVAL BASSI</t>
  </si>
  <si>
    <t>TEH-GARHSHANKAR,HOSHIARPUR</t>
  </si>
  <si>
    <t xml:space="preserve">PIN:146108,PUNJAB,INDIA </t>
  </si>
  <si>
    <t>ERISHAA SANDHU</t>
  </si>
  <si>
    <t>AU2065889725625</t>
  </si>
  <si>
    <t>SONAL TIWARI</t>
  </si>
  <si>
    <t xml:space="preserve">(C2409014) </t>
  </si>
  <si>
    <t>E52 ASHOK VIHAR COLONY</t>
  </si>
  <si>
    <t>PANDEYPUR,VARANASI</t>
  </si>
  <si>
    <t xml:space="preserve">PIN:221007,UTTAR PRADESH,INDIA </t>
  </si>
  <si>
    <t>RUBANI KAUR DHILLON</t>
  </si>
  <si>
    <t>AU2065889726625</t>
  </si>
  <si>
    <t>PARWINDER SINGH DHILLON</t>
  </si>
  <si>
    <t>MANDEEP KAUR DHILLON</t>
  </si>
  <si>
    <t xml:space="preserve"> (N9621299) </t>
  </si>
  <si>
    <t>A-9,NEAR WATER TANK</t>
  </si>
  <si>
    <t>SHASTRI NAGAR,CHANDRAPUR</t>
  </si>
  <si>
    <t xml:space="preserve">PIN:442401,MAHARASHTRA,INDIA </t>
  </si>
  <si>
    <t>JAIZDEEP SINGH</t>
  </si>
  <si>
    <t>AU2065889727425</t>
  </si>
  <si>
    <t>RAVINDER KAUR</t>
  </si>
  <si>
    <t xml:space="preserve">(Y9477730) </t>
  </si>
  <si>
    <t>H.NO.1251/2,ST.NO.1,BLOCK-C</t>
  </si>
  <si>
    <t>ISHAR NAGAR,GILL ROAD,LUDHIANA</t>
  </si>
  <si>
    <t xml:space="preserve">PIN:141006,PUNJAB,INDIA </t>
  </si>
  <si>
    <t>DHIYA PRATIKKUMAR BHATT</t>
  </si>
  <si>
    <t>AU2065889729025</t>
  </si>
  <si>
    <t>PRATIKKUMAR MANUBHAI BHATT</t>
  </si>
  <si>
    <t>HARNISHABAHEN PRATIKKUMAR BHATT</t>
  </si>
  <si>
    <t xml:space="preserve">(S9904815)  </t>
  </si>
  <si>
    <t>H NO-4/3 177 NR AJANTA HOUSE</t>
  </si>
  <si>
    <t>MAYFAIR ROAD DIS,ANAND</t>
  </si>
  <si>
    <t xml:space="preserve">PIN:388001,GUJARAT,INDIA </t>
  </si>
  <si>
    <t>RABANI KAUR RAWALA</t>
  </si>
  <si>
    <t>AU2065889729425</t>
  </si>
  <si>
    <t>DHARAMPREET SINGH</t>
  </si>
  <si>
    <t>HARNEET KAUR</t>
  </si>
  <si>
    <t xml:space="preserve">(X8542403) </t>
  </si>
  <si>
    <t>HNO. 69</t>
  </si>
  <si>
    <t>VPO CHAUNTA,LUDHIANA</t>
  </si>
  <si>
    <t xml:space="preserve">PIN:141126,PUNJAB,INDIA </t>
  </si>
  <si>
    <t>AARZA ARORA</t>
  </si>
  <si>
    <t>AU2065889730425</t>
  </si>
  <si>
    <t>MOHIT ARORA</t>
  </si>
  <si>
    <t>AMRIT GILL</t>
  </si>
  <si>
    <t xml:space="preserve">(C8545309) </t>
  </si>
  <si>
    <t>SECTOR 46 C CHANDIGARH,CHANDIGARH</t>
  </si>
  <si>
    <t xml:space="preserve">PIN:160047,CHANDIGARH,INDIA </t>
  </si>
  <si>
    <t>JORAWAR SINGH SANDHU</t>
  </si>
  <si>
    <t>AU2065887626425</t>
  </si>
  <si>
    <t>PAVNEET KAUR</t>
  </si>
  <si>
    <t xml:space="preserve">(I0614548) </t>
  </si>
  <si>
    <t>VPO KHASA</t>
  </si>
  <si>
    <t xml:space="preserve">PIN:143107,PUNJAB,INDIA </t>
  </si>
  <si>
    <t>KISHAN RAKESH</t>
  </si>
  <si>
    <t>AU2065887626825</t>
  </si>
  <si>
    <t>RAKESH KRISHNAN</t>
  </si>
  <si>
    <t>SIMIMOL OTTAKUTTIYANKAL SREEDHARAN</t>
  </si>
  <si>
    <t xml:space="preserve">(P9138686) </t>
  </si>
  <si>
    <t>KAKKANATTU HOUSE</t>
  </si>
  <si>
    <t>MEMADANGU PO,ARAKUZHA ,ERNAKULAM</t>
  </si>
  <si>
    <t xml:space="preserve">PIN:686672,KERALA,INDIA </t>
  </si>
  <si>
    <t>AYLEEN KAUR DHAMRAIT</t>
  </si>
  <si>
    <t>AU2065887627025</t>
  </si>
  <si>
    <t>RANJU</t>
  </si>
  <si>
    <t xml:space="preserve">(I0369231)  </t>
  </si>
  <si>
    <t>3138 PINK ROSE SOCIETY SECTOR 49 D</t>
  </si>
  <si>
    <t>FARAZ SAQUIB RAB</t>
  </si>
  <si>
    <t>AU2065889717225</t>
  </si>
  <si>
    <t>SAQUIB JAWED RAB</t>
  </si>
  <si>
    <t>ZEBA RASHID</t>
  </si>
  <si>
    <t xml:space="preserve">(V2971973) </t>
  </si>
  <si>
    <t>QADRI HOUSE 2,LAXMI COLONY,RC MARG</t>
  </si>
  <si>
    <t>CHEMBUR,MUMBAI</t>
  </si>
  <si>
    <t xml:space="preserve">PIN:400074,MAHARASHTRA,INDIA </t>
  </si>
  <si>
    <t>PARAMVEER DHANDA</t>
  </si>
  <si>
    <t>AU2065890603025</t>
  </si>
  <si>
    <t>SHUBHAM</t>
  </si>
  <si>
    <t>NEHA MALIK</t>
  </si>
  <si>
    <t xml:space="preserve"> (V9904685) </t>
  </si>
  <si>
    <t>VILL-DUGARI</t>
  </si>
  <si>
    <t>PO-GUDHA,KURUKSHETRA</t>
  </si>
  <si>
    <t>GOKULEYSH JIGAR PRAJAPATI</t>
  </si>
  <si>
    <t>AU2065890603225</t>
  </si>
  <si>
    <t>JIGAR MAYURKUMAR PRAJAPATI</t>
  </si>
  <si>
    <t>ARCHI HITESHBHAI PRAJAPATI</t>
  </si>
  <si>
    <t xml:space="preserve">(Y4219072) </t>
  </si>
  <si>
    <t>A-1101,MILESTONE 7 HEAVEN,NEAR GAIL TOWNSHIP</t>
  </si>
  <si>
    <t>VESU,SOUTH-WEST SURAT,SURAT CITY</t>
  </si>
  <si>
    <t xml:space="preserve">PIN:395007,GUJARAT,INDIA </t>
  </si>
  <si>
    <t>SHANAYA KAUR GILL</t>
  </si>
  <si>
    <t xml:space="preserve">LAUNCESTON, AUSTRALIA </t>
  </si>
  <si>
    <t>AU2065890603425</t>
  </si>
  <si>
    <t>NAVDEEP SINGH GILL</t>
  </si>
  <si>
    <t>KULBIR KAUR SANDHU</t>
  </si>
  <si>
    <t xml:space="preserve"> (S3936763) </t>
  </si>
  <si>
    <t>MCBZ500478 ST.NO 1 BABA FARID NAGAR</t>
  </si>
  <si>
    <t>BIBI WALA CHOWK,BATHINDA</t>
  </si>
  <si>
    <t xml:space="preserve">PIN:151001,PUNJAB,INDIA </t>
  </si>
  <si>
    <t>HAMSINI DESH</t>
  </si>
  <si>
    <t>AU2065890603625</t>
  </si>
  <si>
    <t>SURESH YADAV DESH</t>
  </si>
  <si>
    <t>HARIKA KADHIRE</t>
  </si>
  <si>
    <t xml:space="preserve">(P7887663)  </t>
  </si>
  <si>
    <t>19-35 DANDUGADDA COLONY</t>
  </si>
  <si>
    <t>KOTHAKOTA,WANAPARTHY</t>
  </si>
  <si>
    <t xml:space="preserve">PIN:509381,TELANGANA,INDIA </t>
  </si>
  <si>
    <t>VIHAAN KALICHARLA</t>
  </si>
  <si>
    <t>AU2065890601825</t>
  </si>
  <si>
    <t>RAJASEKHAR KALICHARLA</t>
  </si>
  <si>
    <t>DEDEEPYA SARIPELLA</t>
  </si>
  <si>
    <t xml:space="preserve">(B6745569) </t>
  </si>
  <si>
    <t>18-13/1,NORTH EXTENSION,SEETHAMMADHARA</t>
  </si>
  <si>
    <t>VISAKHAPATNAM,VISAKHAPATNAM</t>
  </si>
  <si>
    <t xml:space="preserve">PIN:530013,ANDHRA PRADESH,INDIA </t>
  </si>
  <si>
    <t>RANTEG KAUR</t>
  </si>
  <si>
    <t>AU2065890602225</t>
  </si>
  <si>
    <t>PRABHJOT KAUR</t>
  </si>
  <si>
    <t xml:space="preserve">(X7367156) </t>
  </si>
  <si>
    <t>CHARDI PATI</t>
  </si>
  <si>
    <t>VPO-CHABBA,TARN-TARAN RD,AMRITSAR</t>
  </si>
  <si>
    <t>EKAM GILL</t>
  </si>
  <si>
    <t>AU2065890602425</t>
  </si>
  <si>
    <t>KARAMDEEP SINGH</t>
  </si>
  <si>
    <t>LOVEPREET KOUR</t>
  </si>
  <si>
    <t xml:space="preserve">(I0017498) </t>
  </si>
  <si>
    <t>WARD NO-15,PUNJABI MOHALLA</t>
  </si>
  <si>
    <t>HANUMANGARH TOWN,HANUMANGARH</t>
  </si>
  <si>
    <t xml:space="preserve">PIN:335513,RAJASTHAN,INDIA </t>
  </si>
  <si>
    <t>SAMRATH SINGH MONGA</t>
  </si>
  <si>
    <t>AU2065892488025</t>
  </si>
  <si>
    <t>NEERAJ MONGA</t>
  </si>
  <si>
    <t>AMANJOT KAUR</t>
  </si>
  <si>
    <t xml:space="preserve">(P3533180) </t>
  </si>
  <si>
    <t>VILL-CHAK 13 G.B.,PO-KALYANKOTE</t>
  </si>
  <si>
    <t>TEH-SRI VIJAYNAGAR,SRI GANGANAGAR</t>
  </si>
  <si>
    <t xml:space="preserve">PIN:335704,RAJASTHAN,INDIA </t>
  </si>
  <si>
    <t>RUDRADEV REDDY ALETI</t>
  </si>
  <si>
    <t>AU2065892489225</t>
  </si>
  <si>
    <t>LINGA REDDY ALETI</t>
  </si>
  <si>
    <t>LAHARI KINI</t>
  </si>
  <si>
    <t xml:space="preserve"> (X8390487)  </t>
  </si>
  <si>
    <t>H NO: 5-53</t>
  </si>
  <si>
    <t>BIJJUR,BHAINSA,NIRMAL</t>
  </si>
  <si>
    <t xml:space="preserve">PIN:504103,TELANGANA,INDIA </t>
  </si>
  <si>
    <t>RADHA GAMPALA</t>
  </si>
  <si>
    <t>AU2065892489625</t>
  </si>
  <si>
    <t>MAHESH GAMPALA</t>
  </si>
  <si>
    <t>SUMAN BAGADE</t>
  </si>
  <si>
    <t xml:space="preserve"> (N5813062) </t>
  </si>
  <si>
    <t>1-44</t>
  </si>
  <si>
    <t>PONAGONDLA,JAYASHANKAR BHUPALPALLY</t>
  </si>
  <si>
    <t xml:space="preserve">PIN:506348,TELANGANA,INDIA </t>
  </si>
  <si>
    <t>NITNEM SINGH</t>
  </si>
  <si>
    <t>AU2065892507225</t>
  </si>
  <si>
    <t>PARSANJEET SINGH</t>
  </si>
  <si>
    <t xml:space="preserve"> (N4018974)  </t>
  </si>
  <si>
    <t>NAURANGABAD,TARN TARAN</t>
  </si>
  <si>
    <t>RUHANIYT KAUR</t>
  </si>
  <si>
    <t>AU2065892508625</t>
  </si>
  <si>
    <t>KOMAL</t>
  </si>
  <si>
    <t xml:space="preserve">(X3384699)  </t>
  </si>
  <si>
    <t>HOUSE NO. 22,VILL. LALEENA</t>
  </si>
  <si>
    <t>PO. SANOUR,PATIALA</t>
  </si>
  <si>
    <t xml:space="preserve">PIN:147103,PUNJAB,INDIA </t>
  </si>
  <si>
    <t>DAIVIK GUDIMALLA</t>
  </si>
  <si>
    <t>AU2065892510625</t>
  </si>
  <si>
    <t>ARAVIND KUMAR GUDIMALLA</t>
  </si>
  <si>
    <t>MONIKA GUPTA</t>
  </si>
  <si>
    <t xml:space="preserve">(I0365060) </t>
  </si>
  <si>
    <t>4-69/54/6/1/1A,VIDYARANYAPURI</t>
  </si>
  <si>
    <t>THEEGALAGUTTAPALLY,KARIMNAGAR</t>
  </si>
  <si>
    <t xml:space="preserve">PIN:505001,TELANGANA,INDIA </t>
  </si>
  <si>
    <t>RAMIEL JOSEPH SHINTO</t>
  </si>
  <si>
    <t>AU2065892511825</t>
  </si>
  <si>
    <t>SHINTO SAJU KALAPPURACKAL</t>
  </si>
  <si>
    <t>LINCY MOL ERATTAKULANGARA</t>
  </si>
  <si>
    <t xml:space="preserve"> (R9595584) </t>
  </si>
  <si>
    <t>KALAPPURACKAL HOUSE</t>
  </si>
  <si>
    <t>PAMPAKUDA P O,ERNAKULAM</t>
  </si>
  <si>
    <t xml:space="preserve">PIN:686667,KERALA,INDIA </t>
  </si>
  <si>
    <t>MEHRAB SINGH</t>
  </si>
  <si>
    <t>AU2065892513225</t>
  </si>
  <si>
    <t>AMANPREET SINGH</t>
  </si>
  <si>
    <t>MANINDERJIT KAUR</t>
  </si>
  <si>
    <t xml:space="preserve">(V8454297) </t>
  </si>
  <si>
    <t>H NO. 1520,MOHALLA GARWA,WARD NO. 5</t>
  </si>
  <si>
    <t>SIRHIND,DISTT,FATEHGARH SAHIB</t>
  </si>
  <si>
    <t>RANTEGH SINGH SANDHA</t>
  </si>
  <si>
    <t>AU2065892513825</t>
  </si>
  <si>
    <t xml:space="preserve">(N2336325) </t>
  </si>
  <si>
    <t>VILL THER SAMINDER SINGH P.O. FEROZABAD</t>
  </si>
  <si>
    <t>RANIA,SIRSA</t>
  </si>
  <si>
    <t xml:space="preserve">PIN:125055,HARYANA,INDIA </t>
  </si>
  <si>
    <t>JAPJI KAUR SANGHA</t>
  </si>
  <si>
    <t>AU2065892515825</t>
  </si>
  <si>
    <t>JEENA</t>
  </si>
  <si>
    <t>RAJWINDER KAUR</t>
  </si>
  <si>
    <t xml:space="preserve">(G0088023) </t>
  </si>
  <si>
    <t>VILL NANGLAN PO ROR MAJARA</t>
  </si>
  <si>
    <t>TEH GARHSHANKAR,HOSHIARPUR</t>
  </si>
  <si>
    <t xml:space="preserve">PIN:144527,PUNJAB,INDIA </t>
  </si>
  <si>
    <t>SAANJH LAGAH</t>
  </si>
  <si>
    <t>AU2065892517425</t>
  </si>
  <si>
    <t>RAMANDEEP KUMAR</t>
  </si>
  <si>
    <t>SONIA SAMRAI</t>
  </si>
  <si>
    <t xml:space="preserve">(X7619716) </t>
  </si>
  <si>
    <t>VILL SUNNER KALAN</t>
  </si>
  <si>
    <t>TEH PHILLAUR,JALANDHAR</t>
  </si>
  <si>
    <t xml:space="preserve">PIN:144039,PUNJAB,INDIA </t>
  </si>
  <si>
    <t>JORAVAR SINGH GILL</t>
  </si>
  <si>
    <t>AU2065892518825</t>
  </si>
  <si>
    <t>SUPINDER SINGH GILL</t>
  </si>
  <si>
    <t xml:space="preserve">(S6691556) </t>
  </si>
  <si>
    <t>VILL CHUHARPUR (JHAR SAHIB) PO BEHLOLPUR</t>
  </si>
  <si>
    <t>TEH SAMRALA PS MACHHIWARA,KHANNA (LUDHIANA)</t>
  </si>
  <si>
    <t xml:space="preserve">PIN:141121,PUNJAB,INDIA </t>
  </si>
  <si>
    <t>GURDIT KAUR</t>
  </si>
  <si>
    <t xml:space="preserve">SALE, AUSTRALIA </t>
  </si>
  <si>
    <t>AU2065892520025</t>
  </si>
  <si>
    <t>GURBACHAN SINGH</t>
  </si>
  <si>
    <t>AMANPREET KAUR</t>
  </si>
  <si>
    <t xml:space="preserve"> (W7804788)  </t>
  </si>
  <si>
    <t>VILL SALEMPUR MASANDAN</t>
  </si>
  <si>
    <t>PO TALHAN,JALANDHAR</t>
  </si>
  <si>
    <t xml:space="preserve">PIN:144101,PUNJAB,INDIA </t>
  </si>
  <si>
    <t>SRIDEEP LOKA</t>
  </si>
  <si>
    <t>AU2065892525025</t>
  </si>
  <si>
    <t>SANDEEP LOKA</t>
  </si>
  <si>
    <t>SHIRISHA KASTURI</t>
  </si>
  <si>
    <t xml:space="preserve"> (X7619483) </t>
  </si>
  <si>
    <t>87,VAMBAY COLONY</t>
  </si>
  <si>
    <t>LAXMIGUDA,RANGAREDDY,RANGAREDDY</t>
  </si>
  <si>
    <t xml:space="preserve">PIN:500005,TELANGANA,INDIA </t>
  </si>
  <si>
    <t>RUDRANSH DANDYAN</t>
  </si>
  <si>
    <t>AU2065892525825</t>
  </si>
  <si>
    <t>JAGBIR</t>
  </si>
  <si>
    <t>MINAXI RANI</t>
  </si>
  <si>
    <t xml:space="preserve">(X3343435) </t>
  </si>
  <si>
    <t>VPO BAKHLI</t>
  </si>
  <si>
    <t>TEH PEHOWA,KURUKSHETRA</t>
  </si>
  <si>
    <t>PRISHA SAINI</t>
  </si>
  <si>
    <t>AU2065892526625</t>
  </si>
  <si>
    <t>PANKAJ KUMAR SAINI</t>
  </si>
  <si>
    <t xml:space="preserve">(P9823861) </t>
  </si>
  <si>
    <t>VILL.BHAINI</t>
  </si>
  <si>
    <t>PO.PARLADPUR,KURUKSHETRA</t>
  </si>
  <si>
    <t>CHANNPREET SINGH SAGGU</t>
  </si>
  <si>
    <t>AU2065892527225</t>
  </si>
  <si>
    <t>MEHAKDEEP SINGH</t>
  </si>
  <si>
    <t>POONAM VIRDI</t>
  </si>
  <si>
    <t xml:space="preserve">(T1954576) </t>
  </si>
  <si>
    <t>H.90 URBAN ESTATE,NEAR DERA BABA DARSHAN SINGH</t>
  </si>
  <si>
    <t>KALE GHANUPUR,AMRITSAR</t>
  </si>
  <si>
    <t xml:space="preserve">PIN:143105,PUNJAB,INDIA </t>
  </si>
  <si>
    <t>MISHIKA DHIMAN</t>
  </si>
  <si>
    <t>AU2065892490825</t>
  </si>
  <si>
    <t>VARUN KUMAR</t>
  </si>
  <si>
    <t>MEGHA SHARMA</t>
  </si>
  <si>
    <t xml:space="preserve">(W8982357)  </t>
  </si>
  <si>
    <t>VILL. RAOGARH</t>
  </si>
  <si>
    <t xml:space="preserve">PIN:136119,HARYANA,INDIA </t>
  </si>
  <si>
    <t>AKAALVEER SINGH SANDHU</t>
  </si>
  <si>
    <t xml:space="preserve">GRIFFITH, AUSTRALIA </t>
  </si>
  <si>
    <t>AU2065892462425</t>
  </si>
  <si>
    <t>YADVINDER SINGH</t>
  </si>
  <si>
    <t>RASDEEP KAUR</t>
  </si>
  <si>
    <t xml:space="preserve">(X3371602) </t>
  </si>
  <si>
    <t>VILL HAREWA PO JAIDHARI</t>
  </si>
  <si>
    <t>TEH CHHACHHRAULI,YAMUNANAGAR</t>
  </si>
  <si>
    <t xml:space="preserve">PIN:135101,HARYANA,INDIA </t>
  </si>
  <si>
    <t>HARINI PATEL</t>
  </si>
  <si>
    <t>AU2065892492425</t>
  </si>
  <si>
    <t>HARDIKKUMAR SHAILESHBHAI PATEL</t>
  </si>
  <si>
    <t>DISHABEN JAYENDRABHAI PATEL</t>
  </si>
  <si>
    <t xml:space="preserve">(C6457554) </t>
  </si>
  <si>
    <t>PATEL FALIYA,AT POST RAJBODELI</t>
  </si>
  <si>
    <t>TA BODELI,VADODARA</t>
  </si>
  <si>
    <t xml:space="preserve">PIN:391140,GUJARAT,INDIA </t>
  </si>
  <si>
    <t>BARKAT KAUR DHALIWAL</t>
  </si>
  <si>
    <t>AU2065892493225</t>
  </si>
  <si>
    <t>BUTA SINGH DHALIWAL</t>
  </si>
  <si>
    <t>AMANPREET KAUR UPPAL</t>
  </si>
  <si>
    <t xml:space="preserve">(T6008758) </t>
  </si>
  <si>
    <t>PATTI BHULLAR</t>
  </si>
  <si>
    <t>VPO BUTTAR,MOGA</t>
  </si>
  <si>
    <t xml:space="preserve">PIN:142040,PUNJAB,INDIA </t>
  </si>
  <si>
    <t>AADHYA RAVI PATEL</t>
  </si>
  <si>
    <t>AU2065892493825</t>
  </si>
  <si>
    <t>RAVI MANHARLAL PATEL</t>
  </si>
  <si>
    <t>BANSRI BHAVINBHAI PATEL</t>
  </si>
  <si>
    <t xml:space="preserve"> (Y2090707)  </t>
  </si>
  <si>
    <t>D 13 SARASWATI SOCIETY MITHIKUI</t>
  </si>
  <si>
    <t>DHOLKA,AHMEDABAD</t>
  </si>
  <si>
    <t xml:space="preserve">PIN:382225,GUJARAT,INDIA </t>
  </si>
  <si>
    <t>ADAM MOHAMMED</t>
  </si>
  <si>
    <t>AU2065887700225</t>
  </si>
  <si>
    <t>RIZWAN MOHAMMED</t>
  </si>
  <si>
    <t>SUPRIYA NAIDU</t>
  </si>
  <si>
    <t xml:space="preserve"> (N5661690)  </t>
  </si>
  <si>
    <t>3-6-416/1/11,STREET NO:4</t>
  </si>
  <si>
    <t>HIMAYATH NAGAR,HYDERABAD</t>
  </si>
  <si>
    <t xml:space="preserve">PIN:500029,TELANGANA,INDIA </t>
  </si>
  <si>
    <t>MUHAMMAD ALI MOINUDDIN SYED</t>
  </si>
  <si>
    <t>AU2065893404225</t>
  </si>
  <si>
    <t>SYED MOINUDDIN</t>
  </si>
  <si>
    <t>SYEDA WAJEEDA AHMED</t>
  </si>
  <si>
    <t xml:space="preserve"> (W2389098)  </t>
  </si>
  <si>
    <t>H NO. 7-4-30/D/ROAD NO 4,219,DREAM INDIA</t>
  </si>
  <si>
    <t>GAGANPAHAD RAJENDERNAGAR,RANGAREDDY</t>
  </si>
  <si>
    <t xml:space="preserve">PIN:500052,TELANGANA,INDIA </t>
  </si>
  <si>
    <t>REHRAABJOT SINGH</t>
  </si>
  <si>
    <t>AU2065893404825</t>
  </si>
  <si>
    <t>HARJOT SINGH</t>
  </si>
  <si>
    <t xml:space="preserve">(I0787862) </t>
  </si>
  <si>
    <t>M.I.G - 481,URBAN ESTATE ,PHASE -1</t>
  </si>
  <si>
    <t>PATIALA,PATIALA</t>
  </si>
  <si>
    <t xml:space="preserve">PIN:147002,PUNJAB,INDIA </t>
  </si>
  <si>
    <t>AMBER SANDHU</t>
  </si>
  <si>
    <t>AU2065893405025</t>
  </si>
  <si>
    <t>MANPREET SINGH SANDHU</t>
  </si>
  <si>
    <t xml:space="preserve"> (W3146098) </t>
  </si>
  <si>
    <t>HOUSE NO-230,NEAR OLD POWER HOUSE</t>
  </si>
  <si>
    <t>WARD 10,SHIVPURI</t>
  </si>
  <si>
    <t xml:space="preserve">PIN:473660,MADHYA PRADESH,INDIA </t>
  </si>
  <si>
    <t>ALIFA MADHIH</t>
  </si>
  <si>
    <t>AU2065893405425</t>
  </si>
  <si>
    <t>MOHAMED MADHIH ANVAR</t>
  </si>
  <si>
    <t>SHIFFANA NAZEEMA ARABI MOHAMED</t>
  </si>
  <si>
    <t xml:space="preserve">(R8593346) </t>
  </si>
  <si>
    <t>6K-1C-1,PARRY COMPANY ROAD,NEW LAKSHMI NAGAR</t>
  </si>
  <si>
    <t>METTUPALAYAM,COIMBATORE RURAL</t>
  </si>
  <si>
    <t xml:space="preserve">PIN:641305,TAMIL NADU,INDIA </t>
  </si>
  <si>
    <t>DILSHER SINGH LAKHANPAL</t>
  </si>
  <si>
    <t>AU2065893405825</t>
  </si>
  <si>
    <t>MALKEET SINGH LAKHANPAL</t>
  </si>
  <si>
    <t>KIRANDEEP KAUR DHALIWAL</t>
  </si>
  <si>
    <t xml:space="preserve"> (W8939844) </t>
  </si>
  <si>
    <t>MASITAN ROAD VPO</t>
  </si>
  <si>
    <t xml:space="preserve">PIN:142043,PUNJAB,INDIA </t>
  </si>
  <si>
    <t>NADAR KAUR THIND</t>
  </si>
  <si>
    <t>AU2065893406225</t>
  </si>
  <si>
    <t xml:space="preserve">(V7469545) </t>
  </si>
  <si>
    <t>GORSIAN PEERAN,P.O- KOT BADAL KHAN</t>
  </si>
  <si>
    <t>TEH- PHILLAUR,JALANDHAR</t>
  </si>
  <si>
    <t>ANAAD KAUR BHATHAL</t>
  </si>
  <si>
    <t>AU2065893406425</t>
  </si>
  <si>
    <t>PAWANJIT SINGH BHATHAL</t>
  </si>
  <si>
    <t>TARNJOT KAUR</t>
  </si>
  <si>
    <t xml:space="preserve">(V3741968) </t>
  </si>
  <si>
    <t>BHANOHAR,JAGRAON (LUDHIANA)</t>
  </si>
  <si>
    <t xml:space="preserve">PIN:141102,PUNJAB,INDIA </t>
  </si>
  <si>
    <t>SHRINIKA DANDAMUDI</t>
  </si>
  <si>
    <t>AU2065893406825</t>
  </si>
  <si>
    <t>TEJA DANDAMUDI</t>
  </si>
  <si>
    <t>SRUTHI PENUMADULA</t>
  </si>
  <si>
    <t xml:space="preserve">(Y9533280)  </t>
  </si>
  <si>
    <t>F.NO. 301,CHALASANI TOWERS,ELECTRICITY COLONY</t>
  </si>
  <si>
    <t>VATLURU,ELURU</t>
  </si>
  <si>
    <t xml:space="preserve">PIN:534007,ANDHRA PRADESH,INDIA </t>
  </si>
  <si>
    <t>PARWAAZ SINGH BAJWA</t>
  </si>
  <si>
    <t>AU2065893373225</t>
  </si>
  <si>
    <t>SHARANJIT KAUR</t>
  </si>
  <si>
    <t xml:space="preserve"> (B9750457)  </t>
  </si>
  <si>
    <t>VILL BAHADUR HUSSAIN KALAN</t>
  </si>
  <si>
    <t>PO MASSANIAN TEH BATALA,GURDASPUR</t>
  </si>
  <si>
    <t>NIRA PATEL</t>
  </si>
  <si>
    <t>AU2065893373825</t>
  </si>
  <si>
    <t>RAVINDRAKUMAR PATEL</t>
  </si>
  <si>
    <t>CHETANABAHEN RAVINDRAKUMAR PATEL</t>
  </si>
  <si>
    <t xml:space="preserve">(N7271189)  </t>
  </si>
  <si>
    <t>24-B,SRIRAMPARK SOCIETY</t>
  </si>
  <si>
    <t xml:space="preserve">PIN:382870,GUJARAT,INDIA </t>
  </si>
  <si>
    <t>USTAT KAUR</t>
  </si>
  <si>
    <t>AU2065893374825</t>
  </si>
  <si>
    <t>SUKHNEET KAUR</t>
  </si>
  <si>
    <t xml:space="preserve"> (V7321374)  </t>
  </si>
  <si>
    <t>VPO RAJDHAN</t>
  </si>
  <si>
    <t>ALISHA PATEL</t>
  </si>
  <si>
    <t>AU2065893375825</t>
  </si>
  <si>
    <t>ROMIN JAYESHBHAI PATEL</t>
  </si>
  <si>
    <t>DHARTI ROMIN PATEL</t>
  </si>
  <si>
    <t xml:space="preserve"> (Y2499522) </t>
  </si>
  <si>
    <t>686 LILO DARWAJO</t>
  </si>
  <si>
    <t>BHAYLI,VADODARA</t>
  </si>
  <si>
    <t xml:space="preserve">PIN:391410,GUJARAT,INDIA </t>
  </si>
  <si>
    <t>HUKAM SINGH</t>
  </si>
  <si>
    <t>AU2065893380425</t>
  </si>
  <si>
    <t>INAYAT KAUR SANDHU</t>
  </si>
  <si>
    <t xml:space="preserve">WONTHAGGI, AUSTRALIA </t>
  </si>
  <si>
    <t>AU2065893381025</t>
  </si>
  <si>
    <t>JATINDER SINGH SANDHU</t>
  </si>
  <si>
    <t>RATTANDEEP KAUR SANDHU</t>
  </si>
  <si>
    <t xml:space="preserve">(R5472832)  </t>
  </si>
  <si>
    <t>H.NO. 1446/3,RAJPURA ROAD</t>
  </si>
  <si>
    <t>CHHOTI HAIBOWAL,LUDHIANA</t>
  </si>
  <si>
    <t xml:space="preserve">PIN:141003,PUNJAB,INDIA </t>
  </si>
  <si>
    <t>VARDAAN PANDEY</t>
  </si>
  <si>
    <t>AU2065893382625</t>
  </si>
  <si>
    <t>VISHNU PANDEY</t>
  </si>
  <si>
    <t>PRIYANKA NAGPAL</t>
  </si>
  <si>
    <t xml:space="preserve">(V8712647) </t>
  </si>
  <si>
    <t>776,ALKAPURI</t>
  </si>
  <si>
    <t>ETAWAH,ETAWAH</t>
  </si>
  <si>
    <t xml:space="preserve">PIN:206001,UTTAR PRADESH,INDIA </t>
  </si>
  <si>
    <t>ZORA BHULLAR</t>
  </si>
  <si>
    <t>AU2065893382825</t>
  </si>
  <si>
    <t>AKASHPREET SINGH</t>
  </si>
  <si>
    <t>ANMOLPREET KAUR</t>
  </si>
  <si>
    <t xml:space="preserve">(U5675933) </t>
  </si>
  <si>
    <t>01 NEAR GURUDWARA,VILL NAWAN PIND</t>
  </si>
  <si>
    <t>PO BAL BAWA TEH AJNALA,AMRITSAR</t>
  </si>
  <si>
    <t>JORAWAR SINGH VIRK</t>
  </si>
  <si>
    <t>AU2065893383425</t>
  </si>
  <si>
    <t>HARSHDEEP VIRK</t>
  </si>
  <si>
    <t>MANDEEP KAUR VIRK</t>
  </si>
  <si>
    <t xml:space="preserve">(U0867291) </t>
  </si>
  <si>
    <t>VPO MASTGARH</t>
  </si>
  <si>
    <t>TEH DISTT,KAITHAL</t>
  </si>
  <si>
    <t xml:space="preserve">PIN:136027,HARYANA,INDIA </t>
  </si>
  <si>
    <t>AU2065893385425</t>
  </si>
  <si>
    <t xml:space="preserve">(X5379343)  </t>
  </si>
  <si>
    <t>H NO 12 VILL BARAHI PO MADHO TANDA</t>
  </si>
  <si>
    <t>TEH PURANPUR,PILIBHIT</t>
  </si>
  <si>
    <t>VAMIKA MISHRA</t>
  </si>
  <si>
    <t>AU2065893386625</t>
  </si>
  <si>
    <t>SAMEER KUMAR MISHRA</t>
  </si>
  <si>
    <t>BHAGYA SHRI MISHRA</t>
  </si>
  <si>
    <t xml:space="preserve">(U1789685)  </t>
  </si>
  <si>
    <t>C WING 202 ROYAL RAHADAKI APARTMENT</t>
  </si>
  <si>
    <t>RAHATANI,PIMPRI CHINCHWAD</t>
  </si>
  <si>
    <t xml:space="preserve">PIN:411017,MAHARASHTRA,INDIA </t>
  </si>
  <si>
    <t>JAIKAAR SINGH</t>
  </si>
  <si>
    <t>AU2065896236225</t>
  </si>
  <si>
    <t>PREETINDER KAUR GHOTRA</t>
  </si>
  <si>
    <t xml:space="preserve">(S5214945)  </t>
  </si>
  <si>
    <t>17/303 P.A.P LINES,BEANT NAGAR</t>
  </si>
  <si>
    <t xml:space="preserve">PIN:144006,PUNJAB,INDIA </t>
  </si>
  <si>
    <t>HIMMAT SINGH AULAKH</t>
  </si>
  <si>
    <t>AU2065896236825</t>
  </si>
  <si>
    <t>GURSIMRAN KAUR</t>
  </si>
  <si>
    <t xml:space="preserve">(V3745104)  </t>
  </si>
  <si>
    <t>VILL. CHAWINDA KALAN</t>
  </si>
  <si>
    <t xml:space="preserve">PIN:143110,PUNJAB,INDIA </t>
  </si>
  <si>
    <t>VAYU DEV REDDY KATIPALLY</t>
  </si>
  <si>
    <t>AU2065896241825</t>
  </si>
  <si>
    <t>PRASHANTH KATIPALLY</t>
  </si>
  <si>
    <t>POOJITHA PANNALA</t>
  </si>
  <si>
    <t xml:space="preserve">(T6948291) </t>
  </si>
  <si>
    <t>6-137</t>
  </si>
  <si>
    <t>THORLIKONDA,NIZAMABAD</t>
  </si>
  <si>
    <t xml:space="preserve">PIN:503224,TELANGANA,INDIA </t>
  </si>
  <si>
    <t>HARNOOR KAUR SOMAL</t>
  </si>
  <si>
    <t>AU2065896242625</t>
  </si>
  <si>
    <t>MANPREET SINGH SOMAL</t>
  </si>
  <si>
    <t xml:space="preserve">(T2425933)  </t>
  </si>
  <si>
    <t>VILL DAULATPUR PO BABARPUR</t>
  </si>
  <si>
    <t>SHABEG SINGH BUTTAR</t>
  </si>
  <si>
    <t>AU2065894213025</t>
  </si>
  <si>
    <t>MANVIR SINGH BUTTAR</t>
  </si>
  <si>
    <t>SUKHPREET KAUR SIDHU</t>
  </si>
  <si>
    <t xml:space="preserve"> (P8293418) </t>
  </si>
  <si>
    <t>NATHOWAL</t>
  </si>
  <si>
    <t>V.P.O NATHOWAL TEH.RAIKOT,JAGRAON (LUDHIANA)</t>
  </si>
  <si>
    <t xml:space="preserve">PIN:142032,PUNJAB,INDIA </t>
  </si>
  <si>
    <t>SIDAK GILL</t>
  </si>
  <si>
    <t>AU2065894214225</t>
  </si>
  <si>
    <t>NAVPREET SINGH GILL</t>
  </si>
  <si>
    <t xml:space="preserve">(C1071808) </t>
  </si>
  <si>
    <t>GILL NIWAS,AJNALA ROAD</t>
  </si>
  <si>
    <t>FATEHGARH CHURIAN,GURDASPUR</t>
  </si>
  <si>
    <t>MISHIV SUBHAMKUMAR PATEL</t>
  </si>
  <si>
    <t>AU2065894214825</t>
  </si>
  <si>
    <t>SUBHAMKUMAR BHIKHABHAI PATEL</t>
  </si>
  <si>
    <t>RUCHIBEN SUBHAMKUMAR PATEL</t>
  </si>
  <si>
    <t xml:space="preserve">(C6457834) </t>
  </si>
  <si>
    <t>843 AMBALIVALO VAS</t>
  </si>
  <si>
    <t>ITADARA TA MANSA,GANDHINAGAR</t>
  </si>
  <si>
    <t xml:space="preserve">PIN:382845,GUJARAT,INDIA </t>
  </si>
  <si>
    <t>HARVIN SINGH</t>
  </si>
  <si>
    <t>AU2065894215425</t>
  </si>
  <si>
    <t>GURJAPAN SINGH</t>
  </si>
  <si>
    <t>TANISHA</t>
  </si>
  <si>
    <t xml:space="preserve">(S5919493) </t>
  </si>
  <si>
    <t>DASHMESH SOUND,HOUSE135,WARD1,DR SETHI STREET</t>
  </si>
  <si>
    <t>MANDI DABWALI,DABWALI</t>
  </si>
  <si>
    <t>SUBHTEJ KAUR CHAHAL</t>
  </si>
  <si>
    <t>AU2065894216225</t>
  </si>
  <si>
    <t>LAKHVIR SINGH</t>
  </si>
  <si>
    <t>SANDEEP KAUR CHAHAL</t>
  </si>
  <si>
    <t xml:space="preserve"> (T4883082)  </t>
  </si>
  <si>
    <t>VPO. CHANGLI,NEAR DERA</t>
  </si>
  <si>
    <t>TEHSIL DHURI,DIST.,SANGRUR</t>
  </si>
  <si>
    <t xml:space="preserve">PIN:148025,PUNJAB,INDIA </t>
  </si>
  <si>
    <t>JAIVIK SINGH</t>
  </si>
  <si>
    <t>AU2065894216425</t>
  </si>
  <si>
    <t>VIKRAMJIT SINGH</t>
  </si>
  <si>
    <t xml:space="preserve">(R1387263)  </t>
  </si>
  <si>
    <t>VILL. CHHAPA RAM SINGH</t>
  </si>
  <si>
    <t>PO. FATEHPUR RAJPUTAN,AMRITSAR</t>
  </si>
  <si>
    <t xml:space="preserve">PIN:143113,PUNJAB,INDIA </t>
  </si>
  <si>
    <t>JAINAM JAIMINKUMAR PATEL</t>
  </si>
  <si>
    <t>AU2065897813425</t>
  </si>
  <si>
    <t>JAIMINKUMAR PRAVINBHAI PATEL</t>
  </si>
  <si>
    <t>AMITABEN JAIMINKUMAR PATEL</t>
  </si>
  <si>
    <t xml:space="preserve">(R5468302) </t>
  </si>
  <si>
    <t>16-DHANANJAY PARK</t>
  </si>
  <si>
    <t>DEESA HIGHWAY,PALANPUR,BANASKANTHA</t>
  </si>
  <si>
    <t xml:space="preserve">PIN:385001,GUJARAT,INDIA </t>
  </si>
  <si>
    <t>ARMAN SINGH</t>
  </si>
  <si>
    <t>AU2065898789025</t>
  </si>
  <si>
    <t>GURMEET SINGH</t>
  </si>
  <si>
    <t>HUSANPREET KAUR</t>
  </si>
  <si>
    <t xml:space="preserve">(B8027670) </t>
  </si>
  <si>
    <t>PHERU PATTI</t>
  </si>
  <si>
    <t>BEGOWAL,LUDHIANA</t>
  </si>
  <si>
    <t xml:space="preserve">PIN:141418,PUNJAB,INDIA </t>
  </si>
  <si>
    <t>EKAMDEEP KAUR</t>
  </si>
  <si>
    <t>AU2065898789225</t>
  </si>
  <si>
    <t>HARSHDEEP SINGH</t>
  </si>
  <si>
    <t xml:space="preserve">(X8000362) </t>
  </si>
  <si>
    <t>DEVIGARH ROAD NEAR NANAKSAR GURUDWARA</t>
  </si>
  <si>
    <t>ISHWAR NAGAR SAFERA,PATIALA</t>
  </si>
  <si>
    <t xml:space="preserve">PIN:147001,PUNJAB,INDIA </t>
  </si>
  <si>
    <t>HANVI PATEL</t>
  </si>
  <si>
    <t>AU2065898790025</t>
  </si>
  <si>
    <t>MEET BHARATKUMAR PATEL</t>
  </si>
  <si>
    <t>JILL MEET PATEL</t>
  </si>
  <si>
    <t xml:space="preserve">(S9038356)  </t>
  </si>
  <si>
    <t>C-404 SAUBHAGYA APPARTMENT,SOLA OVER BRIDGE</t>
  </si>
  <si>
    <t>S.G. ROAD,THALTEJ,AHMEDABAD</t>
  </si>
  <si>
    <t xml:space="preserve">PIN:380054,GUJARAT,INDIA </t>
  </si>
  <si>
    <t>BIRNAWAB SINGH CHAHAL</t>
  </si>
  <si>
    <t>AU2065898790825</t>
  </si>
  <si>
    <t>PARDEEP SINGH CHAHAL</t>
  </si>
  <si>
    <t>KAMALJEET KAUR BRAR</t>
  </si>
  <si>
    <t xml:space="preserve"> (N8295306) </t>
  </si>
  <si>
    <t>VPO GHUMAN KALAN</t>
  </si>
  <si>
    <t>TEHSIL-MAUR MANDI,BATHINDA</t>
  </si>
  <si>
    <t xml:space="preserve">PIN:151509,PUNJAB,INDIA </t>
  </si>
  <si>
    <t>GURBAAZ SINGH BHATIA</t>
  </si>
  <si>
    <t>AU2065898791425</t>
  </si>
  <si>
    <t>RAHUL BHATIA</t>
  </si>
  <si>
    <t>RAJWANT KAUR</t>
  </si>
  <si>
    <t xml:space="preserve"> (X4872712)  </t>
  </si>
  <si>
    <t>VPO . LALWAN</t>
  </si>
  <si>
    <t xml:space="preserve">PIN:144530,PUNJAB,INDIA </t>
  </si>
  <si>
    <t>AU2065898792825</t>
  </si>
  <si>
    <t>ABHIJIT SINGH</t>
  </si>
  <si>
    <t xml:space="preserve">(U4454425) </t>
  </si>
  <si>
    <t>VILL BHOJ RAJ,PO DHARIWAL TEH &amp; DISTT</t>
  </si>
  <si>
    <t xml:space="preserve">PIN:143519,PUNJAB,INDIA </t>
  </si>
  <si>
    <t>ANIKA HANDA</t>
  </si>
  <si>
    <t>AU2065898793625</t>
  </si>
  <si>
    <t>ANKUR HANDA</t>
  </si>
  <si>
    <t>KASHISH HANDA</t>
  </si>
  <si>
    <t xml:space="preserve">(X7609185) </t>
  </si>
  <si>
    <t>82-C</t>
  </si>
  <si>
    <t>VIJAY NAGAR,JAGRAON (LUDHIANA)</t>
  </si>
  <si>
    <t>NAWAB SINGH VIRK</t>
  </si>
  <si>
    <t>AU2065898794225</t>
  </si>
  <si>
    <t>SATINDERJEET SINGH</t>
  </si>
  <si>
    <t>HARJEET KAUR</t>
  </si>
  <si>
    <t xml:space="preserve"> (N8060530) </t>
  </si>
  <si>
    <t>VILL RAMPURA</t>
  </si>
  <si>
    <t>PO JHITA KALAN,AMRITSAR</t>
  </si>
  <si>
    <t xml:space="preserve">PIN:143413,PUNJAB,INDIA </t>
  </si>
  <si>
    <t>VAANYA SINGH</t>
  </si>
  <si>
    <t>AU2065898794425</t>
  </si>
  <si>
    <t>RAJINDER SINGH</t>
  </si>
  <si>
    <t>CHANCHAL KUMARI</t>
  </si>
  <si>
    <t xml:space="preserve"> (R3621826) </t>
  </si>
  <si>
    <t>303,SANDHYACHANDRA SANKUL APPT. HARIOM NAGAR</t>
  </si>
  <si>
    <t>NASHIK ROAD,NASHIK</t>
  </si>
  <si>
    <t xml:space="preserve">PIN:422101,MAHARASHTRA,INDIA </t>
  </si>
  <si>
    <t>INAYA FATIMA</t>
  </si>
  <si>
    <t>AU2065898795225</t>
  </si>
  <si>
    <t>MOHAMMED ZUBAIR KHAN</t>
  </si>
  <si>
    <t>HAFSA HUSSAIN SYEDA</t>
  </si>
  <si>
    <t xml:space="preserve">(R5271007)  </t>
  </si>
  <si>
    <t>H NO.20-4-20/9/C,PUNCH MOHALLA.</t>
  </si>
  <si>
    <t>KHILWATH,HYDERABAD</t>
  </si>
  <si>
    <t>ANHAD KAUR MAAN</t>
  </si>
  <si>
    <t>AU206589879582</t>
  </si>
  <si>
    <t>AZADWINDER SINGH MAAN</t>
  </si>
  <si>
    <t>GURINDER KAUR</t>
  </si>
  <si>
    <t xml:space="preserve">(U5674805) </t>
  </si>
  <si>
    <t>ARAYAN WALA KALAN,FARIDKOT</t>
  </si>
  <si>
    <t>BALIHAR SINGH DHILLON</t>
  </si>
  <si>
    <t>AU2065897802625</t>
  </si>
  <si>
    <t>GAJENDER SINGH</t>
  </si>
  <si>
    <t>LOVEDEEP KAUR</t>
  </si>
  <si>
    <t xml:space="preserve">(V7005789)  </t>
  </si>
  <si>
    <t>WARD NO.1,TALAB PADA</t>
  </si>
  <si>
    <t>SULTANPUR,KOTA</t>
  </si>
  <si>
    <t xml:space="preserve">PIN:325204,RAJASTHAN,INDIA </t>
  </si>
  <si>
    <t>JIND KAUR DHALIWAL</t>
  </si>
  <si>
    <t>AU2065897803225</t>
  </si>
  <si>
    <t>JOBANBIR SINGH</t>
  </si>
  <si>
    <t>KARAMBIR KAUR</t>
  </si>
  <si>
    <t xml:space="preserve">(Y4888592) </t>
  </si>
  <si>
    <t>VPO MACHRAI</t>
  </si>
  <si>
    <t>SRI HARGOBINDPUR,GURDASPUR</t>
  </si>
  <si>
    <t xml:space="preserve">PIN:143515,PUNJAB,INDIA </t>
  </si>
  <si>
    <t>YUVAN SINGH</t>
  </si>
  <si>
    <t>AU2065897804025</t>
  </si>
  <si>
    <t>SATINDER SINGH</t>
  </si>
  <si>
    <t>RASHIKA SHARMA</t>
  </si>
  <si>
    <t xml:space="preserve"> (I0434962) </t>
  </si>
  <si>
    <t>H.NO. 154,SECTOR -2A,SHAM NAGAR</t>
  </si>
  <si>
    <t>GURSANJH SINGH BRAR</t>
  </si>
  <si>
    <t>AU2065897804225</t>
  </si>
  <si>
    <t>NAHAR SINGH</t>
  </si>
  <si>
    <t xml:space="preserve">(R5397341)  </t>
  </si>
  <si>
    <t>VPO. BHALOOR PATTI VAZIR</t>
  </si>
  <si>
    <t>BAGHA PURANA,MOGA</t>
  </si>
  <si>
    <t>RUAN GRAK</t>
  </si>
  <si>
    <t>AU2065897805425</t>
  </si>
  <si>
    <t>ANKIT KUMAR</t>
  </si>
  <si>
    <t>NANCI CHAUDHARY</t>
  </si>
  <si>
    <t xml:space="preserve"> (P4855696)  </t>
  </si>
  <si>
    <t>H. NO. 130</t>
  </si>
  <si>
    <t>VILL. KHANODA,PO TEEK,KAITHAL</t>
  </si>
  <si>
    <t>NADAR KAUR SANDHU</t>
  </si>
  <si>
    <t>AU2065897807225</t>
  </si>
  <si>
    <t>GURJANT SINGH</t>
  </si>
  <si>
    <t>KARAMJEET KAUR</t>
  </si>
  <si>
    <t xml:space="preserve"> (T9691226) </t>
  </si>
  <si>
    <t>VPO. VALTOHA</t>
  </si>
  <si>
    <t xml:space="preserve">PIN:143412,PUNJAB,INDIA </t>
  </si>
  <si>
    <t>NOVA JOHNCY</t>
  </si>
  <si>
    <t>AU2065897808225</t>
  </si>
  <si>
    <t>JOHNCY MOHAN JACOB</t>
  </si>
  <si>
    <t>LINNETTE CHACKO</t>
  </si>
  <si>
    <t xml:space="preserve"> (U0249351)  </t>
  </si>
  <si>
    <t>PUTHEN VEETTIL JOY VILLA</t>
  </si>
  <si>
    <t>NAVODAYA,KAKKANADU,ERNAKULAM</t>
  </si>
  <si>
    <t xml:space="preserve">PIN:682036,KERALA,INDIA </t>
  </si>
  <si>
    <t>AKAAL SINGH SANDHU</t>
  </si>
  <si>
    <t>AU2065900901825</t>
  </si>
  <si>
    <t>ARVINDER SINGH SANDHU</t>
  </si>
  <si>
    <t>JAGDEEP KAUR</t>
  </si>
  <si>
    <t xml:space="preserve">(C9789985)  </t>
  </si>
  <si>
    <t>KULARA FARM</t>
  </si>
  <si>
    <t>PO. HARDASPUR,PILIBHIT</t>
  </si>
  <si>
    <t xml:space="preserve">PIN:262302,UTTAR PRADESH,INDIA </t>
  </si>
  <si>
    <t>HUNAR KAUR SPALL</t>
  </si>
  <si>
    <t>AU2065900903025</t>
  </si>
  <si>
    <t>KAMALJEET KAUR</t>
  </si>
  <si>
    <t xml:space="preserve"> (X4315156) </t>
  </si>
  <si>
    <t>1 CANTT ROAD,HIRA BAGH COLONY,NEAR GRID CHOWK</t>
  </si>
  <si>
    <t xml:space="preserve">PIN:147201,PUNJAB,INDIA </t>
  </si>
  <si>
    <t>GUNVEER SINGH AHLUWALIA</t>
  </si>
  <si>
    <t>AU2065900903225</t>
  </si>
  <si>
    <t xml:space="preserve">(C2146697) </t>
  </si>
  <si>
    <t>VPO GANDHOWAL</t>
  </si>
  <si>
    <t>TEH. GARHSHANKAR,HOSHIARPUR</t>
  </si>
  <si>
    <t xml:space="preserve">PIN:146109,PUNJAB,INDIA </t>
  </si>
  <si>
    <t>AU2065900903825</t>
  </si>
  <si>
    <t>PRABHDEEP SINGH</t>
  </si>
  <si>
    <t>NAVJOT KAUR</t>
  </si>
  <si>
    <t xml:space="preserve"> (W7044405) </t>
  </si>
  <si>
    <t>VILL-MAHOLI KHURD,PO-MAHOLI KALAN</t>
  </si>
  <si>
    <t>TEHSIL-MALERKOTLA,MALERKOTLA</t>
  </si>
  <si>
    <t xml:space="preserve">PIN:148021,PUNJAB,INDIA </t>
  </si>
  <si>
    <t>AMANAT KAUR SIDHU</t>
  </si>
  <si>
    <t>AU2065900904425</t>
  </si>
  <si>
    <t>NAPINDER JIT SINGH SIDHU</t>
  </si>
  <si>
    <t>HARPREET KAUR SIDHU</t>
  </si>
  <si>
    <t xml:space="preserve">(X4325776) </t>
  </si>
  <si>
    <t>BATHAN</t>
  </si>
  <si>
    <t>VPO BATHAN,MALERKOTLA</t>
  </si>
  <si>
    <t>ISHRITHI CHERUKURI</t>
  </si>
  <si>
    <t>AU2065900931225</t>
  </si>
  <si>
    <t>KRISHNA CHAITANYA CHERUKURI</t>
  </si>
  <si>
    <t>KEERTHI PRIYA PATIBANDLA</t>
  </si>
  <si>
    <t xml:space="preserve">(P2382705)  </t>
  </si>
  <si>
    <t>1-101 NEAR PANCHAYA OFFICE</t>
  </si>
  <si>
    <t>JAGANNADHAPURAM,WEST GODAVARI</t>
  </si>
  <si>
    <t xml:space="preserve">PIN:534145,ANDHRA PRADESH,INDIA </t>
  </si>
  <si>
    <t>GURSIFAT KAUR</t>
  </si>
  <si>
    <t>AU2065900937425</t>
  </si>
  <si>
    <t>RANJEET KAUR</t>
  </si>
  <si>
    <t xml:space="preserve"> (B8019688) </t>
  </si>
  <si>
    <t>WARD NO. 3</t>
  </si>
  <si>
    <t>PUBOWAL,UNA</t>
  </si>
  <si>
    <t xml:space="preserve">PIN:174503,HIMACHAL PRADESH,INDIA </t>
  </si>
  <si>
    <t>AVERY PATHAK</t>
  </si>
  <si>
    <t>AU2065900938425</t>
  </si>
  <si>
    <t>GOURAV PATHAK</t>
  </si>
  <si>
    <t>NEENA DEVI</t>
  </si>
  <si>
    <t xml:space="preserve"> (P4640818)  </t>
  </si>
  <si>
    <t>HOUSE NO-163,WARD NO-15</t>
  </si>
  <si>
    <t xml:space="preserve">PIN:148028,PUNJAB,INDIA </t>
  </si>
  <si>
    <t>AU2065900939225</t>
  </si>
  <si>
    <t>AJWINDER SINGH</t>
  </si>
  <si>
    <t xml:space="preserve"> (P0887756) </t>
  </si>
  <si>
    <t>VPO.WADALA JOHAL (SHAMBALA)</t>
  </si>
  <si>
    <t>DISTT,AMRITSAR</t>
  </si>
  <si>
    <t xml:space="preserve">PIN:143114,PUNJAB,INDIA </t>
  </si>
  <si>
    <t>RUDHIR RAMENANI</t>
  </si>
  <si>
    <t>AU2065901996825</t>
  </si>
  <si>
    <t>HARSHA VARDHAN RAMENANI</t>
  </si>
  <si>
    <t>MADHURI CHANUMOLU</t>
  </si>
  <si>
    <t xml:space="preserve">(C2142461) </t>
  </si>
  <si>
    <t>15-3-190</t>
  </si>
  <si>
    <t>PALLEGUNTHA,PALNADU</t>
  </si>
  <si>
    <t xml:space="preserve">PIN:522415,ANDHRA PRADESH,INDIA </t>
  </si>
  <si>
    <t>MARYAM AHMED</t>
  </si>
  <si>
    <t>AU2065901997825</t>
  </si>
  <si>
    <t>FARHAN AHMED</t>
  </si>
  <si>
    <t>RESHMA SHIREEN</t>
  </si>
  <si>
    <t xml:space="preserve">(C7351359) </t>
  </si>
  <si>
    <t>11-4-490 AND 491 BAZAR GUARD</t>
  </si>
  <si>
    <t>REDHILLS,KHAIRATABAD,HYDERABAD</t>
  </si>
  <si>
    <t xml:space="preserve">PIN:500004,TELANGANA,INDIA </t>
  </si>
  <si>
    <t>HANIN FATIMA PALIZA</t>
  </si>
  <si>
    <t xml:space="preserve">AUBURN, AUSTRALIA </t>
  </si>
  <si>
    <t>AU2065901998625</t>
  </si>
  <si>
    <t>IMARANBHAI VAHIDBHAI PALIZA</t>
  </si>
  <si>
    <t>SUFIYABANU MAHAMMADFARUK PATHAN</t>
  </si>
  <si>
    <t xml:space="preserve">(R1289974) </t>
  </si>
  <si>
    <t>NEAR WATER TANK,TALEPURA(GOLA)</t>
  </si>
  <si>
    <t xml:space="preserve">PIN:385410,GUJARAT,INDIA </t>
  </si>
  <si>
    <t>ANANTVIR SINGH SIDHU</t>
  </si>
  <si>
    <t>AU2065901999825</t>
  </si>
  <si>
    <t>JASPINDER SINGH SIDHU</t>
  </si>
  <si>
    <t>LOVELEEN KAUR</t>
  </si>
  <si>
    <t xml:space="preserve">(T1630126)  </t>
  </si>
  <si>
    <t>VILL- BANGI RULDU</t>
  </si>
  <si>
    <t>TEH- TALWANDI SABO,BATHINDA</t>
  </si>
  <si>
    <t xml:space="preserve">PIN:151301,PUNJAB,INDIA </t>
  </si>
  <si>
    <t>LIVANSH ATWAL</t>
  </si>
  <si>
    <t>AU2065902000625</t>
  </si>
  <si>
    <t>CHETAN ATWAL</t>
  </si>
  <si>
    <t xml:space="preserve">(R5208527)  </t>
  </si>
  <si>
    <t>HOUSE NO. 22 VALMIKI MOHALLA</t>
  </si>
  <si>
    <t>BANGA,SBS NAGAR</t>
  </si>
  <si>
    <t xml:space="preserve">PIN:144505,PUNJAB,INDIA </t>
  </si>
  <si>
    <t>RAMYA MOR</t>
  </si>
  <si>
    <t>AU2065900944025</t>
  </si>
  <si>
    <t>ASHISH</t>
  </si>
  <si>
    <t xml:space="preserve">(C1255272) </t>
  </si>
  <si>
    <t>VPO. CHHATTAR</t>
  </si>
  <si>
    <t>TEH. NARWANA,JIND</t>
  </si>
  <si>
    <t xml:space="preserve">PIN:126115,HARYANA,INDIA </t>
  </si>
  <si>
    <t>PRANVAT SINGH SOHI</t>
  </si>
  <si>
    <t>AU2065900951825</t>
  </si>
  <si>
    <t>JAGWINDER SINGH SOHI</t>
  </si>
  <si>
    <t xml:space="preserve">(X4319009) </t>
  </si>
  <si>
    <t>VILL CHEEMA PO MEEMSA</t>
  </si>
  <si>
    <t>BAANI KAUR AHLUWALIA</t>
  </si>
  <si>
    <t>AU2065900953025</t>
  </si>
  <si>
    <t>MANJINDER KAUR</t>
  </si>
  <si>
    <t xml:space="preserve">(Y2092249)  </t>
  </si>
  <si>
    <t>VILL BARA PO BHATOYA</t>
  </si>
  <si>
    <t>TEH AND DISTT,GURDASPUR</t>
  </si>
  <si>
    <t xml:space="preserve">PIN:143531,PUNJAB,INDIA </t>
  </si>
  <si>
    <t>EVAARAH KANADE</t>
  </si>
  <si>
    <t>AU2065900956025</t>
  </si>
  <si>
    <t>BRIAN ROHAN KANADE</t>
  </si>
  <si>
    <t>SUKAINA BRIAN ROHAN KANADE</t>
  </si>
  <si>
    <t xml:space="preserve"> (U0021083)  </t>
  </si>
  <si>
    <t>703,ASHLEY TOWERS,NEXT TO PVR CINEMAS,KANAKIA</t>
  </si>
  <si>
    <t>THANE,THANE</t>
  </si>
  <si>
    <t>PARVAN SINGH</t>
  </si>
  <si>
    <t>AU2065900957225</t>
  </si>
  <si>
    <t>AMARPREET SINGH</t>
  </si>
  <si>
    <t>ARVINDER KAUR</t>
  </si>
  <si>
    <t xml:space="preserve">(W3152083) </t>
  </si>
  <si>
    <t>VPO BEAS TEHSIL BABA BAKALA,AMRITSAR</t>
  </si>
  <si>
    <t>BEAS,AMRITSAR</t>
  </si>
  <si>
    <t xml:space="preserve">PIN:143201,PUNJAB,INDIA </t>
  </si>
  <si>
    <t>PENAK SADHRA</t>
  </si>
  <si>
    <t>AU2065900959225</t>
  </si>
  <si>
    <t>NEERAJ SADHRA</t>
  </si>
  <si>
    <t>LEENA SADHRA</t>
  </si>
  <si>
    <t xml:space="preserve">(C4996134)  </t>
  </si>
  <si>
    <t>H. NO. B 14/174 LAROYIAN MOHALLA</t>
  </si>
  <si>
    <t>SBS NAGAR,SBS NAGAR</t>
  </si>
  <si>
    <t xml:space="preserve">PIN:144514,PUNJAB,INDIA </t>
  </si>
  <si>
    <t>SEHAJ SINGH</t>
  </si>
  <si>
    <t>AU2065900962625</t>
  </si>
  <si>
    <t>KULVIR KAUR</t>
  </si>
  <si>
    <t xml:space="preserve"> (V2647386) </t>
  </si>
  <si>
    <t>DARIA PATTI</t>
  </si>
  <si>
    <t>VPO. LADDA,SANGRUR</t>
  </si>
  <si>
    <t xml:space="preserve">PIN:148034,PUNJAB,INDIA </t>
  </si>
  <si>
    <t>HARI RUDRA RAO SURABHI</t>
  </si>
  <si>
    <t>AU2065900964225</t>
  </si>
  <si>
    <t>RAKESH SURABHI</t>
  </si>
  <si>
    <t>HASRITHA VALA</t>
  </si>
  <si>
    <t xml:space="preserve">(W3863797) </t>
  </si>
  <si>
    <t>HNO:1-97/2/2/A/1,ROADNO:2/A.DWARAKA NAGAR</t>
  </si>
  <si>
    <t>REKURTHI,KARIMNAGAR</t>
  </si>
  <si>
    <t xml:space="preserve">PIN:505451,TELANGANA,INDIA </t>
  </si>
  <si>
    <t>REHMAT KAUR GARCHA</t>
  </si>
  <si>
    <t>AU2065900964825</t>
  </si>
  <si>
    <t>TARNJIT SINGH</t>
  </si>
  <si>
    <t xml:space="preserve">(C7355001)  </t>
  </si>
  <si>
    <t>VPO- LAKHANPUR,PO- UCHA JATANA</t>
  </si>
  <si>
    <t>TEH.- KHAMANO MANDI,FATEHGARH SAHIB</t>
  </si>
  <si>
    <t>MUHAMMAD ATIKURRAHEMAN DADU</t>
  </si>
  <si>
    <t xml:space="preserve">UPPER FERNTREE GULLY, AUSTRALIA </t>
  </si>
  <si>
    <t>AU2065900970625</t>
  </si>
  <si>
    <t>ATIKURRAHEMAN MAHAMMEDSADIK DADU</t>
  </si>
  <si>
    <t>RUKHSAR ATIKURRAHEMAN DADU</t>
  </si>
  <si>
    <t xml:space="preserve"> (U4259955)  </t>
  </si>
  <si>
    <t>47 TRANSPORT NAGAR COLLEGE ROAD</t>
  </si>
  <si>
    <t>MODASA,ARVALLI</t>
  </si>
  <si>
    <t xml:space="preserve">PIN:383315,GUJARAT,INDIA </t>
  </si>
  <si>
    <t>MEHRAAB KAUR TOOR</t>
  </si>
  <si>
    <t>AU2065905200825</t>
  </si>
  <si>
    <t>JASVIR SINGH</t>
  </si>
  <si>
    <t>GURSIMRAT KHAIRA</t>
  </si>
  <si>
    <t xml:space="preserve"> (X8035413) </t>
  </si>
  <si>
    <t>VILLAGE RAMPURA</t>
  </si>
  <si>
    <t>TEH BHAWANIGARH,SANGRUR</t>
  </si>
  <si>
    <t>YAHYA SYED</t>
  </si>
  <si>
    <t>AU2065903950025</t>
  </si>
  <si>
    <t>SYED REHAN AHMED</t>
  </si>
  <si>
    <t>ARJUMAN BEGUM</t>
  </si>
  <si>
    <t xml:space="preserve"> (R5289838)  </t>
  </si>
  <si>
    <t>16-2-841/A AMEEN COLONY</t>
  </si>
  <si>
    <t>SAYEEDABAD,HYDERABAD,HYDERABAD</t>
  </si>
  <si>
    <t xml:space="preserve">PIN:500059,TELANGANA,INDIA </t>
  </si>
  <si>
    <t>AJUNI KAUR HANJRA</t>
  </si>
  <si>
    <t>AU2065903951425</t>
  </si>
  <si>
    <t>SIMRANPAL SINGH</t>
  </si>
  <si>
    <t>BALJINDER KAUR</t>
  </si>
  <si>
    <t xml:space="preserve">(N4764581) </t>
  </si>
  <si>
    <t>MOHALLA KAMAL COLONY</t>
  </si>
  <si>
    <t>TEH SITARGANJ,UDHAM SINGH NAGAR</t>
  </si>
  <si>
    <t xml:space="preserve">PIN:262311,UTTARAKHAND,INDIA </t>
  </si>
  <si>
    <t>TEGHVEER SINGH SOHI</t>
  </si>
  <si>
    <t>AU2065903952425</t>
  </si>
  <si>
    <t>GURMUKH SINGH SOHI</t>
  </si>
  <si>
    <t>HANDEEP KAUR</t>
  </si>
  <si>
    <t xml:space="preserve">(Y6934429) </t>
  </si>
  <si>
    <t>GALI NO 1 GURU TEG BHADAR COLONY</t>
  </si>
  <si>
    <t>OUTSIDE NABHA GATE,SANGRUR</t>
  </si>
  <si>
    <t xml:space="preserve">PIN:148001,PUNJAB,INDIA </t>
  </si>
  <si>
    <t>MANJAAP KAUR BRAR</t>
  </si>
  <si>
    <t>AU2065903954425</t>
  </si>
  <si>
    <t>GURPREET SINGH BRAR</t>
  </si>
  <si>
    <t>JASKEERT KAUR</t>
  </si>
  <si>
    <t xml:space="preserve">(T7374895) </t>
  </si>
  <si>
    <t>VILL SANGRAHOOR</t>
  </si>
  <si>
    <t>DISTT,FARIDKOT</t>
  </si>
  <si>
    <t xml:space="preserve">PIN:151212,PUNJAB,INDIA </t>
  </si>
  <si>
    <t>ARYAM SINGLA</t>
  </si>
  <si>
    <t>AU2065903956825</t>
  </si>
  <si>
    <t>RAM SINGLA</t>
  </si>
  <si>
    <t>ALISHA RANA</t>
  </si>
  <si>
    <t xml:space="preserve">(P6005445)  </t>
  </si>
  <si>
    <t>VPO BEHDALA</t>
  </si>
  <si>
    <t>TEH AND DISTT,UNA</t>
  </si>
  <si>
    <t xml:space="preserve">PIN:174306,HIMACHAL PRADESH,INDIA </t>
  </si>
  <si>
    <t>ANGAD SINGH</t>
  </si>
  <si>
    <t>AU2065903958625</t>
  </si>
  <si>
    <t>KUNWAR JASKARAN SINGH</t>
  </si>
  <si>
    <t>FAALUAINA FEPULEAI</t>
  </si>
  <si>
    <t xml:space="preserve">(T9229386) </t>
  </si>
  <si>
    <t>H NO-74. LAJPAT NAGAR</t>
  </si>
  <si>
    <t>OPP BUS STAND,LUDHIANA</t>
  </si>
  <si>
    <t>BAANI KAUR HANJRA</t>
  </si>
  <si>
    <t>AU2065903959825</t>
  </si>
  <si>
    <t xml:space="preserve">(N4764581)  </t>
  </si>
  <si>
    <t>VEDA BHARDWAJ</t>
  </si>
  <si>
    <t>AU2065903893225</t>
  </si>
  <si>
    <t>PRATEEK</t>
  </si>
  <si>
    <t>POOJA CHAUDHRY</t>
  </si>
  <si>
    <t xml:space="preserve"> (N9147340)  </t>
  </si>
  <si>
    <t>324 JANAKPURI COLONY,JIND ROAD BYE PASS</t>
  </si>
  <si>
    <t>KAITHAL,KAITHAL</t>
  </si>
  <si>
    <t>SUKOON KAUR</t>
  </si>
  <si>
    <t>AU2065903894825</t>
  </si>
  <si>
    <t xml:space="preserve">(V4144902) </t>
  </si>
  <si>
    <t>333 WARD NO 14 SAFIDON ROAD ASSANDH</t>
  </si>
  <si>
    <t>JAP SINGH</t>
  </si>
  <si>
    <t>AU2065903895425</t>
  </si>
  <si>
    <t xml:space="preserve">(V0904349) </t>
  </si>
  <si>
    <t>VILL SHAMSHERPUR</t>
  </si>
  <si>
    <t>ARYA CHAUDHARI</t>
  </si>
  <si>
    <t>AU2065903896825</t>
  </si>
  <si>
    <t>GAURANG DAHYABHAI CHAUDHARI</t>
  </si>
  <si>
    <t>JIGNASABEN GAURANGKUMAR CHAUDHARI</t>
  </si>
  <si>
    <t xml:space="preserve"> (V9559988) </t>
  </si>
  <si>
    <t>AT AND POST PAMOL PARAMA</t>
  </si>
  <si>
    <t>TAL VIJAPUR,MEHSANA</t>
  </si>
  <si>
    <t>EVA PATEL</t>
  </si>
  <si>
    <t>AU2065905222025</t>
  </si>
  <si>
    <t>JATIN PATEL</t>
  </si>
  <si>
    <t>SWETABEN RAJESHKUMAR SHARMA</t>
  </si>
  <si>
    <t xml:space="preserve">(C7181586) </t>
  </si>
  <si>
    <t>A-66 VAIKUNTHVIHAR SOC.,NR. RAMYAKUNJ</t>
  </si>
  <si>
    <t>NARODA,AHMEDABAD</t>
  </si>
  <si>
    <t xml:space="preserve">PIN:382330,GUJARAT,INDIA </t>
  </si>
  <si>
    <t>DAIVIK ANUMARI</t>
  </si>
  <si>
    <t>AU2065905222425</t>
  </si>
  <si>
    <t>SAI KRISHNA ANUMARI</t>
  </si>
  <si>
    <t>SAIKEERTHANA BELIDE</t>
  </si>
  <si>
    <t xml:space="preserve">(N7098319) </t>
  </si>
  <si>
    <t>H.NO. 3-40,GUNJ ROAD</t>
  </si>
  <si>
    <t>SHANKARPALLY,RANGAREDDY</t>
  </si>
  <si>
    <t xml:space="preserve">PIN:501203,TELANGANA,INDIA </t>
  </si>
  <si>
    <t>OJASVI RUTHVIKA SRI GAVINI</t>
  </si>
  <si>
    <t>AU2065905223025</t>
  </si>
  <si>
    <t>BHARGAV GAVINI</t>
  </si>
  <si>
    <t>PRASANNA LAKSHMI KONANKI</t>
  </si>
  <si>
    <t xml:space="preserve"> (W1089057) </t>
  </si>
  <si>
    <t>DNO: 10-60,NEAR GANDHI STATUE</t>
  </si>
  <si>
    <t>VEJENDLA,GUNTUR</t>
  </si>
  <si>
    <t xml:space="preserve">PIN:522213,ANDHRA PRADESH,INDIA </t>
  </si>
  <si>
    <t>DEVAANSH DURGESH SAMARIYA</t>
  </si>
  <si>
    <t>AU2065909004225</t>
  </si>
  <si>
    <t>DURGESH OMPRAKASH SAMARIYA</t>
  </si>
  <si>
    <t>KHUSHBOO DURGESH SAMARIYA</t>
  </si>
  <si>
    <t xml:space="preserve"> (U4244165)  </t>
  </si>
  <si>
    <t>66/67 HARI NAGAR SOCIETY</t>
  </si>
  <si>
    <t xml:space="preserve">PIN:387002,GUJARAT,INDIA </t>
  </si>
  <si>
    <t>AYAAN HADA</t>
  </si>
  <si>
    <t>AU2065909004425</t>
  </si>
  <si>
    <t>PUSHPENDRA SINGH HADA</t>
  </si>
  <si>
    <t>PAYAL CHADDA</t>
  </si>
  <si>
    <t xml:space="preserve">(U7790638) </t>
  </si>
  <si>
    <t>H.NO. 139,TAKKI MOHALLA</t>
  </si>
  <si>
    <t>COMMITTEE BAZAR,HOSHIARPUR</t>
  </si>
  <si>
    <t>ARTHUR SEBASTAIN ALLEN</t>
  </si>
  <si>
    <t xml:space="preserve">BAIRNSDALE, AUSTRALIA  </t>
  </si>
  <si>
    <t>AU2065909004825</t>
  </si>
  <si>
    <t>ALLEN LIPSON</t>
  </si>
  <si>
    <t>MAREENA RAJU</t>
  </si>
  <si>
    <t xml:space="preserve">(X4331331) </t>
  </si>
  <si>
    <t>PUTHENPARAMPIL HOUSE,MADAPPALLY</t>
  </si>
  <si>
    <t>P.O,CHANGANACHERRY,KOTTAYAM</t>
  </si>
  <si>
    <t xml:space="preserve">PIN:686546,KERALA,INDIA </t>
  </si>
  <si>
    <t>SAANJH KAUR</t>
  </si>
  <si>
    <t>AU2065909005025</t>
  </si>
  <si>
    <t>AKASHPREET KAUR</t>
  </si>
  <si>
    <t xml:space="preserve">(V8376353)  </t>
  </si>
  <si>
    <t>VPO. FATEHABAD</t>
  </si>
  <si>
    <t>TEH. KHADUR SAHIB,TARN TARAN</t>
  </si>
  <si>
    <t>PRITHVI PANJETA</t>
  </si>
  <si>
    <t>AU2065909005225</t>
  </si>
  <si>
    <t>VISHAL PANJETA</t>
  </si>
  <si>
    <t>NEELAM DEVI</t>
  </si>
  <si>
    <t xml:space="preserve">(P4310862) </t>
  </si>
  <si>
    <t>VILLAGE JAINPUR JATTAN</t>
  </si>
  <si>
    <t>TEH. THANSAR,KURUKSHETRA</t>
  </si>
  <si>
    <t>KAVNOOR KAUR DHALIWAL</t>
  </si>
  <si>
    <t>AU2065909005425</t>
  </si>
  <si>
    <t>RACHHPAL KAUR</t>
  </si>
  <si>
    <t xml:space="preserve">(N7855039)  </t>
  </si>
  <si>
    <t>VPO. TIBBA</t>
  </si>
  <si>
    <t>GURBANI KAUR DHALIWAL</t>
  </si>
  <si>
    <t>AU2065909005625</t>
  </si>
  <si>
    <t>SUKHMANDER SINGH</t>
  </si>
  <si>
    <t>JASWINDER KAUR BRAR</t>
  </si>
  <si>
    <t xml:space="preserve"> (I0652822) </t>
  </si>
  <si>
    <t>VPO-KISHANGARH</t>
  </si>
  <si>
    <t xml:space="preserve">PIN:142045,PUNJAB,INDIA </t>
  </si>
  <si>
    <t>JASRAJ SINGH NAGRA</t>
  </si>
  <si>
    <t>AU2065909006225</t>
  </si>
  <si>
    <t xml:space="preserve"> (C2416734) </t>
  </si>
  <si>
    <t>ATHWAL,GURDASPUR</t>
  </si>
  <si>
    <t xml:space="preserve">PIN:143511,PUNJAB,INDIA </t>
  </si>
  <si>
    <t>MEDHASWI RACHARLA</t>
  </si>
  <si>
    <t>AU2065909006425</t>
  </si>
  <si>
    <t>DINESH RACHARLA</t>
  </si>
  <si>
    <t>RAMYA SRI POTHANA</t>
  </si>
  <si>
    <t xml:space="preserve"> (V9561983)  </t>
  </si>
  <si>
    <t>2-123,RAYAPARTHY</t>
  </si>
  <si>
    <t>PARKAL,HANUMAKONDA</t>
  </si>
  <si>
    <t xml:space="preserve">PIN:506164,TELANGANA,INDIA </t>
  </si>
  <si>
    <t>HARGUN KAUR</t>
  </si>
  <si>
    <t>AU2065909006625</t>
  </si>
  <si>
    <t>DILBAGH SINGH</t>
  </si>
  <si>
    <t>DILPREET MANGAT</t>
  </si>
  <si>
    <t xml:space="preserve"> (R7095356) </t>
  </si>
  <si>
    <t>VILLAGE MALOUDH RORIAN</t>
  </si>
  <si>
    <t>TEHSIL PAYAL,KHANNA (LUDHIANA)</t>
  </si>
  <si>
    <t>JAPJI KAUR BAJWA</t>
  </si>
  <si>
    <t>AU2065910356225</t>
  </si>
  <si>
    <t>HARPINDER SINGH</t>
  </si>
  <si>
    <t xml:space="preserve"> (Y3128220)  </t>
  </si>
  <si>
    <t>VILL ABHAYPUR MADHOPUR POST GHUNCHAI</t>
  </si>
  <si>
    <t>TEHSIL PURANPUR,PILIBHIT</t>
  </si>
  <si>
    <t>SAADGI KAUR TIWANA</t>
  </si>
  <si>
    <t>AU2065903955425</t>
  </si>
  <si>
    <t>DYAL SINGH TIWANA</t>
  </si>
  <si>
    <t>MANJOT KAUR</t>
  </si>
  <si>
    <t xml:space="preserve">(R3246949) </t>
  </si>
  <si>
    <t>VILL RABBON UCHI</t>
  </si>
  <si>
    <t>ASHRAFUL NAEEM HOSSEN</t>
  </si>
  <si>
    <t>AU2065910371025</t>
  </si>
  <si>
    <t>MOHAMMAD ZAKIR HOSSEN</t>
  </si>
  <si>
    <t>DEEPTHI RAVIRALA</t>
  </si>
  <si>
    <t xml:space="preserve">(U0123160) </t>
  </si>
  <si>
    <t>7-51/29,MAINROAD</t>
  </si>
  <si>
    <t>NAKREKAL,NALGONDA</t>
  </si>
  <si>
    <t xml:space="preserve">PIN:508211,TELANGANA,INDIA </t>
  </si>
  <si>
    <t>RADHYA HARSHKUMAR PRAJAPATI</t>
  </si>
  <si>
    <t>AU2065910371425</t>
  </si>
  <si>
    <t>HARSHKUMAR POPATBHAI PRAJAPATI</t>
  </si>
  <si>
    <t>KRISHA HARSHKUMAR PRAJAPATI</t>
  </si>
  <si>
    <t xml:space="preserve">(V7205419) </t>
  </si>
  <si>
    <t>NAVO PRAJAPATI VAS,VANTA MA,CHARADA</t>
  </si>
  <si>
    <t xml:space="preserve">PIN:382810,GUJARAT,INDIA </t>
  </si>
  <si>
    <t>SAHIB SINGH GREWAL</t>
  </si>
  <si>
    <t>AU2065910371625</t>
  </si>
  <si>
    <t>SUKHPREET SINGH GREWAL</t>
  </si>
  <si>
    <t>GURPREET KAUR HANS</t>
  </si>
  <si>
    <t xml:space="preserve">(T2422685) </t>
  </si>
  <si>
    <t>VILLAGE CHUPKI</t>
  </si>
  <si>
    <t>P.O JASSOWAL,LUDHIANA,LUDHIANA</t>
  </si>
  <si>
    <t xml:space="preserve">PIN:141116,PUNJAB,INDIA </t>
  </si>
  <si>
    <t>ALMIR QUADRI MOHAMMAD</t>
  </si>
  <si>
    <t>AU2065910373425</t>
  </si>
  <si>
    <t>MOHAMMAD INTESAR</t>
  </si>
  <si>
    <t>MAHA AMTUL RAFI</t>
  </si>
  <si>
    <t xml:space="preserve">(C2424613) </t>
  </si>
  <si>
    <t>2-2-1109/58/1,GANGA BOWLI,VAIBHAV COLONY</t>
  </si>
  <si>
    <t>BAGH AMBERPET,HYDERABAD</t>
  </si>
  <si>
    <t xml:space="preserve">PIN:500013,TELANGANA,INDIA </t>
  </si>
  <si>
    <t>SARTAZ SINGH</t>
  </si>
  <si>
    <t>AU2065910373625</t>
  </si>
  <si>
    <t xml:space="preserve"> (V5966939)  </t>
  </si>
  <si>
    <t>VILLAGE BURJ</t>
  </si>
  <si>
    <t>TEHSIL AND DISTT,MALERKOTLA</t>
  </si>
  <si>
    <t xml:space="preserve">PIN:148023,PUNJAB,INDIA </t>
  </si>
  <si>
    <t>MYRA SHARMA</t>
  </si>
  <si>
    <t>AU2065910374025</t>
  </si>
  <si>
    <t>YOGESH SHARMA</t>
  </si>
  <si>
    <t>DIVYA SHARMA</t>
  </si>
  <si>
    <t xml:space="preserve">(Y4879406)  </t>
  </si>
  <si>
    <t>SUBHASH NAGAR WARD NO. 1</t>
  </si>
  <si>
    <t>AARNA PATEL</t>
  </si>
  <si>
    <t>AU2065910374425</t>
  </si>
  <si>
    <t>HARSHKUMAR NARENDRABHAI PATEL</t>
  </si>
  <si>
    <t>SHIVANIBEN RAKESHKUMAR PATEL</t>
  </si>
  <si>
    <t xml:space="preserve">(Y4883900) </t>
  </si>
  <si>
    <t>AT-FATEHBAG PALACE SOCIETY,VARADHARI RD</t>
  </si>
  <si>
    <t>TA- LUNAWADA,PANCHMAHALS</t>
  </si>
  <si>
    <t xml:space="preserve">PIN:389230,GUJARAT,INDIA </t>
  </si>
  <si>
    <t>AMAIRA JUGRAN</t>
  </si>
  <si>
    <t>AU2065910361225</t>
  </si>
  <si>
    <t>SAHIL JUGRAN</t>
  </si>
  <si>
    <t>SHIKHA BALUNI JUGRAN</t>
  </si>
  <si>
    <t xml:space="preserve">(U7888795)  </t>
  </si>
  <si>
    <t>F-28,3RD FLOOR</t>
  </si>
  <si>
    <t>WEST PATEL NAGAR,DELHI</t>
  </si>
  <si>
    <t xml:space="preserve">PIN:110008,DELHI,INDIA </t>
  </si>
  <si>
    <t>AAVYAAN DHAWAN</t>
  </si>
  <si>
    <t>AU2065910361625</t>
  </si>
  <si>
    <t>AKSHAY KUMAR</t>
  </si>
  <si>
    <t>NEHA KUMARI</t>
  </si>
  <si>
    <t xml:space="preserve"> (W0193354)  </t>
  </si>
  <si>
    <t>2341/4,SHEKHAN MOHALLA</t>
  </si>
  <si>
    <t xml:space="preserve">PIN:136118,HARYANA,INDIA </t>
  </si>
  <si>
    <t>BEANT KAUR SANDHU</t>
  </si>
  <si>
    <t>AU2065910362625</t>
  </si>
  <si>
    <t>KAWALPREET SINGH</t>
  </si>
  <si>
    <t xml:space="preserve"> (Y1389306)  </t>
  </si>
  <si>
    <t>KOTLA SADAR,AMRITSAR</t>
  </si>
  <si>
    <t>KIAN MADAAN</t>
  </si>
  <si>
    <t xml:space="preserve">EAST MELBOURNE, AUSTRALIA </t>
  </si>
  <si>
    <t>AU2065910362225</t>
  </si>
  <si>
    <t>KARAN MADAN</t>
  </si>
  <si>
    <t>NITIKA BHALLA</t>
  </si>
  <si>
    <t xml:space="preserve">(V8480211) </t>
  </si>
  <si>
    <t>48,SHEETAL APPT,SEC-14</t>
  </si>
  <si>
    <t>ROHINI,ROHINI</t>
  </si>
  <si>
    <t xml:space="preserve">PIN:110085,DELHI,INDIA </t>
  </si>
  <si>
    <t>EBADAT KAUR</t>
  </si>
  <si>
    <t>AU2065910315825</t>
  </si>
  <si>
    <t>DHARVINDER SINGH</t>
  </si>
  <si>
    <t>DAVINDER KAUR</t>
  </si>
  <si>
    <t xml:space="preserve">(N8079811)  </t>
  </si>
  <si>
    <t>HOUSE NO- 73,SUNDER NAGAR COLONY</t>
  </si>
  <si>
    <t xml:space="preserve">PIN:140401,PUNJAB,INDIA </t>
  </si>
  <si>
    <t>JAIVEER SINGH BHANDARI</t>
  </si>
  <si>
    <t>AU2065910316025</t>
  </si>
  <si>
    <t>ASHISH BHANDARI</t>
  </si>
  <si>
    <t>KIRAN BEDI</t>
  </si>
  <si>
    <t xml:space="preserve">(X4756491) </t>
  </si>
  <si>
    <t>7,AZAD NAGAR CHUNGI WALA BAZAR SULTANWIND ROAD</t>
  </si>
  <si>
    <t>JORAWAR SINGH KALSI</t>
  </si>
  <si>
    <t>AU2065910316225</t>
  </si>
  <si>
    <t>HARPREET SINGH KALSI</t>
  </si>
  <si>
    <t>TANVEER KAUR</t>
  </si>
  <si>
    <t xml:space="preserve">(P3454845) </t>
  </si>
  <si>
    <t>123 A STREET NO-5 EAST GURU ANGAD NAGAR</t>
  </si>
  <si>
    <t>LAXMI NAGAR,DELHI</t>
  </si>
  <si>
    <t xml:space="preserve">PIN:110092,DELHI,INDIA </t>
  </si>
  <si>
    <t>SRIHITH KRISHNA YESHALA</t>
  </si>
  <si>
    <t>AU2065910316425</t>
  </si>
  <si>
    <t>SAIKUMAR YESHALA</t>
  </si>
  <si>
    <t>SHIVANI PUPPALA</t>
  </si>
  <si>
    <t xml:space="preserve"> (S1960660) </t>
  </si>
  <si>
    <t>HNO 3-3/1 LOLAM</t>
  </si>
  <si>
    <t>INDALWAI,NIZAMABAD</t>
  </si>
  <si>
    <t xml:space="preserve">PIN:503164,TELANGANA,INDIA </t>
  </si>
  <si>
    <t>MANTEGH SINGH GREWAL</t>
  </si>
  <si>
    <t>AU2065910316625</t>
  </si>
  <si>
    <t>PRABHJOT SINGH GREWAL</t>
  </si>
  <si>
    <t>MANMEET KAUR</t>
  </si>
  <si>
    <t xml:space="preserve">(V8378127)  </t>
  </si>
  <si>
    <t>JASSOWAL,LUDHIANA</t>
  </si>
  <si>
    <t>AU2065910316825</t>
  </si>
  <si>
    <t>LACHHMAN DAS</t>
  </si>
  <si>
    <t>RAJWANT</t>
  </si>
  <si>
    <t xml:space="preserve">(C6443609)  </t>
  </si>
  <si>
    <t>NEAR PUNJAB ELECTRICION BOARD NURMAHAL</t>
  </si>
  <si>
    <t>GURNIWAZ SINGH SOHAL</t>
  </si>
  <si>
    <t>AU2065910317025</t>
  </si>
  <si>
    <t>MANVEERJOT SINGH SOHAL</t>
  </si>
  <si>
    <t>VIPANPREET KAUR</t>
  </si>
  <si>
    <t xml:space="preserve"> (C9207052) </t>
  </si>
  <si>
    <t>VPO-</t>
  </si>
  <si>
    <t>ADAMPUR,FATEHGARH SAHIB</t>
  </si>
  <si>
    <t>AU2065910317225</t>
  </si>
  <si>
    <t>KIRPA KAUR GILL</t>
  </si>
  <si>
    <t>AU2065911534625</t>
  </si>
  <si>
    <t>JAIDEEP SINGH GILL</t>
  </si>
  <si>
    <t xml:space="preserve">(Y2503567)  </t>
  </si>
  <si>
    <t>VILL PAKHI KHURD</t>
  </si>
  <si>
    <t>PO GOLEWALA,FARIDKOT</t>
  </si>
  <si>
    <t>AMBAR KAUR BHULLAR</t>
  </si>
  <si>
    <t>AU2065911534825</t>
  </si>
  <si>
    <t>BOHAR SINGH BHULLAR</t>
  </si>
  <si>
    <t>AMRINDER KAUR BHULLAR</t>
  </si>
  <si>
    <t xml:space="preserve"> (R7419370) </t>
  </si>
  <si>
    <t>VILL KAMALA BODLA</t>
  </si>
  <si>
    <t>PO MALLAN WALA,FEROZEPUR</t>
  </si>
  <si>
    <t xml:space="preserve">PIN:152021,PUNJAB,INDIA </t>
  </si>
  <si>
    <t>KABIYR KHHURANA</t>
  </si>
  <si>
    <t>AU2065911535225</t>
  </si>
  <si>
    <t>DAKSH KHURANA</t>
  </si>
  <si>
    <t>HIMANI SALUJA</t>
  </si>
  <si>
    <t xml:space="preserve">(C9787805) </t>
  </si>
  <si>
    <t>597,FIRST FLOOR,SECTOR 18,HUDA</t>
  </si>
  <si>
    <t>PANIPAT,PANIPAT</t>
  </si>
  <si>
    <t xml:space="preserve">PIN:132103,HARYANA,INDIA </t>
  </si>
  <si>
    <t>ARJUN BREWAL</t>
  </si>
  <si>
    <t>AU2065911535625</t>
  </si>
  <si>
    <t>RAHUL CHAUDHARY</t>
  </si>
  <si>
    <t>VIJETA RANI</t>
  </si>
  <si>
    <t xml:space="preserve"> (N9495854) </t>
  </si>
  <si>
    <t>PO. BHAGWANPUR,KURUKSHETRA</t>
  </si>
  <si>
    <t xml:space="preserve">PIN:136156,HARYANA,INDIA </t>
  </si>
  <si>
    <t>VAMIKA SHARMA</t>
  </si>
  <si>
    <t>AU2065911536025</t>
  </si>
  <si>
    <t>SAURAV SHARMA</t>
  </si>
  <si>
    <t>PARUL DEVGAN</t>
  </si>
  <si>
    <t xml:space="preserve"> (U0079187) </t>
  </si>
  <si>
    <t>HNO 148 NEW VIKASPURI</t>
  </si>
  <si>
    <t>PS DIV NO 8,JALANDHAR</t>
  </si>
  <si>
    <t xml:space="preserve">PIN:144004,PUNJAB,INDIA </t>
  </si>
  <si>
    <t>GURJAAP SHARMA</t>
  </si>
  <si>
    <t>AU2065911535825</t>
  </si>
  <si>
    <t>JAGDALGIR SHARMA</t>
  </si>
  <si>
    <t>HARSIMRAN KAUR DHILLON</t>
  </si>
  <si>
    <t xml:space="preserve"> (Y4873614)  </t>
  </si>
  <si>
    <t>741 JAWAHAR NAGAR</t>
  </si>
  <si>
    <t>NAMYA JOON</t>
  </si>
  <si>
    <t>AU2065914964425</t>
  </si>
  <si>
    <t>MANISH JOON</t>
  </si>
  <si>
    <t>NANDITA SHARMA</t>
  </si>
  <si>
    <t xml:space="preserve">(W8606435)  </t>
  </si>
  <si>
    <t>H.NO. 1305/34</t>
  </si>
  <si>
    <t>SHEETAL NAGAR,ROHTAK</t>
  </si>
  <si>
    <t xml:space="preserve">PIN:124001,HARYANA,INDIA </t>
  </si>
  <si>
    <t>HAZEL MARIE JOBIN</t>
  </si>
  <si>
    <t>AU2065914961625</t>
  </si>
  <si>
    <t>JOBIN THOMAS</t>
  </si>
  <si>
    <t>TREESA JACOB</t>
  </si>
  <si>
    <t xml:space="preserve"> (B8214720)  </t>
  </si>
  <si>
    <t>AKKATHOTTIYIL HOUSE PANDIPPARA P.O</t>
  </si>
  <si>
    <t>EETTIKAVALA,IDUKKI</t>
  </si>
  <si>
    <t xml:space="preserve">PIN:685609,KERALA,INDIA </t>
  </si>
  <si>
    <t>Date</t>
  </si>
  <si>
    <t>Count</t>
  </si>
  <si>
    <t>Manual</t>
  </si>
  <si>
    <t>DocuMate</t>
  </si>
  <si>
    <t xml:space="preserve">Percentage </t>
  </si>
  <si>
    <t>Mach</t>
  </si>
  <si>
    <t>Count of Sex</t>
  </si>
  <si>
    <t>MALE</t>
  </si>
  <si>
    <t>FEMALE</t>
  </si>
  <si>
    <t>Grand Total</t>
  </si>
  <si>
    <t>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</si>
</sst>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"/>
    <numFmt numFmtId="165" formatCode="d/mm/yyyy;@"/>
    <numFmt numFmtId="166" formatCode="[$-F800]dddd\,\ mmmm\ dd\,\ yyyy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1"/>
      <color rgb="FF000000"/>
      <name val="Aptos Display"/>
      <family val="2"/>
      <scheme val="maj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8CB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  <fill>
      <patternFill patternType="solid">
        <fgColor rgb="FF7F7F7F"/>
        <bgColor rgb="FF808080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164" fontId="3" fillId="0" borderId="0" xfId="0" applyNumberFormat="1" applyFont="1"/>
    <xf numFmtId="0" fontId="4" fillId="0" borderId="1" xfId="0" applyFont="1" applyBorder="1" applyAlignment="1">
      <alignment horizontal="left" vertical="top" wrapText="1"/>
    </xf>
    <xf numFmtId="1" fontId="4" fillId="0" borderId="0" xfId="0" applyNumberFormat="1" applyFont="1" applyAlignment="1">
      <alignment wrapText="1"/>
    </xf>
    <xf numFmtId="1" fontId="4" fillId="0" borderId="0" xfId="0" applyNumberFormat="1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/>
    <xf numFmtId="0" fontId="6" fillId="0" borderId="0" xfId="0" applyFont="1"/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6" fillId="3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7" fillId="0" borderId="0" xfId="0" applyFont="1"/>
    <xf numFmtId="14" fontId="4" fillId="0" borderId="0" xfId="0" applyNumberFormat="1" applyFont="1"/>
    <xf numFmtId="14" fontId="7" fillId="0" borderId="0" xfId="0" applyNumberFormat="1" applyFont="1"/>
    <xf numFmtId="0" fontId="7" fillId="5" borderId="0" xfId="0" applyFont="1" applyFill="1"/>
    <xf numFmtId="14" fontId="4" fillId="5" borderId="0" xfId="0" applyNumberFormat="1" applyFont="1" applyFill="1"/>
    <xf numFmtId="0" fontId="4" fillId="5" borderId="0" xfId="0" applyFont="1" applyFill="1"/>
    <xf numFmtId="14" fontId="7" fillId="5" borderId="0" xfId="0" applyNumberFormat="1" applyFont="1" applyFill="1"/>
    <xf numFmtId="1" fontId="4" fillId="5" borderId="0" xfId="0" applyNumberFormat="1" applyFont="1" applyFill="1"/>
    <xf numFmtId="0" fontId="7" fillId="6" borderId="0" xfId="0" applyFont="1" applyFill="1"/>
    <xf numFmtId="14" fontId="4" fillId="6" borderId="0" xfId="0" applyNumberFormat="1" applyFont="1" applyFill="1"/>
    <xf numFmtId="0" fontId="4" fillId="6" borderId="0" xfId="0" applyFont="1" applyFill="1"/>
    <xf numFmtId="14" fontId="7" fillId="6" borderId="0" xfId="0" applyNumberFormat="1" applyFont="1" applyFill="1"/>
    <xf numFmtId="1" fontId="4" fillId="6" borderId="0" xfId="0" applyNumberFormat="1" applyFont="1" applyFill="1"/>
    <xf numFmtId="0" fontId="8" fillId="0" borderId="0" xfId="0" applyFont="1"/>
    <xf numFmtId="0" fontId="8" fillId="3" borderId="0" xfId="0" applyFont="1" applyFill="1"/>
    <xf numFmtId="14" fontId="4" fillId="0" borderId="0" xfId="0" applyNumberFormat="1" applyFont="1" applyAlignment="1">
      <alignment vertical="center" wrapText="1"/>
    </xf>
    <xf numFmtId="14" fontId="1" fillId="0" borderId="0" xfId="0" applyNumberFormat="1" applyFont="1"/>
    <xf numFmtId="0" fontId="5" fillId="0" borderId="1" xfId="0" applyFont="1" applyBorder="1" applyAlignment="1">
      <alignment horizontal="left" vertical="top" wrapText="1"/>
    </xf>
    <xf numFmtId="1" fontId="4" fillId="3" borderId="0" xfId="0" applyNumberFormat="1" applyFont="1" applyFill="1"/>
    <xf numFmtId="1" fontId="4" fillId="4" borderId="0" xfId="0" applyNumberFormat="1" applyFont="1" applyFill="1"/>
    <xf numFmtId="14" fontId="4" fillId="0" borderId="1" xfId="0" applyNumberFormat="1" applyFont="1" applyBorder="1" applyAlignment="1">
      <alignment horizontal="left" vertical="top" wrapText="1"/>
    </xf>
    <xf numFmtId="14" fontId="4" fillId="0" borderId="0" xfId="0" applyNumberFormat="1" applyFont="1" applyAlignment="1">
      <alignment wrapText="1"/>
    </xf>
    <xf numFmtId="14" fontId="4" fillId="3" borderId="0" xfId="0" applyNumberFormat="1" applyFont="1" applyFill="1" applyAlignment="1">
      <alignment wrapText="1"/>
    </xf>
    <xf numFmtId="14" fontId="1" fillId="0" borderId="0" xfId="0" applyNumberFormat="1" applyFont="1" applyAlignment="1">
      <alignment wrapText="1"/>
    </xf>
    <xf numFmtId="14" fontId="1" fillId="4" borderId="0" xfId="0" applyNumberFormat="1" applyFont="1" applyFill="1" applyAlignment="1">
      <alignment wrapText="1"/>
    </xf>
    <xf numFmtId="165" fontId="1" fillId="0" borderId="0" xfId="0" applyNumberFormat="1" applyFont="1"/>
    <xf numFmtId="165" fontId="4" fillId="0" borderId="0" xfId="0" applyNumberFormat="1" applyFont="1"/>
    <xf numFmtId="165" fontId="4" fillId="3" borderId="0" xfId="0" applyNumberFormat="1" applyFont="1" applyFill="1"/>
    <xf numFmtId="165" fontId="1" fillId="4" borderId="0" xfId="0" applyNumberFormat="1" applyFont="1" applyFill="1"/>
    <xf numFmtId="165" fontId="4" fillId="0" borderId="0" xfId="0" applyNumberFormat="1" applyFont="1" applyAlignment="1">
      <alignment horizontal="right"/>
    </xf>
    <xf numFmtId="165" fontId="4" fillId="5" borderId="0" xfId="0" applyNumberFormat="1" applyFont="1" applyFill="1"/>
    <xf numFmtId="165" fontId="4" fillId="6" borderId="0" xfId="0" applyNumberFormat="1" applyFont="1" applyFill="1"/>
    <xf numFmtId="165" fontId="4" fillId="0" borderId="0" xfId="0" applyNumberFormat="1" applyFont="1" applyAlignment="1">
      <alignment wrapText="1"/>
    </xf>
    <xf numFmtId="14" fontId="4" fillId="0" borderId="2" xfId="0" applyNumberFormat="1" applyFont="1" applyBorder="1" applyAlignment="1">
      <alignment wrapText="1"/>
    </xf>
    <xf numFmtId="14" fontId="1" fillId="0" borderId="2" xfId="0" applyNumberFormat="1" applyFont="1" applyBorder="1" applyAlignment="1">
      <alignment wrapText="1"/>
    </xf>
    <xf numFmtId="0" fontId="9" fillId="0" borderId="0" xfId="0" applyFont="1"/>
    <xf numFmtId="166" fontId="1" fillId="0" borderId="0" xfId="0" applyNumberFormat="1" applyFont="1"/>
    <xf numFmtId="0" fontId="1" fillId="7" borderId="0" xfId="0" applyFont="1" applyFill="1"/>
    <xf numFmtId="14" fontId="0" fillId="0" borderId="0" xfId="0" applyNumberFormat="1"/>
    <xf numFmtId="0" fontId="0" fillId="0" borderId="0" xfId="0" pivotButton="1"/>
  </cellXfs>
  <cellStyles count="1">
    <cellStyle name="Normal" xfId="0" builtinId="0"/>
  </cellStyles>
  <dxfs count="24">
    <dxf>
      <font>
        <b/>
        <color theme="0" tint="-4.9989318521683403E-2"/>
      </font>
      <fill>
        <patternFill>
          <bgColor theme="9" tint="-0.24994659260841701"/>
        </patternFill>
      </fill>
    </dxf>
    <dxf>
      <font>
        <b/>
        <color theme="0" tint="-4.9989318521683403E-2"/>
      </font>
      <fill>
        <patternFill>
          <bgColor rgb="FFCC33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7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7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7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7" formatCode="d/mm/yyyy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7" formatCode="d/mm/yyyy"/>
    </dxf>
    <dxf>
      <font>
        <b/>
      </font>
      <numFmt numFmtId="167" formatCode="d/mm/yyyy"/>
    </dxf>
    <dxf>
      <font>
        <b/>
      </font>
    </dxf>
    <dxf>
      <font>
        <b/>
      </font>
    </dxf>
    <dxf>
      <font>
        <b/>
      </font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Display"/>
        <scheme val="major"/>
      </font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Aptos Display"/>
        <family val="2"/>
        <scheme val="major"/>
      </font>
      <alignment horizontal="general" vertical="bottom" wrapText="1"/>
    </dxf>
    <dxf>
      <font>
        <b/>
      </font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  <strike val="0"/>
        <outline val="0"/>
        <shadow val="0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DocuMate vs Manual 2025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Sheet5!$C$1</c:f>
              <c:strCache>
                <c:ptCount val="1"/>
                <c:pt idx="0">
                  <c:v>Manual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Sheet5!$A$2:$A$7</c:f>
              <c:numCache>
                <c:formatCode>m/d/yyyy</c:formatCode>
                <c:ptCount val="6"/>
                <c:pt idx="0">
                  <c:v>45925</c:v>
                </c:pt>
                <c:pt idx="1">
                  <c:v>45937</c:v>
                </c:pt>
                <c:pt idx="2">
                  <c:v>45944</c:v>
                </c:pt>
                <c:pt idx="3">
                  <c:v>45959</c:v>
                </c:pt>
                <c:pt idx="4">
                  <c:v>46006</c:v>
                </c:pt>
                <c:pt idx="5">
                  <c:v>46021</c:v>
                </c:pt>
              </c:numCache>
            </c:numRef>
          </c:cat>
          <c:val>
            <c:numRef>
              <c:f>Sheet5!$C$2:$C$7</c:f>
              <c:numCache>
                <c:formatCode>General</c:formatCode>
                <c:ptCount val="6"/>
                <c:pt idx="0">
                  <c:v>74025</c:v>
                </c:pt>
                <c:pt idx="1">
                  <c:v>14490</c:v>
                </c:pt>
                <c:pt idx="2">
                  <c:v>14175</c:v>
                </c:pt>
                <c:pt idx="3">
                  <c:v>24255</c:v>
                </c:pt>
                <c:pt idx="4">
                  <c:v>79065</c:v>
                </c:pt>
                <c:pt idx="5">
                  <c:v>5355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3-46D2-9298-9D2F2578B3B7}"/>
            </c:ext>
          </c:extLst>
        </c:ser>
        <c:ser>
          <c:idx val="1"/>
          <c:order val="1"/>
          <c:tx>
            <c:strRef>
              <c:f>Sheet5!$D$1</c:f>
              <c:strCache>
                <c:ptCount val="1"/>
                <c:pt idx="0">
                  <c:v>DocuMate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Sheet5!$A$2:$A$7</c:f>
              <c:numCache>
                <c:formatCode>m/d/yyyy</c:formatCode>
                <c:ptCount val="6"/>
                <c:pt idx="0">
                  <c:v>45925</c:v>
                </c:pt>
                <c:pt idx="1">
                  <c:v>45937</c:v>
                </c:pt>
                <c:pt idx="2">
                  <c:v>45944</c:v>
                </c:pt>
                <c:pt idx="3">
                  <c:v>45959</c:v>
                </c:pt>
                <c:pt idx="4">
                  <c:v>46006</c:v>
                </c:pt>
                <c:pt idx="5">
                  <c:v>46021</c:v>
                </c:pt>
              </c:numCache>
            </c:numRef>
          </c:cat>
          <c:val>
            <c:numRef>
              <c:f>Sheet5!$D$2:$D$7</c:f>
              <c:numCache>
                <c:formatCode>General</c:formatCode>
                <c:ptCount val="6"/>
                <c:pt idx="0">
                  <c:v>23.5</c:v>
                </c:pt>
                <c:pt idx="1">
                  <c:v>4.6000000000000005</c:v>
                </c:pt>
                <c:pt idx="2">
                  <c:v>4.5</c:v>
                </c:pt>
                <c:pt idx="3">
                  <c:v>7.7</c:v>
                </c:pt>
                <c:pt idx="4">
                  <c:v>25.1</c:v>
                </c:pt>
                <c:pt idx="5">
                  <c:v>1.7000000000000002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D3-46D2-9298-9D2F2578B3B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6810096"/>
        <c:axId val="846810576"/>
      </c:lineChart>
      <c:dateAx>
        <c:axId val="8468100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10576"/>
        <c:crosses val="autoZero"/>
        <c:auto val="1"/>
        <c:lblOffset val="100"/>
        <c:baseTimeUnit val="days"/>
      </c:dateAx>
      <c:valAx>
        <c:axId val="84681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810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[BIRTH_REGISTRATION_2025.xlsx]Sheet7!PivotTable1</c:name>
    <c:fmtId val="20"/>
  </c:pivotSource>
  <c:chart>
    <c:title>
      <c:tx>
        <c:rich>
          <a:bodyPr/>
          <a:lstStyle/>
          <a:p>
            <a:endParaRPr lang="en-AU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Sheet7!$B$2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Sheet7!$A$3:$A$5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Sheet7!$B$3:$B$5</c:f>
              <c:numCache>
                <c:formatCode>General</c:formatCode>
                <c:ptCount val="2"/>
                <c:pt idx="0">
                  <c:v>382</c:v>
                </c:pt>
                <c:pt idx="1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4-4ADE-962E-71AF6E456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5443968"/>
        <c:axId val="2045444448"/>
      </c:barChart>
      <c:catAx>
        <c:axId val="204544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44448"/>
        <c:crosses val="autoZero"/>
        <c:auto val="1"/>
        <c:lblAlgn val="ctr"/>
        <c:lblOffset val="100"/>
        <c:noMultiLvlLbl val="0"/>
      </c:catAx>
      <c:valAx>
        <c:axId val="204544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4396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3</xdr:row>
      <xdr:rowOff>9525</xdr:rowOff>
    </xdr:from>
    <xdr:to>
      <xdr:col>16</xdr:col>
      <xdr:colOff>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28575</xdr:colOff>
      <xdr:row>3</xdr:row>
      <xdr:rowOff>9525</xdr:rowOff>
    </xdr:from>
    <xdr:to>
      <xdr:col>23</xdr:col>
      <xdr:colOff>333375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gi Melbourne1" refreshedDate="46022.679785416673" createdVersion="8" refreshedVersion="8" minRefreshableVersion="3" recordCount="727" xr:uid="{00000000-000A-0000-FFFF-FFFF00000000}">
  <cacheSource type="worksheet">
    <worksheetSource ref="D1:D728" sheet="DocuMateSRC"/>
  </cacheSource>
  <cacheFields count="1">
    <cacheField name="Sex" numFmtId="0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727"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2:B5" firstHeaderRow="1" firstDataRow="1" firstDataCol="1"/>
  <pivotFields count="1">
    <pivotField axis="axisRow" dataField="1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Count of Sex" fld="0" subtotal="count" baseField="0" baseItem="0"/>
  </dataFields>
  <chartFormats count="4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L728" totalsRowShown="0" headerRowDxfId="23" dataDxfId="22">
  <autoFilter ref="A1:L728" xr:uid="{00000000-0009-0000-0100-000001000000}"/>
  <tableColumns count="12">
    <tableColumn id="1" xr3:uid="{00000000-0010-0000-0000-000001000000}" name="Serial" dataDxfId="21">
      <calculatedColumnFormula>Sheet1!A2 &amp; "/" &amp; "2025"</calculatedColumnFormula>
    </tableColumn>
    <tableColumn id="2" xr3:uid="{00000000-0010-0000-0000-000002000000}" name="File_Number" dataDxfId="20">
      <calculatedColumnFormula>Sheet1!E2</calculatedColumnFormula>
    </tableColumn>
    <tableColumn id="3" xr3:uid="{00000000-0010-0000-0000-000003000000}" name="Name" dataDxfId="19">
      <calculatedColumnFormula>UPPER(Sheet1!B2)</calculatedColumnFormula>
    </tableColumn>
    <tableColumn id="4" xr3:uid="{00000000-0010-0000-0000-000004000000}" name="Sex" dataDxfId="18">
      <calculatedColumnFormula>IF(Sheet1!F2="F","FEMALE","MALE")</calculatedColumnFormula>
    </tableColumn>
    <tableColumn id="5" xr3:uid="{00000000-0010-0000-0000-000005000000}" name="Name_of_the_Father" dataDxfId="17">
      <calculatedColumnFormula>UPPER(Sheet1!G2)</calculatedColumnFormula>
    </tableColumn>
    <tableColumn id="6" xr3:uid="{00000000-0010-0000-0000-000006000000}" name="Name_of_the_Mother" dataDxfId="16">
      <calculatedColumnFormula>UPPER(Sheet1!H2)</calculatedColumnFormula>
    </tableColumn>
    <tableColumn id="7" xr3:uid="{00000000-0010-0000-0000-000007000000}" name="When_and_where_born" dataDxfId="15">
      <calculatedColumnFormula>TEXT(Sheet1!C2,"dd/mm/yyyy") &amp; "," &amp; Sheet1!D2</calculatedColumnFormula>
    </tableColumn>
    <tableColumn id="12" xr3:uid="{00000000-0010-0000-0000-00000C000000}" name="Description_and_residence_of_informant" dataDxfId="14">
      <calculatedColumnFormula>UPPER(Sheet1!K2 &amp; "," &amp; Sheet1!L2 &amp; "," &amp; Sheet1!M2)</calculatedColumnFormula>
    </tableColumn>
    <tableColumn id="8" xr3:uid="{00000000-0010-0000-0000-000008000000}" name="Registration_date" dataDxfId="13">
      <calculatedColumnFormula>Sheet1!J2</calculatedColumnFormula>
    </tableColumn>
    <tableColumn id="9" xr3:uid="{00000000-0010-0000-0000-000009000000}" name="MHA_File_And_date" dataDxfId="12">
      <calculatedColumnFormula>Sheet1!N2 &amp; "," &amp; TEXT(Sheet1!O2,"dd/mm/yy")</calculatedColumnFormula>
    </tableColumn>
    <tableColumn id="10" xr3:uid="{00000000-0010-0000-0000-00000A000000}" name="STATUS" dataDxfId="11"/>
    <tableColumn id="11" xr3:uid="{00000000-0010-0000-0000-00000B000000}" name="Date_Printed" dataDxfId="1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M1:N674" totalsRowShown="0" headerRowDxfId="9" dataDxfId="8">
  <autoFilter ref="M1:N674" xr:uid="{00000000-0009-0000-0100-000002000000}"/>
  <tableColumns count="2">
    <tableColumn id="1" xr3:uid="{00000000-0010-0000-0100-000001000000}" name="Date_Issued" dataDxfId="7"/>
    <tableColumn id="2" xr3:uid="{00000000-0010-0000-0100-000002000000}" name="Sighning_Authority" dataDxfId="6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F7" totalsRowShown="0">
  <autoFilter ref="A1:F7" xr:uid="{00000000-0009-0000-0100-000003000000}"/>
  <sortState xmlns:xlrd2="http://schemas.microsoft.com/office/spreadsheetml/2017/richdata2" ref="A2:F7">
    <sortCondition ref="A1:A7"/>
  </sortState>
  <tableColumns count="6">
    <tableColumn id="1" xr3:uid="{00000000-0010-0000-0200-000001000000}" name="Date" dataDxfId="5"/>
    <tableColumn id="2" xr3:uid="{00000000-0010-0000-0200-000002000000}" name="Count" dataDxfId="4"/>
    <tableColumn id="3" xr3:uid="{00000000-0010-0000-0200-000003000000}" name="Manual">
      <calculatedColumnFormula>B2*315</calculatedColumnFormula>
    </tableColumn>
    <tableColumn id="4" xr3:uid="{00000000-0010-0000-0200-000004000000}" name="DocuMate">
      <calculatedColumnFormula>B2*0.1</calculatedColumnFormula>
    </tableColumn>
    <tableColumn id="5" xr3:uid="{00000000-0010-0000-0200-000005000000}" name="Percentage " dataDxfId="3">
      <calculatedColumnFormula>((Table5[[#This Row],[Manual]]-Table5[[#This Row],[DocuMate]])/Table5[[#This Row],[Manual]])*100</calculatedColumnFormula>
    </tableColumn>
    <tableColumn id="7" xr3:uid="{00000000-0010-0000-0200-000007000000}" name="Mach" dataDxfId="2">
      <calculatedColumnFormula>(Table5[[#This Row],[Manual]]/Table5[[#This Row],[DocuMate]])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mbassy6.passportindia.gov.in/AppMissionUIProject/pfc/indexCheckDetailedViewAction.action?fileIndex=1&amp;fileIdpk=1756711979&amp;originalFileNo=AU2065671197925" TargetMode="External"/><Relationship Id="rId299" Type="http://schemas.openxmlformats.org/officeDocument/2006/relationships/hyperlink" Target="https://embassy6.passportindia.gov.in/AppMissionUIProject/pfc/indexCheckDetailedViewAction.action?fileIndex=1&amp;fileIdpk=1756949841&amp;originalFileNo=AU2065694984125" TargetMode="External"/><Relationship Id="rId21" Type="http://schemas.openxmlformats.org/officeDocument/2006/relationships/hyperlink" Target="https://embassy6.passportindia.gov.in/AppMissionUIProject/pfc/indexCheckDetailedViewAction.action?fileIndex=1&amp;fileIdpk=1756505847&amp;originalFileNo=AU2065650584725" TargetMode="External"/><Relationship Id="rId63" Type="http://schemas.openxmlformats.org/officeDocument/2006/relationships/hyperlink" Target="https://embassy6.passportindia.gov.in/AppMissionUIProject/pfc/indexCheckDetailedViewAction.action?fileIndex=1&amp;fileIdpk=1756581391&amp;originalFileNo=AU2065658139125" TargetMode="External"/><Relationship Id="rId159" Type="http://schemas.openxmlformats.org/officeDocument/2006/relationships/hyperlink" Target="https://embassy6.passportindia.gov.in/AppMissionUIProject/pfc/indexCheckDetailedViewAction.action?fileIndex=1&amp;fileIdpk=1756810601&amp;originalFileNo=AU2065681060125" TargetMode="External"/><Relationship Id="rId324" Type="http://schemas.openxmlformats.org/officeDocument/2006/relationships/hyperlink" Target="https://embassy6.passportindia.gov.in/AppMissionUIProject/pfc/indexCheckDetailedViewAction.action?fileIndex=1&amp;fileIdpk=1757003651&amp;originalFileNo=AU2065700365125" TargetMode="External"/><Relationship Id="rId170" Type="http://schemas.openxmlformats.org/officeDocument/2006/relationships/hyperlink" Target="https://embassy6.passportindia.gov.in/AppMissionUIProject/pfc/indexCheckDetailedViewAction.action?fileIndex=1&amp;fileIdpk=1756811049&amp;originalFileNo=AU2065681104925" TargetMode="External"/><Relationship Id="rId226" Type="http://schemas.openxmlformats.org/officeDocument/2006/relationships/hyperlink" Target="https://embassy6.passportindia.gov.in/AppMissionUIProject/pfc/indexCheckDetailedViewAction.action?fileIndex=1&amp;fileIdpk=1756850251&amp;originalFileNo=AU2065685025125" TargetMode="External"/><Relationship Id="rId268" Type="http://schemas.openxmlformats.org/officeDocument/2006/relationships/hyperlink" Target="https://embassy6.passportindia.gov.in/AppMissionUIProject/pfc/indexCheckDetailedViewAction.action?fileIndex=1&amp;fileIdpk=1756927845&amp;originalFileNo=AU2065692784525" TargetMode="External"/><Relationship Id="rId32" Type="http://schemas.openxmlformats.org/officeDocument/2006/relationships/hyperlink" Target="https://embassy6.passportindia.gov.in/AppMissionUIProject/pfc/indexCheckDetailedViewAction.action?fileIndex=1&amp;fileIdpk=1756529209&amp;originalFileNo=AU2065652920925" TargetMode="External"/><Relationship Id="rId74" Type="http://schemas.openxmlformats.org/officeDocument/2006/relationships/hyperlink" Target="https://embassy6.passportindia.gov.in/AppMissionUIProject/pfc/indexCheckDetailedViewAction.action?fileIndex=1&amp;fileIdpk=1756664823&amp;originalFileNo=AU2065666482325" TargetMode="External"/><Relationship Id="rId128" Type="http://schemas.openxmlformats.org/officeDocument/2006/relationships/hyperlink" Target="https://embassy6.passportindia.gov.in/AppMissionUIProject/pfc/indexCheckDetailedViewAction.action?fileIndex=1&amp;fileIdpk=1756723955&amp;originalFileNo=AU2065672395525" TargetMode="External"/><Relationship Id="rId335" Type="http://schemas.openxmlformats.org/officeDocument/2006/relationships/hyperlink" Target="https://embassy6.passportindia.gov.in/AppMissionUIProject/pfc/indexCheckDetailedViewAction.action?fileIndex=1&amp;fileIdpk=1756993037&amp;originalFileNo=AU2065699303725" TargetMode="External"/><Relationship Id="rId5" Type="http://schemas.openxmlformats.org/officeDocument/2006/relationships/hyperlink" Target="https://embassy6.passportindia.gov.in/AppMissionUIProject/pfc/indexCheckDetailedViewAction.action?fileIndex=1&amp;fileIdpk=1756465213&amp;originalFileNo=AU2065646521325" TargetMode="External"/><Relationship Id="rId181" Type="http://schemas.openxmlformats.org/officeDocument/2006/relationships/hyperlink" Target="https://embassy6.passportindia.gov.in/AppMissionUIProject/pfc/indexCheckDetailedViewAction.action?fileIndex=1&amp;fileIdpk=1756837621&amp;originalFileNo=AU2065683762125" TargetMode="External"/><Relationship Id="rId237" Type="http://schemas.openxmlformats.org/officeDocument/2006/relationships/hyperlink" Target="https://embassy6.passportindia.gov.in/AppMissionUIProject/pfc/indexCheckDetailedViewAction.action?fileIndex=1&amp;fileIdpk=1756871221&amp;originalFileNo=AU2065687122125" TargetMode="External"/><Relationship Id="rId279" Type="http://schemas.openxmlformats.org/officeDocument/2006/relationships/hyperlink" Target="https://embassy6.passportindia.gov.in/AppMissionUIProject/pfc/indexCheckDetailedViewAction.action?fileIndex=1&amp;fileIdpk=1756927981&amp;originalFileNo=AU2065692798125" TargetMode="External"/><Relationship Id="rId43" Type="http://schemas.openxmlformats.org/officeDocument/2006/relationships/hyperlink" Target="https://embassy6.passportindia.gov.in/AppMissionUIProject/pfc/indexCheckDetailedViewAction.action?fileIndex=1&amp;fileIdpk=1756539015&amp;originalFileNo=AU2065653901525" TargetMode="External"/><Relationship Id="rId139" Type="http://schemas.openxmlformats.org/officeDocument/2006/relationships/hyperlink" Target="https://embassy6.passportindia.gov.in/AppMissionUIProject/pfc/indexCheckDetailedViewAction.action?fileIndex=1&amp;fileIdpk=1756665013&amp;originalFileNo=AU2065666501325" TargetMode="External"/><Relationship Id="rId290" Type="http://schemas.openxmlformats.org/officeDocument/2006/relationships/hyperlink" Target="https://embassy6.passportindia.gov.in/AppMissionUIProject/pfc/indexCheckDetailedViewAction.action?fileIndex=1&amp;fileIdpk=1756938371&amp;originalFileNo=AU2065693837125" TargetMode="External"/><Relationship Id="rId304" Type="http://schemas.openxmlformats.org/officeDocument/2006/relationships/hyperlink" Target="https://embassy6.passportindia.gov.in/AppMissionUIProject/pfc/indexCheckDetailedViewAction.action?fileIndex=1&amp;fileIdpk=1756949857&amp;originalFileNo=AU2065694985725" TargetMode="External"/><Relationship Id="rId85" Type="http://schemas.openxmlformats.org/officeDocument/2006/relationships/hyperlink" Target="https://embassy6.passportindia.gov.in/AppMissionUIProject/pfc/indexCheckDetailedViewAction.action?fileIndex=1&amp;fileIdpk=1756664881&amp;originalFileNo=AU2065666488125" TargetMode="External"/><Relationship Id="rId150" Type="http://schemas.openxmlformats.org/officeDocument/2006/relationships/hyperlink" Target="https://embassy6.passportindia.gov.in/AppMissionUIProject/pfc/indexCheckDetailedViewAction.action?fileIndex=1&amp;fileIdpk=1756798581&amp;originalFileNo=AU2065679858125" TargetMode="External"/><Relationship Id="rId192" Type="http://schemas.openxmlformats.org/officeDocument/2006/relationships/hyperlink" Target="https://embassy6.passportindia.gov.in/AppMissionUIProject/pfc/indexCheckDetailedViewAction.action?fileIndex=1&amp;fileIdpk=1756837599&amp;originalFileNo=AU2065683759925" TargetMode="External"/><Relationship Id="rId206" Type="http://schemas.openxmlformats.org/officeDocument/2006/relationships/hyperlink" Target="https://embassy6.passportindia.gov.in/AppMissionUIProject/pfc/indexCheckDetailedViewAction.action?fileIndex=1&amp;fileIdpk=1756838371&amp;originalFileNo=AU2065683837125" TargetMode="External"/><Relationship Id="rId248" Type="http://schemas.openxmlformats.org/officeDocument/2006/relationships/hyperlink" Target="https://embassy6.passportindia.gov.in/AppMissionUIProject/pfc/indexCheckDetailedViewAction.action?fileIndex=1&amp;fileIdpk=1756927717&amp;originalFileNo=AU2065692771725" TargetMode="External"/><Relationship Id="rId12" Type="http://schemas.openxmlformats.org/officeDocument/2006/relationships/hyperlink" Target="https://embassy6.passportindia.gov.in/AppMissionUIProject/pfc/indexCheckDetailedViewAction.action?fileIndex=1&amp;fileIdpk=1756494107&amp;originalFileNo=AU2065649410725" TargetMode="External"/><Relationship Id="rId108" Type="http://schemas.openxmlformats.org/officeDocument/2006/relationships/hyperlink" Target="https://embassy6.passportindia.gov.in/AppMissionUIProject/pfc/indexCheckDetailedViewAction.action?fileIndex=1&amp;fileIdpk=1756737293&amp;originalFileNo=AU2065673729325" TargetMode="External"/><Relationship Id="rId315" Type="http://schemas.openxmlformats.org/officeDocument/2006/relationships/hyperlink" Target="https://embassy6.passportindia.gov.in/AppMissionUIProject/pfc/indexCheckDetailedViewAction.action?fileIndex=1&amp;fileIdpk=1756982493&amp;originalFileNo=AU2065698249325" TargetMode="External"/><Relationship Id="rId54" Type="http://schemas.openxmlformats.org/officeDocument/2006/relationships/hyperlink" Target="https://embassy6.passportindia.gov.in/AppMissionUIProject/pfc/indexCheckDetailedViewAction.action?fileIndex=1&amp;fileIdpk=1756594331&amp;originalFileNo=AU2065659433125" TargetMode="External"/><Relationship Id="rId96" Type="http://schemas.openxmlformats.org/officeDocument/2006/relationships/hyperlink" Target="https://embassy6.passportindia.gov.in/AppMissionUIProject/pfc/indexCheckDetailedViewAction.action?fileIndex=1&amp;fileIdpk=1756665019&amp;originalFileNo=AU2065666501925" TargetMode="External"/><Relationship Id="rId161" Type="http://schemas.openxmlformats.org/officeDocument/2006/relationships/hyperlink" Target="https://embassy6.passportindia.gov.in/AppMissionUIProject/pfc/indexCheckDetailedViewAction.action?fileIndex=1&amp;fileIdpk=1756810615&amp;originalFileNo=AU2065681061525" TargetMode="External"/><Relationship Id="rId217" Type="http://schemas.openxmlformats.org/officeDocument/2006/relationships/hyperlink" Target="https://embassy6.passportindia.gov.in/AppMissionUIProject/pfc/indexCheckDetailedViewAction.action?fileIndex=1&amp;fileIdpk=1756849211&amp;originalFileNo=AU2065684921125" TargetMode="External"/><Relationship Id="rId259" Type="http://schemas.openxmlformats.org/officeDocument/2006/relationships/hyperlink" Target="https://embassy6.passportindia.gov.in/AppMissionUIProject/pfc/indexCheckDetailedViewAction.action?fileIndex=1&amp;fileIdpk=1756927547&amp;originalFileNo=AU2065692754725" TargetMode="External"/><Relationship Id="rId23" Type="http://schemas.openxmlformats.org/officeDocument/2006/relationships/hyperlink" Target="https://embassy6.passportindia.gov.in/AppMissionUIProject/pfc/indexCheckDetailedViewAction.action?fileIndex=1&amp;fileIdpk=1756505851&amp;originalFileNo=AU2065650585125" TargetMode="External"/><Relationship Id="rId119" Type="http://schemas.openxmlformats.org/officeDocument/2006/relationships/hyperlink" Target="https://embassy6.passportindia.gov.in/AppMissionUIProject/pfc/indexCheckDetailedViewAction.action?fileIndex=1&amp;fileIdpk=1756711987&amp;originalFileNo=AU2065671198725" TargetMode="External"/><Relationship Id="rId270" Type="http://schemas.openxmlformats.org/officeDocument/2006/relationships/hyperlink" Target="https://embassy6.passportindia.gov.in/AppMissionUIProject/pfc/indexCheckDetailedViewAction.action?fileIndex=1&amp;fileIdpk=1756927853&amp;originalFileNo=AU2065692785325" TargetMode="External"/><Relationship Id="rId326" Type="http://schemas.openxmlformats.org/officeDocument/2006/relationships/hyperlink" Target="https://embassy6.passportindia.gov.in/AppMissionUIProject/pfc/indexCheckDetailedViewAction.action?fileIndex=1&amp;fileIdpk=1757003673&amp;originalFileNo=AU2065700367325" TargetMode="External"/><Relationship Id="rId65" Type="http://schemas.openxmlformats.org/officeDocument/2006/relationships/hyperlink" Target="https://embassy6.passportindia.gov.in/AppMissionUIProject/pfc/indexCheckDetailedViewAction.action?fileIndex=1&amp;fileIdpk=1756581371&amp;originalFileNo=AU2065658137125" TargetMode="External"/><Relationship Id="rId130" Type="http://schemas.openxmlformats.org/officeDocument/2006/relationships/hyperlink" Target="https://embassy6.passportindia.gov.in/AppMissionUIProject/pfc/indexCheckDetailedViewAction.action?fileIndex=1&amp;fileIdpk=1756723963&amp;originalFileNo=AU2065672396325" TargetMode="External"/><Relationship Id="rId172" Type="http://schemas.openxmlformats.org/officeDocument/2006/relationships/hyperlink" Target="https://embassy6.passportindia.gov.in/AppMissionUIProject/pfc/indexCheckDetailedViewAction.action?fileIndex=1&amp;fileIdpk=1756811165&amp;originalFileNo=AU2065681116525" TargetMode="External"/><Relationship Id="rId228" Type="http://schemas.openxmlformats.org/officeDocument/2006/relationships/hyperlink" Target="https://embassy6.passportindia.gov.in/AppMissionUIProject/pfc/indexCheckDetailedViewAction.action?fileIndex=1&amp;fileIdpk=1756850297&amp;originalFileNo=AU2065685029725" TargetMode="External"/><Relationship Id="rId281" Type="http://schemas.openxmlformats.org/officeDocument/2006/relationships/hyperlink" Target="https://embassy6.passportindia.gov.in/AppMissionUIProject/pfc/indexCheckDetailedViewAction.action?fileIndex=1&amp;fileIdpk=1756927987&amp;originalFileNo=AU2065692798725" TargetMode="External"/><Relationship Id="rId34" Type="http://schemas.openxmlformats.org/officeDocument/2006/relationships/hyperlink" Target="https://embassy6.passportindia.gov.in/AppMissionUIProject/pfc/indexCheckDetailedViewAction.action?fileIndex=1&amp;fileIdpk=1756529329&amp;originalFileNo=AU2065652932925" TargetMode="External"/><Relationship Id="rId76" Type="http://schemas.openxmlformats.org/officeDocument/2006/relationships/hyperlink" Target="https://embassy6.passportindia.gov.in/AppMissionUIProject/pfc/indexCheckDetailedViewAction.action?fileIndex=1&amp;fileIdpk=1756664831&amp;originalFileNo=AU2065666483125" TargetMode="External"/><Relationship Id="rId141" Type="http://schemas.openxmlformats.org/officeDocument/2006/relationships/hyperlink" Target="https://embassy6.passportindia.gov.in/AppMissionUIProject/pfc/indexCheckDetailedViewAction.action?fileIndex=1&amp;fileIdpk=1756713347&amp;originalFileNo=AU2065671334725" TargetMode="External"/><Relationship Id="rId7" Type="http://schemas.openxmlformats.org/officeDocument/2006/relationships/hyperlink" Target="https://embassy6.passportindia.gov.in/AppMissionUIProject/pfc/indexCheckDetailedViewAction.action?fileIndex=1&amp;fileIdpk=1756494081&amp;originalFileNo=AU2065649408125" TargetMode="External"/><Relationship Id="rId183" Type="http://schemas.openxmlformats.org/officeDocument/2006/relationships/hyperlink" Target="https://embassy6.passportindia.gov.in/AppMissionUIProject/pfc/indexCheckDetailedViewAction.action?fileIndex=1&amp;fileIdpk=1756850833&amp;originalFileNo=AU2065685083325" TargetMode="External"/><Relationship Id="rId239" Type="http://schemas.openxmlformats.org/officeDocument/2006/relationships/hyperlink" Target="https://embassy6.passportindia.gov.in/AppMissionUIProject/pfc/indexCheckDetailedViewAction.action?fileIndex=1&amp;fileIdpk=1756905079&amp;originalFileNo=AU2065690507925" TargetMode="External"/><Relationship Id="rId250" Type="http://schemas.openxmlformats.org/officeDocument/2006/relationships/hyperlink" Target="https://embassy6.passportindia.gov.in/AppMissionUIProject/pfc/indexCheckDetailedViewAction.action?fileIndex=1&amp;fileIdpk=1756927723&amp;originalFileNo=AU2065692772325" TargetMode="External"/><Relationship Id="rId292" Type="http://schemas.openxmlformats.org/officeDocument/2006/relationships/hyperlink" Target="https://embassy6.passportindia.gov.in/AppMissionUIProject/pfc/indexCheckDetailedViewAction.action?fileIndex=1&amp;fileIdpk=1756949813&amp;originalFileNo=AU2065694981325" TargetMode="External"/><Relationship Id="rId306" Type="http://schemas.openxmlformats.org/officeDocument/2006/relationships/hyperlink" Target="https://embassy6.passportindia.gov.in/AppMissionUIProject/pfc/indexCheckDetailedViewAction.action?fileIndex=1&amp;fileIdpk=1756949869&amp;originalFileNo=AU2065694986925" TargetMode="External"/><Relationship Id="rId24" Type="http://schemas.openxmlformats.org/officeDocument/2006/relationships/hyperlink" Target="https://embassy6.passportindia.gov.in/AppMissionUIProject/pfc/indexCheckDetailedViewAction.action?fileIndex=1&amp;fileIdpk=1756505853&amp;originalFileNo=AU2065650585325" TargetMode="External"/><Relationship Id="rId45" Type="http://schemas.openxmlformats.org/officeDocument/2006/relationships/hyperlink" Target="https://embassy6.passportindia.gov.in/AppMissionUIProject/pfc/indexCheckDetailedViewAction.action?fileIndex=1&amp;fileIdpk=1756539029&amp;originalFileNo=AU2065653902925" TargetMode="External"/><Relationship Id="rId66" Type="http://schemas.openxmlformats.org/officeDocument/2006/relationships/hyperlink" Target="https://embassy6.passportindia.gov.in/AppMissionUIProject/pfc/indexCheckDetailedViewAction.action?fileIndex=1&amp;fileIdpk=1756641905&amp;originalFileNo=AU2065664190525" TargetMode="External"/><Relationship Id="rId87" Type="http://schemas.openxmlformats.org/officeDocument/2006/relationships/hyperlink" Target="https://embassy6.passportindia.gov.in/AppMissionUIProject/pfc/indexCheckDetailedViewAction.action?fileIndex=1&amp;fileIdpk=1756664913&amp;originalFileNo=AU2065666491325" TargetMode="External"/><Relationship Id="rId110" Type="http://schemas.openxmlformats.org/officeDocument/2006/relationships/hyperlink" Target="https://embassy6.passportindia.gov.in/AppMissionUIProject/pfc/indexCheckDetailedViewAction.action?fileIndex=1&amp;fileIdpk=1756699917&amp;originalFileNo=AU2065669991725" TargetMode="External"/><Relationship Id="rId131" Type="http://schemas.openxmlformats.org/officeDocument/2006/relationships/hyperlink" Target="https://embassy6.passportindia.gov.in/AppMissionUIProject/pfc/indexCheckDetailedViewAction.action?fileIndex=1&amp;fileIdpk=1756723971&amp;originalFileNo=AU2065672397125" TargetMode="External"/><Relationship Id="rId327" Type="http://schemas.openxmlformats.org/officeDocument/2006/relationships/hyperlink" Target="https://embassy6.passportindia.gov.in/AppMissionUIProject/pfc/indexCheckDetailedViewAction.action?fileIndex=1&amp;fileIdpk=1757003675&amp;originalFileNo=AU2065700367525" TargetMode="External"/><Relationship Id="rId152" Type="http://schemas.openxmlformats.org/officeDocument/2006/relationships/hyperlink" Target="https://embassy6.passportindia.gov.in/AppMissionUIProject/pfc/indexCheckDetailedViewAction.action?fileIndex=1&amp;fileIdpk=1756810537&amp;originalFileNo=AU2065681053725" TargetMode="External"/><Relationship Id="rId173" Type="http://schemas.openxmlformats.org/officeDocument/2006/relationships/hyperlink" Target="https://embassy6.passportindia.gov.in/AppMissionUIProject/pfc/indexCheckDetailedViewAction.action?fileIndex=1&amp;fileIdpk=1756811211&amp;originalFileNo=AU2065681121125" TargetMode="External"/><Relationship Id="rId194" Type="http://schemas.openxmlformats.org/officeDocument/2006/relationships/hyperlink" Target="https://embassy6.passportindia.gov.in/AppMissionUIProject/pfc/indexCheckDetailedViewAction.action?fileIndex=1&amp;fileIdpk=1756837609&amp;originalFileNo=AU2065683760925" TargetMode="External"/><Relationship Id="rId208" Type="http://schemas.openxmlformats.org/officeDocument/2006/relationships/hyperlink" Target="https://embassy6.passportindia.gov.in/AppMissionUIProject/pfc/indexCheckDetailedViewAction.action?fileIndex=1&amp;fileIdpk=1756848131&amp;originalFileNo=AU2065684813125" TargetMode="External"/><Relationship Id="rId229" Type="http://schemas.openxmlformats.org/officeDocument/2006/relationships/hyperlink" Target="https://embassy6.passportindia.gov.in/AppMissionUIProject/pfc/indexCheckDetailedViewAction.action?fileIndex=1&amp;fileIdpk=1756905005&amp;originalFileNo=AU2065690500525" TargetMode="External"/><Relationship Id="rId240" Type="http://schemas.openxmlformats.org/officeDocument/2006/relationships/hyperlink" Target="https://embassy6.passportindia.gov.in/AppMissionUIProject/pfc/indexCheckDetailedViewAction.action?fileIndex=1&amp;fileIdpk=1756905083&amp;originalFileNo=AU2065690508325" TargetMode="External"/><Relationship Id="rId261" Type="http://schemas.openxmlformats.org/officeDocument/2006/relationships/hyperlink" Target="https://embassy6.passportindia.gov.in/AppMissionUIProject/pfc/indexCheckDetailedViewAction.action?fileIndex=1&amp;fileIdpk=1756961017&amp;originalFileNo=AU2065696101725" TargetMode="External"/><Relationship Id="rId14" Type="http://schemas.openxmlformats.org/officeDocument/2006/relationships/hyperlink" Target="https://embassy6.passportindia.gov.in/AppMissionUIProject/pfc/indexCheckDetailedViewAction.action?fileIndex=1&amp;fileIdpk=1756505833&amp;originalFileNo=AU2065650583325" TargetMode="External"/><Relationship Id="rId35" Type="http://schemas.openxmlformats.org/officeDocument/2006/relationships/hyperlink" Target="https://embassy6.passportindia.gov.in/AppMissionUIProject/pfc/indexCheckDetailedViewAction.action?fileIndex=1&amp;fileIdpk=1756529387&amp;originalFileNo=AU2065652938725" TargetMode="External"/><Relationship Id="rId56" Type="http://schemas.openxmlformats.org/officeDocument/2006/relationships/hyperlink" Target="https://embassy6.passportindia.gov.in/AppMissionUIProject/pfc/indexCheckDetailedViewAction.action?fileIndex=1&amp;fileIdpk=1756594365&amp;originalFileNo=AU2065659436525" TargetMode="External"/><Relationship Id="rId77" Type="http://schemas.openxmlformats.org/officeDocument/2006/relationships/hyperlink" Target="https://embassy6.passportindia.gov.in/AppMissionUIProject/pfc/indexCheckDetailedViewAction.action?fileIndex=1&amp;fileIdpk=1756664835&amp;originalFileNo=AU2065666483525" TargetMode="External"/><Relationship Id="rId100" Type="http://schemas.openxmlformats.org/officeDocument/2006/relationships/hyperlink" Target="https://embassy6.passportindia.gov.in/AppMissionUIProject/pfc/indexCheckDetailedViewAction.action?fileIndex=1&amp;fileIdpk=1756665087&amp;originalFileNo=AU2065666508725" TargetMode="External"/><Relationship Id="rId282" Type="http://schemas.openxmlformats.org/officeDocument/2006/relationships/hyperlink" Target="https://embassy6.passportindia.gov.in/AppMissionUIProject/pfc/indexCheckDetailedViewAction.action?fileIndex=1&amp;fileIdpk=1756927991&amp;originalFileNo=AU2065692799125" TargetMode="External"/><Relationship Id="rId317" Type="http://schemas.openxmlformats.org/officeDocument/2006/relationships/hyperlink" Target="https://embassy6.passportindia.gov.in/AppMissionUIProject/pfc/indexCheckDetailedViewAction.action?fileIndex=1&amp;fileIdpk=1756993027&amp;originalFileNo=AU2065699302725" TargetMode="External"/><Relationship Id="rId8" Type="http://schemas.openxmlformats.org/officeDocument/2006/relationships/hyperlink" Target="https://embassy6.passportindia.gov.in/AppMissionUIProject/pfc/indexCheckDetailedViewAction.action?fileIndex=1&amp;fileIdpk=1756494087&amp;originalFileNo=AU2065649408725" TargetMode="External"/><Relationship Id="rId98" Type="http://schemas.openxmlformats.org/officeDocument/2006/relationships/hyperlink" Target="https://embassy6.passportindia.gov.in/AppMissionUIProject/pfc/indexCheckDetailedViewAction.action?fileIndex=1&amp;fileIdpk=1756665059&amp;originalFileNo=AU2065666505925" TargetMode="External"/><Relationship Id="rId121" Type="http://schemas.openxmlformats.org/officeDocument/2006/relationships/hyperlink" Target="https://embassy6.passportindia.gov.in/AppMissionUIProject/pfc/indexCheckDetailedViewAction.action?fileIndex=1&amp;fileIdpk=1756713277&amp;originalFileNo=AU2065671327725" TargetMode="External"/><Relationship Id="rId142" Type="http://schemas.openxmlformats.org/officeDocument/2006/relationships/hyperlink" Target="https://embassy6.passportindia.gov.in/AppMissionUIProject/pfc/indexCheckDetailedViewAction.action?fileIndex=1&amp;fileIdpk=1756776621&amp;originalFileNo=AU2065677662125" TargetMode="External"/><Relationship Id="rId163" Type="http://schemas.openxmlformats.org/officeDocument/2006/relationships/hyperlink" Target="https://embassy6.passportindia.gov.in/AppMissionUIProject/pfc/indexCheckDetailedViewAction.action?fileIndex=1&amp;fileIdpk=1756810823&amp;originalFileNo=AU2065681082325" TargetMode="External"/><Relationship Id="rId184" Type="http://schemas.openxmlformats.org/officeDocument/2006/relationships/hyperlink" Target="https://embassy6.passportindia.gov.in/AppMissionUIProject/pfc/indexCheckDetailedViewAction.action?fileIndex=1&amp;fileIdpk=1756665027&amp;originalFileNo=AU2065666502725" TargetMode="External"/><Relationship Id="rId219" Type="http://schemas.openxmlformats.org/officeDocument/2006/relationships/hyperlink" Target="https://embassy6.passportindia.gov.in/AppMissionUIProject/pfc/indexCheckDetailedViewAction.action?fileIndex=1&amp;fileIdpk=1756849269&amp;originalFileNo=AU2065684926925" TargetMode="External"/><Relationship Id="rId230" Type="http://schemas.openxmlformats.org/officeDocument/2006/relationships/hyperlink" Target="https://embassy6.passportindia.gov.in/AppMissionUIProject/pfc/indexCheckDetailedViewAction.action?fileIndex=1&amp;fileIdpk=1756838213&amp;originalFileNo=AU2065683821325" TargetMode="External"/><Relationship Id="rId251" Type="http://schemas.openxmlformats.org/officeDocument/2006/relationships/hyperlink" Target="https://embassy6.passportindia.gov.in/AppMissionUIProject/pfc/indexCheckDetailedViewAction.action?fileIndex=1&amp;fileIdpk=1756906027&amp;originalFileNo=AU2065690602725" TargetMode="External"/><Relationship Id="rId25" Type="http://schemas.openxmlformats.org/officeDocument/2006/relationships/hyperlink" Target="https://embassy6.passportindia.gov.in/AppMissionUIProject/pfc/indexCheckDetailedViewAction.action?fileIndex=1&amp;fileIdpk=1756526923&amp;originalFileNo=AU2065652692325" TargetMode="External"/><Relationship Id="rId46" Type="http://schemas.openxmlformats.org/officeDocument/2006/relationships/hyperlink" Target="https://embassy6.passportindia.gov.in/AppMissionUIProject/pfc/indexCheckDetailedViewAction.action?fileIndex=1&amp;fileIdpk=1756539037&amp;originalFileNo=AU2065653903725" TargetMode="External"/><Relationship Id="rId67" Type="http://schemas.openxmlformats.org/officeDocument/2006/relationships/hyperlink" Target="https://embassy6.passportindia.gov.in/AppMissionUIProject/pfc/indexCheckDetailedViewAction.action?fileIndex=1&amp;fileIdpk=1756641921&amp;originalFileNo=AU2065664192125" TargetMode="External"/><Relationship Id="rId272" Type="http://schemas.openxmlformats.org/officeDocument/2006/relationships/hyperlink" Target="https://embassy6.passportindia.gov.in/AppMissionUIProject/pfc/indexCheckDetailedViewAction.action?fileIndex=1&amp;fileIdpk=1756927865&amp;originalFileNo=AU2065692786525" TargetMode="External"/><Relationship Id="rId293" Type="http://schemas.openxmlformats.org/officeDocument/2006/relationships/hyperlink" Target="https://embassy6.passportindia.gov.in/AppMissionUIProject/pfc/indexCheckDetailedViewAction.action?fileIndex=1&amp;fileIdpk=1756949817&amp;originalFileNo=AU2065694981725" TargetMode="External"/><Relationship Id="rId307" Type="http://schemas.openxmlformats.org/officeDocument/2006/relationships/hyperlink" Target="https://embassy6.passportindia.gov.in/AppMissionUIProject/pfc/indexCheckDetailedViewAction.action?fileIndex=1&amp;fileIdpk=1756927721&amp;originalFileNo=AU2065692772125" TargetMode="External"/><Relationship Id="rId328" Type="http://schemas.openxmlformats.org/officeDocument/2006/relationships/hyperlink" Target="https://embassy6.passportindia.gov.in/AppMissionUIProject/pfc/indexCheckDetailedViewAction.action?fileIndex=1&amp;fileIdpk=1757003679&amp;originalFileNo=AU2065700367925" TargetMode="External"/><Relationship Id="rId88" Type="http://schemas.openxmlformats.org/officeDocument/2006/relationships/hyperlink" Target="https://embassy6.passportindia.gov.in/AppMissionUIProject/pfc/indexCheckDetailedViewAction.action?fileIndex=1&amp;fileIdpk=1756664921&amp;originalFileNo=AU2065666492125" TargetMode="External"/><Relationship Id="rId111" Type="http://schemas.openxmlformats.org/officeDocument/2006/relationships/hyperlink" Target="https://embassy6.passportindia.gov.in/AppMissionUIProject/pfc/indexCheckDetailedViewAction.action?fileIndex=1&amp;fileIdpk=1756699959&amp;originalFileNo=AU2065669995925" TargetMode="External"/><Relationship Id="rId132" Type="http://schemas.openxmlformats.org/officeDocument/2006/relationships/hyperlink" Target="https://embassy6.passportindia.gov.in/AppMissionUIProject/pfc/indexCheckDetailedViewAction.action?fileIndex=1&amp;fileIdpk=1756724343&amp;originalFileNo=AU2065672434325" TargetMode="External"/><Relationship Id="rId153" Type="http://schemas.openxmlformats.org/officeDocument/2006/relationships/hyperlink" Target="https://embassy6.passportindia.gov.in/AppMissionUIProject/pfc/indexCheckDetailedViewAction.action?fileIndex=1&amp;fileIdpk=1756810539&amp;originalFileNo=AU2065681053925" TargetMode="External"/><Relationship Id="rId174" Type="http://schemas.openxmlformats.org/officeDocument/2006/relationships/hyperlink" Target="https://embassy6.passportindia.gov.in/AppMissionUIProject/pfc/indexCheckDetailedViewAction.action?fileIndex=1&amp;fileIdpk=1756811221&amp;originalFileNo=AU2065681122125" TargetMode="External"/><Relationship Id="rId195" Type="http://schemas.openxmlformats.org/officeDocument/2006/relationships/hyperlink" Target="https://embassy6.passportindia.gov.in/AppMissionUIProject/pfc/indexCheckDetailedViewAction.action?fileIndex=1&amp;fileIdpk=1756837611&amp;originalFileNo=AU2065683761125" TargetMode="External"/><Relationship Id="rId209" Type="http://schemas.openxmlformats.org/officeDocument/2006/relationships/hyperlink" Target="https://embassy6.passportindia.gov.in/AppMissionUIProject/pfc/indexCheckDetailedViewAction.action?fileIndex=1&amp;fileIdpk=1756848133&amp;originalFileNo=AU2065684813325" TargetMode="External"/><Relationship Id="rId220" Type="http://schemas.openxmlformats.org/officeDocument/2006/relationships/hyperlink" Target="https://embassy6.passportindia.gov.in/AppMissionUIProject/pfc/indexCheckDetailedViewAction.action?fileIndex=1&amp;fileIdpk=1756850111&amp;originalFileNo=AU2065685011125" TargetMode="External"/><Relationship Id="rId241" Type="http://schemas.openxmlformats.org/officeDocument/2006/relationships/hyperlink" Target="https://embassy6.passportindia.gov.in/AppMissionUIProject/pfc/indexCheckDetailedViewAction.action?fileIndex=1&amp;fileIdpk=1756905085&amp;originalFileNo=AU2065690508525" TargetMode="External"/><Relationship Id="rId15" Type="http://schemas.openxmlformats.org/officeDocument/2006/relationships/hyperlink" Target="https://embassy6.passportindia.gov.in/AppMissionUIProject/pfc/indexCheckDetailedViewAction.action?fileIndex=1&amp;fileIdpk=1756505835&amp;originalFileNo=AU2065650583525" TargetMode="External"/><Relationship Id="rId36" Type="http://schemas.openxmlformats.org/officeDocument/2006/relationships/hyperlink" Target="https://embassy6.passportindia.gov.in/AppMissionUIProject/pfc/indexCheckDetailedViewAction.action?fileIndex=1&amp;fileIdpk=1756538975&amp;originalFileNo=AU2065653897525" TargetMode="External"/><Relationship Id="rId57" Type="http://schemas.openxmlformats.org/officeDocument/2006/relationships/hyperlink" Target="https://embassy6.passportindia.gov.in/AppMissionUIProject/pfc/indexCheckDetailedViewAction.action?fileIndex=1&amp;fileIdpk=1756594385&amp;originalFileNo=AU2065659438525" TargetMode="External"/><Relationship Id="rId262" Type="http://schemas.openxmlformats.org/officeDocument/2006/relationships/hyperlink" Target="https://embassy6.passportindia.gov.in/AppMissionUIProject/pfc/indexCheckDetailedViewAction.action?fileIndex=1&amp;fileIdpk=1756961035&amp;originalFileNo=AU2065696103525" TargetMode="External"/><Relationship Id="rId283" Type="http://schemas.openxmlformats.org/officeDocument/2006/relationships/hyperlink" Target="https://embassy6.passportindia.gov.in/AppMissionUIProject/pfc/indexCheckDetailedViewAction.action?fileIndex=1&amp;fileIdpk=1756927995&amp;originalFileNo=AU2065692799525" TargetMode="External"/><Relationship Id="rId318" Type="http://schemas.openxmlformats.org/officeDocument/2006/relationships/hyperlink" Target="https://embassy6.passportindia.gov.in/AppMissionUIProject/pfc/indexCheckDetailedViewAction.action?fileIndex=1&amp;fileIdpk=1756993029&amp;originalFileNo=AU2065699302925" TargetMode="External"/><Relationship Id="rId78" Type="http://schemas.openxmlformats.org/officeDocument/2006/relationships/hyperlink" Target="https://embassy6.passportindia.gov.in/AppMissionUIProject/pfc/indexCheckDetailedViewAction.action?fileIndex=1&amp;fileIdpk=1756664841&amp;originalFileNo=AU2065666484125" TargetMode="External"/><Relationship Id="rId99" Type="http://schemas.openxmlformats.org/officeDocument/2006/relationships/hyperlink" Target="https://embassy6.passportindia.gov.in/AppMissionUIProject/pfc/indexCheckDetailedViewAction.action?fileIndex=1&amp;fileIdpk=1756665075&amp;originalFileNo=AU2065666507525" TargetMode="External"/><Relationship Id="rId101" Type="http://schemas.openxmlformats.org/officeDocument/2006/relationships/hyperlink" Target="https://embassy6.passportindia.gov.in/AppMissionUIProject/pfc/indexCheckDetailedViewAction.action?fileIndex=1&amp;fileIdpk=1756665093&amp;originalFileNo=AU2065666509325" TargetMode="External"/><Relationship Id="rId122" Type="http://schemas.openxmlformats.org/officeDocument/2006/relationships/hyperlink" Target="https://embassy6.passportindia.gov.in/AppMissionUIProject/pfc/indexCheckDetailedViewAction.action?fileIndex=1&amp;fileIdpk=1756616003&amp;originalFileNo=AU2065661600325" TargetMode="External"/><Relationship Id="rId143" Type="http://schemas.openxmlformats.org/officeDocument/2006/relationships/hyperlink" Target="https://embassy6.passportindia.gov.in/AppMissionUIProject/pfc/indexCheckDetailedViewAction.action?fileIndex=1&amp;fileIdpk=1756776629&amp;originalFileNo=AU2065677662925" TargetMode="External"/><Relationship Id="rId164" Type="http://schemas.openxmlformats.org/officeDocument/2006/relationships/hyperlink" Target="https://embassy6.passportindia.gov.in/AppMissionUIProject/pfc/indexCheckDetailedViewAction.action?fileIndex=1&amp;fileIdpk=1756810825&amp;originalFileNo=AU2065681082525" TargetMode="External"/><Relationship Id="rId185" Type="http://schemas.openxmlformats.org/officeDocument/2006/relationships/hyperlink" Target="https://embassy6.passportindia.gov.in/AppMissionUIProject/pfc/indexCheckDetailedViewAction.action?fileIndex=1&amp;fileIdpk=1756700503&amp;originalFileNo=AU2065670050325" TargetMode="External"/><Relationship Id="rId9" Type="http://schemas.openxmlformats.org/officeDocument/2006/relationships/hyperlink" Target="https://embassy6.passportindia.gov.in/AppMissionUIProject/pfc/indexCheckDetailedViewAction.action?fileIndex=1&amp;fileIdpk=1756494091&amp;originalFileNo=AU2065649409125" TargetMode="External"/><Relationship Id="rId210" Type="http://schemas.openxmlformats.org/officeDocument/2006/relationships/hyperlink" Target="https://embassy6.passportindia.gov.in/AppMissionUIProject/pfc/indexCheckDetailedViewAction.action?fileIndex=1&amp;fileIdpk=1756848141&amp;originalFileNo=AU2065684814125" TargetMode="External"/><Relationship Id="rId26" Type="http://schemas.openxmlformats.org/officeDocument/2006/relationships/hyperlink" Target="https://embassy6.passportindia.gov.in/AppMissionUIProject/pfc/indexCheckDetailedViewAction.action?fileIndex=1&amp;fileIdpk=1756526931&amp;originalFileNo=AU2065652693125" TargetMode="External"/><Relationship Id="rId231" Type="http://schemas.openxmlformats.org/officeDocument/2006/relationships/hyperlink" Target="https://embassy6.passportindia.gov.in/AppMissionUIProject/pfc/indexCheckDetailedViewAction.action?fileIndex=1&amp;fileIdpk=1756871197&amp;originalFileNo=AU2065687119725" TargetMode="External"/><Relationship Id="rId252" Type="http://schemas.openxmlformats.org/officeDocument/2006/relationships/hyperlink" Target="https://embassy6.passportindia.gov.in/AppMissionUIProject/pfc/indexCheckDetailedViewAction.action?fileIndex=1&amp;fileIdpk=1756961195&amp;originalFileNo=AU2065696119525" TargetMode="External"/><Relationship Id="rId273" Type="http://schemas.openxmlformats.org/officeDocument/2006/relationships/hyperlink" Target="https://embassy6.passportindia.gov.in/AppMissionUIProject/pfc/indexCheckDetailedViewAction.action?fileIndex=1&amp;fileIdpk=1756949863&amp;originalFileNo=AU2065694986325" TargetMode="External"/><Relationship Id="rId294" Type="http://schemas.openxmlformats.org/officeDocument/2006/relationships/hyperlink" Target="https://embassy6.passportindia.gov.in/AppMissionUIProject/pfc/indexCheckDetailedViewAction.action?fileIndex=1&amp;fileIdpk=1756949823&amp;originalFileNo=AU2065694982325" TargetMode="External"/><Relationship Id="rId308" Type="http://schemas.openxmlformats.org/officeDocument/2006/relationships/hyperlink" Target="https://embassy6.passportindia.gov.in/AppMissionUIProject/pfc/indexCheckDetailedViewAction.action?fileIndex=1&amp;fileIdpk=1756960205&amp;originalFileNo=AU2065696020525" TargetMode="External"/><Relationship Id="rId329" Type="http://schemas.openxmlformats.org/officeDocument/2006/relationships/hyperlink" Target="https://embassy6.passportindia.gov.in/AppMissionUIProject/pfc/indexCheckDetailedViewAction.action?fileIndex=1&amp;fileIdpk=1757003683&amp;originalFileNo=AU2065700368325" TargetMode="External"/><Relationship Id="rId47" Type="http://schemas.openxmlformats.org/officeDocument/2006/relationships/hyperlink" Target="https://embassy6.passportindia.gov.in/AppMissionUIProject/pfc/indexCheckDetailedViewAction.action?fileIndex=1&amp;fileIdpk=1756539043&amp;originalFileNo=AU2065653904325" TargetMode="External"/><Relationship Id="rId68" Type="http://schemas.openxmlformats.org/officeDocument/2006/relationships/hyperlink" Target="https://embassy6.passportindia.gov.in/AppMissionUIProject/pfc/indexCheckDetailedViewAction.action?fileIndex=1&amp;fileIdpk=1756641927&amp;originalFileNo=AU2065664192725" TargetMode="External"/><Relationship Id="rId89" Type="http://schemas.openxmlformats.org/officeDocument/2006/relationships/hyperlink" Target="https://embassy6.passportindia.gov.in/AppMissionUIProject/pfc/indexCheckDetailedViewAction.action?fileIndex=1&amp;fileIdpk=1756664929&amp;originalFileNo=AU2065666492925" TargetMode="External"/><Relationship Id="rId112" Type="http://schemas.openxmlformats.org/officeDocument/2006/relationships/hyperlink" Target="https://embassy6.passportindia.gov.in/AppMissionUIProject/pfc/indexCheckDetailedViewAction.action?fileIndex=1&amp;fileIdpk=1756699991&amp;originalFileNo=AU2065669999125" TargetMode="External"/><Relationship Id="rId133" Type="http://schemas.openxmlformats.org/officeDocument/2006/relationships/hyperlink" Target="https://embassy6.passportindia.gov.in/AppMissionUIProject/pfc/indexCheckDetailedViewAction.action?fileIndex=1&amp;fileIdpk=1756724345&amp;originalFileNo=AU2065672434525" TargetMode="External"/><Relationship Id="rId154" Type="http://schemas.openxmlformats.org/officeDocument/2006/relationships/hyperlink" Target="https://embassy6.passportindia.gov.in/AppMissionUIProject/pfc/indexCheckDetailedViewAction.action?fileIndex=1&amp;fileIdpk=1756810579&amp;originalFileNo=AU2065681057925" TargetMode="External"/><Relationship Id="rId175" Type="http://schemas.openxmlformats.org/officeDocument/2006/relationships/hyperlink" Target="https://embassy6.passportindia.gov.in/AppMissionUIProject/pfc/indexCheckDetailedViewAction.action?fileIndex=1&amp;fileIdpk=1756812061&amp;originalFileNo=AU2065681206125" TargetMode="External"/><Relationship Id="rId196" Type="http://schemas.openxmlformats.org/officeDocument/2006/relationships/hyperlink" Target="https://embassy6.passportindia.gov.in/AppMissionUIProject/pfc/indexCheckDetailedViewAction.action?fileIndex=1&amp;fileIdpk=1756837615&amp;originalFileNo=AU2065683761525" TargetMode="External"/><Relationship Id="rId200" Type="http://schemas.openxmlformats.org/officeDocument/2006/relationships/hyperlink" Target="https://embassy6.passportindia.gov.in/AppMissionUIProject/pfc/indexCheckDetailedViewAction.action?fileIndex=1&amp;fileIdpk=1756838135&amp;originalFileNo=AU2065683813525" TargetMode="External"/><Relationship Id="rId16" Type="http://schemas.openxmlformats.org/officeDocument/2006/relationships/hyperlink" Target="https://embassy6.passportindia.gov.in/AppMissionUIProject/pfc/indexCheckDetailedViewAction.action?fileIndex=1&amp;fileIdpk=1756505837&amp;originalFileNo=AU2065650583725" TargetMode="External"/><Relationship Id="rId221" Type="http://schemas.openxmlformats.org/officeDocument/2006/relationships/hyperlink" Target="https://embassy6.passportindia.gov.in/AppMissionUIProject/pfc/indexCheckDetailedViewAction.action?fileIndex=1&amp;fileIdpk=1756850139&amp;originalFileNo=AU2065685013925" TargetMode="External"/><Relationship Id="rId242" Type="http://schemas.openxmlformats.org/officeDocument/2006/relationships/hyperlink" Target="https://embassy6.passportindia.gov.in/AppMissionUIProject/pfc/indexCheckDetailedViewAction.action?fileIndex=1&amp;fileIdpk=1756905087&amp;originalFileNo=AU2065690508725" TargetMode="External"/><Relationship Id="rId263" Type="http://schemas.openxmlformats.org/officeDocument/2006/relationships/hyperlink" Target="https://embassy6.passportindia.gov.in/AppMissionUIProject/pfc/indexCheckDetailedViewAction.action?fileIndex=1&amp;fileIdpk=1756961053&amp;originalFileNo=AU2065696105325" TargetMode="External"/><Relationship Id="rId284" Type="http://schemas.openxmlformats.org/officeDocument/2006/relationships/hyperlink" Target="https://embassy6.passportindia.gov.in/AppMissionUIProject/pfc/indexCheckDetailedViewAction.action?fileIndex=1&amp;fileIdpk=1756927997&amp;originalFileNo=AU2065692799725" TargetMode="External"/><Relationship Id="rId319" Type="http://schemas.openxmlformats.org/officeDocument/2006/relationships/hyperlink" Target="https://embassy6.passportindia.gov.in/AppMissionUIProject/pfc/indexCheckDetailedViewAction.action?fileIndex=1&amp;fileIdpk=1756993031&amp;originalFileNo=AU2065699303125" TargetMode="External"/><Relationship Id="rId37" Type="http://schemas.openxmlformats.org/officeDocument/2006/relationships/hyperlink" Target="https://embassy6.passportindia.gov.in/AppMissionUIProject/pfc/indexCheckDetailedViewAction.action?fileIndex=1&amp;fileIdpk=1756539685&amp;originalFileNo=AU2065653968525" TargetMode="External"/><Relationship Id="rId58" Type="http://schemas.openxmlformats.org/officeDocument/2006/relationships/hyperlink" Target="https://embassy6.passportindia.gov.in/AppMissionUIProject/pfc/indexCheckDetailedViewAction.action?fileIndex=1&amp;fileIdpk=1756594399&amp;originalFileNo=AU2065659439925" TargetMode="External"/><Relationship Id="rId79" Type="http://schemas.openxmlformats.org/officeDocument/2006/relationships/hyperlink" Target="https://embassy6.passportindia.gov.in/AppMissionUIProject/pfc/indexCheckDetailedViewAction.action?fileIndex=1&amp;fileIdpk=1756664845&amp;originalFileNo=AU2065666484525" TargetMode="External"/><Relationship Id="rId102" Type="http://schemas.openxmlformats.org/officeDocument/2006/relationships/hyperlink" Target="https://embassy6.passportindia.gov.in/AppMissionUIProject/pfc/indexCheckDetailedViewAction.action?fileIndex=1&amp;fileIdpk=1756665099&amp;originalFileNo=AU2065666509925" TargetMode="External"/><Relationship Id="rId123" Type="http://schemas.openxmlformats.org/officeDocument/2006/relationships/hyperlink" Target="https://embassy6.passportindia.gov.in/AppMissionUIProject/pfc/indexCheckDetailedViewAction.action?fileIndex=1&amp;fileIdpk=1756713301&amp;originalFileNo=AU2065671330125" TargetMode="External"/><Relationship Id="rId144" Type="http://schemas.openxmlformats.org/officeDocument/2006/relationships/hyperlink" Target="https://embassy6.passportindia.gov.in/AppMissionUIProject/pfc/indexCheckDetailedViewAction.action?fileIndex=1&amp;fileIdpk=1756776657&amp;originalFileNo=AU2065677665725" TargetMode="External"/><Relationship Id="rId330" Type="http://schemas.openxmlformats.org/officeDocument/2006/relationships/hyperlink" Target="https://embassy6.passportindia.gov.in/AppMissionUIProject/pfc/indexCheckDetailedViewAction.action?fileIndex=1&amp;fileIdpk=1757003687&amp;originalFileNo=AU2065700368725" TargetMode="External"/><Relationship Id="rId90" Type="http://schemas.openxmlformats.org/officeDocument/2006/relationships/hyperlink" Target="https://embassy6.passportindia.gov.in/AppMissionUIProject/pfc/indexCheckDetailedViewAction.action?fileIndex=1&amp;fileIdpk=1756664933&amp;originalFileNo=AU2065666493325" TargetMode="External"/><Relationship Id="rId165" Type="http://schemas.openxmlformats.org/officeDocument/2006/relationships/hyperlink" Target="https://embassy6.passportindia.gov.in/AppMissionUIProject/pfc/indexCheckDetailedViewAction.action?fileIndex=1&amp;fileIdpk=1756810831&amp;originalFileNo=AU2065681083125" TargetMode="External"/><Relationship Id="rId186" Type="http://schemas.openxmlformats.org/officeDocument/2006/relationships/hyperlink" Target="https://embassy6.passportindia.gov.in/AppMissionUIProject/pfc/indexCheckDetailedViewAction.action?fileIndex=1&amp;fileIdpk=1756837577&amp;originalFileNo=AU2065683757725" TargetMode="External"/><Relationship Id="rId211" Type="http://schemas.openxmlformats.org/officeDocument/2006/relationships/hyperlink" Target="https://embassy6.passportindia.gov.in/AppMissionUIProject/pfc/indexCheckDetailedViewAction.action?fileIndex=1&amp;fileIdpk=1756848143&amp;originalFileNo=AU2065684814325" TargetMode="External"/><Relationship Id="rId232" Type="http://schemas.openxmlformats.org/officeDocument/2006/relationships/hyperlink" Target="https://embassy6.passportindia.gov.in/AppMissionUIProject/pfc/indexCheckDetailedViewAction.action?fileIndex=1&amp;fileIdpk=1756871201&amp;originalFileNo=AU2065687120125" TargetMode="External"/><Relationship Id="rId253" Type="http://schemas.openxmlformats.org/officeDocument/2006/relationships/hyperlink" Target="https://embassy6.passportindia.gov.in/AppMissionUIProject/pfc/indexCheckDetailedViewAction.action?fileIndex=1&amp;fileIdpk=1756961175&amp;originalFileNo=AU2065696117525" TargetMode="External"/><Relationship Id="rId274" Type="http://schemas.openxmlformats.org/officeDocument/2006/relationships/hyperlink" Target="https://embassy6.passportindia.gov.in/AppMissionUIProject/pfc/indexCheckDetailedViewAction.action?fileIndex=1&amp;fileIdpk=1756927969&amp;originalFileNo=AU2065692796925" TargetMode="External"/><Relationship Id="rId295" Type="http://schemas.openxmlformats.org/officeDocument/2006/relationships/hyperlink" Target="https://embassy6.passportindia.gov.in/AppMissionUIProject/pfc/indexCheckDetailedViewAction.action?fileIndex=1&amp;fileIdpk=1756949827&amp;originalFileNo=AU2065694982725" TargetMode="External"/><Relationship Id="rId309" Type="http://schemas.openxmlformats.org/officeDocument/2006/relationships/hyperlink" Target="https://embassy6.passportindia.gov.in/AppMissionUIProject/pfc/indexCheckDetailedViewAction.action?fileIndex=1&amp;fileIdpk=1756960211&amp;originalFileNo=AU2065696021125" TargetMode="External"/><Relationship Id="rId27" Type="http://schemas.openxmlformats.org/officeDocument/2006/relationships/hyperlink" Target="https://embassy6.passportindia.gov.in/AppMissionUIProject/pfc/indexCheckDetailedViewAction.action?fileIndex=1&amp;fileIdpk=1756526935&amp;originalFileNo=AU2065652693525" TargetMode="External"/><Relationship Id="rId48" Type="http://schemas.openxmlformats.org/officeDocument/2006/relationships/hyperlink" Target="https://embassy6.passportindia.gov.in/AppMissionUIProject/pfc/indexCheckDetailedViewAction.action?fileIndex=1&amp;fileIdpk=1756539045&amp;originalFileNo=AU2065653904525" TargetMode="External"/><Relationship Id="rId69" Type="http://schemas.openxmlformats.org/officeDocument/2006/relationships/hyperlink" Target="https://embassy6.passportindia.gov.in/AppMissionUIProject/pfc/indexCheckDetailedViewAction.action?fileIndex=1&amp;fileIdpk=1756641937&amp;originalFileNo=AU2065664193725" TargetMode="External"/><Relationship Id="rId113" Type="http://schemas.openxmlformats.org/officeDocument/2006/relationships/hyperlink" Target="https://embassy6.passportindia.gov.in/AppMissionUIProject/pfc/indexCheckDetailedViewAction.action?fileIndex=1&amp;fileIdpk=1756700123&amp;originalFileNo=AU2065670012325" TargetMode="External"/><Relationship Id="rId134" Type="http://schemas.openxmlformats.org/officeDocument/2006/relationships/hyperlink" Target="https://embassy6.passportindia.gov.in/AppMissionUIProject/pfc/indexCheckDetailedViewAction.action?fileIndex=1&amp;fileIdpk=1756724347&amp;originalFileNo=AU2065672434725" TargetMode="External"/><Relationship Id="rId320" Type="http://schemas.openxmlformats.org/officeDocument/2006/relationships/hyperlink" Target="https://embassy6.passportindia.gov.in/AppMissionUIProject/pfc/indexCheckDetailedViewAction.action?fileIndex=1&amp;fileIdpk=1756993043&amp;originalFileNo=AU2065699304325" TargetMode="External"/><Relationship Id="rId80" Type="http://schemas.openxmlformats.org/officeDocument/2006/relationships/hyperlink" Target="https://embassy6.passportindia.gov.in/AppMissionUIProject/pfc/indexCheckDetailedViewAction.action?fileIndex=1&amp;fileIdpk=1756664851&amp;originalFileNo=AU2065666485125" TargetMode="External"/><Relationship Id="rId155" Type="http://schemas.openxmlformats.org/officeDocument/2006/relationships/hyperlink" Target="https://embassy6.passportindia.gov.in/AppMissionUIProject/pfc/indexCheckDetailedViewAction.action?fileIndex=1&amp;fileIdpk=1756810581&amp;originalFileNo=AU2065681058125" TargetMode="External"/><Relationship Id="rId176" Type="http://schemas.openxmlformats.org/officeDocument/2006/relationships/hyperlink" Target="https://embassy6.passportindia.gov.in/AppMissionUIProject/pfc/indexCheckDetailedViewAction.action?fileIndex=1&amp;fileIdpk=1756812109&amp;originalFileNo=AU2065681210925" TargetMode="External"/><Relationship Id="rId197" Type="http://schemas.openxmlformats.org/officeDocument/2006/relationships/hyperlink" Target="https://embassy6.passportindia.gov.in/AppMissionUIProject/pfc/indexCheckDetailedViewAction.action?fileIndex=1&amp;fileIdpk=1756838073&amp;originalFileNo=AU2065683807325" TargetMode="External"/><Relationship Id="rId201" Type="http://schemas.openxmlformats.org/officeDocument/2006/relationships/hyperlink" Target="https://embassy6.passportindia.gov.in/AppMissionUIProject/pfc/indexCheckDetailedViewAction.action?fileIndex=1&amp;fileIdpk=1756838197&amp;originalFileNo=AU2065683819725" TargetMode="External"/><Relationship Id="rId222" Type="http://schemas.openxmlformats.org/officeDocument/2006/relationships/hyperlink" Target="https://embassy6.passportindia.gov.in/AppMissionUIProject/pfc/indexCheckDetailedViewAction.action?fileIndex=1&amp;fileIdpk=1756850155&amp;originalFileNo=AU2065685015525" TargetMode="External"/><Relationship Id="rId243" Type="http://schemas.openxmlformats.org/officeDocument/2006/relationships/hyperlink" Target="https://embassy6.passportindia.gov.in/AppMissionUIProject/pfc/indexCheckDetailedViewAction.action?fileIndex=1&amp;fileIdpk=1756905089&amp;originalFileNo=AU2065690508925" TargetMode="External"/><Relationship Id="rId264" Type="http://schemas.openxmlformats.org/officeDocument/2006/relationships/hyperlink" Target="https://embassy6.passportindia.gov.in/AppMissionUIProject/pfc/indexCheckDetailedViewAction.action?fileIndex=1&amp;fileIdpk=1756927829&amp;originalFileNo=AU2065692782925" TargetMode="External"/><Relationship Id="rId285" Type="http://schemas.openxmlformats.org/officeDocument/2006/relationships/hyperlink" Target="https://embassy6.passportindia.gov.in/AppMissionUIProject/pfc/indexCheckDetailedViewAction.action?fileIndex=1&amp;fileIdpk=1756928005&amp;originalFileNo=AU2065692800525" TargetMode="External"/><Relationship Id="rId17" Type="http://schemas.openxmlformats.org/officeDocument/2006/relationships/hyperlink" Target="https://embassy6.passportindia.gov.in/AppMissionUIProject/pfc/indexCheckDetailedViewAction.action?fileIndex=1&amp;fileIdpk=1756505839&amp;originalFileNo=AU2065650583925" TargetMode="External"/><Relationship Id="rId38" Type="http://schemas.openxmlformats.org/officeDocument/2006/relationships/hyperlink" Target="https://embassy6.passportindia.gov.in/AppMissionUIProject/pfc/indexCheckDetailedViewAction.action?fileIndex=1&amp;fileIdpk=1756538981&amp;originalFileNo=AU2065653898125" TargetMode="External"/><Relationship Id="rId59" Type="http://schemas.openxmlformats.org/officeDocument/2006/relationships/hyperlink" Target="https://embassy6.passportindia.gov.in/AppMissionUIProject/pfc/indexCheckDetailedViewAction.action?fileIndex=1&amp;fileIdpk=1756581235&amp;originalFileNo=AU2065658123525" TargetMode="External"/><Relationship Id="rId103" Type="http://schemas.openxmlformats.org/officeDocument/2006/relationships/hyperlink" Target="https://embassy6.passportindia.gov.in/AppMissionUIProject/pfc/indexCheckDetailedViewAction.action?fileIndex=1&amp;fileIdpk=1756665103&amp;originalFileNo=AU2065666510325" TargetMode="External"/><Relationship Id="rId124" Type="http://schemas.openxmlformats.org/officeDocument/2006/relationships/hyperlink" Target="https://embassy6.passportindia.gov.in/AppMissionUIProject/pfc/indexCheckDetailedViewAction.action?fileIndex=1&amp;fileIdpk=1756713329&amp;originalFileNo=AU2065671332925" TargetMode="External"/><Relationship Id="rId310" Type="http://schemas.openxmlformats.org/officeDocument/2006/relationships/hyperlink" Target="https://embassy6.passportindia.gov.in/AppMissionUIProject/pfc/indexCheckDetailedViewAction.action?fileIndex=1&amp;fileIdpk=1756960215&amp;originalFileNo=AU2065696021525" TargetMode="External"/><Relationship Id="rId70" Type="http://schemas.openxmlformats.org/officeDocument/2006/relationships/hyperlink" Target="https://embassy6.passportindia.gov.in/AppMissionUIProject/pfc/indexCheckDetailedViewAction.action?fileIndex=1&amp;fileIdpk=1756641945&amp;originalFileNo=AU2065664194525" TargetMode="External"/><Relationship Id="rId91" Type="http://schemas.openxmlformats.org/officeDocument/2006/relationships/hyperlink" Target="https://embassy6.passportindia.gov.in/AppMissionUIProject/pfc/indexCheckDetailedViewAction.action?fileIndex=1&amp;fileIdpk=1756664939&amp;originalFileNo=AU2065666493925" TargetMode="External"/><Relationship Id="rId145" Type="http://schemas.openxmlformats.org/officeDocument/2006/relationships/hyperlink" Target="https://embassy6.passportindia.gov.in/AppMissionUIProject/pfc/indexCheckDetailedViewAction.action?fileIndex=1&amp;fileIdpk=1756776677&amp;originalFileNo=AU2065677667725" TargetMode="External"/><Relationship Id="rId166" Type="http://schemas.openxmlformats.org/officeDocument/2006/relationships/hyperlink" Target="https://embassy6.passportindia.gov.in/AppMissionUIProject/pfc/indexCheckDetailedViewAction.action?fileIndex=1&amp;fileIdpk=1756810841&amp;originalFileNo=AU2065681084125" TargetMode="External"/><Relationship Id="rId187" Type="http://schemas.openxmlformats.org/officeDocument/2006/relationships/hyperlink" Target="https://embassy6.passportindia.gov.in/AppMissionUIProject/pfc/indexCheckDetailedViewAction.action?fileIndex=1&amp;fileIdpk=1756837581&amp;originalFileNo=AU2065683758125" TargetMode="External"/><Relationship Id="rId331" Type="http://schemas.openxmlformats.org/officeDocument/2006/relationships/hyperlink" Target="https://embassy6.passportindia.gov.in/AppMissionUIProject/pfc/indexCheckDetailedViewAction.action?fileIndex=1&amp;fileIdpk=1757003691&amp;originalFileNo=AU2065700369125" TargetMode="External"/><Relationship Id="rId1" Type="http://schemas.openxmlformats.org/officeDocument/2006/relationships/hyperlink" Target="https://embassy6.passportindia.gov.in/AppMissionUIProject/pfc/indexCheckDetailedViewAction.action?fileIndex=1&amp;fileIdpk=1756465195&amp;originalFileNo=AU2065646519525" TargetMode="External"/><Relationship Id="rId212" Type="http://schemas.openxmlformats.org/officeDocument/2006/relationships/hyperlink" Target="https://embassy6.passportindia.gov.in/AppMissionUIProject/pfc/indexCheckDetailedViewAction.action?fileIndex=1&amp;fileIdpk=1756848149&amp;originalFileNo=AU2065684814925" TargetMode="External"/><Relationship Id="rId233" Type="http://schemas.openxmlformats.org/officeDocument/2006/relationships/hyperlink" Target="https://embassy6.passportindia.gov.in/AppMissionUIProject/pfc/indexCheckDetailedViewAction.action?fileIndex=1&amp;fileIdpk=1756871203&amp;originalFileNo=AU2065687120325" TargetMode="External"/><Relationship Id="rId254" Type="http://schemas.openxmlformats.org/officeDocument/2006/relationships/hyperlink" Target="https://embassy6.passportindia.gov.in/AppMissionUIProject/pfc/indexCheckDetailedViewAction.action?fileIndex=1&amp;fileIdpk=1756961161&amp;originalFileNo=AU2065696116125" TargetMode="External"/><Relationship Id="rId28" Type="http://schemas.openxmlformats.org/officeDocument/2006/relationships/hyperlink" Target="https://embassy6.passportindia.gov.in/AppMissionUIProject/pfc/indexCheckDetailedViewAction.action?fileIndex=1&amp;fileIdpk=1756526941&amp;originalFileNo=AU2065652694125" TargetMode="External"/><Relationship Id="rId49" Type="http://schemas.openxmlformats.org/officeDocument/2006/relationships/hyperlink" Target="https://embassy6.passportindia.gov.in/AppMissionUIProject/pfc/indexCheckDetailedViewAction.action?fileIndex=1&amp;fileIdpk=1756539049&amp;originalFileNo=AU2065653904925" TargetMode="External"/><Relationship Id="rId114" Type="http://schemas.openxmlformats.org/officeDocument/2006/relationships/hyperlink" Target="https://embassy6.passportindia.gov.in/AppMissionUIProject/pfc/indexCheckDetailedViewAction.action?fileIndex=1&amp;fileIdpk=1756700347&amp;originalFileNo=AU2065670034725" TargetMode="External"/><Relationship Id="rId275" Type="http://schemas.openxmlformats.org/officeDocument/2006/relationships/hyperlink" Target="https://embassy6.passportindia.gov.in/AppMissionUIProject/pfc/indexCheckDetailedViewAction.action?fileIndex=1&amp;fileIdpk=1756927973&amp;originalFileNo=AU2065692797325" TargetMode="External"/><Relationship Id="rId296" Type="http://schemas.openxmlformats.org/officeDocument/2006/relationships/hyperlink" Target="https://embassy6.passportindia.gov.in/AppMissionUIProject/pfc/indexCheckDetailedViewAction.action?fileIndex=1&amp;fileIdpk=1756949829&amp;originalFileNo=AU2065694982925" TargetMode="External"/><Relationship Id="rId300" Type="http://schemas.openxmlformats.org/officeDocument/2006/relationships/hyperlink" Target="https://embassy6.passportindia.gov.in/AppMissionUIProject/pfc/indexCheckDetailedViewAction.action?fileIndex=1&amp;fileIdpk=1756949843&amp;originalFileNo=AU2065694984325" TargetMode="External"/><Relationship Id="rId60" Type="http://schemas.openxmlformats.org/officeDocument/2006/relationships/hyperlink" Target="https://embassy6.passportindia.gov.in/AppMissionUIProject/pfc/indexCheckDetailedViewAction.action?fileIndex=1&amp;fileIdpk=1756581251&amp;originalFileNo=AU2065658125125" TargetMode="External"/><Relationship Id="rId81" Type="http://schemas.openxmlformats.org/officeDocument/2006/relationships/hyperlink" Target="https://embassy6.passportindia.gov.in/AppMissionUIProject/pfc/indexCheckDetailedViewAction.action?fileIndex=1&amp;fileIdpk=1756664855&amp;originalFileNo=AU2065666485525" TargetMode="External"/><Relationship Id="rId135" Type="http://schemas.openxmlformats.org/officeDocument/2006/relationships/hyperlink" Target="https://embassy6.passportindia.gov.in/AppMissionUIProject/pfc/indexCheckDetailedViewAction.action?fileIndex=1&amp;fileIdpk=1756724349&amp;originalFileNo=AU2065672434925" TargetMode="External"/><Relationship Id="rId156" Type="http://schemas.openxmlformats.org/officeDocument/2006/relationships/hyperlink" Target="https://embassy6.passportindia.gov.in/AppMissionUIProject/pfc/indexCheckDetailedViewAction.action?fileIndex=1&amp;fileIdpk=1756810585&amp;originalFileNo=AU2065681058525" TargetMode="External"/><Relationship Id="rId177" Type="http://schemas.openxmlformats.org/officeDocument/2006/relationships/hyperlink" Target="https://embassy6.passportindia.gov.in/AppMissionUIProject/pfc/indexCheckDetailedViewAction.action?fileIndex=1&amp;fileIdpk=1756812121&amp;originalFileNo=AU2065681212125" TargetMode="External"/><Relationship Id="rId198" Type="http://schemas.openxmlformats.org/officeDocument/2006/relationships/hyperlink" Target="https://embassy6.passportindia.gov.in/AppMissionUIProject/pfc/indexCheckDetailedViewAction.action?fileIndex=1&amp;fileIdpk=1756838079&amp;originalFileNo=AU2065683807925" TargetMode="External"/><Relationship Id="rId321" Type="http://schemas.openxmlformats.org/officeDocument/2006/relationships/hyperlink" Target="https://embassy6.passportindia.gov.in/AppMissionUIProject/pfc/indexCheckDetailedViewAction.action?fileIndex=1&amp;fileIdpk=1756993045&amp;originalFileNo=AU2065699304525" TargetMode="External"/><Relationship Id="rId202" Type="http://schemas.openxmlformats.org/officeDocument/2006/relationships/hyperlink" Target="https://embassy6.passportindia.gov.in/AppMissionUIProject/pfc/indexCheckDetailedViewAction.action?fileIndex=1&amp;fileIdpk=1756838205&amp;originalFileNo=AU2065683820525" TargetMode="External"/><Relationship Id="rId223" Type="http://schemas.openxmlformats.org/officeDocument/2006/relationships/hyperlink" Target="https://embassy6.passportindia.gov.in/AppMissionUIProject/pfc/indexCheckDetailedViewAction.action?fileIndex=1&amp;fileIdpk=1756850179&amp;originalFileNo=AU2065685017925" TargetMode="External"/><Relationship Id="rId244" Type="http://schemas.openxmlformats.org/officeDocument/2006/relationships/hyperlink" Target="https://embassy6.passportindia.gov.in/AppMissionUIProject/pfc/indexCheckDetailedViewAction.action?fileIndex=1&amp;fileIdpk=1756905091&amp;originalFileNo=AU2065690509125" TargetMode="External"/><Relationship Id="rId18" Type="http://schemas.openxmlformats.org/officeDocument/2006/relationships/hyperlink" Target="https://embassy6.passportindia.gov.in/AppMissionUIProject/pfc/indexCheckDetailedViewAction.action?fileIndex=1&amp;fileIdpk=1756505841&amp;originalFileNo=AU2065650584125" TargetMode="External"/><Relationship Id="rId39" Type="http://schemas.openxmlformats.org/officeDocument/2006/relationships/hyperlink" Target="https://embassy6.passportindia.gov.in/AppMissionUIProject/pfc/indexCheckDetailedViewAction.action?fileIndex=1&amp;fileIdpk=1756538991&amp;originalFileNo=AU2065653899125" TargetMode="External"/><Relationship Id="rId265" Type="http://schemas.openxmlformats.org/officeDocument/2006/relationships/hyperlink" Target="https://embassy6.passportindia.gov.in/AppMissionUIProject/pfc/indexCheckDetailedViewAction.action?fileIndex=1&amp;fileIdpk=1756927831&amp;originalFileNo=AU2065692783125" TargetMode="External"/><Relationship Id="rId286" Type="http://schemas.openxmlformats.org/officeDocument/2006/relationships/hyperlink" Target="https://embassy6.passportindia.gov.in/AppMissionUIProject/pfc/indexCheckDetailedViewAction.action?fileIndex=1&amp;fileIdpk=1756928009&amp;originalFileNo=AU2065692800925" TargetMode="External"/><Relationship Id="rId50" Type="http://schemas.openxmlformats.org/officeDocument/2006/relationships/hyperlink" Target="https://embassy6.passportindia.gov.in/AppMissionUIProject/pfc/indexCheckDetailedViewAction.action?fileIndex=1&amp;fileIdpk=1756539059&amp;originalFileNo=AU2065653905925" TargetMode="External"/><Relationship Id="rId104" Type="http://schemas.openxmlformats.org/officeDocument/2006/relationships/hyperlink" Target="https://embassy6.passportindia.gov.in/AppMissionUIProject/pfc/indexCheckDetailedViewAction.action?fileIndex=1&amp;fileIdpk=1756665109&amp;originalFileNo=AU2065666510925" TargetMode="External"/><Relationship Id="rId125" Type="http://schemas.openxmlformats.org/officeDocument/2006/relationships/hyperlink" Target="https://embassy6.passportindia.gov.in/AppMissionUIProject/pfc/indexCheckDetailedViewAction.action?fileIndex=1&amp;fileIdpk=1756713367&amp;originalFileNo=AU2065671336725" TargetMode="External"/><Relationship Id="rId146" Type="http://schemas.openxmlformats.org/officeDocument/2006/relationships/hyperlink" Target="https://embassy6.passportindia.gov.in/AppMissionUIProject/pfc/indexCheckDetailedViewAction.action?fileIndex=1&amp;fileIdpk=1756776685&amp;originalFileNo=AU2065677668525" TargetMode="External"/><Relationship Id="rId167" Type="http://schemas.openxmlformats.org/officeDocument/2006/relationships/hyperlink" Target="https://embassy6.passportindia.gov.in/AppMissionUIProject/pfc/indexCheckDetailedViewAction.action?fileIndex=1&amp;fileIdpk=1756811021&amp;originalFileNo=AU2065681102125" TargetMode="External"/><Relationship Id="rId188" Type="http://schemas.openxmlformats.org/officeDocument/2006/relationships/hyperlink" Target="https://embassy6.passportindia.gov.in/AppMissionUIProject/pfc/indexCheckDetailedViewAction.action?fileIndex=1&amp;fileIdpk=1756837583&amp;originalFileNo=AU2065683758325" TargetMode="External"/><Relationship Id="rId311" Type="http://schemas.openxmlformats.org/officeDocument/2006/relationships/hyperlink" Target="https://embassy6.passportindia.gov.in/AppMissionUIProject/pfc/indexCheckDetailedViewAction.action?fileIndex=1&amp;fileIdpk=1756960223&amp;originalFileNo=AU2065696022325" TargetMode="External"/><Relationship Id="rId332" Type="http://schemas.openxmlformats.org/officeDocument/2006/relationships/hyperlink" Target="https://embassy6.passportindia.gov.in/AppMissionUIProject/pfc/indexCheckDetailedViewAction.action?fileIndex=1&amp;fileIdpk=1757031887&amp;originalFileNo=AU2065703188725" TargetMode="External"/><Relationship Id="rId71" Type="http://schemas.openxmlformats.org/officeDocument/2006/relationships/hyperlink" Target="https://embassy6.passportindia.gov.in/AppMissionUIProject/pfc/indexCheckDetailedViewAction.action?fileIndex=1&amp;fileIdpk=1756418215&amp;originalFileNo=AU2065641821525" TargetMode="External"/><Relationship Id="rId92" Type="http://schemas.openxmlformats.org/officeDocument/2006/relationships/hyperlink" Target="https://embassy6.passportindia.gov.in/AppMissionUIProject/pfc/indexCheckDetailedViewAction.action?fileIndex=1&amp;fileIdpk=1756664981&amp;originalFileNo=AU2065666498125" TargetMode="External"/><Relationship Id="rId213" Type="http://schemas.openxmlformats.org/officeDocument/2006/relationships/hyperlink" Target="https://embassy6.passportindia.gov.in/AppMissionUIProject/pfc/indexCheckDetailedViewAction.action?fileIndex=1&amp;fileIdpk=1756848151&amp;originalFileNo=AU2065684815125" TargetMode="External"/><Relationship Id="rId234" Type="http://schemas.openxmlformats.org/officeDocument/2006/relationships/hyperlink" Target="https://embassy6.passportindia.gov.in/AppMissionUIProject/pfc/indexCheckDetailedViewAction.action?fileIndex=1&amp;fileIdpk=1756871207&amp;originalFileNo=AU2065687120725" TargetMode="External"/><Relationship Id="rId2" Type="http://schemas.openxmlformats.org/officeDocument/2006/relationships/hyperlink" Target="https://embassy6.passportindia.gov.in/AppMissionUIProject/pfc/indexCheckDetailedViewAction.action?fileIndex=1&amp;fileIdpk=1756465203&amp;originalFileNo=AU2065646520325" TargetMode="External"/><Relationship Id="rId29" Type="http://schemas.openxmlformats.org/officeDocument/2006/relationships/hyperlink" Target="https://embassy6.passportindia.gov.in/AppMissionUIProject/pfc/indexCheckDetailedViewAction.action?fileIndex=1&amp;fileIdpk=1756526947&amp;originalFileNo=AU2065652694725" TargetMode="External"/><Relationship Id="rId255" Type="http://schemas.openxmlformats.org/officeDocument/2006/relationships/hyperlink" Target="https://embassy6.passportindia.gov.in/AppMissionUIProject/pfc/indexCheckDetailedViewAction.action?fileIndex=1&amp;fileIdpk=1756961127&amp;originalFileNo=AU2065696112725" TargetMode="External"/><Relationship Id="rId276" Type="http://schemas.openxmlformats.org/officeDocument/2006/relationships/hyperlink" Target="https://embassy6.passportindia.gov.in/AppMissionUIProject/pfc/indexCheckDetailedViewAction.action?fileIndex=1&amp;fileIdpk=1756927975&amp;originalFileNo=AU2065692797525" TargetMode="External"/><Relationship Id="rId297" Type="http://schemas.openxmlformats.org/officeDocument/2006/relationships/hyperlink" Target="https://embassy6.passportindia.gov.in/AppMissionUIProject/pfc/indexCheckDetailedViewAction.action?fileIndex=1&amp;fileIdpk=1756949833&amp;originalFileNo=AU2065694983325" TargetMode="External"/><Relationship Id="rId40" Type="http://schemas.openxmlformats.org/officeDocument/2006/relationships/hyperlink" Target="https://embassy6.passportindia.gov.in/AppMissionUIProject/pfc/indexCheckDetailedViewAction.action?fileIndex=1&amp;fileIdpk=1756538999&amp;originalFileNo=AU2065653899925" TargetMode="External"/><Relationship Id="rId115" Type="http://schemas.openxmlformats.org/officeDocument/2006/relationships/hyperlink" Target="https://embassy6.passportindia.gov.in/AppMissionUIProject/pfc/indexCheckDetailedViewAction.action?fileIndex=1&amp;fileIdpk=1756700559&amp;originalFileNo=AU2065670055925" TargetMode="External"/><Relationship Id="rId136" Type="http://schemas.openxmlformats.org/officeDocument/2006/relationships/hyperlink" Target="https://embassy6.passportindia.gov.in/AppMissionUIProject/pfc/indexCheckDetailedViewAction.action?fileIndex=1&amp;fileIdpk=1756724351&amp;originalFileNo=AU2065672435125" TargetMode="External"/><Relationship Id="rId157" Type="http://schemas.openxmlformats.org/officeDocument/2006/relationships/hyperlink" Target="https://embassy6.passportindia.gov.in/AppMissionUIProject/pfc/indexCheckDetailedViewAction.action?fileIndex=1&amp;fileIdpk=1756810591&amp;originalFileNo=AU2065681059125" TargetMode="External"/><Relationship Id="rId178" Type="http://schemas.openxmlformats.org/officeDocument/2006/relationships/hyperlink" Target="https://embassy6.passportindia.gov.in/AppMissionUIProject/pfc/indexCheckDetailedViewAction.action?fileIndex=1&amp;fileIdpk=1756812135&amp;originalFileNo=AU2065681213525" TargetMode="External"/><Relationship Id="rId301" Type="http://schemas.openxmlformats.org/officeDocument/2006/relationships/hyperlink" Target="https://embassy6.passportindia.gov.in/AppMissionUIProject/pfc/indexCheckDetailedViewAction.action?fileIndex=1&amp;fileIdpk=1756949847&amp;originalFileNo=AU2065694984725" TargetMode="External"/><Relationship Id="rId322" Type="http://schemas.openxmlformats.org/officeDocument/2006/relationships/hyperlink" Target="https://embassy6.passportindia.gov.in/AppMissionUIProject/pfc/indexCheckDetailedViewAction.action?fileIndex=1&amp;fileIdpk=1757003643&amp;originalFileNo=AU2065700364325" TargetMode="External"/><Relationship Id="rId61" Type="http://schemas.openxmlformats.org/officeDocument/2006/relationships/hyperlink" Target="https://embassy6.passportindia.gov.in/AppMissionUIProject/pfc/indexCheckDetailedViewAction.action?fileIndex=1&amp;fileIdpk=1756581309&amp;originalFileNo=AU2065658130925" TargetMode="External"/><Relationship Id="rId82" Type="http://schemas.openxmlformats.org/officeDocument/2006/relationships/hyperlink" Target="https://embassy6.passportindia.gov.in/AppMissionUIProject/pfc/indexCheckDetailedViewAction.action?fileIndex=1&amp;fileIdpk=1756664863&amp;originalFileNo=AU2065666486325" TargetMode="External"/><Relationship Id="rId199" Type="http://schemas.openxmlformats.org/officeDocument/2006/relationships/hyperlink" Target="https://embassy6.passportindia.gov.in/AppMissionUIProject/pfc/indexCheckDetailedViewAction.action?fileIndex=1&amp;fileIdpk=1756838087&amp;originalFileNo=AU2065683808725" TargetMode="External"/><Relationship Id="rId203" Type="http://schemas.openxmlformats.org/officeDocument/2006/relationships/hyperlink" Target="https://embassy6.passportindia.gov.in/AppMissionUIProject/pfc/indexCheckDetailedViewAction.action?fileIndex=1&amp;fileIdpk=1756838249&amp;originalFileNo=AU2065683824925" TargetMode="External"/><Relationship Id="rId19" Type="http://schemas.openxmlformats.org/officeDocument/2006/relationships/hyperlink" Target="https://embassy6.passportindia.gov.in/AppMissionUIProject/pfc/indexCheckDetailedViewAction.action?fileIndex=1&amp;fileIdpk=1756505843&amp;originalFileNo=AU2065650584325" TargetMode="External"/><Relationship Id="rId224" Type="http://schemas.openxmlformats.org/officeDocument/2006/relationships/hyperlink" Target="https://embassy6.passportindia.gov.in/AppMissionUIProject/pfc/indexCheckDetailedViewAction.action?fileIndex=1&amp;fileIdpk=1756850207&amp;originalFileNo=AU2065685020725" TargetMode="External"/><Relationship Id="rId245" Type="http://schemas.openxmlformats.org/officeDocument/2006/relationships/hyperlink" Target="https://embassy6.passportindia.gov.in/AppMissionUIProject/pfc/indexCheckDetailedViewAction.action?fileIndex=1&amp;fileIdpk=1756905095&amp;originalFileNo=AU2065690509525" TargetMode="External"/><Relationship Id="rId266" Type="http://schemas.openxmlformats.org/officeDocument/2006/relationships/hyperlink" Target="https://embassy6.passportindia.gov.in/AppMissionUIProject/pfc/indexCheckDetailedViewAction.action?fileIndex=1&amp;fileIdpk=1756927835&amp;originalFileNo=AU2065692783525" TargetMode="External"/><Relationship Id="rId287" Type="http://schemas.openxmlformats.org/officeDocument/2006/relationships/hyperlink" Target="https://embassy6.passportindia.gov.in/AppMissionUIProject/pfc/indexCheckDetailedViewAction.action?fileIndex=1&amp;fileIdpk=1756928015&amp;originalFileNo=AU2065692801525" TargetMode="External"/><Relationship Id="rId30" Type="http://schemas.openxmlformats.org/officeDocument/2006/relationships/hyperlink" Target="https://embassy6.passportindia.gov.in/AppMissionUIProject/pfc/indexCheckDetailedViewAction.action?fileIndex=1&amp;fileIdpk=1756529071&amp;originalFileNo=AU2065652907125" TargetMode="External"/><Relationship Id="rId105" Type="http://schemas.openxmlformats.org/officeDocument/2006/relationships/hyperlink" Target="https://embassy6.passportindia.gov.in/AppMissionUIProject/pfc/indexCheckDetailedViewAction.action?fileIndex=1&amp;fileIdpk=1756665115&amp;originalFileNo=AU2065666511525" TargetMode="External"/><Relationship Id="rId126" Type="http://schemas.openxmlformats.org/officeDocument/2006/relationships/hyperlink" Target="https://embassy6.passportindia.gov.in/AppMissionUIProject/pfc/indexCheckDetailedViewAction.action?fileIndex=1&amp;fileIdpk=1756713375&amp;originalFileNo=AU2065671337525" TargetMode="External"/><Relationship Id="rId147" Type="http://schemas.openxmlformats.org/officeDocument/2006/relationships/hyperlink" Target="https://embassy6.passportindia.gov.in/AppMissionUIProject/pfc/indexCheckDetailedViewAction.action?fileIndex=1&amp;fileIdpk=1756776695&amp;originalFileNo=AU2065677669525" TargetMode="External"/><Relationship Id="rId168" Type="http://schemas.openxmlformats.org/officeDocument/2006/relationships/hyperlink" Target="https://embassy6.passportindia.gov.in/AppMissionUIProject/pfc/indexCheckDetailedViewAction.action?fileIndex=1&amp;fileIdpk=1756811029&amp;originalFileNo=AU2065681102925" TargetMode="External"/><Relationship Id="rId312" Type="http://schemas.openxmlformats.org/officeDocument/2006/relationships/hyperlink" Target="https://embassy6.passportindia.gov.in/AppMissionUIProject/pfc/indexCheckDetailedViewAction.action?fileIndex=1&amp;fileIdpk=1756960231&amp;originalFileNo=AU2065696023125" TargetMode="External"/><Relationship Id="rId333" Type="http://schemas.openxmlformats.org/officeDocument/2006/relationships/hyperlink" Target="https://embassy6.passportindia.gov.in/AppMissionUIProject/pfc/indexCheckDetailedViewAction.action?fileIndex=1&amp;fileIdpk=1757031883&amp;originalFileNo=AU2065703188325" TargetMode="External"/><Relationship Id="rId51" Type="http://schemas.openxmlformats.org/officeDocument/2006/relationships/hyperlink" Target="https://embassy6.passportindia.gov.in/AppMissionUIProject/pfc/indexCheckDetailedViewAction.action?fileIndex=1&amp;fileIdpk=1756539069&amp;originalFileNo=AU2065653906925" TargetMode="External"/><Relationship Id="rId72" Type="http://schemas.openxmlformats.org/officeDocument/2006/relationships/hyperlink" Target="https://embassy6.passportindia.gov.in/AppMissionUIProject/pfc/indexCheckDetailedViewAction.action?fileIndex=1&amp;fileIdpk=1756374337&amp;originalFileNo=AU2065637433725" TargetMode="External"/><Relationship Id="rId93" Type="http://schemas.openxmlformats.org/officeDocument/2006/relationships/hyperlink" Target="https://embassy6.passportindia.gov.in/AppMissionUIProject/pfc/indexCheckDetailedViewAction.action?fileIndex=1&amp;fileIdpk=1756664995&amp;originalFileNo=AU2065666499525" TargetMode="External"/><Relationship Id="rId189" Type="http://schemas.openxmlformats.org/officeDocument/2006/relationships/hyperlink" Target="https://embassy6.passportindia.gov.in/AppMissionUIProject/pfc/indexCheckDetailedViewAction.action?fileIndex=1&amp;fileIdpk=1756837589&amp;originalFileNo=AU2065683758925" TargetMode="External"/><Relationship Id="rId3" Type="http://schemas.openxmlformats.org/officeDocument/2006/relationships/hyperlink" Target="https://embassy6.passportindia.gov.in/AppMissionUIProject/pfc/indexCheckDetailedViewAction.action?fileIndex=1&amp;fileIdpk=1756465205&amp;originalFileNo=AU2065646520525" TargetMode="External"/><Relationship Id="rId214" Type="http://schemas.openxmlformats.org/officeDocument/2006/relationships/hyperlink" Target="https://embassy6.passportindia.gov.in/AppMissionUIProject/pfc/indexCheckDetailedViewAction.action?fileIndex=1&amp;fileIdpk=1756848157&amp;originalFileNo=AU2065684815725" TargetMode="External"/><Relationship Id="rId235" Type="http://schemas.openxmlformats.org/officeDocument/2006/relationships/hyperlink" Target="https://embassy6.passportindia.gov.in/AppMissionUIProject/pfc/indexCheckDetailedViewAction.action?fileIndex=1&amp;fileIdpk=1756871209&amp;originalFileNo=AU2065687120925" TargetMode="External"/><Relationship Id="rId256" Type="http://schemas.openxmlformats.org/officeDocument/2006/relationships/hyperlink" Target="https://embassy6.passportindia.gov.in/AppMissionUIProject/pfc/indexCheckDetailedViewAction.action?fileIndex=1&amp;fileIdpk=1756961105&amp;originalFileNo=AU2065696110525" TargetMode="External"/><Relationship Id="rId277" Type="http://schemas.openxmlformats.org/officeDocument/2006/relationships/hyperlink" Target="https://embassy6.passportindia.gov.in/AppMissionUIProject/pfc/indexCheckDetailedViewAction.action?fileIndex=1&amp;fileIdpk=1756927977&amp;originalFileNo=AU2065692797725" TargetMode="External"/><Relationship Id="rId298" Type="http://schemas.openxmlformats.org/officeDocument/2006/relationships/hyperlink" Target="https://embassy6.passportindia.gov.in/AppMissionUIProject/pfc/indexCheckDetailedViewAction.action?fileIndex=1&amp;fileIdpk=1756949837&amp;originalFileNo=AU2065694983725" TargetMode="External"/><Relationship Id="rId116" Type="http://schemas.openxmlformats.org/officeDocument/2006/relationships/hyperlink" Target="https://embassy6.passportindia.gov.in/AppMissionUIProject/pfc/indexCheckDetailedViewAction.action?fileIndex=1&amp;fileIdpk=1756711977&amp;originalFileNo=AU2065671197725" TargetMode="External"/><Relationship Id="rId137" Type="http://schemas.openxmlformats.org/officeDocument/2006/relationships/hyperlink" Target="https://embassy6.passportindia.gov.in/AppMissionUIProject/pfc/indexCheckDetailedViewAction.action?fileIndex=1&amp;fileIdpk=1756724355&amp;originalFileNo=AU2065672435525" TargetMode="External"/><Relationship Id="rId158" Type="http://schemas.openxmlformats.org/officeDocument/2006/relationships/hyperlink" Target="https://embassy6.passportindia.gov.in/AppMissionUIProject/pfc/indexCheckDetailedViewAction.action?fileIndex=1&amp;fileIdpk=1756810595&amp;originalFileNo=AU2065681059525" TargetMode="External"/><Relationship Id="rId302" Type="http://schemas.openxmlformats.org/officeDocument/2006/relationships/hyperlink" Target="https://embassy6.passportindia.gov.in/AppMissionUIProject/pfc/indexCheckDetailedViewAction.action?fileIndex=1&amp;fileIdpk=1756949851&amp;originalFileNo=AU2065694985125" TargetMode="External"/><Relationship Id="rId323" Type="http://schemas.openxmlformats.org/officeDocument/2006/relationships/hyperlink" Target="https://embassy6.passportindia.gov.in/AppMissionUIProject/pfc/indexCheckDetailedViewAction.action?fileIndex=1&amp;fileIdpk=1757003647&amp;originalFileNo=AU2065700364725" TargetMode="External"/><Relationship Id="rId20" Type="http://schemas.openxmlformats.org/officeDocument/2006/relationships/hyperlink" Target="https://embassy6.passportindia.gov.in/AppMissionUIProject/pfc/indexCheckDetailedViewAction.action?fileIndex=1&amp;fileIdpk=1756505845&amp;originalFileNo=AU2065650584525" TargetMode="External"/><Relationship Id="rId41" Type="http://schemas.openxmlformats.org/officeDocument/2006/relationships/hyperlink" Target="https://embassy6.passportindia.gov.in/AppMissionUIProject/pfc/indexCheckDetailedViewAction.action?fileIndex=1&amp;fileIdpk=1756539005&amp;originalFileNo=AU2065653900525" TargetMode="External"/><Relationship Id="rId62" Type="http://schemas.openxmlformats.org/officeDocument/2006/relationships/hyperlink" Target="https://embassy6.passportindia.gov.in/AppMissionUIProject/pfc/indexCheckDetailedViewAction.action?fileIndex=1&amp;fileIdpk=1756581339&amp;originalFileNo=AU2065658133925" TargetMode="External"/><Relationship Id="rId83" Type="http://schemas.openxmlformats.org/officeDocument/2006/relationships/hyperlink" Target="https://embassy6.passportindia.gov.in/AppMissionUIProject/pfc/indexCheckDetailedViewAction.action?fileIndex=1&amp;fileIdpk=1756664869&amp;originalFileNo=AU2065666486925" TargetMode="External"/><Relationship Id="rId179" Type="http://schemas.openxmlformats.org/officeDocument/2006/relationships/hyperlink" Target="https://embassy6.passportindia.gov.in/AppMissionUIProject/pfc/indexCheckDetailedViewAction.action?fileIndex=1&amp;fileIdpk=1756812155&amp;originalFileNo=AU2065681215525" TargetMode="External"/><Relationship Id="rId190" Type="http://schemas.openxmlformats.org/officeDocument/2006/relationships/hyperlink" Target="https://embassy6.passportindia.gov.in/AppMissionUIProject/pfc/indexCheckDetailedViewAction.action?fileIndex=1&amp;fileIdpk=1756837593&amp;originalFileNo=AU2065683759325" TargetMode="External"/><Relationship Id="rId204" Type="http://schemas.openxmlformats.org/officeDocument/2006/relationships/hyperlink" Target="https://embassy6.passportindia.gov.in/AppMissionUIProject/pfc/indexCheckDetailedViewAction.action?fileIndex=1&amp;fileIdpk=1756838257&amp;originalFileNo=AU2065683825725" TargetMode="External"/><Relationship Id="rId225" Type="http://schemas.openxmlformats.org/officeDocument/2006/relationships/hyperlink" Target="https://embassy6.passportindia.gov.in/AppMissionUIProject/pfc/indexCheckDetailedViewAction.action?fileIndex=1&amp;fileIdpk=1756850229&amp;originalFileNo=AU2065685022925" TargetMode="External"/><Relationship Id="rId246" Type="http://schemas.openxmlformats.org/officeDocument/2006/relationships/hyperlink" Target="https://embassy6.passportindia.gov.in/AppMissionUIProject/pfc/indexCheckDetailedViewAction.action?fileIndex=1&amp;fileIdpk=1756927713&amp;originalFileNo=AU2065692771325" TargetMode="External"/><Relationship Id="rId267" Type="http://schemas.openxmlformats.org/officeDocument/2006/relationships/hyperlink" Target="https://embassy6.passportindia.gov.in/AppMissionUIProject/pfc/indexCheckDetailedViewAction.action?fileIndex=1&amp;fileIdpk=1756927841&amp;originalFileNo=AU2065692784125" TargetMode="External"/><Relationship Id="rId288" Type="http://schemas.openxmlformats.org/officeDocument/2006/relationships/hyperlink" Target="https://embassy6.passportindia.gov.in/AppMissionUIProject/pfc/indexCheckDetailedViewAction.action?fileIndex=1&amp;fileIdpk=1756938665&amp;originalFileNo=AU2065693866525" TargetMode="External"/><Relationship Id="rId106" Type="http://schemas.openxmlformats.org/officeDocument/2006/relationships/hyperlink" Target="https://embassy6.passportindia.gov.in/AppMissionUIProject/pfc/indexCheckDetailedViewAction.action?fileIndex=1&amp;fileIdpk=1756665121&amp;originalFileNo=AU2065666512125" TargetMode="External"/><Relationship Id="rId127" Type="http://schemas.openxmlformats.org/officeDocument/2006/relationships/hyperlink" Target="https://embassy6.passportindia.gov.in/AppMissionUIProject/pfc/indexCheckDetailedViewAction.action?fileIndex=1&amp;fileIdpk=1756723949&amp;originalFileNo=AU2065672394925" TargetMode="External"/><Relationship Id="rId313" Type="http://schemas.openxmlformats.org/officeDocument/2006/relationships/hyperlink" Target="https://embassy6.passportindia.gov.in/AppMissionUIProject/pfc/indexCheckDetailedViewAction.action?fileIndex=1&amp;fileIdpk=1756960235&amp;originalFileNo=AU2065696023525" TargetMode="External"/><Relationship Id="rId10" Type="http://schemas.openxmlformats.org/officeDocument/2006/relationships/hyperlink" Target="https://embassy6.passportindia.gov.in/AppMissionUIProject/pfc/indexCheckDetailedViewAction.action?fileIndex=1&amp;fileIdpk=1756494097&amp;originalFileNo=AU2065649409725" TargetMode="External"/><Relationship Id="rId31" Type="http://schemas.openxmlformats.org/officeDocument/2006/relationships/hyperlink" Target="https://embassy6.passportindia.gov.in/AppMissionUIProject/pfc/indexCheckDetailedViewAction.action?fileIndex=1&amp;fileIdpk=1756529123&amp;originalFileNo=AU2065652912325" TargetMode="External"/><Relationship Id="rId52" Type="http://schemas.openxmlformats.org/officeDocument/2006/relationships/hyperlink" Target="https://embassy6.passportindia.gov.in/AppMissionUIProject/pfc/indexCheckDetailedViewAction.action?fileIndex=1&amp;fileIdpk=1756594291&amp;originalFileNo=AU2065659429125" TargetMode="External"/><Relationship Id="rId73" Type="http://schemas.openxmlformats.org/officeDocument/2006/relationships/hyperlink" Target="https://embassy6.passportindia.gov.in/AppMissionUIProject/pfc/indexCheckDetailedViewAction.action?fileIndex=1&amp;fileIdpk=1756712021&amp;originalFileNo=AU2065671202125" TargetMode="External"/><Relationship Id="rId94" Type="http://schemas.openxmlformats.org/officeDocument/2006/relationships/hyperlink" Target="https://embassy6.passportindia.gov.in/AppMissionUIProject/pfc/indexCheckDetailedViewAction.action?fileIndex=1&amp;fileIdpk=1756665007&amp;originalFileNo=AU2065666500725" TargetMode="External"/><Relationship Id="rId148" Type="http://schemas.openxmlformats.org/officeDocument/2006/relationships/hyperlink" Target="https://embassy6.passportindia.gov.in/AppMissionUIProject/pfc/indexCheckDetailedViewAction.action?fileIndex=1&amp;fileIdpk=1756798569&amp;originalFileNo=AU2065679856925" TargetMode="External"/><Relationship Id="rId169" Type="http://schemas.openxmlformats.org/officeDocument/2006/relationships/hyperlink" Target="https://embassy6.passportindia.gov.in/AppMissionUIProject/pfc/indexCheckDetailedViewAction.action?fileIndex=1&amp;fileIdpk=1756811041&amp;originalFileNo=AU2065681104125" TargetMode="External"/><Relationship Id="rId334" Type="http://schemas.openxmlformats.org/officeDocument/2006/relationships/hyperlink" Target="https://embassy6.passportindia.gov.in/AppMissionUIProject/pfc/indexCheckDetailedViewAction.action?fileIndex=1&amp;fileIdpk=1757031989&amp;originalFileNo=AU2065703198925" TargetMode="External"/><Relationship Id="rId4" Type="http://schemas.openxmlformats.org/officeDocument/2006/relationships/hyperlink" Target="https://embassy6.passportindia.gov.in/AppMissionUIProject/pfc/indexCheckDetailedViewAction.action?fileIndex=1&amp;fileIdpk=1756465209&amp;originalFileNo=AU2065646520925" TargetMode="External"/><Relationship Id="rId180" Type="http://schemas.openxmlformats.org/officeDocument/2006/relationships/hyperlink" Target="https://embassy6.passportindia.gov.in/AppMissionUIProject/pfc/indexCheckDetailedViewAction.action?fileIndex=1&amp;fileIdpk=1756723967&amp;originalFileNo=AU2065672396725" TargetMode="External"/><Relationship Id="rId215" Type="http://schemas.openxmlformats.org/officeDocument/2006/relationships/hyperlink" Target="https://embassy6.passportindia.gov.in/AppMissionUIProject/pfc/indexCheckDetailedViewAction.action?fileIndex=1&amp;fileIdpk=1756849183&amp;originalFileNo=AU2065684918325" TargetMode="External"/><Relationship Id="rId236" Type="http://schemas.openxmlformats.org/officeDocument/2006/relationships/hyperlink" Target="https://embassy6.passportindia.gov.in/AppMissionUIProject/pfc/indexCheckDetailedViewAction.action?fileIndex=1&amp;fileIdpk=1756871215&amp;originalFileNo=AU2065687121525" TargetMode="External"/><Relationship Id="rId257" Type="http://schemas.openxmlformats.org/officeDocument/2006/relationships/hyperlink" Target="https://embassy6.passportindia.gov.in/AppMissionUIProject/pfc/indexCheckDetailedViewAction.action?fileIndex=1&amp;fileIdpk=1756961067&amp;originalFileNo=AU2065696106725" TargetMode="External"/><Relationship Id="rId278" Type="http://schemas.openxmlformats.org/officeDocument/2006/relationships/hyperlink" Target="https://embassy6.passportindia.gov.in/AppMissionUIProject/pfc/indexCheckDetailedViewAction.action?fileIndex=1&amp;fileIdpk=1756927979&amp;originalFileNo=AU2065692797925" TargetMode="External"/><Relationship Id="rId303" Type="http://schemas.openxmlformats.org/officeDocument/2006/relationships/hyperlink" Target="https://embassy6.passportindia.gov.in/AppMissionUIProject/pfc/indexCheckDetailedViewAction.action?fileIndex=1&amp;fileIdpk=1756949855&amp;originalFileNo=AU2065694985525" TargetMode="External"/><Relationship Id="rId42" Type="http://schemas.openxmlformats.org/officeDocument/2006/relationships/hyperlink" Target="https://embassy6.passportindia.gov.in/AppMissionUIProject/pfc/indexCheckDetailedViewAction.action?fileIndex=1&amp;fileIdpk=1756539009&amp;originalFileNo=AU2065653900925" TargetMode="External"/><Relationship Id="rId84" Type="http://schemas.openxmlformats.org/officeDocument/2006/relationships/hyperlink" Target="https://embassy6.passportindia.gov.in/AppMissionUIProject/pfc/indexCheckDetailedViewAction.action?fileIndex=1&amp;fileIdpk=1756664879&amp;originalFileNo=AU2065666487925" TargetMode="External"/><Relationship Id="rId138" Type="http://schemas.openxmlformats.org/officeDocument/2006/relationships/hyperlink" Target="https://embassy6.passportindia.gov.in/AppMissionUIProject/pfc/indexCheckDetailedViewAction.action?fileIndex=1&amp;fileIdpk=1756724357&amp;originalFileNo=AU2065672435725" TargetMode="External"/><Relationship Id="rId191" Type="http://schemas.openxmlformats.org/officeDocument/2006/relationships/hyperlink" Target="https://embassy6.passportindia.gov.in/AppMissionUIProject/pfc/indexCheckDetailedViewAction.action?fileIndex=1&amp;fileIdpk=1756837597&amp;originalFileNo=AU2065683759725" TargetMode="External"/><Relationship Id="rId205" Type="http://schemas.openxmlformats.org/officeDocument/2006/relationships/hyperlink" Target="https://embassy6.passportindia.gov.in/AppMissionUIProject/pfc/indexCheckDetailedViewAction.action?fileIndex=1&amp;fileIdpk=1756838297&amp;originalFileNo=AU2065683829725" TargetMode="External"/><Relationship Id="rId247" Type="http://schemas.openxmlformats.org/officeDocument/2006/relationships/hyperlink" Target="https://embassy6.passportindia.gov.in/AppMissionUIProject/pfc/indexCheckDetailedViewAction.action?fileIndex=1&amp;fileIdpk=1756927715&amp;originalFileNo=AU2065692771525" TargetMode="External"/><Relationship Id="rId107" Type="http://schemas.openxmlformats.org/officeDocument/2006/relationships/hyperlink" Target="https://embassy6.passportindia.gov.in/AppMissionUIProject/pfc/indexCheckDetailedViewAction.action?fileIndex=1&amp;fileIdpk=1756665129&amp;originalFileNo=AU2065666512925" TargetMode="External"/><Relationship Id="rId289" Type="http://schemas.openxmlformats.org/officeDocument/2006/relationships/hyperlink" Target="https://embassy6.passportindia.gov.in/AppMissionUIProject/pfc/indexCheckDetailedViewAction.action?fileIndex=1&amp;fileIdpk=1756938367&amp;originalFileNo=AU2065693836725" TargetMode="External"/><Relationship Id="rId11" Type="http://schemas.openxmlformats.org/officeDocument/2006/relationships/hyperlink" Target="https://embassy6.passportindia.gov.in/AppMissionUIProject/pfc/indexCheckDetailedViewAction.action?fileIndex=1&amp;fileIdpk=1756494099&amp;originalFileNo=AU2065649409925" TargetMode="External"/><Relationship Id="rId53" Type="http://schemas.openxmlformats.org/officeDocument/2006/relationships/hyperlink" Target="https://embassy6.passportindia.gov.in/AppMissionUIProject/pfc/indexCheckDetailedViewAction.action?fileIndex=1&amp;fileIdpk=1756594309&amp;originalFileNo=AU2065659430925" TargetMode="External"/><Relationship Id="rId149" Type="http://schemas.openxmlformats.org/officeDocument/2006/relationships/hyperlink" Target="https://embassy6.passportindia.gov.in/AppMissionUIProject/pfc/indexCheckDetailedViewAction.action?fileIndex=1&amp;fileIdpk=1756798575&amp;originalFileNo=AU2065679857525" TargetMode="External"/><Relationship Id="rId314" Type="http://schemas.openxmlformats.org/officeDocument/2006/relationships/hyperlink" Target="https://embassy6.passportindia.gov.in/AppMissionUIProject/pfc/indexCheckDetailedViewAction.action?fileIndex=1&amp;fileIdpk=1756982487&amp;originalFileNo=AU2065698248725" TargetMode="External"/><Relationship Id="rId95" Type="http://schemas.openxmlformats.org/officeDocument/2006/relationships/hyperlink" Target="https://embassy6.passportindia.gov.in/AppMissionUIProject/pfc/indexCheckDetailedViewAction.action?fileIndex=1&amp;fileIdpk=1756665011&amp;originalFileNo=AU2065666501125" TargetMode="External"/><Relationship Id="rId160" Type="http://schemas.openxmlformats.org/officeDocument/2006/relationships/hyperlink" Target="https://embassy6.passportindia.gov.in/AppMissionUIProject/pfc/indexCheckDetailedViewAction.action?fileIndex=1&amp;fileIdpk=1756810605&amp;originalFileNo=AU2065681060525" TargetMode="External"/><Relationship Id="rId216" Type="http://schemas.openxmlformats.org/officeDocument/2006/relationships/hyperlink" Target="https://embassy6.passportindia.gov.in/AppMissionUIProject/pfc/indexCheckDetailedViewAction.action?fileIndex=1&amp;fileIdpk=1756849191&amp;originalFileNo=AU2065684919125" TargetMode="External"/><Relationship Id="rId258" Type="http://schemas.openxmlformats.org/officeDocument/2006/relationships/hyperlink" Target="https://embassy6.passportindia.gov.in/AppMissionUIProject/pfc/indexCheckDetailedViewAction.action?fileIndex=1&amp;fileIdpk=1756961027&amp;originalFileNo=AU2065696102725" TargetMode="External"/><Relationship Id="rId22" Type="http://schemas.openxmlformats.org/officeDocument/2006/relationships/hyperlink" Target="https://embassy6.passportindia.gov.in/AppMissionUIProject/pfc/indexCheckDetailedViewAction.action?fileIndex=1&amp;fileIdpk=1756505849&amp;originalFileNo=AU2065650584925" TargetMode="External"/><Relationship Id="rId64" Type="http://schemas.openxmlformats.org/officeDocument/2006/relationships/hyperlink" Target="https://embassy6.passportindia.gov.in/AppMissionUIProject/pfc/indexCheckDetailedViewAction.action?fileIndex=1&amp;fileIdpk=1756581401&amp;originalFileNo=AU2065658140125" TargetMode="External"/><Relationship Id="rId118" Type="http://schemas.openxmlformats.org/officeDocument/2006/relationships/hyperlink" Target="https://embassy6.passportindia.gov.in/AppMissionUIProject/pfc/indexCheckDetailedViewAction.action?fileIndex=1&amp;fileIdpk=1756711981&amp;originalFileNo=AU2065671198125" TargetMode="External"/><Relationship Id="rId325" Type="http://schemas.openxmlformats.org/officeDocument/2006/relationships/hyperlink" Target="https://embassy6.passportindia.gov.in/AppMissionUIProject/pfc/indexCheckDetailedViewAction.action?fileIndex=1&amp;fileIdpk=1757003669&amp;originalFileNo=AU2065700366925" TargetMode="External"/><Relationship Id="rId171" Type="http://schemas.openxmlformats.org/officeDocument/2006/relationships/hyperlink" Target="https://embassy6.passportindia.gov.in/AppMissionUIProject/pfc/indexCheckDetailedViewAction.action?fileIndex=1&amp;fileIdpk=1756811141&amp;originalFileNo=AU2065681114125" TargetMode="External"/><Relationship Id="rId227" Type="http://schemas.openxmlformats.org/officeDocument/2006/relationships/hyperlink" Target="https://embassy6.passportindia.gov.in/AppMissionUIProject/pfc/indexCheckDetailedViewAction.action?fileIndex=1&amp;fileIdpk=1756850273&amp;originalFileNo=AU2065685027325" TargetMode="External"/><Relationship Id="rId269" Type="http://schemas.openxmlformats.org/officeDocument/2006/relationships/hyperlink" Target="https://embassy6.passportindia.gov.in/AppMissionUIProject/pfc/indexCheckDetailedViewAction.action?fileIndex=1&amp;fileIdpk=1756927851&amp;originalFileNo=AU2065692785125" TargetMode="External"/><Relationship Id="rId33" Type="http://schemas.openxmlformats.org/officeDocument/2006/relationships/hyperlink" Target="https://embassy6.passportindia.gov.in/AppMissionUIProject/pfc/indexCheckDetailedViewAction.action?fileIndex=1&amp;fileIdpk=1756529251&amp;originalFileNo=AU2065652925125" TargetMode="External"/><Relationship Id="rId129" Type="http://schemas.openxmlformats.org/officeDocument/2006/relationships/hyperlink" Target="https://embassy6.passportindia.gov.in/AppMissionUIProject/pfc/indexCheckDetailedViewAction.action?fileIndex=1&amp;fileIdpk=1756723959&amp;originalFileNo=AU2065672395925" TargetMode="External"/><Relationship Id="rId280" Type="http://schemas.openxmlformats.org/officeDocument/2006/relationships/hyperlink" Target="https://embassy6.passportindia.gov.in/AppMissionUIProject/pfc/indexCheckDetailedViewAction.action?fileIndex=1&amp;fileIdpk=1756927985&amp;originalFileNo=AU2065692798525" TargetMode="External"/><Relationship Id="rId336" Type="http://schemas.openxmlformats.org/officeDocument/2006/relationships/hyperlink" Target="https://embassy6.passportindia.gov.in/AppMissionUIProject/pfc/indexCheckDetailedViewAction.action?fileIndex=1&amp;fileIdpk=1757041557&amp;originalFileNo=AU2065704155725" TargetMode="External"/><Relationship Id="rId75" Type="http://schemas.openxmlformats.org/officeDocument/2006/relationships/hyperlink" Target="https://embassy6.passportindia.gov.in/AppMissionUIProject/pfc/indexCheckDetailedViewAction.action?fileIndex=1&amp;fileIdpk=1756664825&amp;originalFileNo=AU2065666482525" TargetMode="External"/><Relationship Id="rId140" Type="http://schemas.openxmlformats.org/officeDocument/2006/relationships/hyperlink" Target="https://embassy6.passportindia.gov.in/AppMissionUIProject/pfc/indexCheckDetailedViewAction.action?fileIndex=1&amp;fileIdpk=1756664989&amp;originalFileNo=AU2065666498925" TargetMode="External"/><Relationship Id="rId182" Type="http://schemas.openxmlformats.org/officeDocument/2006/relationships/hyperlink" Target="https://embassy6.passportindia.gov.in/AppMissionUIProject/pfc/indexCheckDetailedViewAction.action?fileIndex=1&amp;fileIdpk=1756838785&amp;originalFileNo=AU2065683878525" TargetMode="External"/><Relationship Id="rId6" Type="http://schemas.openxmlformats.org/officeDocument/2006/relationships/hyperlink" Target="https://embassy6.passportindia.gov.in/AppMissionUIProject/pfc/indexCheckDetailedViewAction.action?fileIndex=1&amp;fileIdpk=1756465215&amp;originalFileNo=AU2065646521525" TargetMode="External"/><Relationship Id="rId238" Type="http://schemas.openxmlformats.org/officeDocument/2006/relationships/hyperlink" Target="https://embassy6.passportindia.gov.in/AppMissionUIProject/pfc/indexCheckDetailedViewAction.action?fileIndex=1&amp;fileIdpk=1756905077&amp;originalFileNo=AU2065690507725" TargetMode="External"/><Relationship Id="rId291" Type="http://schemas.openxmlformats.org/officeDocument/2006/relationships/hyperlink" Target="https://embassy6.passportindia.gov.in/AppMissionUIProject/pfc/indexCheckDetailedViewAction.action?fileIndex=1&amp;fileIdpk=1756938389&amp;originalFileNo=AU2065693838925" TargetMode="External"/><Relationship Id="rId305" Type="http://schemas.openxmlformats.org/officeDocument/2006/relationships/hyperlink" Target="https://embassy6.passportindia.gov.in/AppMissionUIProject/pfc/indexCheckDetailedViewAction.action?fileIndex=1&amp;fileIdpk=1756949865&amp;originalFileNo=AU2065694986525" TargetMode="External"/><Relationship Id="rId44" Type="http://schemas.openxmlformats.org/officeDocument/2006/relationships/hyperlink" Target="https://embassy6.passportindia.gov.in/AppMissionUIProject/pfc/indexCheckDetailedViewAction.action?fileIndex=1&amp;fileIdpk=1756539021&amp;originalFileNo=AU2065653902125" TargetMode="External"/><Relationship Id="rId86" Type="http://schemas.openxmlformats.org/officeDocument/2006/relationships/hyperlink" Target="https://embassy6.passportindia.gov.in/AppMissionUIProject/pfc/indexCheckDetailedViewAction.action?fileIndex=1&amp;fileIdpk=1756664905&amp;originalFileNo=AU2065666490525" TargetMode="External"/><Relationship Id="rId151" Type="http://schemas.openxmlformats.org/officeDocument/2006/relationships/hyperlink" Target="https://embassy6.passportindia.gov.in/AppMissionUIProject/pfc/indexCheckDetailedViewAction.action?fileIndex=1&amp;fileIdpk=1756810535&amp;originalFileNo=AU2065681053525" TargetMode="External"/><Relationship Id="rId193" Type="http://schemas.openxmlformats.org/officeDocument/2006/relationships/hyperlink" Target="https://embassy6.passportindia.gov.in/AppMissionUIProject/pfc/indexCheckDetailedViewAction.action?fileIndex=1&amp;fileIdpk=1756837605&amp;originalFileNo=AU2065683760525" TargetMode="External"/><Relationship Id="rId207" Type="http://schemas.openxmlformats.org/officeDocument/2006/relationships/hyperlink" Target="https://embassy6.passportindia.gov.in/AppMissionUIProject/pfc/indexCheckDetailedViewAction.action?fileIndex=1&amp;fileIdpk=1756838423&amp;originalFileNo=AU2065683842325" TargetMode="External"/><Relationship Id="rId249" Type="http://schemas.openxmlformats.org/officeDocument/2006/relationships/hyperlink" Target="https://embassy6.passportindia.gov.in/AppMissionUIProject/pfc/indexCheckDetailedViewAction.action?fileIndex=1&amp;fileIdpk=1756927719&amp;originalFileNo=AU2065692771925" TargetMode="External"/><Relationship Id="rId13" Type="http://schemas.openxmlformats.org/officeDocument/2006/relationships/hyperlink" Target="https://embassy6.passportindia.gov.in/AppMissionUIProject/pfc/indexCheckDetailedViewAction.action?fileIndex=1&amp;fileIdpk=1756494111&amp;originalFileNo=AU2065649411125" TargetMode="External"/><Relationship Id="rId109" Type="http://schemas.openxmlformats.org/officeDocument/2006/relationships/hyperlink" Target="https://embassy6.passportindia.gov.in/AppMissionUIProject/pfc/indexCheckDetailedViewAction.action?fileIndex=1&amp;fileIdpk=1756699861&amp;originalFileNo=AU2065669986125" TargetMode="External"/><Relationship Id="rId260" Type="http://schemas.openxmlformats.org/officeDocument/2006/relationships/hyperlink" Target="https://embassy6.passportindia.gov.in/AppMissionUIProject/pfc/indexCheckDetailedViewAction.action?fileIndex=1&amp;fileIdpk=1756960995&amp;originalFileNo=AU2065696099525" TargetMode="External"/><Relationship Id="rId316" Type="http://schemas.openxmlformats.org/officeDocument/2006/relationships/hyperlink" Target="https://embassy6.passportindia.gov.in/AppMissionUIProject/pfc/indexCheckDetailedViewAction.action?fileIndex=1&amp;fileIdpk=1756983293&amp;originalFileNo=AU2065698329325" TargetMode="External"/><Relationship Id="rId55" Type="http://schemas.openxmlformats.org/officeDocument/2006/relationships/hyperlink" Target="https://embassy6.passportindia.gov.in/AppMissionUIProject/pfc/indexCheckDetailedViewAction.action?fileIndex=1&amp;fileIdpk=1756594347&amp;originalFileNo=AU2065659434725" TargetMode="External"/><Relationship Id="rId97" Type="http://schemas.openxmlformats.org/officeDocument/2006/relationships/hyperlink" Target="https://embassy6.passportindia.gov.in/AppMissionUIProject/pfc/indexCheckDetailedViewAction.action?fileIndex=1&amp;fileIdpk=1756665033&amp;originalFileNo=AU2065666503325" TargetMode="External"/><Relationship Id="rId120" Type="http://schemas.openxmlformats.org/officeDocument/2006/relationships/hyperlink" Target="https://embassy6.passportindia.gov.in/AppMissionUIProject/pfc/indexCheckDetailedViewAction.action?fileIndex=1&amp;fileIdpk=1756713263&amp;originalFileNo=AU2065671326325" TargetMode="External"/><Relationship Id="rId162" Type="http://schemas.openxmlformats.org/officeDocument/2006/relationships/hyperlink" Target="https://embassy6.passportindia.gov.in/AppMissionUIProject/pfc/indexCheckDetailedViewAction.action?fileIndex=1&amp;fileIdpk=1756810621&amp;originalFileNo=AU2065681062125" TargetMode="External"/><Relationship Id="rId218" Type="http://schemas.openxmlformats.org/officeDocument/2006/relationships/hyperlink" Target="https://embassy6.passportindia.gov.in/AppMissionUIProject/pfc/indexCheckDetailedViewAction.action?fileIndex=1&amp;fileIdpk=1756849231&amp;originalFileNo=AU2065684923125" TargetMode="External"/><Relationship Id="rId271" Type="http://schemas.openxmlformats.org/officeDocument/2006/relationships/hyperlink" Target="https://embassy6.passportindia.gov.in/AppMissionUIProject/pfc/indexCheckDetailedViewAction.action?fileIndex=1&amp;fileIdpk=1756927859&amp;originalFileNo=AU206569278592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8"/>
  <sheetViews>
    <sheetView topLeftCell="I225" workbookViewId="0">
      <selection activeCell="G735" sqref="G735"/>
    </sheetView>
  </sheetViews>
  <sheetFormatPr defaultRowHeight="16" x14ac:dyDescent="0.4"/>
  <cols>
    <col min="1" max="1" width="6.453125" style="35" bestFit="1" customWidth="1"/>
    <col min="2" max="2" width="24.1796875" style="1" bestFit="1" customWidth="1"/>
    <col min="3" max="3" width="12.54296875" style="38" bestFit="1" customWidth="1"/>
    <col min="4" max="4" width="30.54296875" style="1" bestFit="1" customWidth="1"/>
    <col min="5" max="5" width="16.81640625" style="1" bestFit="1" customWidth="1"/>
    <col min="6" max="6" width="3.1796875" style="1" bestFit="1" customWidth="1"/>
    <col min="7" max="7" width="29.26953125" style="1" customWidth="1"/>
    <col min="8" max="8" width="21.54296875" style="1" bestFit="1" customWidth="1"/>
    <col min="9" max="9" width="11.54296875" style="1" bestFit="1" customWidth="1"/>
    <col min="10" max="10" width="12.1796875" style="38" bestFit="1" customWidth="1"/>
    <col min="11" max="11" width="53.26953125" style="1" bestFit="1" customWidth="1"/>
    <col min="12" max="12" width="52.81640625" style="1" bestFit="1" customWidth="1"/>
    <col min="13" max="13" width="34.1796875" style="1" bestFit="1" customWidth="1"/>
    <col min="14" max="14" width="16.1796875" style="2" bestFit="1" customWidth="1"/>
    <col min="15" max="15" width="11.81640625" style="47" bestFit="1" customWidth="1"/>
  </cols>
  <sheetData>
    <row r="1" spans="1:15" ht="31.5" customHeight="1" x14ac:dyDescent="0.35">
      <c r="A1" s="39" t="s">
        <v>20</v>
      </c>
      <c r="B1" s="9" t="s">
        <v>2</v>
      </c>
      <c r="C1" s="42" t="s">
        <v>21</v>
      </c>
      <c r="D1" s="9" t="s">
        <v>22</v>
      </c>
      <c r="E1" s="9" t="s">
        <v>23</v>
      </c>
      <c r="F1" s="9" t="s">
        <v>3</v>
      </c>
      <c r="G1" s="9" t="s">
        <v>24</v>
      </c>
      <c r="H1" s="9" t="s">
        <v>25</v>
      </c>
      <c r="I1" s="9" t="s">
        <v>26</v>
      </c>
      <c r="J1" s="42" t="s">
        <v>27</v>
      </c>
      <c r="K1" s="1" t="s">
        <v>28</v>
      </c>
      <c r="L1" s="1" t="s">
        <v>29</v>
      </c>
      <c r="M1" s="1" t="s">
        <v>30</v>
      </c>
      <c r="N1" s="2" t="s">
        <v>31</v>
      </c>
      <c r="O1" s="47" t="s">
        <v>32</v>
      </c>
    </row>
    <row r="2" spans="1:15" ht="30" customHeight="1" x14ac:dyDescent="0.4">
      <c r="A2" s="35">
        <v>1400</v>
      </c>
      <c r="B2" s="12" t="s">
        <v>33</v>
      </c>
      <c r="C2" s="43">
        <v>45851</v>
      </c>
      <c r="D2" s="12" t="s">
        <v>34</v>
      </c>
      <c r="E2" s="13" t="s">
        <v>35</v>
      </c>
      <c r="F2" s="14" t="s">
        <v>36</v>
      </c>
      <c r="G2" s="12" t="s">
        <v>37</v>
      </c>
      <c r="H2" s="12" t="s">
        <v>38</v>
      </c>
      <c r="I2" s="12" t="s">
        <v>39</v>
      </c>
      <c r="J2" s="43">
        <v>45880</v>
      </c>
      <c r="K2" s="12" t="s">
        <v>40</v>
      </c>
      <c r="L2" s="12" t="s">
        <v>41</v>
      </c>
      <c r="M2" s="12" t="s">
        <v>42</v>
      </c>
      <c r="N2" s="11">
        <v>202509055366</v>
      </c>
      <c r="O2" s="48">
        <v>45875</v>
      </c>
    </row>
    <row r="3" spans="1:15" ht="30" customHeight="1" x14ac:dyDescent="0.4">
      <c r="A3" s="36">
        <v>1401</v>
      </c>
      <c r="B3" s="18" t="s">
        <v>43</v>
      </c>
      <c r="C3" s="44">
        <v>45820</v>
      </c>
      <c r="D3" s="19" t="s">
        <v>44</v>
      </c>
      <c r="E3" s="20" t="s">
        <v>45</v>
      </c>
      <c r="F3" s="19" t="s">
        <v>36</v>
      </c>
      <c r="G3" s="18" t="s">
        <v>46</v>
      </c>
      <c r="H3" s="18" t="s">
        <v>47</v>
      </c>
      <c r="I3" s="18" t="s">
        <v>48</v>
      </c>
      <c r="J3" s="44">
        <v>45880</v>
      </c>
      <c r="K3" s="18" t="s">
        <v>49</v>
      </c>
      <c r="L3" s="18" t="s">
        <v>50</v>
      </c>
      <c r="M3" s="18" t="s">
        <v>51</v>
      </c>
      <c r="N3" s="40">
        <v>202509053616</v>
      </c>
      <c r="O3" s="49">
        <v>45869</v>
      </c>
    </row>
    <row r="4" spans="1:15" x14ac:dyDescent="0.4">
      <c r="A4" s="35">
        <v>1402</v>
      </c>
      <c r="B4" s="12" t="s">
        <v>52</v>
      </c>
      <c r="C4" s="43">
        <v>45730</v>
      </c>
      <c r="D4" s="12" t="s">
        <v>53</v>
      </c>
      <c r="E4" s="13" t="s">
        <v>54</v>
      </c>
      <c r="F4" s="14" t="s">
        <v>55</v>
      </c>
      <c r="G4" s="12" t="s">
        <v>56</v>
      </c>
      <c r="H4" s="12" t="s">
        <v>57</v>
      </c>
      <c r="I4" s="12" t="s">
        <v>58</v>
      </c>
      <c r="J4" s="43">
        <v>45880</v>
      </c>
      <c r="K4" s="12" t="s">
        <v>59</v>
      </c>
      <c r="L4" s="12" t="s">
        <v>60</v>
      </c>
      <c r="M4" s="12" t="s">
        <v>61</v>
      </c>
      <c r="N4" s="11">
        <v>202509051511</v>
      </c>
      <c r="O4" s="48">
        <v>45861</v>
      </c>
    </row>
    <row r="5" spans="1:15" ht="30" customHeight="1" x14ac:dyDescent="0.4">
      <c r="A5" s="36">
        <v>1403</v>
      </c>
      <c r="B5" s="12" t="s">
        <v>62</v>
      </c>
      <c r="C5" s="43">
        <v>45855</v>
      </c>
      <c r="D5" s="12" t="s">
        <v>63</v>
      </c>
      <c r="E5" s="13" t="s">
        <v>64</v>
      </c>
      <c r="F5" s="14" t="s">
        <v>36</v>
      </c>
      <c r="G5" s="12" t="s">
        <v>65</v>
      </c>
      <c r="H5" s="12" t="s">
        <v>66</v>
      </c>
      <c r="I5" s="12" t="s">
        <v>67</v>
      </c>
      <c r="J5" s="43">
        <v>45880</v>
      </c>
      <c r="K5" s="12" t="s">
        <v>68</v>
      </c>
      <c r="L5" s="12" t="s">
        <v>69</v>
      </c>
      <c r="M5" s="12" t="s">
        <v>70</v>
      </c>
      <c r="N5" s="11">
        <v>202509053619</v>
      </c>
      <c r="O5" s="48">
        <v>45869</v>
      </c>
    </row>
    <row r="6" spans="1:15" x14ac:dyDescent="0.4">
      <c r="A6" s="35">
        <v>1404</v>
      </c>
      <c r="B6" s="12" t="s">
        <v>71</v>
      </c>
      <c r="C6" s="43">
        <v>45770</v>
      </c>
      <c r="D6" s="12" t="s">
        <v>72</v>
      </c>
      <c r="E6" s="13" t="s">
        <v>73</v>
      </c>
      <c r="F6" s="14" t="s">
        <v>36</v>
      </c>
      <c r="G6" s="12" t="s">
        <v>74</v>
      </c>
      <c r="H6" s="12" t="s">
        <v>75</v>
      </c>
      <c r="I6" s="12" t="s">
        <v>76</v>
      </c>
      <c r="J6" s="43">
        <v>45880</v>
      </c>
      <c r="K6" s="12" t="s">
        <v>77</v>
      </c>
      <c r="L6" s="12" t="s">
        <v>78</v>
      </c>
      <c r="M6" s="12" t="s">
        <v>79</v>
      </c>
      <c r="N6" s="11">
        <v>202509041249</v>
      </c>
      <c r="O6" s="48">
        <v>45824</v>
      </c>
    </row>
    <row r="7" spans="1:15" ht="30" customHeight="1" x14ac:dyDescent="0.4">
      <c r="A7" s="36">
        <v>1405</v>
      </c>
      <c r="B7" s="12" t="s">
        <v>80</v>
      </c>
      <c r="C7" s="43">
        <v>45803</v>
      </c>
      <c r="D7" s="12" t="s">
        <v>81</v>
      </c>
      <c r="E7" s="13" t="s">
        <v>82</v>
      </c>
      <c r="F7" s="14" t="s">
        <v>36</v>
      </c>
      <c r="G7" s="12" t="s">
        <v>83</v>
      </c>
      <c r="H7" s="12" t="s">
        <v>84</v>
      </c>
      <c r="I7" s="12" t="s">
        <v>85</v>
      </c>
      <c r="J7" s="43">
        <v>45880</v>
      </c>
      <c r="K7" s="12" t="s">
        <v>86</v>
      </c>
      <c r="L7" s="12" t="s">
        <v>87</v>
      </c>
      <c r="M7" s="12" t="s">
        <v>88</v>
      </c>
      <c r="N7" s="11">
        <v>202509055812</v>
      </c>
      <c r="O7" s="48">
        <v>45877</v>
      </c>
    </row>
    <row r="8" spans="1:15" x14ac:dyDescent="0.4">
      <c r="A8" s="35">
        <v>1406</v>
      </c>
      <c r="B8" s="12" t="s">
        <v>89</v>
      </c>
      <c r="C8" s="43">
        <v>45693</v>
      </c>
      <c r="D8" s="12" t="s">
        <v>90</v>
      </c>
      <c r="E8" s="13" t="s">
        <v>91</v>
      </c>
      <c r="F8" s="14" t="s">
        <v>55</v>
      </c>
      <c r="G8" s="12" t="s">
        <v>92</v>
      </c>
      <c r="H8" s="12" t="s">
        <v>93</v>
      </c>
      <c r="I8" s="12" t="s">
        <v>94</v>
      </c>
      <c r="J8" s="43">
        <v>45883</v>
      </c>
      <c r="K8" s="12" t="s">
        <v>95</v>
      </c>
      <c r="L8" s="14" t="s">
        <v>96</v>
      </c>
      <c r="M8" s="14" t="s">
        <v>97</v>
      </c>
      <c r="N8" s="11">
        <v>202509042789</v>
      </c>
      <c r="O8" s="48">
        <v>45829</v>
      </c>
    </row>
    <row r="9" spans="1:15" ht="30" customHeight="1" x14ac:dyDescent="0.4">
      <c r="A9" s="36">
        <v>1407</v>
      </c>
      <c r="B9" s="12" t="s">
        <v>98</v>
      </c>
      <c r="C9" s="43">
        <v>45640</v>
      </c>
      <c r="D9" s="12" t="s">
        <v>99</v>
      </c>
      <c r="E9" s="13" t="s">
        <v>100</v>
      </c>
      <c r="F9" s="14" t="s">
        <v>36</v>
      </c>
      <c r="G9" s="12" t="s">
        <v>101</v>
      </c>
      <c r="H9" s="12" t="s">
        <v>102</v>
      </c>
      <c r="I9" s="12" t="s">
        <v>103</v>
      </c>
      <c r="J9" s="43">
        <v>45883</v>
      </c>
      <c r="K9" s="12" t="s">
        <v>104</v>
      </c>
      <c r="L9" s="14" t="s">
        <v>105</v>
      </c>
      <c r="M9" s="14" t="s">
        <v>106</v>
      </c>
      <c r="N9" s="11">
        <v>202509055846</v>
      </c>
      <c r="O9" s="48">
        <v>45877</v>
      </c>
    </row>
    <row r="10" spans="1:15" ht="30" customHeight="1" x14ac:dyDescent="0.4">
      <c r="A10" s="35">
        <v>1408</v>
      </c>
      <c r="B10" s="12" t="s">
        <v>107</v>
      </c>
      <c r="C10" s="43">
        <v>45818</v>
      </c>
      <c r="D10" s="12" t="s">
        <v>108</v>
      </c>
      <c r="E10" s="13" t="s">
        <v>109</v>
      </c>
      <c r="F10" s="14" t="s">
        <v>36</v>
      </c>
      <c r="G10" s="12" t="s">
        <v>110</v>
      </c>
      <c r="H10" s="12" t="s">
        <v>111</v>
      </c>
      <c r="I10" s="12" t="s">
        <v>112</v>
      </c>
      <c r="J10" s="43">
        <v>45883</v>
      </c>
      <c r="K10" s="12" t="s">
        <v>113</v>
      </c>
      <c r="L10" s="14" t="s">
        <v>114</v>
      </c>
      <c r="M10" s="14" t="s">
        <v>115</v>
      </c>
      <c r="N10" s="11">
        <v>202509053355</v>
      </c>
      <c r="O10" s="48">
        <v>45868</v>
      </c>
    </row>
    <row r="11" spans="1:15" x14ac:dyDescent="0.4">
      <c r="A11" s="36">
        <v>1409</v>
      </c>
      <c r="B11" s="12" t="s">
        <v>116</v>
      </c>
      <c r="C11" s="43">
        <v>45614</v>
      </c>
      <c r="D11" s="12" t="s">
        <v>117</v>
      </c>
      <c r="E11" s="13" t="s">
        <v>118</v>
      </c>
      <c r="F11" s="14" t="s">
        <v>36</v>
      </c>
      <c r="G11" s="12" t="s">
        <v>119</v>
      </c>
      <c r="H11" s="12" t="s">
        <v>120</v>
      </c>
      <c r="I11" s="12" t="s">
        <v>121</v>
      </c>
      <c r="J11" s="43">
        <v>45883</v>
      </c>
      <c r="K11" s="12" t="s">
        <v>122</v>
      </c>
      <c r="L11" s="14" t="s">
        <v>123</v>
      </c>
      <c r="M11" s="14" t="s">
        <v>124</v>
      </c>
      <c r="N11" s="11">
        <v>202509044804</v>
      </c>
      <c r="O11" s="48">
        <v>45836</v>
      </c>
    </row>
    <row r="12" spans="1:15" x14ac:dyDescent="0.4">
      <c r="A12" s="35">
        <v>1410</v>
      </c>
      <c r="B12" s="12" t="s">
        <v>125</v>
      </c>
      <c r="C12" s="43">
        <v>45787</v>
      </c>
      <c r="D12" s="12" t="s">
        <v>126</v>
      </c>
      <c r="E12" s="13" t="s">
        <v>127</v>
      </c>
      <c r="F12" s="14" t="s">
        <v>36</v>
      </c>
      <c r="G12" s="12" t="s">
        <v>128</v>
      </c>
      <c r="H12" s="12" t="s">
        <v>129</v>
      </c>
      <c r="I12" s="12" t="s">
        <v>130</v>
      </c>
      <c r="J12" s="43">
        <v>45883</v>
      </c>
      <c r="K12" s="14" t="s">
        <v>131</v>
      </c>
      <c r="L12" s="14" t="s">
        <v>132</v>
      </c>
      <c r="M12" s="14" t="s">
        <v>133</v>
      </c>
      <c r="N12" s="11">
        <v>202509052252</v>
      </c>
      <c r="O12" s="48">
        <v>45864</v>
      </c>
    </row>
    <row r="13" spans="1:15" x14ac:dyDescent="0.4">
      <c r="A13" s="36">
        <v>1411</v>
      </c>
      <c r="B13" s="12" t="s">
        <v>134</v>
      </c>
      <c r="C13" s="43">
        <v>45677</v>
      </c>
      <c r="D13" s="12" t="s">
        <v>135</v>
      </c>
      <c r="E13" s="13" t="s">
        <v>136</v>
      </c>
      <c r="F13" s="14" t="s">
        <v>55</v>
      </c>
      <c r="G13" s="12" t="s">
        <v>137</v>
      </c>
      <c r="H13" s="12" t="s">
        <v>138</v>
      </c>
      <c r="I13" s="12" t="s">
        <v>139</v>
      </c>
      <c r="J13" s="43">
        <v>45883</v>
      </c>
      <c r="K13" s="12" t="s">
        <v>140</v>
      </c>
      <c r="L13" s="14" t="s">
        <v>141</v>
      </c>
      <c r="M13" s="14" t="s">
        <v>142</v>
      </c>
      <c r="N13" s="11">
        <v>202509041529</v>
      </c>
      <c r="O13" s="48">
        <v>45825</v>
      </c>
    </row>
    <row r="14" spans="1:15" x14ac:dyDescent="0.4">
      <c r="A14" s="35">
        <v>1412</v>
      </c>
      <c r="B14" s="12" t="s">
        <v>143</v>
      </c>
      <c r="C14" s="43">
        <v>45809</v>
      </c>
      <c r="D14" s="12" t="s">
        <v>144</v>
      </c>
      <c r="E14" s="13" t="s">
        <v>145</v>
      </c>
      <c r="F14" s="14" t="s">
        <v>55</v>
      </c>
      <c r="G14" s="12" t="s">
        <v>146</v>
      </c>
      <c r="H14" s="12" t="s">
        <v>147</v>
      </c>
      <c r="I14" s="12" t="s">
        <v>148</v>
      </c>
      <c r="J14" s="43">
        <v>45883</v>
      </c>
      <c r="K14" s="12" t="s">
        <v>149</v>
      </c>
      <c r="L14" s="14" t="s">
        <v>150</v>
      </c>
      <c r="M14" s="14" t="s">
        <v>151</v>
      </c>
      <c r="N14" s="11">
        <v>202509055813</v>
      </c>
      <c r="O14" s="48">
        <v>45877</v>
      </c>
    </row>
    <row r="15" spans="1:15" x14ac:dyDescent="0.4">
      <c r="A15" s="36">
        <v>1413</v>
      </c>
      <c r="B15" s="12" t="s">
        <v>152</v>
      </c>
      <c r="C15" s="43">
        <v>45829</v>
      </c>
      <c r="D15" s="12" t="s">
        <v>153</v>
      </c>
      <c r="E15" s="13" t="s">
        <v>154</v>
      </c>
      <c r="F15" s="14" t="s">
        <v>36</v>
      </c>
      <c r="G15" s="12" t="s">
        <v>155</v>
      </c>
      <c r="H15" s="12" t="s">
        <v>156</v>
      </c>
      <c r="I15" s="12" t="s">
        <v>157</v>
      </c>
      <c r="J15" s="23">
        <v>45881</v>
      </c>
      <c r="K15" s="14" t="s">
        <v>158</v>
      </c>
      <c r="L15" s="14" t="s">
        <v>159</v>
      </c>
      <c r="M15" s="14" t="s">
        <v>160</v>
      </c>
      <c r="N15" s="11">
        <v>202509046841</v>
      </c>
      <c r="O15" s="48">
        <v>45843</v>
      </c>
    </row>
    <row r="16" spans="1:15" x14ac:dyDescent="0.4">
      <c r="A16" s="35">
        <v>1414</v>
      </c>
      <c r="B16" s="12" t="s">
        <v>161</v>
      </c>
      <c r="C16" s="43">
        <v>45585</v>
      </c>
      <c r="D16" s="12" t="s">
        <v>53</v>
      </c>
      <c r="E16" s="13" t="s">
        <v>162</v>
      </c>
      <c r="F16" s="14" t="s">
        <v>36</v>
      </c>
      <c r="G16" s="12" t="s">
        <v>163</v>
      </c>
      <c r="H16" s="12" t="s">
        <v>164</v>
      </c>
      <c r="I16" s="12" t="s">
        <v>165</v>
      </c>
      <c r="J16" s="43">
        <v>45884</v>
      </c>
      <c r="K16" s="14" t="s">
        <v>158</v>
      </c>
      <c r="L16" s="14" t="s">
        <v>166</v>
      </c>
      <c r="M16" s="14" t="s">
        <v>167</v>
      </c>
      <c r="N16" s="11">
        <v>202509055219</v>
      </c>
      <c r="O16" s="48">
        <v>45875</v>
      </c>
    </row>
    <row r="17" spans="1:15" x14ac:dyDescent="0.4">
      <c r="A17" s="36">
        <v>1415</v>
      </c>
      <c r="B17" s="12" t="s">
        <v>168</v>
      </c>
      <c r="C17" s="43">
        <v>45585</v>
      </c>
      <c r="D17" s="12" t="s">
        <v>53</v>
      </c>
      <c r="E17" s="13" t="s">
        <v>169</v>
      </c>
      <c r="F17" s="14" t="s">
        <v>36</v>
      </c>
      <c r="G17" s="12" t="s">
        <v>163</v>
      </c>
      <c r="H17" s="12" t="s">
        <v>164</v>
      </c>
      <c r="I17" s="12" t="s">
        <v>165</v>
      </c>
      <c r="J17" s="43">
        <v>45884</v>
      </c>
      <c r="K17" s="14" t="s">
        <v>158</v>
      </c>
      <c r="L17" s="14" t="s">
        <v>166</v>
      </c>
      <c r="M17" s="14" t="s">
        <v>167</v>
      </c>
      <c r="N17" s="11">
        <v>202509055215</v>
      </c>
      <c r="O17" s="48">
        <v>45875</v>
      </c>
    </row>
    <row r="18" spans="1:15" x14ac:dyDescent="0.4">
      <c r="A18" s="35">
        <v>1416</v>
      </c>
      <c r="B18" s="12" t="s">
        <v>170</v>
      </c>
      <c r="C18" s="43">
        <v>45643</v>
      </c>
      <c r="D18" s="12" t="s">
        <v>53</v>
      </c>
      <c r="E18" s="13" t="s">
        <v>171</v>
      </c>
      <c r="F18" s="14" t="s">
        <v>55</v>
      </c>
      <c r="G18" s="12" t="s">
        <v>172</v>
      </c>
      <c r="H18" s="12" t="s">
        <v>173</v>
      </c>
      <c r="I18" s="12" t="s">
        <v>174</v>
      </c>
      <c r="J18" s="43">
        <v>45884</v>
      </c>
      <c r="K18" s="14" t="s">
        <v>175</v>
      </c>
      <c r="L18" s="14" t="s">
        <v>176</v>
      </c>
      <c r="M18" s="14" t="s">
        <v>177</v>
      </c>
      <c r="N18" s="11">
        <v>202509054578</v>
      </c>
      <c r="O18" s="48">
        <v>45873</v>
      </c>
    </row>
    <row r="19" spans="1:15" x14ac:dyDescent="0.4">
      <c r="A19" s="36">
        <v>1417</v>
      </c>
      <c r="B19" s="12" t="s">
        <v>178</v>
      </c>
      <c r="C19" s="43">
        <v>45786</v>
      </c>
      <c r="D19" s="12" t="s">
        <v>135</v>
      </c>
      <c r="E19" s="13" t="s">
        <v>179</v>
      </c>
      <c r="F19" s="14" t="s">
        <v>36</v>
      </c>
      <c r="G19" s="12" t="s">
        <v>180</v>
      </c>
      <c r="H19" s="12" t="s">
        <v>181</v>
      </c>
      <c r="I19" s="12" t="s">
        <v>182</v>
      </c>
      <c r="J19" s="43">
        <v>45884</v>
      </c>
      <c r="K19" s="14" t="s">
        <v>183</v>
      </c>
      <c r="L19" s="14" t="s">
        <v>184</v>
      </c>
      <c r="M19" s="14" t="s">
        <v>185</v>
      </c>
      <c r="N19" s="11">
        <v>202509050857</v>
      </c>
      <c r="O19" s="48">
        <v>45859</v>
      </c>
    </row>
    <row r="20" spans="1:15" ht="30" customHeight="1" x14ac:dyDescent="0.4">
      <c r="A20" s="35">
        <v>1418</v>
      </c>
      <c r="B20" s="12" t="s">
        <v>186</v>
      </c>
      <c r="C20" s="43">
        <v>45853</v>
      </c>
      <c r="D20" s="12" t="s">
        <v>53</v>
      </c>
      <c r="E20" s="13" t="s">
        <v>187</v>
      </c>
      <c r="F20" s="14" t="s">
        <v>36</v>
      </c>
      <c r="G20" s="12" t="s">
        <v>188</v>
      </c>
      <c r="H20" s="12" t="s">
        <v>189</v>
      </c>
      <c r="I20" s="12" t="s">
        <v>190</v>
      </c>
      <c r="J20" s="43">
        <v>45884</v>
      </c>
      <c r="K20" s="14" t="s">
        <v>191</v>
      </c>
      <c r="L20" s="14" t="s">
        <v>192</v>
      </c>
      <c r="M20" s="14" t="s">
        <v>193</v>
      </c>
      <c r="N20" s="11">
        <v>202509056279</v>
      </c>
      <c r="O20" s="48">
        <v>45879</v>
      </c>
    </row>
    <row r="21" spans="1:15" x14ac:dyDescent="0.4">
      <c r="A21" s="36">
        <v>1419</v>
      </c>
      <c r="B21" s="12" t="s">
        <v>194</v>
      </c>
      <c r="C21" s="43">
        <v>45728</v>
      </c>
      <c r="D21" s="12" t="s">
        <v>195</v>
      </c>
      <c r="E21" s="13" t="s">
        <v>196</v>
      </c>
      <c r="F21" s="14" t="s">
        <v>55</v>
      </c>
      <c r="G21" s="12" t="s">
        <v>197</v>
      </c>
      <c r="H21" s="12" t="s">
        <v>198</v>
      </c>
      <c r="I21" s="12" t="s">
        <v>199</v>
      </c>
      <c r="J21" s="43">
        <v>45884</v>
      </c>
      <c r="K21" s="14" t="s">
        <v>200</v>
      </c>
      <c r="L21" s="14" t="s">
        <v>201</v>
      </c>
      <c r="M21" s="14" t="s">
        <v>202</v>
      </c>
      <c r="N21" s="11">
        <v>202509052640</v>
      </c>
      <c r="O21" s="48">
        <v>45866</v>
      </c>
    </row>
    <row r="22" spans="1:15" x14ac:dyDescent="0.4">
      <c r="A22" s="35">
        <v>1420</v>
      </c>
      <c r="B22" s="12" t="s">
        <v>203</v>
      </c>
      <c r="C22" s="43">
        <v>45796</v>
      </c>
      <c r="D22" s="12" t="s">
        <v>99</v>
      </c>
      <c r="E22" s="13" t="s">
        <v>204</v>
      </c>
      <c r="F22" s="14" t="s">
        <v>36</v>
      </c>
      <c r="G22" s="12" t="s">
        <v>205</v>
      </c>
      <c r="H22" s="12" t="s">
        <v>206</v>
      </c>
      <c r="I22" s="12" t="s">
        <v>207</v>
      </c>
      <c r="J22" s="43">
        <v>45884</v>
      </c>
      <c r="K22" s="14" t="s">
        <v>208</v>
      </c>
      <c r="L22" s="14" t="s">
        <v>209</v>
      </c>
      <c r="M22" s="14" t="s">
        <v>210</v>
      </c>
      <c r="N22" s="11">
        <v>202509046727</v>
      </c>
      <c r="O22" s="48">
        <v>45843</v>
      </c>
    </row>
    <row r="23" spans="1:15" x14ac:dyDescent="0.4">
      <c r="A23" s="36">
        <v>1421</v>
      </c>
      <c r="B23" s="12" t="s">
        <v>211</v>
      </c>
      <c r="C23" s="43">
        <v>45694</v>
      </c>
      <c r="D23" s="12" t="s">
        <v>212</v>
      </c>
      <c r="E23" s="13" t="s">
        <v>213</v>
      </c>
      <c r="F23" s="14" t="s">
        <v>55</v>
      </c>
      <c r="G23" s="12" t="s">
        <v>214</v>
      </c>
      <c r="H23" s="12" t="s">
        <v>215</v>
      </c>
      <c r="I23" s="12" t="s">
        <v>216</v>
      </c>
      <c r="J23" s="43">
        <v>45884</v>
      </c>
      <c r="K23" s="14" t="s">
        <v>217</v>
      </c>
      <c r="L23" s="14" t="s">
        <v>218</v>
      </c>
      <c r="M23" s="14" t="s">
        <v>219</v>
      </c>
      <c r="N23" s="11">
        <v>202509039374</v>
      </c>
      <c r="O23" s="48">
        <v>45815</v>
      </c>
    </row>
    <row r="24" spans="1:15" ht="30" customHeight="1" x14ac:dyDescent="0.4">
      <c r="A24" s="35">
        <v>1422</v>
      </c>
      <c r="B24" s="12" t="s">
        <v>220</v>
      </c>
      <c r="C24" s="43">
        <v>45584</v>
      </c>
      <c r="D24" s="12" t="s">
        <v>53</v>
      </c>
      <c r="E24" s="13" t="s">
        <v>221</v>
      </c>
      <c r="F24" s="14" t="s">
        <v>55</v>
      </c>
      <c r="G24" s="12" t="s">
        <v>222</v>
      </c>
      <c r="H24" s="12" t="s">
        <v>223</v>
      </c>
      <c r="I24" s="12" t="s">
        <v>224</v>
      </c>
      <c r="J24" s="43">
        <v>45884</v>
      </c>
      <c r="K24" s="14" t="s">
        <v>225</v>
      </c>
      <c r="L24" s="14" t="s">
        <v>226</v>
      </c>
      <c r="M24" s="14" t="s">
        <v>227</v>
      </c>
      <c r="N24" s="11">
        <v>202509055531</v>
      </c>
      <c r="O24" s="48">
        <v>45876</v>
      </c>
    </row>
    <row r="25" spans="1:15" x14ac:dyDescent="0.4">
      <c r="A25" s="36">
        <v>1423</v>
      </c>
      <c r="B25" s="12" t="s">
        <v>228</v>
      </c>
      <c r="C25" s="43">
        <v>45790</v>
      </c>
      <c r="D25" s="12" t="s">
        <v>108</v>
      </c>
      <c r="E25" s="13" t="s">
        <v>229</v>
      </c>
      <c r="F25" s="14" t="s">
        <v>55</v>
      </c>
      <c r="G25" s="12" t="s">
        <v>230</v>
      </c>
      <c r="H25" s="12" t="s">
        <v>231</v>
      </c>
      <c r="I25" s="12" t="s">
        <v>232</v>
      </c>
      <c r="J25" s="43">
        <v>45884</v>
      </c>
      <c r="K25" s="14" t="s">
        <v>233</v>
      </c>
      <c r="L25" s="14" t="s">
        <v>234</v>
      </c>
      <c r="M25" s="14" t="s">
        <v>235</v>
      </c>
      <c r="N25" s="11">
        <v>202509044420</v>
      </c>
      <c r="O25" s="48">
        <v>45834</v>
      </c>
    </row>
    <row r="26" spans="1:15" ht="30" customHeight="1" x14ac:dyDescent="0.4">
      <c r="A26" s="35">
        <v>1424</v>
      </c>
      <c r="B26" s="3" t="s">
        <v>236</v>
      </c>
      <c r="C26" s="45">
        <v>45851</v>
      </c>
      <c r="D26" s="12" t="s">
        <v>237</v>
      </c>
      <c r="E26" s="13" t="s">
        <v>238</v>
      </c>
      <c r="F26" s="1" t="s">
        <v>55</v>
      </c>
      <c r="G26" s="3" t="s">
        <v>239</v>
      </c>
      <c r="H26" s="3" t="s">
        <v>240</v>
      </c>
      <c r="I26" s="3" t="s">
        <v>241</v>
      </c>
      <c r="J26" s="45">
        <v>45888</v>
      </c>
      <c r="K26" s="1" t="s">
        <v>242</v>
      </c>
      <c r="L26" s="1" t="s">
        <v>243</v>
      </c>
      <c r="M26" s="1" t="s">
        <v>244</v>
      </c>
      <c r="N26" s="11">
        <v>202509056458</v>
      </c>
      <c r="O26" s="48">
        <v>45880</v>
      </c>
    </row>
    <row r="27" spans="1:15" x14ac:dyDescent="0.4">
      <c r="A27" s="36">
        <v>1425</v>
      </c>
      <c r="B27" s="3" t="s">
        <v>245</v>
      </c>
      <c r="C27" s="45">
        <v>45334</v>
      </c>
      <c r="D27" s="12" t="s">
        <v>246</v>
      </c>
      <c r="E27" s="13" t="s">
        <v>247</v>
      </c>
      <c r="F27" s="1" t="s">
        <v>36</v>
      </c>
      <c r="G27" s="3" t="s">
        <v>248</v>
      </c>
      <c r="H27" s="3" t="s">
        <v>249</v>
      </c>
      <c r="I27" s="3" t="s">
        <v>250</v>
      </c>
      <c r="J27" s="45">
        <v>45888</v>
      </c>
      <c r="K27" s="1" t="s">
        <v>251</v>
      </c>
      <c r="L27" s="1" t="s">
        <v>252</v>
      </c>
      <c r="M27" s="1" t="s">
        <v>253</v>
      </c>
      <c r="N27" s="11">
        <v>202509056357</v>
      </c>
      <c r="O27" s="48">
        <v>45879</v>
      </c>
    </row>
    <row r="28" spans="1:15" x14ac:dyDescent="0.4">
      <c r="A28" s="35">
        <v>1426</v>
      </c>
      <c r="B28" s="3" t="s">
        <v>254</v>
      </c>
      <c r="C28" s="45">
        <v>45836</v>
      </c>
      <c r="D28" s="12" t="s">
        <v>34</v>
      </c>
      <c r="E28" s="13" t="s">
        <v>255</v>
      </c>
      <c r="F28" s="1" t="s">
        <v>55</v>
      </c>
      <c r="G28" s="3" t="s">
        <v>256</v>
      </c>
      <c r="H28" s="3" t="s">
        <v>257</v>
      </c>
      <c r="I28" s="3" t="s">
        <v>258</v>
      </c>
      <c r="J28" s="45">
        <v>45888</v>
      </c>
      <c r="K28" s="1" t="s">
        <v>259</v>
      </c>
      <c r="L28" s="1" t="s">
        <v>260</v>
      </c>
      <c r="M28" s="1" t="s">
        <v>261</v>
      </c>
      <c r="N28" s="11">
        <v>202509053120</v>
      </c>
      <c r="O28" s="48">
        <v>45867</v>
      </c>
    </row>
    <row r="29" spans="1:15" x14ac:dyDescent="0.4">
      <c r="A29" s="36">
        <v>1427</v>
      </c>
      <c r="B29" s="3" t="s">
        <v>262</v>
      </c>
      <c r="C29" s="45">
        <v>45763</v>
      </c>
      <c r="D29" s="12" t="s">
        <v>53</v>
      </c>
      <c r="E29" s="13" t="s">
        <v>263</v>
      </c>
      <c r="F29" s="1" t="s">
        <v>55</v>
      </c>
      <c r="G29" s="3" t="s">
        <v>264</v>
      </c>
      <c r="H29" s="3" t="s">
        <v>265</v>
      </c>
      <c r="I29" s="3" t="s">
        <v>266</v>
      </c>
      <c r="J29" s="45">
        <v>45888</v>
      </c>
      <c r="K29" s="1" t="s">
        <v>267</v>
      </c>
      <c r="L29" s="1" t="s">
        <v>268</v>
      </c>
      <c r="M29" s="1" t="s">
        <v>269</v>
      </c>
      <c r="N29" s="11">
        <v>202509051257</v>
      </c>
      <c r="O29" s="48">
        <v>45860</v>
      </c>
    </row>
    <row r="30" spans="1:15" x14ac:dyDescent="0.4">
      <c r="A30" s="35">
        <v>1428</v>
      </c>
      <c r="B30" s="3" t="s">
        <v>270</v>
      </c>
      <c r="C30" s="45">
        <v>45721</v>
      </c>
      <c r="D30" s="12" t="s">
        <v>271</v>
      </c>
      <c r="E30" s="13" t="s">
        <v>272</v>
      </c>
      <c r="F30" s="1" t="s">
        <v>36</v>
      </c>
      <c r="G30" s="3" t="s">
        <v>273</v>
      </c>
      <c r="H30" s="3" t="s">
        <v>274</v>
      </c>
      <c r="I30" s="3" t="s">
        <v>275</v>
      </c>
      <c r="J30" s="45">
        <v>45888</v>
      </c>
      <c r="K30" s="1" t="s">
        <v>276</v>
      </c>
      <c r="L30" s="1" t="s">
        <v>277</v>
      </c>
      <c r="M30" s="1" t="s">
        <v>278</v>
      </c>
      <c r="N30" s="11">
        <v>202509055279</v>
      </c>
      <c r="O30" s="48">
        <v>45875</v>
      </c>
    </row>
    <row r="31" spans="1:15" x14ac:dyDescent="0.4">
      <c r="A31" s="36">
        <v>1429</v>
      </c>
      <c r="B31" s="3" t="s">
        <v>279</v>
      </c>
      <c r="C31" s="45">
        <v>45791</v>
      </c>
      <c r="D31" s="12" t="s">
        <v>135</v>
      </c>
      <c r="E31" s="13" t="s">
        <v>280</v>
      </c>
      <c r="F31" s="1" t="s">
        <v>36</v>
      </c>
      <c r="G31" s="3" t="s">
        <v>281</v>
      </c>
      <c r="H31" s="3" t="s">
        <v>282</v>
      </c>
      <c r="I31" s="3" t="s">
        <v>283</v>
      </c>
      <c r="J31" s="45">
        <v>45888</v>
      </c>
      <c r="K31" s="1" t="s">
        <v>284</v>
      </c>
      <c r="L31" s="1" t="s">
        <v>285</v>
      </c>
      <c r="M31" s="1" t="s">
        <v>286</v>
      </c>
      <c r="N31" s="11">
        <v>202509055302</v>
      </c>
      <c r="O31" s="48">
        <v>45875</v>
      </c>
    </row>
    <row r="32" spans="1:15" x14ac:dyDescent="0.4">
      <c r="A32" s="35">
        <v>1430</v>
      </c>
      <c r="B32" s="3" t="s">
        <v>287</v>
      </c>
      <c r="C32" s="45">
        <v>45779</v>
      </c>
      <c r="D32" s="1" t="s">
        <v>34</v>
      </c>
      <c r="E32" s="13" t="s">
        <v>288</v>
      </c>
      <c r="F32" s="1" t="s">
        <v>36</v>
      </c>
      <c r="G32" s="3" t="s">
        <v>289</v>
      </c>
      <c r="H32" s="3" t="s">
        <v>290</v>
      </c>
      <c r="I32" s="3" t="s">
        <v>291</v>
      </c>
      <c r="J32" s="45">
        <v>45888</v>
      </c>
      <c r="K32" s="1" t="s">
        <v>292</v>
      </c>
      <c r="L32" s="1" t="s">
        <v>293</v>
      </c>
      <c r="M32" s="1" t="s">
        <v>294</v>
      </c>
      <c r="N32" s="11">
        <v>202509055196</v>
      </c>
      <c r="O32" s="48">
        <v>45875</v>
      </c>
    </row>
    <row r="33" spans="1:15" ht="30" customHeight="1" x14ac:dyDescent="0.4">
      <c r="A33" s="36">
        <v>1431</v>
      </c>
      <c r="B33" s="3" t="s">
        <v>295</v>
      </c>
      <c r="C33" s="45">
        <v>45847</v>
      </c>
      <c r="D33" s="12" t="s">
        <v>144</v>
      </c>
      <c r="E33" s="13" t="s">
        <v>296</v>
      </c>
      <c r="F33" s="1" t="s">
        <v>36</v>
      </c>
      <c r="G33" s="3" t="s">
        <v>297</v>
      </c>
      <c r="H33" s="3" t="s">
        <v>298</v>
      </c>
      <c r="I33" s="3" t="s">
        <v>299</v>
      </c>
      <c r="J33" s="45">
        <v>45888</v>
      </c>
      <c r="K33" s="1" t="s">
        <v>300</v>
      </c>
      <c r="L33" s="1" t="s">
        <v>301</v>
      </c>
      <c r="M33" s="1" t="s">
        <v>302</v>
      </c>
      <c r="N33" s="11">
        <v>202509055572</v>
      </c>
      <c r="O33" s="48">
        <v>45876</v>
      </c>
    </row>
    <row r="34" spans="1:15" x14ac:dyDescent="0.4">
      <c r="A34" s="35">
        <v>1432</v>
      </c>
      <c r="B34" s="3" t="s">
        <v>303</v>
      </c>
      <c r="C34" s="45">
        <v>45728</v>
      </c>
      <c r="D34" s="12" t="s">
        <v>99</v>
      </c>
      <c r="E34" s="13" t="s">
        <v>304</v>
      </c>
      <c r="F34" s="1" t="s">
        <v>36</v>
      </c>
      <c r="G34" s="3" t="s">
        <v>305</v>
      </c>
      <c r="H34" s="3" t="s">
        <v>306</v>
      </c>
      <c r="I34" s="3" t="s">
        <v>307</v>
      </c>
      <c r="J34" s="45">
        <v>45888</v>
      </c>
      <c r="K34" s="1" t="s">
        <v>308</v>
      </c>
      <c r="L34" s="1" t="s">
        <v>309</v>
      </c>
      <c r="M34" s="1" t="s">
        <v>310</v>
      </c>
      <c r="N34" s="11">
        <v>202509056469</v>
      </c>
      <c r="O34" s="48">
        <v>45880</v>
      </c>
    </row>
    <row r="35" spans="1:15" ht="30" customHeight="1" x14ac:dyDescent="0.4">
      <c r="A35" s="36">
        <v>1433</v>
      </c>
      <c r="B35" s="3" t="s">
        <v>311</v>
      </c>
      <c r="C35" s="45">
        <v>45828</v>
      </c>
      <c r="D35" s="12" t="s">
        <v>312</v>
      </c>
      <c r="E35" s="13" t="s">
        <v>313</v>
      </c>
      <c r="F35" s="1" t="s">
        <v>36</v>
      </c>
      <c r="G35" s="3" t="s">
        <v>314</v>
      </c>
      <c r="H35" s="3" t="s">
        <v>315</v>
      </c>
      <c r="I35" s="3" t="s">
        <v>316</v>
      </c>
      <c r="J35" s="45">
        <v>45888</v>
      </c>
      <c r="K35" s="1" t="s">
        <v>317</v>
      </c>
      <c r="L35" s="1" t="s">
        <v>318</v>
      </c>
      <c r="M35" s="1" t="s">
        <v>319</v>
      </c>
      <c r="N35" s="11">
        <v>202509053273</v>
      </c>
      <c r="O35" s="48">
        <v>45868</v>
      </c>
    </row>
    <row r="36" spans="1:15" x14ac:dyDescent="0.4">
      <c r="A36" s="35">
        <v>1434</v>
      </c>
      <c r="B36" s="3" t="s">
        <v>320</v>
      </c>
      <c r="C36" s="45">
        <v>45854</v>
      </c>
      <c r="D36" s="12" t="s">
        <v>72</v>
      </c>
      <c r="E36" s="13" t="s">
        <v>321</v>
      </c>
      <c r="F36" s="1" t="s">
        <v>36</v>
      </c>
      <c r="G36" s="3" t="s">
        <v>322</v>
      </c>
      <c r="H36" s="3" t="s">
        <v>323</v>
      </c>
      <c r="I36" s="3" t="s">
        <v>324</v>
      </c>
      <c r="J36" s="45">
        <v>45888</v>
      </c>
      <c r="K36" s="1" t="s">
        <v>325</v>
      </c>
      <c r="L36" s="1" t="s">
        <v>326</v>
      </c>
      <c r="M36" s="1" t="s">
        <v>327</v>
      </c>
      <c r="N36" s="11">
        <v>202509056623</v>
      </c>
      <c r="O36" s="48">
        <v>45881</v>
      </c>
    </row>
    <row r="37" spans="1:15" x14ac:dyDescent="0.4">
      <c r="A37" s="36">
        <v>1435</v>
      </c>
      <c r="B37" s="3" t="s">
        <v>328</v>
      </c>
      <c r="C37" s="45">
        <v>45810</v>
      </c>
      <c r="D37" s="12" t="s">
        <v>329</v>
      </c>
      <c r="E37" s="13" t="s">
        <v>330</v>
      </c>
      <c r="F37" s="1" t="s">
        <v>55</v>
      </c>
      <c r="G37" s="3" t="s">
        <v>331</v>
      </c>
      <c r="H37" s="3" t="s">
        <v>332</v>
      </c>
      <c r="I37" s="3" t="s">
        <v>333</v>
      </c>
      <c r="J37" s="45">
        <v>45889</v>
      </c>
      <c r="K37" s="1" t="s">
        <v>334</v>
      </c>
      <c r="L37" s="1" t="s">
        <v>335</v>
      </c>
      <c r="M37" s="1" t="s">
        <v>336</v>
      </c>
      <c r="N37" s="11">
        <v>202509050840</v>
      </c>
      <c r="O37" s="48">
        <v>45859</v>
      </c>
    </row>
    <row r="38" spans="1:15" x14ac:dyDescent="0.4">
      <c r="A38" s="35">
        <v>1436</v>
      </c>
      <c r="B38" s="3" t="s">
        <v>337</v>
      </c>
      <c r="C38" s="45">
        <v>45735</v>
      </c>
      <c r="D38" s="12" t="s">
        <v>212</v>
      </c>
      <c r="E38" s="13" t="s">
        <v>338</v>
      </c>
      <c r="F38" s="1" t="s">
        <v>36</v>
      </c>
      <c r="G38" s="3" t="s">
        <v>339</v>
      </c>
      <c r="H38" s="3" t="s">
        <v>340</v>
      </c>
      <c r="I38" s="3" t="s">
        <v>341</v>
      </c>
      <c r="J38" s="45">
        <v>45889</v>
      </c>
      <c r="K38" s="1" t="s">
        <v>342</v>
      </c>
      <c r="L38" s="1" t="s">
        <v>343</v>
      </c>
      <c r="M38" s="1" t="s">
        <v>344</v>
      </c>
      <c r="N38" s="11">
        <v>202509040415</v>
      </c>
      <c r="O38" s="47">
        <v>45820</v>
      </c>
    </row>
    <row r="39" spans="1:15" x14ac:dyDescent="0.4">
      <c r="A39" s="36">
        <v>1437</v>
      </c>
      <c r="B39" s="3" t="s">
        <v>345</v>
      </c>
      <c r="C39" s="45">
        <v>45834</v>
      </c>
      <c r="D39" s="12" t="s">
        <v>90</v>
      </c>
      <c r="E39" s="13" t="s">
        <v>346</v>
      </c>
      <c r="F39" s="1" t="s">
        <v>55</v>
      </c>
      <c r="G39" s="3" t="s">
        <v>347</v>
      </c>
      <c r="H39" s="3" t="s">
        <v>274</v>
      </c>
      <c r="I39" s="3" t="s">
        <v>348</v>
      </c>
      <c r="J39" s="45">
        <v>45889</v>
      </c>
      <c r="K39" s="3" t="s">
        <v>349</v>
      </c>
      <c r="L39" s="1" t="s">
        <v>350</v>
      </c>
      <c r="M39" s="1" t="s">
        <v>351</v>
      </c>
      <c r="N39" s="11">
        <v>202509054424</v>
      </c>
      <c r="O39" s="47">
        <v>45872</v>
      </c>
    </row>
    <row r="40" spans="1:15" x14ac:dyDescent="0.4">
      <c r="A40" s="35">
        <v>1438</v>
      </c>
      <c r="B40" s="3" t="s">
        <v>352</v>
      </c>
      <c r="C40" s="45">
        <v>45842</v>
      </c>
      <c r="D40" s="12" t="s">
        <v>90</v>
      </c>
      <c r="E40" s="13" t="s">
        <v>353</v>
      </c>
      <c r="F40" s="1" t="s">
        <v>36</v>
      </c>
      <c r="G40" s="3" t="s">
        <v>354</v>
      </c>
      <c r="H40" s="3" t="s">
        <v>355</v>
      </c>
      <c r="I40" s="3" t="s">
        <v>356</v>
      </c>
      <c r="J40" s="45">
        <v>45889</v>
      </c>
      <c r="K40" s="3" t="s">
        <v>357</v>
      </c>
      <c r="L40" s="1" t="s">
        <v>358</v>
      </c>
      <c r="M40" s="1" t="s">
        <v>359</v>
      </c>
      <c r="N40" s="11">
        <v>202509057224</v>
      </c>
      <c r="O40" s="47">
        <v>45883</v>
      </c>
    </row>
    <row r="41" spans="1:15" x14ac:dyDescent="0.4">
      <c r="A41" s="36">
        <v>1439</v>
      </c>
      <c r="B41" s="3" t="s">
        <v>360</v>
      </c>
      <c r="C41" s="45">
        <v>45687</v>
      </c>
      <c r="D41" s="1" t="s">
        <v>44</v>
      </c>
      <c r="E41" s="13" t="s">
        <v>361</v>
      </c>
      <c r="F41" s="1" t="s">
        <v>36</v>
      </c>
      <c r="G41" s="3" t="s">
        <v>362</v>
      </c>
      <c r="H41" s="3" t="s">
        <v>363</v>
      </c>
      <c r="I41" s="3" t="s">
        <v>364</v>
      </c>
      <c r="J41" s="45">
        <v>45889</v>
      </c>
      <c r="K41" s="1" t="s">
        <v>365</v>
      </c>
      <c r="L41" s="1" t="s">
        <v>366</v>
      </c>
      <c r="M41" s="1" t="s">
        <v>367</v>
      </c>
      <c r="N41" s="11">
        <v>202509041545</v>
      </c>
      <c r="O41" s="47">
        <v>45825</v>
      </c>
    </row>
    <row r="42" spans="1:15" x14ac:dyDescent="0.4">
      <c r="A42" s="35">
        <v>1440</v>
      </c>
      <c r="B42" s="3" t="s">
        <v>368</v>
      </c>
      <c r="C42" s="45">
        <v>45698</v>
      </c>
      <c r="D42" s="12" t="s">
        <v>99</v>
      </c>
      <c r="E42" s="13" t="s">
        <v>369</v>
      </c>
      <c r="F42" s="1" t="s">
        <v>55</v>
      </c>
      <c r="G42" s="3" t="s">
        <v>370</v>
      </c>
      <c r="H42" s="3" t="s">
        <v>371</v>
      </c>
      <c r="I42" s="3" t="s">
        <v>372</v>
      </c>
      <c r="J42" s="45">
        <v>45889</v>
      </c>
      <c r="K42" s="1" t="s">
        <v>373</v>
      </c>
      <c r="L42" s="1" t="s">
        <v>374</v>
      </c>
      <c r="M42" s="1" t="s">
        <v>375</v>
      </c>
      <c r="N42" s="11">
        <v>202509043551</v>
      </c>
      <c r="O42" s="47">
        <v>45832</v>
      </c>
    </row>
    <row r="43" spans="1:15" x14ac:dyDescent="0.4">
      <c r="A43" s="36">
        <v>1441</v>
      </c>
      <c r="B43" s="3" t="s">
        <v>376</v>
      </c>
      <c r="C43" s="45">
        <v>45835</v>
      </c>
      <c r="D43" s="12" t="s">
        <v>212</v>
      </c>
      <c r="E43" s="13" t="s">
        <v>377</v>
      </c>
      <c r="F43" s="1" t="s">
        <v>55</v>
      </c>
      <c r="G43" s="3" t="s">
        <v>378</v>
      </c>
      <c r="H43" s="3" t="s">
        <v>379</v>
      </c>
      <c r="I43" s="3" t="s">
        <v>380</v>
      </c>
      <c r="J43" s="45">
        <v>45889</v>
      </c>
      <c r="K43" s="1" t="s">
        <v>381</v>
      </c>
      <c r="L43" s="1" t="s">
        <v>382</v>
      </c>
      <c r="M43" s="1" t="s">
        <v>383</v>
      </c>
      <c r="N43" s="11">
        <v>202509056953</v>
      </c>
      <c r="O43" s="47">
        <v>45882</v>
      </c>
    </row>
    <row r="44" spans="1:15" ht="30" customHeight="1" x14ac:dyDescent="0.4">
      <c r="A44" s="35">
        <v>1442</v>
      </c>
      <c r="B44" s="3" t="s">
        <v>384</v>
      </c>
      <c r="C44" s="45">
        <v>45728</v>
      </c>
      <c r="D44" s="12" t="s">
        <v>385</v>
      </c>
      <c r="E44" s="13" t="s">
        <v>386</v>
      </c>
      <c r="F44" s="1" t="s">
        <v>55</v>
      </c>
      <c r="G44" s="3" t="s">
        <v>387</v>
      </c>
      <c r="H44" s="3" t="s">
        <v>388</v>
      </c>
      <c r="I44" s="1" t="s">
        <v>389</v>
      </c>
      <c r="J44" s="45">
        <v>45889</v>
      </c>
      <c r="K44" s="1" t="s">
        <v>390</v>
      </c>
      <c r="L44" s="1" t="s">
        <v>391</v>
      </c>
      <c r="M44" s="1" t="s">
        <v>392</v>
      </c>
      <c r="N44" s="11">
        <v>202509057226</v>
      </c>
      <c r="O44" s="47">
        <v>45883</v>
      </c>
    </row>
    <row r="45" spans="1:15" x14ac:dyDescent="0.4">
      <c r="A45" s="36">
        <v>1443</v>
      </c>
      <c r="B45" s="3" t="s">
        <v>393</v>
      </c>
      <c r="C45" s="45">
        <v>45801</v>
      </c>
      <c r="D45" s="12" t="s">
        <v>385</v>
      </c>
      <c r="E45" s="13" t="s">
        <v>394</v>
      </c>
      <c r="F45" s="1" t="s">
        <v>55</v>
      </c>
      <c r="G45" s="3" t="s">
        <v>395</v>
      </c>
      <c r="H45" s="3" t="s">
        <v>396</v>
      </c>
      <c r="I45" s="3" t="s">
        <v>397</v>
      </c>
      <c r="J45" s="45">
        <v>45889</v>
      </c>
      <c r="K45" s="1" t="s">
        <v>398</v>
      </c>
      <c r="L45" s="1" t="s">
        <v>399</v>
      </c>
      <c r="M45" s="1" t="s">
        <v>400</v>
      </c>
      <c r="N45" s="11">
        <v>202509057218</v>
      </c>
      <c r="O45" s="47">
        <v>45883</v>
      </c>
    </row>
    <row r="46" spans="1:15" x14ac:dyDescent="0.4">
      <c r="A46" s="35">
        <v>1444</v>
      </c>
      <c r="B46" s="3" t="s">
        <v>401</v>
      </c>
      <c r="C46" s="45">
        <v>45822</v>
      </c>
      <c r="D46" s="1" t="s">
        <v>402</v>
      </c>
      <c r="E46" s="13" t="s">
        <v>403</v>
      </c>
      <c r="F46" s="1" t="s">
        <v>55</v>
      </c>
      <c r="G46" s="3" t="s">
        <v>404</v>
      </c>
      <c r="H46" s="3" t="s">
        <v>405</v>
      </c>
      <c r="I46" s="3" t="s">
        <v>406</v>
      </c>
      <c r="J46" s="45">
        <v>45889</v>
      </c>
      <c r="K46" s="1" t="s">
        <v>407</v>
      </c>
      <c r="L46" s="1" t="s">
        <v>408</v>
      </c>
      <c r="M46" s="1" t="s">
        <v>409</v>
      </c>
      <c r="N46" s="11">
        <v>202509057222</v>
      </c>
      <c r="O46" s="47">
        <v>45883</v>
      </c>
    </row>
    <row r="47" spans="1:15" x14ac:dyDescent="0.4">
      <c r="A47" s="36">
        <v>1445</v>
      </c>
      <c r="B47" s="3" t="s">
        <v>410</v>
      </c>
      <c r="C47" s="45">
        <v>45725</v>
      </c>
      <c r="D47" s="1" t="s">
        <v>411</v>
      </c>
      <c r="E47" s="13" t="s">
        <v>412</v>
      </c>
      <c r="F47" s="1" t="s">
        <v>36</v>
      </c>
      <c r="G47" s="3" t="s">
        <v>413</v>
      </c>
      <c r="H47" s="3" t="s">
        <v>414</v>
      </c>
      <c r="I47" s="3" t="s">
        <v>415</v>
      </c>
      <c r="J47" s="45">
        <v>45889</v>
      </c>
      <c r="K47" s="1" t="s">
        <v>416</v>
      </c>
      <c r="L47" s="1" t="s">
        <v>417</v>
      </c>
      <c r="M47" s="1" t="s">
        <v>418</v>
      </c>
      <c r="N47" s="11">
        <v>202509055538</v>
      </c>
      <c r="O47" s="47">
        <v>45876</v>
      </c>
    </row>
    <row r="48" spans="1:15" x14ac:dyDescent="0.4">
      <c r="A48" s="35">
        <v>1446</v>
      </c>
      <c r="B48" s="3" t="s">
        <v>419</v>
      </c>
      <c r="C48" s="45">
        <v>45769</v>
      </c>
      <c r="D48" s="12" t="s">
        <v>99</v>
      </c>
      <c r="E48" s="13" t="s">
        <v>420</v>
      </c>
      <c r="F48" s="1" t="s">
        <v>36</v>
      </c>
      <c r="G48" s="3" t="s">
        <v>421</v>
      </c>
      <c r="H48" s="3" t="s">
        <v>422</v>
      </c>
      <c r="I48" s="3" t="s">
        <v>423</v>
      </c>
      <c r="J48" s="45">
        <v>45889</v>
      </c>
      <c r="K48" s="1" t="s">
        <v>424</v>
      </c>
      <c r="L48" s="1" t="s">
        <v>425</v>
      </c>
      <c r="M48" s="1" t="s">
        <v>426</v>
      </c>
      <c r="N48" s="11">
        <v>202509045602</v>
      </c>
      <c r="O48" s="47">
        <v>45839</v>
      </c>
    </row>
    <row r="49" spans="1:15" ht="30" customHeight="1" x14ac:dyDescent="0.4">
      <c r="A49" s="36">
        <v>1447</v>
      </c>
      <c r="B49" s="3" t="s">
        <v>427</v>
      </c>
      <c r="C49" s="45">
        <v>45854</v>
      </c>
      <c r="D49" s="12" t="s">
        <v>53</v>
      </c>
      <c r="E49" s="13" t="s">
        <v>428</v>
      </c>
      <c r="F49" s="1" t="s">
        <v>36</v>
      </c>
      <c r="G49" s="3" t="s">
        <v>429</v>
      </c>
      <c r="H49" s="3" t="s">
        <v>430</v>
      </c>
      <c r="I49" s="3" t="s">
        <v>431</v>
      </c>
      <c r="J49" s="45">
        <v>45889</v>
      </c>
      <c r="K49" s="1" t="s">
        <v>432</v>
      </c>
      <c r="L49" s="1" t="s">
        <v>433</v>
      </c>
      <c r="M49" s="1" t="s">
        <v>434</v>
      </c>
      <c r="N49" s="11">
        <v>202509057220</v>
      </c>
      <c r="O49" s="47">
        <v>45883</v>
      </c>
    </row>
    <row r="50" spans="1:15" ht="30" customHeight="1" x14ac:dyDescent="0.4">
      <c r="A50" s="35">
        <v>1448</v>
      </c>
      <c r="B50" s="3" t="s">
        <v>435</v>
      </c>
      <c r="C50" s="45">
        <v>45548</v>
      </c>
      <c r="D50" s="12" t="s">
        <v>53</v>
      </c>
      <c r="E50" s="13" t="s">
        <v>436</v>
      </c>
      <c r="F50" s="1" t="s">
        <v>36</v>
      </c>
      <c r="G50" s="3" t="s">
        <v>437</v>
      </c>
      <c r="H50" s="3" t="s">
        <v>438</v>
      </c>
      <c r="I50" s="3" t="s">
        <v>439</v>
      </c>
      <c r="J50" s="45">
        <v>45889</v>
      </c>
      <c r="K50" s="1" t="s">
        <v>440</v>
      </c>
      <c r="L50" s="1" t="s">
        <v>441</v>
      </c>
      <c r="M50" s="1" t="s">
        <v>302</v>
      </c>
      <c r="N50" s="11">
        <v>202509055611</v>
      </c>
      <c r="O50" s="48">
        <v>45876</v>
      </c>
    </row>
    <row r="51" spans="1:15" ht="30" customHeight="1" x14ac:dyDescent="0.4">
      <c r="A51" s="36">
        <v>1449</v>
      </c>
      <c r="B51" s="3" t="s">
        <v>442</v>
      </c>
      <c r="C51" s="45">
        <v>45838</v>
      </c>
      <c r="D51" s="12" t="s">
        <v>443</v>
      </c>
      <c r="E51" s="13" t="s">
        <v>444</v>
      </c>
      <c r="F51" s="1" t="s">
        <v>36</v>
      </c>
      <c r="G51" s="3" t="s">
        <v>445</v>
      </c>
      <c r="H51" s="3" t="s">
        <v>446</v>
      </c>
      <c r="I51" s="3" t="s">
        <v>447</v>
      </c>
      <c r="J51" s="45">
        <v>45889</v>
      </c>
      <c r="K51" s="1" t="s">
        <v>448</v>
      </c>
      <c r="L51" s="1" t="s">
        <v>449</v>
      </c>
      <c r="M51" s="1" t="s">
        <v>450</v>
      </c>
      <c r="N51" s="11">
        <v>202509056703</v>
      </c>
      <c r="O51" s="47">
        <v>45881</v>
      </c>
    </row>
    <row r="52" spans="1:15" x14ac:dyDescent="0.4">
      <c r="A52" s="35">
        <v>1450</v>
      </c>
      <c r="B52" s="3" t="s">
        <v>451</v>
      </c>
      <c r="C52" s="45">
        <v>45763</v>
      </c>
      <c r="D52" s="1" t="s">
        <v>452</v>
      </c>
      <c r="E52" s="13" t="s">
        <v>453</v>
      </c>
      <c r="F52" s="1" t="s">
        <v>36</v>
      </c>
      <c r="G52" s="3" t="s">
        <v>454</v>
      </c>
      <c r="H52" s="3" t="s">
        <v>455</v>
      </c>
      <c r="I52" s="3" t="s">
        <v>456</v>
      </c>
      <c r="J52" s="45">
        <v>45889</v>
      </c>
      <c r="K52" s="1" t="s">
        <v>457</v>
      </c>
      <c r="L52" s="1" t="s">
        <v>458</v>
      </c>
      <c r="M52" s="1" t="s">
        <v>160</v>
      </c>
      <c r="N52" s="11">
        <v>202509054863</v>
      </c>
      <c r="O52" s="47">
        <v>45874</v>
      </c>
    </row>
    <row r="53" spans="1:15" x14ac:dyDescent="0.4">
      <c r="A53" s="36">
        <v>1451</v>
      </c>
      <c r="B53" s="3" t="s">
        <v>459</v>
      </c>
      <c r="C53" s="45">
        <v>45819</v>
      </c>
      <c r="D53" s="12" t="s">
        <v>126</v>
      </c>
      <c r="E53" s="13" t="s">
        <v>460</v>
      </c>
      <c r="F53" s="1" t="s">
        <v>55</v>
      </c>
      <c r="G53" s="3" t="s">
        <v>461</v>
      </c>
      <c r="H53" s="3" t="s">
        <v>462</v>
      </c>
      <c r="I53" s="3" t="s">
        <v>463</v>
      </c>
      <c r="J53" s="45">
        <v>45895</v>
      </c>
      <c r="K53" s="1" t="s">
        <v>464</v>
      </c>
      <c r="L53" s="1" t="s">
        <v>465</v>
      </c>
      <c r="M53" s="1" t="s">
        <v>466</v>
      </c>
      <c r="N53" s="11">
        <v>202509053038</v>
      </c>
      <c r="O53" s="47">
        <v>45867</v>
      </c>
    </row>
    <row r="54" spans="1:15" x14ac:dyDescent="0.4">
      <c r="A54" s="35">
        <v>1452</v>
      </c>
      <c r="B54" s="3" t="s">
        <v>467</v>
      </c>
      <c r="C54" s="45">
        <v>45854</v>
      </c>
      <c r="D54" s="12" t="s">
        <v>126</v>
      </c>
      <c r="E54" s="13" t="s">
        <v>468</v>
      </c>
      <c r="F54" s="1" t="s">
        <v>55</v>
      </c>
      <c r="G54" s="3" t="s">
        <v>469</v>
      </c>
      <c r="H54" s="3" t="s">
        <v>470</v>
      </c>
      <c r="I54" s="3" t="s">
        <v>471</v>
      </c>
      <c r="J54" s="45">
        <v>45895</v>
      </c>
      <c r="K54" s="1" t="s">
        <v>472</v>
      </c>
      <c r="L54" s="1" t="s">
        <v>473</v>
      </c>
      <c r="M54" s="1" t="s">
        <v>474</v>
      </c>
      <c r="N54" s="11">
        <v>202509059699</v>
      </c>
      <c r="O54" s="47">
        <v>45893</v>
      </c>
    </row>
    <row r="55" spans="1:15" ht="30" customHeight="1" x14ac:dyDescent="0.4">
      <c r="A55" s="36">
        <v>1453</v>
      </c>
      <c r="B55" s="3" t="s">
        <v>475</v>
      </c>
      <c r="C55" s="45">
        <v>45870</v>
      </c>
      <c r="D55" s="12" t="s">
        <v>63</v>
      </c>
      <c r="E55" s="13" t="s">
        <v>476</v>
      </c>
      <c r="F55" s="1" t="s">
        <v>55</v>
      </c>
      <c r="G55" s="3" t="s">
        <v>477</v>
      </c>
      <c r="H55" s="3" t="s">
        <v>478</v>
      </c>
      <c r="I55" s="3" t="s">
        <v>479</v>
      </c>
      <c r="J55" s="45">
        <v>45895</v>
      </c>
      <c r="K55" s="1" t="s">
        <v>480</v>
      </c>
      <c r="L55" s="1" t="s">
        <v>481</v>
      </c>
      <c r="M55" s="1" t="s">
        <v>482</v>
      </c>
      <c r="N55" s="11">
        <v>202509055854</v>
      </c>
      <c r="O55" s="47">
        <v>45877</v>
      </c>
    </row>
    <row r="56" spans="1:15" ht="30" customHeight="1" x14ac:dyDescent="0.4">
      <c r="A56" s="35">
        <v>1454</v>
      </c>
      <c r="B56" s="3" t="s">
        <v>483</v>
      </c>
      <c r="C56" s="45">
        <v>45868</v>
      </c>
      <c r="D56" s="12" t="s">
        <v>484</v>
      </c>
      <c r="E56" s="13" t="s">
        <v>485</v>
      </c>
      <c r="F56" s="1" t="s">
        <v>55</v>
      </c>
      <c r="G56" s="3" t="s">
        <v>486</v>
      </c>
      <c r="H56" s="3" t="s">
        <v>487</v>
      </c>
      <c r="I56" s="3" t="s">
        <v>488</v>
      </c>
      <c r="J56" s="45">
        <v>45895</v>
      </c>
      <c r="K56" s="1" t="s">
        <v>489</v>
      </c>
      <c r="L56" s="1" t="s">
        <v>490</v>
      </c>
      <c r="M56" s="1" t="s">
        <v>160</v>
      </c>
      <c r="N56" s="11">
        <v>202509059612</v>
      </c>
      <c r="O56" s="47">
        <v>45892</v>
      </c>
    </row>
    <row r="57" spans="1:15" x14ac:dyDescent="0.4">
      <c r="A57" s="36">
        <v>1455</v>
      </c>
      <c r="B57" s="3" t="s">
        <v>491</v>
      </c>
      <c r="C57" s="45">
        <v>45804</v>
      </c>
      <c r="D57" s="12" t="s">
        <v>492</v>
      </c>
      <c r="E57" s="13" t="s">
        <v>493</v>
      </c>
      <c r="F57" s="1" t="s">
        <v>36</v>
      </c>
      <c r="G57" s="3" t="s">
        <v>494</v>
      </c>
      <c r="H57" s="3" t="s">
        <v>495</v>
      </c>
      <c r="I57" s="3" t="s">
        <v>496</v>
      </c>
      <c r="J57" s="45">
        <v>45895</v>
      </c>
      <c r="K57" s="1" t="s">
        <v>497</v>
      </c>
      <c r="L57" s="1" t="s">
        <v>498</v>
      </c>
      <c r="M57" s="1" t="s">
        <v>499</v>
      </c>
      <c r="N57" s="11">
        <v>202509055801</v>
      </c>
      <c r="O57" s="47">
        <v>45877</v>
      </c>
    </row>
    <row r="58" spans="1:15" x14ac:dyDescent="0.4">
      <c r="A58" s="35">
        <v>1456</v>
      </c>
      <c r="B58" s="3" t="s">
        <v>500</v>
      </c>
      <c r="C58" s="45">
        <v>45857</v>
      </c>
      <c r="D58" s="12" t="s">
        <v>53</v>
      </c>
      <c r="E58" s="13" t="s">
        <v>501</v>
      </c>
      <c r="F58" s="1" t="s">
        <v>36</v>
      </c>
      <c r="G58" s="3" t="s">
        <v>502</v>
      </c>
      <c r="H58" s="3" t="s">
        <v>503</v>
      </c>
      <c r="I58" s="3" t="s">
        <v>504</v>
      </c>
      <c r="J58" s="45">
        <v>45895</v>
      </c>
      <c r="K58" s="1" t="s">
        <v>505</v>
      </c>
      <c r="L58" s="1" t="s">
        <v>506</v>
      </c>
      <c r="M58" s="1" t="s">
        <v>507</v>
      </c>
      <c r="N58" s="11">
        <v>202509056938</v>
      </c>
      <c r="O58" s="47">
        <v>45882</v>
      </c>
    </row>
    <row r="59" spans="1:15" x14ac:dyDescent="0.4">
      <c r="A59" s="36">
        <v>1457</v>
      </c>
      <c r="B59" s="3" t="s">
        <v>508</v>
      </c>
      <c r="C59" s="45">
        <v>45805</v>
      </c>
      <c r="D59" s="1" t="s">
        <v>509</v>
      </c>
      <c r="E59" s="13" t="s">
        <v>510</v>
      </c>
      <c r="F59" s="1" t="s">
        <v>55</v>
      </c>
      <c r="G59" s="3" t="s">
        <v>511</v>
      </c>
      <c r="H59" s="3" t="s">
        <v>512</v>
      </c>
      <c r="I59" s="1" t="s">
        <v>513</v>
      </c>
      <c r="J59" s="45">
        <v>45895</v>
      </c>
      <c r="K59" s="1" t="s">
        <v>514</v>
      </c>
      <c r="L59" s="1" t="s">
        <v>515</v>
      </c>
      <c r="M59" s="1" t="s">
        <v>516</v>
      </c>
      <c r="N59" s="11">
        <v>202509059708</v>
      </c>
      <c r="O59" s="47">
        <v>45893</v>
      </c>
    </row>
    <row r="60" spans="1:15" x14ac:dyDescent="0.4">
      <c r="A60" s="35">
        <v>1458</v>
      </c>
      <c r="B60" s="3" t="s">
        <v>517</v>
      </c>
      <c r="C60" s="45">
        <v>45786</v>
      </c>
      <c r="D60" s="12" t="s">
        <v>518</v>
      </c>
      <c r="E60" s="13" t="s">
        <v>519</v>
      </c>
      <c r="F60" s="1" t="s">
        <v>36</v>
      </c>
      <c r="G60" s="3" t="s">
        <v>520</v>
      </c>
      <c r="H60" s="3" t="s">
        <v>521</v>
      </c>
      <c r="I60" s="3" t="s">
        <v>522</v>
      </c>
      <c r="J60" s="45">
        <v>45894</v>
      </c>
      <c r="K60" s="1" t="s">
        <v>523</v>
      </c>
      <c r="L60" s="1" t="s">
        <v>524</v>
      </c>
      <c r="M60" s="1" t="s">
        <v>525</v>
      </c>
      <c r="N60" s="11">
        <v>202509050870</v>
      </c>
      <c r="O60" s="47">
        <v>45859</v>
      </c>
    </row>
    <row r="61" spans="1:15" x14ac:dyDescent="0.4">
      <c r="A61" s="36">
        <v>1459</v>
      </c>
      <c r="B61" s="3" t="s">
        <v>526</v>
      </c>
      <c r="C61" s="45">
        <v>45792</v>
      </c>
      <c r="D61" s="1" t="s">
        <v>527</v>
      </c>
      <c r="E61" s="13" t="s">
        <v>528</v>
      </c>
      <c r="F61" s="1" t="s">
        <v>36</v>
      </c>
      <c r="G61" s="3" t="s">
        <v>529</v>
      </c>
      <c r="H61" s="3" t="s">
        <v>530</v>
      </c>
      <c r="I61" s="3" t="s">
        <v>531</v>
      </c>
      <c r="J61" s="45">
        <v>45894</v>
      </c>
      <c r="K61" s="1" t="s">
        <v>532</v>
      </c>
      <c r="L61" s="1" t="s">
        <v>533</v>
      </c>
      <c r="M61" s="1" t="s">
        <v>534</v>
      </c>
      <c r="N61" s="11">
        <v>202509053653</v>
      </c>
      <c r="O61" s="47">
        <v>45869</v>
      </c>
    </row>
    <row r="62" spans="1:15" x14ac:dyDescent="0.4">
      <c r="A62" s="35">
        <v>1460</v>
      </c>
      <c r="B62" s="3" t="s">
        <v>535</v>
      </c>
      <c r="C62" s="45">
        <v>45866</v>
      </c>
      <c r="D62" s="1" t="s">
        <v>536</v>
      </c>
      <c r="E62" s="13" t="s">
        <v>537</v>
      </c>
      <c r="F62" s="1" t="s">
        <v>36</v>
      </c>
      <c r="G62" s="3" t="s">
        <v>538</v>
      </c>
      <c r="H62" s="3" t="s">
        <v>539</v>
      </c>
      <c r="I62" s="3" t="s">
        <v>540</v>
      </c>
      <c r="J62" s="45">
        <v>45894</v>
      </c>
      <c r="K62" s="1" t="s">
        <v>541</v>
      </c>
      <c r="L62" s="1" t="s">
        <v>542</v>
      </c>
      <c r="M62" s="1" t="s">
        <v>543</v>
      </c>
      <c r="N62" s="11">
        <v>202509058271</v>
      </c>
      <c r="O62" s="47">
        <v>45888</v>
      </c>
    </row>
    <row r="63" spans="1:15" x14ac:dyDescent="0.4">
      <c r="A63" s="36">
        <v>1461</v>
      </c>
      <c r="B63" s="3" t="s">
        <v>544</v>
      </c>
      <c r="C63" s="45">
        <v>45866</v>
      </c>
      <c r="D63" s="1" t="s">
        <v>536</v>
      </c>
      <c r="E63" s="13" t="s">
        <v>545</v>
      </c>
      <c r="F63" s="1" t="s">
        <v>36</v>
      </c>
      <c r="G63" s="3" t="s">
        <v>538</v>
      </c>
      <c r="H63" s="3" t="s">
        <v>539</v>
      </c>
      <c r="I63" s="3" t="s">
        <v>540</v>
      </c>
      <c r="J63" s="45">
        <v>45894</v>
      </c>
      <c r="K63" s="1" t="s">
        <v>541</v>
      </c>
      <c r="L63" s="1" t="s">
        <v>542</v>
      </c>
      <c r="M63" s="1" t="s">
        <v>543</v>
      </c>
      <c r="N63" s="11">
        <v>202509058272</v>
      </c>
      <c r="O63" s="47">
        <v>45888</v>
      </c>
    </row>
    <row r="64" spans="1:15" x14ac:dyDescent="0.4">
      <c r="A64" s="35">
        <v>1462</v>
      </c>
      <c r="B64" s="3" t="s">
        <v>546</v>
      </c>
      <c r="C64" s="45">
        <v>45777</v>
      </c>
      <c r="D64" s="1" t="s">
        <v>547</v>
      </c>
      <c r="E64" s="13" t="s">
        <v>548</v>
      </c>
      <c r="F64" s="1" t="s">
        <v>36</v>
      </c>
      <c r="G64" s="3" t="s">
        <v>549</v>
      </c>
      <c r="H64" s="3" t="s">
        <v>550</v>
      </c>
      <c r="I64" s="3" t="s">
        <v>551</v>
      </c>
      <c r="J64" s="45">
        <v>45894</v>
      </c>
      <c r="K64" s="1" t="s">
        <v>552</v>
      </c>
      <c r="L64" s="1" t="s">
        <v>553</v>
      </c>
      <c r="M64" s="1" t="s">
        <v>554</v>
      </c>
      <c r="N64" s="11">
        <v>202509049566</v>
      </c>
      <c r="O64" s="47">
        <v>45854</v>
      </c>
    </row>
    <row r="65" spans="1:15" x14ac:dyDescent="0.4">
      <c r="A65" s="36">
        <v>1463</v>
      </c>
      <c r="B65" s="3" t="s">
        <v>555</v>
      </c>
      <c r="C65" s="45">
        <v>45764</v>
      </c>
      <c r="D65" s="1" t="s">
        <v>402</v>
      </c>
      <c r="E65" s="13" t="s">
        <v>556</v>
      </c>
      <c r="F65" s="1" t="s">
        <v>55</v>
      </c>
      <c r="G65" s="3" t="s">
        <v>557</v>
      </c>
      <c r="H65" s="3" t="s">
        <v>558</v>
      </c>
      <c r="I65" s="3" t="s">
        <v>559</v>
      </c>
      <c r="J65" s="45">
        <v>45894</v>
      </c>
      <c r="K65" s="1" t="s">
        <v>560</v>
      </c>
      <c r="L65" s="1" t="s">
        <v>561</v>
      </c>
      <c r="M65" s="1" t="s">
        <v>562</v>
      </c>
      <c r="N65" s="11">
        <v>202509059240</v>
      </c>
      <c r="O65" s="47">
        <v>45891</v>
      </c>
    </row>
    <row r="66" spans="1:15" ht="30" customHeight="1" x14ac:dyDescent="0.4">
      <c r="A66" s="35">
        <v>1464</v>
      </c>
      <c r="B66" s="17" t="s">
        <v>563</v>
      </c>
      <c r="C66" s="46">
        <v>45839</v>
      </c>
      <c r="D66" s="16" t="s">
        <v>411</v>
      </c>
      <c r="E66" s="21" t="s">
        <v>564</v>
      </c>
      <c r="F66" s="16" t="s">
        <v>36</v>
      </c>
      <c r="G66" s="17" t="s">
        <v>565</v>
      </c>
      <c r="H66" s="17" t="s">
        <v>566</v>
      </c>
      <c r="I66" s="17" t="s">
        <v>567</v>
      </c>
      <c r="J66" s="46">
        <v>45894</v>
      </c>
      <c r="K66" s="16" t="s">
        <v>568</v>
      </c>
      <c r="L66" s="16" t="s">
        <v>569</v>
      </c>
      <c r="M66" s="16" t="s">
        <v>570</v>
      </c>
      <c r="N66" s="41">
        <v>202509057797</v>
      </c>
      <c r="O66" s="50">
        <v>45886</v>
      </c>
    </row>
    <row r="67" spans="1:15" ht="30" customHeight="1" x14ac:dyDescent="0.4">
      <c r="A67" s="36">
        <v>1465</v>
      </c>
      <c r="B67" s="3" t="s">
        <v>571</v>
      </c>
      <c r="C67" s="45">
        <v>45839</v>
      </c>
      <c r="D67" s="1" t="s">
        <v>411</v>
      </c>
      <c r="E67" s="3" t="s">
        <v>572</v>
      </c>
      <c r="F67" s="14" t="s">
        <v>36</v>
      </c>
      <c r="G67" s="3" t="s">
        <v>573</v>
      </c>
      <c r="H67" s="3" t="s">
        <v>574</v>
      </c>
      <c r="I67" s="3" t="s">
        <v>575</v>
      </c>
      <c r="J67" s="45">
        <v>45910</v>
      </c>
      <c r="K67" s="1" t="s">
        <v>576</v>
      </c>
      <c r="L67" s="1" t="s">
        <v>577</v>
      </c>
      <c r="M67" s="1" t="s">
        <v>578</v>
      </c>
      <c r="N67" s="11">
        <v>202509063942</v>
      </c>
      <c r="O67" s="51">
        <v>45910</v>
      </c>
    </row>
    <row r="68" spans="1:15" x14ac:dyDescent="0.4">
      <c r="A68" s="35">
        <v>1466</v>
      </c>
      <c r="B68" s="22" t="s">
        <v>579</v>
      </c>
      <c r="C68" s="23">
        <v>45659</v>
      </c>
      <c r="D68" s="14" t="s">
        <v>580</v>
      </c>
      <c r="E68" s="22" t="s">
        <v>581</v>
      </c>
      <c r="F68" s="14" t="s">
        <v>36</v>
      </c>
      <c r="G68" s="14" t="s">
        <v>582</v>
      </c>
      <c r="H68" s="14" t="s">
        <v>583</v>
      </c>
      <c r="I68" s="22" t="s">
        <v>584</v>
      </c>
      <c r="J68" s="24">
        <v>45890</v>
      </c>
      <c r="K68" s="14" t="s">
        <v>585</v>
      </c>
      <c r="L68" s="14" t="s">
        <v>586</v>
      </c>
      <c r="M68" s="14" t="s">
        <v>587</v>
      </c>
      <c r="N68" s="11">
        <v>202509057525</v>
      </c>
      <c r="O68" s="48">
        <v>45884</v>
      </c>
    </row>
    <row r="69" spans="1:15" x14ac:dyDescent="0.4">
      <c r="A69" s="36">
        <v>1467</v>
      </c>
      <c r="B69" s="22" t="s">
        <v>588</v>
      </c>
      <c r="C69" s="37">
        <v>45822</v>
      </c>
      <c r="D69" s="14" t="s">
        <v>589</v>
      </c>
      <c r="E69" s="22" t="s">
        <v>590</v>
      </c>
      <c r="F69" s="14" t="s">
        <v>36</v>
      </c>
      <c r="G69" s="14" t="s">
        <v>591</v>
      </c>
      <c r="H69" s="14" t="s">
        <v>592</v>
      </c>
      <c r="I69" s="22" t="s">
        <v>593</v>
      </c>
      <c r="J69" s="24">
        <v>45890</v>
      </c>
      <c r="K69" s="14" t="s">
        <v>594</v>
      </c>
      <c r="L69" s="14" t="s">
        <v>595</v>
      </c>
      <c r="M69" s="14" t="s">
        <v>160</v>
      </c>
      <c r="N69" s="11">
        <v>202509057209</v>
      </c>
      <c r="O69" s="48">
        <v>45883</v>
      </c>
    </row>
    <row r="70" spans="1:15" x14ac:dyDescent="0.4">
      <c r="A70" s="35">
        <v>1468</v>
      </c>
      <c r="B70" s="22" t="s">
        <v>596</v>
      </c>
      <c r="C70" s="23">
        <v>45774</v>
      </c>
      <c r="D70" s="14" t="s">
        <v>597</v>
      </c>
      <c r="E70" s="22" t="s">
        <v>598</v>
      </c>
      <c r="F70" s="14" t="s">
        <v>55</v>
      </c>
      <c r="G70" s="14" t="s">
        <v>599</v>
      </c>
      <c r="H70" s="14" t="s">
        <v>600</v>
      </c>
      <c r="I70" s="22" t="s">
        <v>601</v>
      </c>
      <c r="J70" s="24">
        <v>45890</v>
      </c>
      <c r="K70" s="14" t="s">
        <v>602</v>
      </c>
      <c r="L70" s="14" t="s">
        <v>603</v>
      </c>
      <c r="M70" s="14" t="s">
        <v>604</v>
      </c>
      <c r="N70" s="11">
        <v>202509053095</v>
      </c>
      <c r="O70" s="48">
        <v>45867</v>
      </c>
    </row>
    <row r="71" spans="1:15" x14ac:dyDescent="0.4">
      <c r="A71" s="36">
        <v>1469</v>
      </c>
      <c r="B71" s="22" t="s">
        <v>605</v>
      </c>
      <c r="C71" s="23">
        <v>45777</v>
      </c>
      <c r="D71" s="14" t="s">
        <v>606</v>
      </c>
      <c r="E71" s="22" t="s">
        <v>607</v>
      </c>
      <c r="F71" s="14" t="s">
        <v>36</v>
      </c>
      <c r="G71" s="14" t="s">
        <v>608</v>
      </c>
      <c r="H71" s="14" t="s">
        <v>609</v>
      </c>
      <c r="I71" s="22" t="s">
        <v>610</v>
      </c>
      <c r="J71" s="24">
        <v>45890</v>
      </c>
      <c r="K71" s="14" t="s">
        <v>611</v>
      </c>
      <c r="L71" s="14" t="s">
        <v>612</v>
      </c>
      <c r="M71" s="14" t="s">
        <v>613</v>
      </c>
      <c r="N71" s="11">
        <v>202509045018</v>
      </c>
      <c r="O71" s="48">
        <v>45837</v>
      </c>
    </row>
    <row r="72" spans="1:15" x14ac:dyDescent="0.4">
      <c r="A72" s="35">
        <v>1470</v>
      </c>
      <c r="B72" s="22" t="s">
        <v>614</v>
      </c>
      <c r="C72" s="37">
        <v>45841</v>
      </c>
      <c r="D72" s="14" t="s">
        <v>615</v>
      </c>
      <c r="E72" s="22" t="s">
        <v>616</v>
      </c>
      <c r="F72" s="14" t="s">
        <v>55</v>
      </c>
      <c r="G72" s="14" t="s">
        <v>617</v>
      </c>
      <c r="H72" s="14" t="s">
        <v>618</v>
      </c>
      <c r="I72" s="22" t="s">
        <v>619</v>
      </c>
      <c r="J72" s="24">
        <v>45890</v>
      </c>
      <c r="K72" s="14" t="s">
        <v>620</v>
      </c>
      <c r="L72" s="14" t="s">
        <v>621</v>
      </c>
      <c r="M72" s="14" t="s">
        <v>622</v>
      </c>
      <c r="N72" s="11">
        <v>202509057521</v>
      </c>
      <c r="O72" s="48">
        <v>45884</v>
      </c>
    </row>
    <row r="73" spans="1:15" x14ac:dyDescent="0.4">
      <c r="A73" s="36">
        <v>1471</v>
      </c>
      <c r="B73" s="22" t="s">
        <v>623</v>
      </c>
      <c r="C73" s="23" t="s">
        <v>624</v>
      </c>
      <c r="D73" s="14" t="s">
        <v>615</v>
      </c>
      <c r="E73" s="22" t="s">
        <v>625</v>
      </c>
      <c r="F73" s="14" t="s">
        <v>36</v>
      </c>
      <c r="G73" s="14" t="s">
        <v>626</v>
      </c>
      <c r="H73" s="14" t="s">
        <v>627</v>
      </c>
      <c r="I73" s="22" t="s">
        <v>628</v>
      </c>
      <c r="J73" s="24">
        <v>45890</v>
      </c>
      <c r="K73" s="14" t="s">
        <v>629</v>
      </c>
      <c r="L73" s="14" t="s">
        <v>630</v>
      </c>
      <c r="M73" s="14" t="s">
        <v>631</v>
      </c>
      <c r="N73" s="11">
        <v>202509056059</v>
      </c>
      <c r="O73" s="48">
        <v>45878</v>
      </c>
    </row>
    <row r="74" spans="1:15" x14ac:dyDescent="0.4">
      <c r="A74" s="35">
        <v>1472</v>
      </c>
      <c r="B74" s="25" t="s">
        <v>632</v>
      </c>
      <c r="C74" s="26">
        <v>45735</v>
      </c>
      <c r="D74" s="27" t="s">
        <v>633</v>
      </c>
      <c r="E74" s="25" t="s">
        <v>634</v>
      </c>
      <c r="F74" s="27" t="s">
        <v>36</v>
      </c>
      <c r="G74" s="27" t="s">
        <v>635</v>
      </c>
      <c r="H74" s="27" t="s">
        <v>636</v>
      </c>
      <c r="I74" s="25" t="s">
        <v>637</v>
      </c>
      <c r="J74" s="28">
        <v>45890</v>
      </c>
      <c r="K74" s="27" t="s">
        <v>638</v>
      </c>
      <c r="L74" s="27" t="s">
        <v>639</v>
      </c>
      <c r="M74" s="27" t="s">
        <v>640</v>
      </c>
      <c r="N74" s="29">
        <v>202509057403</v>
      </c>
      <c r="O74" s="52">
        <v>45883</v>
      </c>
    </row>
    <row r="75" spans="1:15" x14ac:dyDescent="0.4">
      <c r="A75" s="36">
        <v>1473</v>
      </c>
      <c r="B75" s="22" t="s">
        <v>641</v>
      </c>
      <c r="C75" s="23">
        <v>45639</v>
      </c>
      <c r="D75" s="14" t="s">
        <v>642</v>
      </c>
      <c r="E75" s="22" t="s">
        <v>643</v>
      </c>
      <c r="F75" s="14" t="s">
        <v>55</v>
      </c>
      <c r="G75" s="14" t="s">
        <v>644</v>
      </c>
      <c r="H75" s="14" t="s">
        <v>645</v>
      </c>
      <c r="I75" s="22" t="s">
        <v>646</v>
      </c>
      <c r="J75" s="24">
        <v>45891</v>
      </c>
      <c r="K75" s="14" t="s">
        <v>647</v>
      </c>
      <c r="L75" s="14" t="s">
        <v>648</v>
      </c>
      <c r="M75" s="14" t="s">
        <v>649</v>
      </c>
      <c r="N75" s="11">
        <v>202509054889</v>
      </c>
      <c r="O75" s="48">
        <v>45874</v>
      </c>
    </row>
    <row r="76" spans="1:15" x14ac:dyDescent="0.4">
      <c r="A76" s="35">
        <v>1474</v>
      </c>
      <c r="B76" s="22" t="s">
        <v>650</v>
      </c>
      <c r="C76" s="23" t="s">
        <v>651</v>
      </c>
      <c r="D76" s="14" t="s">
        <v>652</v>
      </c>
      <c r="E76" s="22" t="s">
        <v>653</v>
      </c>
      <c r="F76" s="14" t="s">
        <v>55</v>
      </c>
      <c r="G76" s="14" t="s">
        <v>654</v>
      </c>
      <c r="H76" s="14" t="s">
        <v>655</v>
      </c>
      <c r="I76" s="22" t="s">
        <v>656</v>
      </c>
      <c r="J76" s="24">
        <v>45891</v>
      </c>
      <c r="K76" s="14" t="s">
        <v>657</v>
      </c>
      <c r="L76" s="14" t="s">
        <v>658</v>
      </c>
      <c r="M76" s="14" t="s">
        <v>659</v>
      </c>
      <c r="N76" s="11">
        <v>202509055178</v>
      </c>
      <c r="O76" s="48">
        <v>45875</v>
      </c>
    </row>
    <row r="77" spans="1:15" x14ac:dyDescent="0.4">
      <c r="A77" s="36">
        <v>1475</v>
      </c>
      <c r="B77" s="22" t="s">
        <v>660</v>
      </c>
      <c r="C77" s="23">
        <v>45804</v>
      </c>
      <c r="D77" s="14" t="s">
        <v>661</v>
      </c>
      <c r="E77" s="22" t="s">
        <v>662</v>
      </c>
      <c r="F77" s="14" t="s">
        <v>55</v>
      </c>
      <c r="G77" s="14" t="s">
        <v>663</v>
      </c>
      <c r="H77" s="14" t="s">
        <v>664</v>
      </c>
      <c r="I77" s="22" t="s">
        <v>665</v>
      </c>
      <c r="J77" s="24">
        <v>45891</v>
      </c>
      <c r="K77" s="14" t="s">
        <v>666</v>
      </c>
      <c r="L77" s="14" t="s">
        <v>667</v>
      </c>
      <c r="M77" s="14" t="s">
        <v>668</v>
      </c>
      <c r="N77" s="11">
        <v>202509049235</v>
      </c>
      <c r="O77" s="48">
        <v>45853</v>
      </c>
    </row>
    <row r="78" spans="1:15" x14ac:dyDescent="0.4">
      <c r="A78" s="35">
        <v>1476</v>
      </c>
      <c r="B78" s="22" t="s">
        <v>669</v>
      </c>
      <c r="C78" s="23">
        <v>45732</v>
      </c>
      <c r="D78" s="14" t="s">
        <v>670</v>
      </c>
      <c r="E78" s="22" t="s">
        <v>671</v>
      </c>
      <c r="F78" s="14" t="s">
        <v>55</v>
      </c>
      <c r="G78" s="14" t="s">
        <v>672</v>
      </c>
      <c r="H78" s="14" t="s">
        <v>673</v>
      </c>
      <c r="I78" s="22" t="s">
        <v>674</v>
      </c>
      <c r="J78" s="24">
        <v>45891</v>
      </c>
      <c r="K78" s="14" t="s">
        <v>675</v>
      </c>
      <c r="L78" s="14" t="s">
        <v>676</v>
      </c>
      <c r="M78" s="14" t="s">
        <v>677</v>
      </c>
      <c r="N78" s="11">
        <v>202509051431</v>
      </c>
      <c r="O78" s="48">
        <v>45861</v>
      </c>
    </row>
    <row r="79" spans="1:15" x14ac:dyDescent="0.4">
      <c r="A79" s="36">
        <v>1477</v>
      </c>
      <c r="B79" s="22" t="s">
        <v>678</v>
      </c>
      <c r="C79" s="23">
        <v>45797</v>
      </c>
      <c r="D79" s="14" t="s">
        <v>652</v>
      </c>
      <c r="E79" s="22" t="s">
        <v>679</v>
      </c>
      <c r="F79" s="14" t="s">
        <v>55</v>
      </c>
      <c r="G79" s="14" t="s">
        <v>680</v>
      </c>
      <c r="H79" s="14" t="s">
        <v>681</v>
      </c>
      <c r="I79" s="22" t="s">
        <v>682</v>
      </c>
      <c r="J79" s="24">
        <v>45891</v>
      </c>
      <c r="K79" s="14" t="s">
        <v>683</v>
      </c>
      <c r="L79" s="14" t="s">
        <v>684</v>
      </c>
      <c r="M79" s="14" t="s">
        <v>269</v>
      </c>
      <c r="N79" s="11">
        <v>202509056672</v>
      </c>
      <c r="O79" s="48">
        <v>45881</v>
      </c>
    </row>
    <row r="80" spans="1:15" x14ac:dyDescent="0.4">
      <c r="A80" s="35">
        <v>1478</v>
      </c>
      <c r="B80" s="22" t="s">
        <v>685</v>
      </c>
      <c r="C80" s="23">
        <v>45800</v>
      </c>
      <c r="D80" s="14" t="s">
        <v>686</v>
      </c>
      <c r="E80" s="22" t="s">
        <v>687</v>
      </c>
      <c r="F80" s="14" t="s">
        <v>36</v>
      </c>
      <c r="G80" s="14" t="s">
        <v>688</v>
      </c>
      <c r="H80" s="14" t="s">
        <v>664</v>
      </c>
      <c r="I80" s="22" t="s">
        <v>689</v>
      </c>
      <c r="J80" s="24">
        <v>45891</v>
      </c>
      <c r="K80" s="14" t="s">
        <v>690</v>
      </c>
      <c r="L80" s="14" t="s">
        <v>691</v>
      </c>
      <c r="M80" s="14" t="s">
        <v>692</v>
      </c>
      <c r="N80" s="11">
        <v>202509056973</v>
      </c>
      <c r="O80" s="48">
        <v>45882</v>
      </c>
    </row>
    <row r="81" spans="1:15" x14ac:dyDescent="0.4">
      <c r="A81" s="36">
        <v>1479</v>
      </c>
      <c r="B81" s="22" t="s">
        <v>693</v>
      </c>
      <c r="C81" s="37">
        <v>45712</v>
      </c>
      <c r="D81" s="14" t="s">
        <v>694</v>
      </c>
      <c r="E81" s="22" t="s">
        <v>695</v>
      </c>
      <c r="F81" s="14" t="s">
        <v>55</v>
      </c>
      <c r="G81" s="14" t="s">
        <v>696</v>
      </c>
      <c r="H81" s="14" t="s">
        <v>697</v>
      </c>
      <c r="I81" s="22" t="s">
        <v>698</v>
      </c>
      <c r="J81" s="24">
        <v>45891</v>
      </c>
      <c r="K81" s="14" t="s">
        <v>699</v>
      </c>
      <c r="L81" s="14" t="s">
        <v>700</v>
      </c>
      <c r="M81" s="14" t="s">
        <v>701</v>
      </c>
      <c r="N81" s="11">
        <v>202509054585</v>
      </c>
      <c r="O81" s="48">
        <v>45873</v>
      </c>
    </row>
    <row r="82" spans="1:15" x14ac:dyDescent="0.4">
      <c r="A82" s="35">
        <v>1480</v>
      </c>
      <c r="B82" s="22" t="s">
        <v>702</v>
      </c>
      <c r="C82" s="23">
        <v>45767</v>
      </c>
      <c r="D82" s="14" t="s">
        <v>580</v>
      </c>
      <c r="E82" s="22" t="s">
        <v>703</v>
      </c>
      <c r="F82" s="14" t="s">
        <v>55</v>
      </c>
      <c r="G82" s="14" t="s">
        <v>704</v>
      </c>
      <c r="H82" s="14" t="s">
        <v>705</v>
      </c>
      <c r="I82" s="22" t="s">
        <v>706</v>
      </c>
      <c r="J82" s="24">
        <v>45891</v>
      </c>
      <c r="K82" s="14" t="s">
        <v>707</v>
      </c>
      <c r="L82" s="14" t="s">
        <v>708</v>
      </c>
      <c r="M82" s="14" t="s">
        <v>709</v>
      </c>
      <c r="N82" s="11">
        <v>202509058013</v>
      </c>
      <c r="O82" s="48">
        <v>45887</v>
      </c>
    </row>
    <row r="83" spans="1:15" x14ac:dyDescent="0.4">
      <c r="A83" s="36">
        <v>1481</v>
      </c>
      <c r="B83" s="22" t="s">
        <v>710</v>
      </c>
      <c r="C83" s="23">
        <v>45806</v>
      </c>
      <c r="D83" s="14" t="s">
        <v>580</v>
      </c>
      <c r="E83" s="22" t="s">
        <v>711</v>
      </c>
      <c r="F83" s="14" t="s">
        <v>55</v>
      </c>
      <c r="G83" s="14" t="s">
        <v>712</v>
      </c>
      <c r="H83" s="14" t="s">
        <v>713</v>
      </c>
      <c r="I83" s="22" t="s">
        <v>714</v>
      </c>
      <c r="J83" s="24">
        <v>45891</v>
      </c>
      <c r="K83" s="14" t="s">
        <v>715</v>
      </c>
      <c r="L83" s="14" t="s">
        <v>716</v>
      </c>
      <c r="M83" s="14" t="s">
        <v>717</v>
      </c>
      <c r="N83" s="11">
        <v>202509041591</v>
      </c>
      <c r="O83" s="48">
        <v>45825</v>
      </c>
    </row>
    <row r="84" spans="1:15" x14ac:dyDescent="0.4">
      <c r="A84" s="35">
        <v>1482</v>
      </c>
      <c r="B84" s="22" t="s">
        <v>718</v>
      </c>
      <c r="C84" s="23">
        <v>45770</v>
      </c>
      <c r="D84" s="14" t="s">
        <v>719</v>
      </c>
      <c r="E84" s="22" t="s">
        <v>720</v>
      </c>
      <c r="F84" s="14" t="s">
        <v>55</v>
      </c>
      <c r="G84" s="14" t="s">
        <v>721</v>
      </c>
      <c r="H84" s="14" t="s">
        <v>722</v>
      </c>
      <c r="I84" s="22" t="s">
        <v>723</v>
      </c>
      <c r="J84" s="24">
        <v>45891</v>
      </c>
      <c r="K84" s="14" t="s">
        <v>724</v>
      </c>
      <c r="L84" s="14" t="s">
        <v>725</v>
      </c>
      <c r="M84" s="14" t="s">
        <v>726</v>
      </c>
      <c r="N84" s="11">
        <v>202509047420</v>
      </c>
      <c r="O84" s="48">
        <v>45846</v>
      </c>
    </row>
    <row r="85" spans="1:15" x14ac:dyDescent="0.4">
      <c r="A85" s="36">
        <v>1483</v>
      </c>
      <c r="B85" s="22" t="s">
        <v>727</v>
      </c>
      <c r="C85" s="23">
        <v>45840</v>
      </c>
      <c r="D85" s="14" t="s">
        <v>728</v>
      </c>
      <c r="E85" s="22" t="s">
        <v>729</v>
      </c>
      <c r="F85" s="14" t="s">
        <v>36</v>
      </c>
      <c r="G85" s="14" t="s">
        <v>730</v>
      </c>
      <c r="H85" s="14" t="s">
        <v>731</v>
      </c>
      <c r="I85" s="22" t="s">
        <v>732</v>
      </c>
      <c r="J85" s="24">
        <v>45891</v>
      </c>
      <c r="K85" s="14" t="s">
        <v>733</v>
      </c>
      <c r="L85" s="14" t="s">
        <v>734</v>
      </c>
      <c r="M85" s="14" t="s">
        <v>735</v>
      </c>
      <c r="N85" s="11">
        <v>202509051448</v>
      </c>
      <c r="O85" s="48">
        <v>45861</v>
      </c>
    </row>
    <row r="86" spans="1:15" x14ac:dyDescent="0.4">
      <c r="A86" s="35">
        <v>1484</v>
      </c>
      <c r="B86" s="22" t="s">
        <v>736</v>
      </c>
      <c r="C86" s="23">
        <v>45823</v>
      </c>
      <c r="D86" s="14" t="s">
        <v>737</v>
      </c>
      <c r="E86" s="22" t="s">
        <v>738</v>
      </c>
      <c r="F86" s="14" t="s">
        <v>55</v>
      </c>
      <c r="G86" s="14" t="s">
        <v>739</v>
      </c>
      <c r="H86" s="14" t="s">
        <v>740</v>
      </c>
      <c r="I86" s="22" t="s">
        <v>741</v>
      </c>
      <c r="J86" s="24">
        <v>45891</v>
      </c>
      <c r="K86" s="14" t="s">
        <v>742</v>
      </c>
      <c r="L86" s="14" t="s">
        <v>743</v>
      </c>
      <c r="M86" s="14" t="s">
        <v>744</v>
      </c>
      <c r="N86" s="11">
        <v>202509054849</v>
      </c>
      <c r="O86" s="48">
        <v>45874</v>
      </c>
    </row>
    <row r="87" spans="1:15" x14ac:dyDescent="0.4">
      <c r="A87" s="36">
        <v>1485</v>
      </c>
      <c r="B87" s="22" t="s">
        <v>745</v>
      </c>
      <c r="C87" s="23">
        <v>45822</v>
      </c>
      <c r="D87" s="14" t="s">
        <v>746</v>
      </c>
      <c r="E87" s="22" t="s">
        <v>747</v>
      </c>
      <c r="F87" s="14" t="s">
        <v>36</v>
      </c>
      <c r="G87" s="14" t="s">
        <v>748</v>
      </c>
      <c r="H87" s="14" t="s">
        <v>749</v>
      </c>
      <c r="I87" s="22" t="s">
        <v>750</v>
      </c>
      <c r="J87" s="24">
        <v>45891</v>
      </c>
      <c r="K87" s="14" t="s">
        <v>751</v>
      </c>
      <c r="L87" s="14" t="s">
        <v>752</v>
      </c>
      <c r="M87" s="14" t="s">
        <v>753</v>
      </c>
      <c r="N87" s="11">
        <v>202509056625</v>
      </c>
      <c r="O87" s="48">
        <v>45881</v>
      </c>
    </row>
    <row r="88" spans="1:15" x14ac:dyDescent="0.4">
      <c r="A88" s="35">
        <v>1486</v>
      </c>
      <c r="B88" s="22" t="s">
        <v>754</v>
      </c>
      <c r="C88" s="23">
        <v>45649</v>
      </c>
      <c r="D88" s="14" t="s">
        <v>402</v>
      </c>
      <c r="E88" s="22" t="s">
        <v>755</v>
      </c>
      <c r="F88" s="14" t="s">
        <v>36</v>
      </c>
      <c r="G88" s="14" t="s">
        <v>756</v>
      </c>
      <c r="H88" s="14" t="s">
        <v>757</v>
      </c>
      <c r="I88" s="22" t="s">
        <v>758</v>
      </c>
      <c r="J88" s="24">
        <v>45891</v>
      </c>
      <c r="K88" s="14" t="s">
        <v>759</v>
      </c>
      <c r="L88" s="14" t="s">
        <v>760</v>
      </c>
      <c r="M88" s="14" t="s">
        <v>351</v>
      </c>
      <c r="N88" s="11">
        <v>202509053281</v>
      </c>
      <c r="O88" s="48">
        <v>45868</v>
      </c>
    </row>
    <row r="89" spans="1:15" x14ac:dyDescent="0.4">
      <c r="A89" s="36">
        <v>1487</v>
      </c>
      <c r="B89" s="22" t="s">
        <v>761</v>
      </c>
      <c r="C89" s="23">
        <v>45790</v>
      </c>
      <c r="D89" s="14" t="s">
        <v>762</v>
      </c>
      <c r="E89" s="22" t="s">
        <v>763</v>
      </c>
      <c r="F89" s="14" t="s">
        <v>55</v>
      </c>
      <c r="G89" s="14" t="s">
        <v>764</v>
      </c>
      <c r="H89" s="14" t="s">
        <v>765</v>
      </c>
      <c r="I89" s="22" t="s">
        <v>766</v>
      </c>
      <c r="J89" s="24">
        <v>45891</v>
      </c>
      <c r="K89" s="14">
        <v>5</v>
      </c>
      <c r="L89" s="14" t="s">
        <v>767</v>
      </c>
      <c r="M89" s="14" t="s">
        <v>768</v>
      </c>
      <c r="N89" s="11">
        <v>202509042914</v>
      </c>
      <c r="O89" s="48">
        <v>45829</v>
      </c>
    </row>
    <row r="90" spans="1:15" x14ac:dyDescent="0.4">
      <c r="A90" s="35">
        <v>1488</v>
      </c>
      <c r="B90" s="22" t="s">
        <v>769</v>
      </c>
      <c r="C90" s="23">
        <v>45601</v>
      </c>
      <c r="D90" s="14" t="s">
        <v>770</v>
      </c>
      <c r="E90" s="22" t="s">
        <v>771</v>
      </c>
      <c r="F90" s="14" t="s">
        <v>36</v>
      </c>
      <c r="G90" s="14" t="s">
        <v>772</v>
      </c>
      <c r="H90" s="14" t="s">
        <v>773</v>
      </c>
      <c r="I90" s="22" t="s">
        <v>774</v>
      </c>
      <c r="J90" s="24">
        <v>45891</v>
      </c>
      <c r="K90" s="14" t="s">
        <v>775</v>
      </c>
      <c r="L90" s="14" t="s">
        <v>776</v>
      </c>
      <c r="M90" s="14" t="s">
        <v>777</v>
      </c>
      <c r="N90" s="11">
        <v>202509057647</v>
      </c>
      <c r="O90" s="48">
        <v>45885</v>
      </c>
    </row>
    <row r="91" spans="1:15" x14ac:dyDescent="0.4">
      <c r="A91" s="36">
        <v>1489</v>
      </c>
      <c r="B91" s="22" t="s">
        <v>778</v>
      </c>
      <c r="C91" s="23">
        <v>45742</v>
      </c>
      <c r="D91" s="14" t="s">
        <v>652</v>
      </c>
      <c r="E91" s="22" t="s">
        <v>779</v>
      </c>
      <c r="F91" s="14" t="s">
        <v>36</v>
      </c>
      <c r="G91" s="14" t="s">
        <v>780</v>
      </c>
      <c r="H91" s="14" t="s">
        <v>781</v>
      </c>
      <c r="I91" s="22" t="s">
        <v>782</v>
      </c>
      <c r="J91" s="24">
        <v>45891</v>
      </c>
      <c r="K91" s="14" t="s">
        <v>783</v>
      </c>
      <c r="L91" s="14" t="s">
        <v>382</v>
      </c>
      <c r="M91" s="14" t="s">
        <v>383</v>
      </c>
      <c r="N91" s="11">
        <v>202509056462</v>
      </c>
      <c r="O91" s="48">
        <v>45880</v>
      </c>
    </row>
    <row r="92" spans="1:15" x14ac:dyDescent="0.4">
      <c r="A92" s="35">
        <v>1490</v>
      </c>
      <c r="B92" s="25" t="s">
        <v>784</v>
      </c>
      <c r="C92" s="26">
        <v>45821</v>
      </c>
      <c r="D92" s="27" t="s">
        <v>652</v>
      </c>
      <c r="E92" s="25" t="s">
        <v>785</v>
      </c>
      <c r="F92" s="27" t="s">
        <v>36</v>
      </c>
      <c r="G92" s="27" t="s">
        <v>786</v>
      </c>
      <c r="H92" s="27" t="s">
        <v>787</v>
      </c>
      <c r="I92" s="25" t="s">
        <v>788</v>
      </c>
      <c r="J92" s="28">
        <v>45891</v>
      </c>
      <c r="K92" s="27" t="s">
        <v>789</v>
      </c>
      <c r="L92" s="27" t="s">
        <v>790</v>
      </c>
      <c r="M92" s="27" t="s">
        <v>791</v>
      </c>
      <c r="N92" s="29">
        <v>202509056617</v>
      </c>
      <c r="O92" s="52">
        <v>45881</v>
      </c>
    </row>
    <row r="93" spans="1:15" x14ac:dyDescent="0.4">
      <c r="A93" s="36">
        <v>1491</v>
      </c>
      <c r="B93" s="22" t="s">
        <v>792</v>
      </c>
      <c r="C93" s="23">
        <v>45838</v>
      </c>
      <c r="D93" s="14" t="s">
        <v>580</v>
      </c>
      <c r="E93" s="22" t="s">
        <v>793</v>
      </c>
      <c r="F93" s="14" t="s">
        <v>55</v>
      </c>
      <c r="G93" s="14" t="s">
        <v>794</v>
      </c>
      <c r="H93" s="14" t="s">
        <v>795</v>
      </c>
      <c r="I93" s="22" t="s">
        <v>796</v>
      </c>
      <c r="J93" s="24">
        <v>45891</v>
      </c>
      <c r="K93" s="14" t="s">
        <v>797</v>
      </c>
      <c r="L93" s="14" t="s">
        <v>798</v>
      </c>
      <c r="M93" s="14" t="s">
        <v>799</v>
      </c>
      <c r="N93" s="11">
        <v>202509058605</v>
      </c>
      <c r="O93" s="48">
        <v>45889</v>
      </c>
    </row>
    <row r="94" spans="1:15" x14ac:dyDescent="0.4">
      <c r="A94" s="35">
        <v>1492</v>
      </c>
      <c r="B94" s="22" t="s">
        <v>800</v>
      </c>
      <c r="C94" s="23">
        <v>45812</v>
      </c>
      <c r="D94" s="14" t="s">
        <v>801</v>
      </c>
      <c r="E94" s="22" t="s">
        <v>802</v>
      </c>
      <c r="F94" s="14" t="s">
        <v>55</v>
      </c>
      <c r="G94" s="14" t="s">
        <v>803</v>
      </c>
      <c r="H94" s="14" t="s">
        <v>804</v>
      </c>
      <c r="I94" s="22" t="s">
        <v>805</v>
      </c>
      <c r="J94" s="24">
        <v>45891</v>
      </c>
      <c r="K94" s="14" t="s">
        <v>806</v>
      </c>
      <c r="L94" s="14" t="s">
        <v>807</v>
      </c>
      <c r="M94" s="14" t="s">
        <v>808</v>
      </c>
      <c r="N94" s="11">
        <v>202509054593</v>
      </c>
      <c r="O94" s="48">
        <v>45873</v>
      </c>
    </row>
    <row r="95" spans="1:15" x14ac:dyDescent="0.4">
      <c r="A95" s="36">
        <v>1493</v>
      </c>
      <c r="B95" s="22" t="s">
        <v>809</v>
      </c>
      <c r="C95" s="23">
        <v>45691</v>
      </c>
      <c r="D95" s="14" t="s">
        <v>770</v>
      </c>
      <c r="E95" s="22" t="s">
        <v>810</v>
      </c>
      <c r="F95" s="14" t="s">
        <v>55</v>
      </c>
      <c r="G95" s="14" t="s">
        <v>811</v>
      </c>
      <c r="H95" s="14" t="s">
        <v>812</v>
      </c>
      <c r="I95" s="22" t="s">
        <v>813</v>
      </c>
      <c r="J95" s="24">
        <v>45891</v>
      </c>
      <c r="K95" s="14" t="s">
        <v>814</v>
      </c>
      <c r="L95" s="14" t="s">
        <v>815</v>
      </c>
      <c r="M95" s="14" t="s">
        <v>816</v>
      </c>
      <c r="N95" s="11">
        <v>202509058756</v>
      </c>
      <c r="O95" s="48">
        <v>45889</v>
      </c>
    </row>
    <row r="96" spans="1:15" x14ac:dyDescent="0.4">
      <c r="A96" s="35">
        <v>1494</v>
      </c>
      <c r="B96" s="22" t="s">
        <v>817</v>
      </c>
      <c r="C96" s="23">
        <v>45864</v>
      </c>
      <c r="D96" s="14" t="s">
        <v>770</v>
      </c>
      <c r="E96" s="22" t="s">
        <v>818</v>
      </c>
      <c r="F96" s="14" t="s">
        <v>36</v>
      </c>
      <c r="G96" s="14" t="s">
        <v>819</v>
      </c>
      <c r="H96" s="14" t="s">
        <v>820</v>
      </c>
      <c r="I96" s="22" t="s">
        <v>821</v>
      </c>
      <c r="J96" s="24">
        <v>45891</v>
      </c>
      <c r="K96" s="14" t="s">
        <v>822</v>
      </c>
      <c r="L96" s="14" t="s">
        <v>382</v>
      </c>
      <c r="M96" s="14" t="s">
        <v>383</v>
      </c>
      <c r="N96" s="11">
        <v>202509058774</v>
      </c>
      <c r="O96" s="48">
        <v>45889</v>
      </c>
    </row>
    <row r="97" spans="1:15" x14ac:dyDescent="0.4">
      <c r="A97" s="36">
        <v>1495</v>
      </c>
      <c r="B97" s="22" t="s">
        <v>823</v>
      </c>
      <c r="C97" s="23">
        <v>45776</v>
      </c>
      <c r="D97" s="14" t="s">
        <v>670</v>
      </c>
      <c r="E97" s="22" t="s">
        <v>824</v>
      </c>
      <c r="F97" s="14" t="s">
        <v>55</v>
      </c>
      <c r="G97" s="14" t="s">
        <v>825</v>
      </c>
      <c r="H97" s="14" t="s">
        <v>826</v>
      </c>
      <c r="I97" s="22" t="s">
        <v>827</v>
      </c>
      <c r="J97" s="24">
        <v>45891</v>
      </c>
      <c r="K97" s="14">
        <v>158</v>
      </c>
      <c r="L97" s="14" t="s">
        <v>828</v>
      </c>
      <c r="M97" s="14" t="s">
        <v>829</v>
      </c>
      <c r="N97" s="11">
        <v>202509058394</v>
      </c>
      <c r="O97" s="48">
        <v>45888</v>
      </c>
    </row>
    <row r="98" spans="1:15" x14ac:dyDescent="0.4">
      <c r="A98" s="35">
        <v>1496</v>
      </c>
      <c r="B98" s="22" t="s">
        <v>830</v>
      </c>
      <c r="C98" s="23">
        <v>45769</v>
      </c>
      <c r="D98" s="14" t="s">
        <v>615</v>
      </c>
      <c r="E98" s="22" t="s">
        <v>831</v>
      </c>
      <c r="F98" s="14" t="s">
        <v>36</v>
      </c>
      <c r="G98" s="14" t="s">
        <v>832</v>
      </c>
      <c r="H98" s="14" t="s">
        <v>833</v>
      </c>
      <c r="I98" s="22" t="s">
        <v>834</v>
      </c>
      <c r="J98" s="24">
        <v>45891</v>
      </c>
      <c r="K98" s="14">
        <v>280</v>
      </c>
      <c r="L98" s="14" t="s">
        <v>835</v>
      </c>
      <c r="M98" s="14" t="s">
        <v>836</v>
      </c>
      <c r="N98" s="11">
        <v>202509058925</v>
      </c>
      <c r="O98" s="48">
        <v>45890</v>
      </c>
    </row>
    <row r="99" spans="1:15" x14ac:dyDescent="0.4">
      <c r="A99" s="36">
        <v>1497</v>
      </c>
      <c r="B99" s="22" t="s">
        <v>837</v>
      </c>
      <c r="C99" s="23">
        <v>45793</v>
      </c>
      <c r="D99" s="14" t="s">
        <v>838</v>
      </c>
      <c r="E99" s="22" t="s">
        <v>839</v>
      </c>
      <c r="F99" s="14" t="s">
        <v>55</v>
      </c>
      <c r="G99" s="14" t="s">
        <v>840</v>
      </c>
      <c r="H99" s="14" t="s">
        <v>841</v>
      </c>
      <c r="I99" s="22" t="s">
        <v>842</v>
      </c>
      <c r="J99" s="24">
        <v>45891</v>
      </c>
      <c r="K99" s="14" t="s">
        <v>843</v>
      </c>
      <c r="L99" s="14" t="s">
        <v>844</v>
      </c>
      <c r="M99" s="14" t="s">
        <v>845</v>
      </c>
      <c r="N99" s="11">
        <v>202509056614</v>
      </c>
      <c r="O99" s="48">
        <v>45881</v>
      </c>
    </row>
    <row r="100" spans="1:15" x14ac:dyDescent="0.4">
      <c r="A100" s="35">
        <v>1498</v>
      </c>
      <c r="B100" s="30" t="s">
        <v>846</v>
      </c>
      <c r="C100" s="31">
        <v>45836</v>
      </c>
      <c r="D100" s="32" t="s">
        <v>652</v>
      </c>
      <c r="E100" s="30" t="s">
        <v>847</v>
      </c>
      <c r="F100" s="32" t="s">
        <v>36</v>
      </c>
      <c r="G100" s="32" t="s">
        <v>848</v>
      </c>
      <c r="H100" s="32" t="s">
        <v>849</v>
      </c>
      <c r="I100" s="30" t="s">
        <v>850</v>
      </c>
      <c r="J100" s="33">
        <v>45890</v>
      </c>
      <c r="K100" s="32" t="s">
        <v>851</v>
      </c>
      <c r="L100" s="32" t="s">
        <v>684</v>
      </c>
      <c r="M100" s="32" t="s">
        <v>852</v>
      </c>
      <c r="N100" s="34">
        <v>202509054884</v>
      </c>
      <c r="O100" s="53">
        <v>45874</v>
      </c>
    </row>
    <row r="101" spans="1:15" x14ac:dyDescent="0.4">
      <c r="A101" s="36">
        <v>1499</v>
      </c>
      <c r="B101" s="22" t="s">
        <v>853</v>
      </c>
      <c r="C101" s="23">
        <v>45802</v>
      </c>
      <c r="D101" s="14" t="s">
        <v>854</v>
      </c>
      <c r="E101" s="22" t="s">
        <v>855</v>
      </c>
      <c r="F101" s="14" t="s">
        <v>55</v>
      </c>
      <c r="G101" s="14" t="s">
        <v>856</v>
      </c>
      <c r="H101" s="14" t="s">
        <v>857</v>
      </c>
      <c r="I101" s="22" t="s">
        <v>858</v>
      </c>
      <c r="J101" s="24">
        <v>45890</v>
      </c>
      <c r="K101" s="14" t="s">
        <v>859</v>
      </c>
      <c r="L101" s="14" t="s">
        <v>860</v>
      </c>
      <c r="M101" s="14" t="s">
        <v>861</v>
      </c>
      <c r="N101" s="11">
        <v>202509057964</v>
      </c>
      <c r="O101" s="48">
        <v>45887</v>
      </c>
    </row>
    <row r="102" spans="1:15" x14ac:dyDescent="0.4">
      <c r="A102" s="35">
        <v>1500</v>
      </c>
      <c r="B102" s="22" t="s">
        <v>862</v>
      </c>
      <c r="C102" s="23" t="s">
        <v>863</v>
      </c>
      <c r="D102" s="14" t="s">
        <v>864</v>
      </c>
      <c r="E102" s="22" t="s">
        <v>865</v>
      </c>
      <c r="F102" s="14" t="s">
        <v>55</v>
      </c>
      <c r="G102" s="14" t="s">
        <v>866</v>
      </c>
      <c r="H102" s="14" t="s">
        <v>867</v>
      </c>
      <c r="I102" s="22" t="s">
        <v>868</v>
      </c>
      <c r="J102" s="24">
        <v>45890</v>
      </c>
      <c r="K102" s="14" t="s">
        <v>869</v>
      </c>
      <c r="L102" s="14" t="s">
        <v>870</v>
      </c>
      <c r="M102" s="14" t="s">
        <v>871</v>
      </c>
      <c r="N102" s="11">
        <v>202509054888</v>
      </c>
      <c r="O102" s="48">
        <v>45874</v>
      </c>
    </row>
    <row r="103" spans="1:15" x14ac:dyDescent="0.4">
      <c r="A103" s="36">
        <v>1501</v>
      </c>
      <c r="B103" s="22" t="s">
        <v>872</v>
      </c>
      <c r="C103" s="37">
        <v>45786</v>
      </c>
      <c r="D103" s="14" t="s">
        <v>661</v>
      </c>
      <c r="E103" s="22" t="s">
        <v>873</v>
      </c>
      <c r="F103" s="14" t="s">
        <v>55</v>
      </c>
      <c r="G103" s="14" t="s">
        <v>874</v>
      </c>
      <c r="H103" s="14" t="s">
        <v>875</v>
      </c>
      <c r="I103" s="22" t="s">
        <v>876</v>
      </c>
      <c r="J103" s="24">
        <v>45890</v>
      </c>
      <c r="K103" s="14" t="s">
        <v>158</v>
      </c>
      <c r="L103" s="14" t="s">
        <v>877</v>
      </c>
      <c r="M103" s="14" t="s">
        <v>878</v>
      </c>
      <c r="N103" s="11">
        <v>202509057963</v>
      </c>
      <c r="O103" s="48">
        <v>45887</v>
      </c>
    </row>
    <row r="104" spans="1:15" x14ac:dyDescent="0.4">
      <c r="A104" s="35">
        <v>1502</v>
      </c>
      <c r="B104" s="22" t="s">
        <v>879</v>
      </c>
      <c r="C104" s="23">
        <v>45695</v>
      </c>
      <c r="D104" s="14" t="s">
        <v>719</v>
      </c>
      <c r="E104" s="22" t="s">
        <v>880</v>
      </c>
      <c r="F104" s="14" t="s">
        <v>55</v>
      </c>
      <c r="G104" s="14" t="s">
        <v>881</v>
      </c>
      <c r="H104" s="14" t="s">
        <v>882</v>
      </c>
      <c r="I104" s="22" t="s">
        <v>883</v>
      </c>
      <c r="J104" s="24">
        <v>45890</v>
      </c>
      <c r="K104" s="14" t="s">
        <v>884</v>
      </c>
      <c r="L104" s="14" t="s">
        <v>885</v>
      </c>
      <c r="M104" s="14" t="s">
        <v>886</v>
      </c>
      <c r="N104" s="11">
        <v>202509057803</v>
      </c>
      <c r="O104" s="48">
        <v>45886</v>
      </c>
    </row>
    <row r="105" spans="1:15" x14ac:dyDescent="0.4">
      <c r="A105" s="36">
        <v>1503</v>
      </c>
      <c r="B105" s="22" t="s">
        <v>887</v>
      </c>
      <c r="C105" s="23">
        <v>45769</v>
      </c>
      <c r="D105" s="14" t="s">
        <v>652</v>
      </c>
      <c r="E105" s="22" t="s">
        <v>888</v>
      </c>
      <c r="F105" s="14" t="s">
        <v>55</v>
      </c>
      <c r="G105" s="14" t="s">
        <v>889</v>
      </c>
      <c r="H105" s="14" t="s">
        <v>890</v>
      </c>
      <c r="I105" s="22" t="s">
        <v>891</v>
      </c>
      <c r="J105" s="24">
        <v>45890</v>
      </c>
      <c r="K105" s="14" t="s">
        <v>892</v>
      </c>
      <c r="L105" s="14" t="s">
        <v>893</v>
      </c>
      <c r="M105" s="14" t="s">
        <v>894</v>
      </c>
      <c r="N105" s="11">
        <v>202509057660</v>
      </c>
      <c r="O105" s="48">
        <v>45885</v>
      </c>
    </row>
    <row r="106" spans="1:15" x14ac:dyDescent="0.4">
      <c r="A106" s="35">
        <v>1504</v>
      </c>
      <c r="B106" s="22" t="s">
        <v>895</v>
      </c>
      <c r="C106" s="23">
        <v>45841</v>
      </c>
      <c r="D106" s="14" t="s">
        <v>770</v>
      </c>
      <c r="E106" s="22" t="s">
        <v>896</v>
      </c>
      <c r="F106" s="14" t="s">
        <v>36</v>
      </c>
      <c r="G106" s="14" t="s">
        <v>897</v>
      </c>
      <c r="H106" s="14" t="s">
        <v>898</v>
      </c>
      <c r="I106" s="22" t="s">
        <v>899</v>
      </c>
      <c r="J106" s="24">
        <v>45890</v>
      </c>
      <c r="K106" s="14" t="s">
        <v>900</v>
      </c>
      <c r="L106" s="14" t="s">
        <v>901</v>
      </c>
      <c r="M106" s="14" t="s">
        <v>902</v>
      </c>
      <c r="N106" s="11">
        <v>202509054860</v>
      </c>
      <c r="O106" s="48">
        <v>45874</v>
      </c>
    </row>
    <row r="107" spans="1:15" x14ac:dyDescent="0.4">
      <c r="A107" s="36">
        <v>1505</v>
      </c>
      <c r="B107" s="22" t="s">
        <v>903</v>
      </c>
      <c r="C107" s="37">
        <v>45850</v>
      </c>
      <c r="D107" s="14" t="s">
        <v>904</v>
      </c>
      <c r="E107" s="22" t="s">
        <v>905</v>
      </c>
      <c r="F107" s="14" t="s">
        <v>36</v>
      </c>
      <c r="G107" s="14" t="s">
        <v>906</v>
      </c>
      <c r="H107" s="14" t="s">
        <v>907</v>
      </c>
      <c r="I107" s="22" t="s">
        <v>908</v>
      </c>
      <c r="J107" s="24">
        <v>45890</v>
      </c>
      <c r="K107" s="14" t="s">
        <v>909</v>
      </c>
      <c r="L107" s="14" t="s">
        <v>910</v>
      </c>
      <c r="M107" s="14" t="s">
        <v>911</v>
      </c>
      <c r="N107" s="11">
        <v>202509057526</v>
      </c>
      <c r="O107" s="48">
        <v>45884</v>
      </c>
    </row>
    <row r="108" spans="1:15" x14ac:dyDescent="0.4">
      <c r="A108" s="35">
        <v>1506</v>
      </c>
      <c r="B108" s="22" t="s">
        <v>912</v>
      </c>
      <c r="C108" s="23">
        <v>45841</v>
      </c>
      <c r="D108" s="14" t="s">
        <v>642</v>
      </c>
      <c r="E108" s="22" t="s">
        <v>913</v>
      </c>
      <c r="F108" s="14" t="s">
        <v>36</v>
      </c>
      <c r="G108" s="14" t="s">
        <v>914</v>
      </c>
      <c r="H108" s="14" t="s">
        <v>915</v>
      </c>
      <c r="I108" s="22" t="s">
        <v>916</v>
      </c>
      <c r="J108" s="24">
        <v>45890</v>
      </c>
      <c r="K108" s="14" t="s">
        <v>917</v>
      </c>
      <c r="L108" s="14" t="s">
        <v>918</v>
      </c>
      <c r="M108" s="14" t="s">
        <v>269</v>
      </c>
      <c r="N108" s="11">
        <v>202509057529</v>
      </c>
      <c r="O108" s="48">
        <v>45884</v>
      </c>
    </row>
    <row r="109" spans="1:15" x14ac:dyDescent="0.4">
      <c r="A109" s="36">
        <v>1507</v>
      </c>
      <c r="B109" s="22" t="s">
        <v>919</v>
      </c>
      <c r="C109" s="23">
        <v>45868</v>
      </c>
      <c r="D109" s="14" t="s">
        <v>652</v>
      </c>
      <c r="E109" s="22" t="s">
        <v>920</v>
      </c>
      <c r="F109" s="14" t="s">
        <v>36</v>
      </c>
      <c r="G109" s="14" t="s">
        <v>921</v>
      </c>
      <c r="H109" s="14" t="s">
        <v>922</v>
      </c>
      <c r="I109" s="22" t="s">
        <v>923</v>
      </c>
      <c r="J109" s="24">
        <v>45897</v>
      </c>
      <c r="K109" s="14" t="s">
        <v>924</v>
      </c>
      <c r="L109" s="14" t="s">
        <v>925</v>
      </c>
      <c r="M109" s="14" t="s">
        <v>926</v>
      </c>
      <c r="N109" s="11">
        <v>202509059750</v>
      </c>
      <c r="O109" s="48">
        <v>45893</v>
      </c>
    </row>
    <row r="110" spans="1:15" x14ac:dyDescent="0.4">
      <c r="A110" s="35">
        <v>1508</v>
      </c>
      <c r="B110" s="22" t="s">
        <v>927</v>
      </c>
      <c r="C110" s="23">
        <v>45680</v>
      </c>
      <c r="D110" s="14" t="s">
        <v>737</v>
      </c>
      <c r="E110" s="22" t="s">
        <v>928</v>
      </c>
      <c r="F110" s="14" t="s">
        <v>36</v>
      </c>
      <c r="G110" s="14" t="s">
        <v>929</v>
      </c>
      <c r="H110" s="14" t="s">
        <v>930</v>
      </c>
      <c r="I110" s="22" t="s">
        <v>931</v>
      </c>
      <c r="J110" s="24">
        <v>45897</v>
      </c>
      <c r="K110" s="14" t="s">
        <v>932</v>
      </c>
      <c r="L110" s="14" t="s">
        <v>933</v>
      </c>
      <c r="M110" s="14" t="s">
        <v>934</v>
      </c>
      <c r="N110" s="11">
        <v>202509052675</v>
      </c>
      <c r="O110" s="48">
        <v>45866</v>
      </c>
    </row>
    <row r="111" spans="1:15" x14ac:dyDescent="0.4">
      <c r="A111" s="36">
        <v>1509</v>
      </c>
      <c r="B111" s="22" t="s">
        <v>935</v>
      </c>
      <c r="C111" s="23">
        <v>45824</v>
      </c>
      <c r="D111" s="14" t="s">
        <v>936</v>
      </c>
      <c r="E111" s="22" t="s">
        <v>937</v>
      </c>
      <c r="F111" s="14" t="s">
        <v>55</v>
      </c>
      <c r="G111" s="14" t="s">
        <v>938</v>
      </c>
      <c r="H111" s="14" t="s">
        <v>939</v>
      </c>
      <c r="I111" s="22" t="s">
        <v>940</v>
      </c>
      <c r="J111" s="24">
        <v>45897</v>
      </c>
      <c r="K111" s="14" t="s">
        <v>941</v>
      </c>
      <c r="L111" s="14" t="s">
        <v>942</v>
      </c>
      <c r="M111" s="14" t="s">
        <v>943</v>
      </c>
      <c r="N111" s="11">
        <v>202509050924</v>
      </c>
      <c r="O111" s="48">
        <v>45859</v>
      </c>
    </row>
    <row r="112" spans="1:15" x14ac:dyDescent="0.4">
      <c r="A112" s="35">
        <v>1510</v>
      </c>
      <c r="B112" s="14" t="s">
        <v>944</v>
      </c>
      <c r="C112" s="23">
        <v>45688</v>
      </c>
      <c r="D112" s="14" t="s">
        <v>945</v>
      </c>
      <c r="E112" s="22" t="s">
        <v>946</v>
      </c>
      <c r="F112" s="14" t="s">
        <v>55</v>
      </c>
      <c r="G112" s="14" t="s">
        <v>947</v>
      </c>
      <c r="H112" s="14" t="s">
        <v>948</v>
      </c>
      <c r="I112" s="22" t="s">
        <v>949</v>
      </c>
      <c r="J112" s="24">
        <v>45897</v>
      </c>
      <c r="K112" s="14" t="s">
        <v>950</v>
      </c>
      <c r="L112" s="14" t="s">
        <v>951</v>
      </c>
      <c r="M112" s="14" t="s">
        <v>952</v>
      </c>
      <c r="N112" s="11">
        <v>202509059766</v>
      </c>
      <c r="O112" s="48">
        <v>45893</v>
      </c>
    </row>
    <row r="113" spans="1:15" x14ac:dyDescent="0.4">
      <c r="A113" s="36">
        <v>1511</v>
      </c>
      <c r="B113" s="22" t="s">
        <v>953</v>
      </c>
      <c r="C113" s="23">
        <v>45863</v>
      </c>
      <c r="D113" s="14" t="s">
        <v>670</v>
      </c>
      <c r="E113" s="22" t="s">
        <v>954</v>
      </c>
      <c r="F113" s="14" t="s">
        <v>55</v>
      </c>
      <c r="G113" s="14" t="s">
        <v>955</v>
      </c>
      <c r="H113" s="14" t="s">
        <v>956</v>
      </c>
      <c r="I113" s="22" t="s">
        <v>957</v>
      </c>
      <c r="J113" s="24">
        <v>45897</v>
      </c>
      <c r="K113" s="14" t="s">
        <v>958</v>
      </c>
      <c r="L113" s="14" t="s">
        <v>959</v>
      </c>
      <c r="M113" s="14" t="s">
        <v>960</v>
      </c>
      <c r="N113" s="11">
        <v>202509057538</v>
      </c>
      <c r="O113" s="48">
        <v>45884</v>
      </c>
    </row>
    <row r="114" spans="1:15" x14ac:dyDescent="0.4">
      <c r="A114" s="35">
        <v>1512</v>
      </c>
      <c r="B114" s="22" t="s">
        <v>961</v>
      </c>
      <c r="C114" s="23">
        <v>45675</v>
      </c>
      <c r="D114" s="14" t="s">
        <v>589</v>
      </c>
      <c r="E114" s="22" t="s">
        <v>962</v>
      </c>
      <c r="F114" s="14" t="s">
        <v>36</v>
      </c>
      <c r="G114" s="14" t="s">
        <v>832</v>
      </c>
      <c r="H114" s="14" t="s">
        <v>963</v>
      </c>
      <c r="I114" s="22" t="s">
        <v>964</v>
      </c>
      <c r="J114" s="24">
        <v>45897</v>
      </c>
      <c r="K114" s="14">
        <v>264</v>
      </c>
      <c r="L114" s="14" t="s">
        <v>965</v>
      </c>
      <c r="M114" s="14" t="s">
        <v>235</v>
      </c>
      <c r="N114" s="11">
        <v>202509057808</v>
      </c>
      <c r="O114" s="48">
        <v>45886</v>
      </c>
    </row>
    <row r="115" spans="1:15" x14ac:dyDescent="0.4">
      <c r="A115" s="36">
        <v>1513</v>
      </c>
      <c r="B115" s="22" t="s">
        <v>966</v>
      </c>
      <c r="C115" s="23">
        <v>45723</v>
      </c>
      <c r="D115" s="14" t="s">
        <v>936</v>
      </c>
      <c r="E115" s="22" t="s">
        <v>967</v>
      </c>
      <c r="F115" s="14" t="s">
        <v>55</v>
      </c>
      <c r="G115" s="14" t="s">
        <v>968</v>
      </c>
      <c r="H115" s="14" t="s">
        <v>713</v>
      </c>
      <c r="I115" s="22" t="s">
        <v>969</v>
      </c>
      <c r="J115" s="24">
        <v>45897</v>
      </c>
      <c r="K115" s="14" t="s">
        <v>970</v>
      </c>
      <c r="L115" s="14" t="s">
        <v>971</v>
      </c>
      <c r="M115" s="14" t="s">
        <v>97</v>
      </c>
      <c r="N115" s="11">
        <v>202509056990</v>
      </c>
      <c r="O115" s="48">
        <v>45882</v>
      </c>
    </row>
    <row r="116" spans="1:15" x14ac:dyDescent="0.4">
      <c r="A116" s="35">
        <v>1514</v>
      </c>
      <c r="B116" s="22" t="s">
        <v>972</v>
      </c>
      <c r="C116" s="23">
        <v>45629</v>
      </c>
      <c r="D116" s="14" t="s">
        <v>838</v>
      </c>
      <c r="E116" s="22" t="s">
        <v>973</v>
      </c>
      <c r="F116" s="14" t="s">
        <v>55</v>
      </c>
      <c r="G116" s="14" t="s">
        <v>974</v>
      </c>
      <c r="H116" s="14" t="s">
        <v>975</v>
      </c>
      <c r="I116" s="22" t="s">
        <v>976</v>
      </c>
      <c r="J116" s="24">
        <v>45897</v>
      </c>
      <c r="K116" s="14" t="s">
        <v>977</v>
      </c>
      <c r="L116" s="14" t="s">
        <v>978</v>
      </c>
      <c r="M116" s="14" t="s">
        <v>979</v>
      </c>
      <c r="N116" s="11">
        <v>202509059876</v>
      </c>
      <c r="O116" s="48">
        <v>45894</v>
      </c>
    </row>
    <row r="117" spans="1:15" x14ac:dyDescent="0.4">
      <c r="A117" s="36">
        <v>1515</v>
      </c>
      <c r="B117" s="12" t="s">
        <v>980</v>
      </c>
      <c r="C117" s="43">
        <v>45780</v>
      </c>
      <c r="D117" s="14" t="s">
        <v>838</v>
      </c>
      <c r="E117" s="13" t="s">
        <v>981</v>
      </c>
      <c r="F117" s="14" t="s">
        <v>55</v>
      </c>
      <c r="G117" s="12" t="s">
        <v>982</v>
      </c>
      <c r="H117" s="12" t="s">
        <v>983</v>
      </c>
      <c r="I117" s="12" t="s">
        <v>984</v>
      </c>
      <c r="J117" s="43">
        <v>45901</v>
      </c>
      <c r="K117" s="14" t="s">
        <v>985</v>
      </c>
      <c r="L117" s="14" t="s">
        <v>60</v>
      </c>
      <c r="M117" s="14" t="s">
        <v>61</v>
      </c>
      <c r="N117" s="11">
        <v>202509060263</v>
      </c>
      <c r="O117" s="48">
        <v>45895</v>
      </c>
    </row>
    <row r="118" spans="1:15" x14ac:dyDescent="0.4">
      <c r="A118" s="35">
        <v>1516</v>
      </c>
      <c r="B118" s="12" t="s">
        <v>986</v>
      </c>
      <c r="C118" s="43">
        <v>45714</v>
      </c>
      <c r="D118" s="12" t="s">
        <v>987</v>
      </c>
      <c r="E118" s="13" t="s">
        <v>988</v>
      </c>
      <c r="F118" s="14" t="s">
        <v>55</v>
      </c>
      <c r="G118" s="12" t="s">
        <v>989</v>
      </c>
      <c r="H118" s="12" t="s">
        <v>990</v>
      </c>
      <c r="I118" s="12" t="s">
        <v>991</v>
      </c>
      <c r="J118" s="43">
        <v>45901</v>
      </c>
      <c r="K118" s="12" t="s">
        <v>992</v>
      </c>
      <c r="L118" s="14" t="s">
        <v>993</v>
      </c>
      <c r="M118" s="14" t="s">
        <v>994</v>
      </c>
      <c r="N118" s="11">
        <v>202509051489</v>
      </c>
      <c r="O118" s="48">
        <v>45861</v>
      </c>
    </row>
    <row r="119" spans="1:15" ht="30" customHeight="1" x14ac:dyDescent="0.4">
      <c r="A119" s="36">
        <v>1517</v>
      </c>
      <c r="B119" s="12" t="s">
        <v>995</v>
      </c>
      <c r="C119" s="43">
        <v>45871</v>
      </c>
      <c r="D119" s="12" t="s">
        <v>212</v>
      </c>
      <c r="E119" s="13" t="s">
        <v>996</v>
      </c>
      <c r="F119" s="14" t="s">
        <v>36</v>
      </c>
      <c r="G119" s="12" t="s">
        <v>997</v>
      </c>
      <c r="H119" s="12" t="s">
        <v>998</v>
      </c>
      <c r="I119" s="12" t="s">
        <v>999</v>
      </c>
      <c r="J119" s="43">
        <v>45901</v>
      </c>
      <c r="K119" s="12" t="s">
        <v>1000</v>
      </c>
      <c r="L119" s="14" t="s">
        <v>1001</v>
      </c>
      <c r="M119" s="14" t="s">
        <v>1002</v>
      </c>
      <c r="N119" s="11">
        <v>202509060057</v>
      </c>
      <c r="O119" s="48">
        <v>45894</v>
      </c>
    </row>
    <row r="120" spans="1:15" x14ac:dyDescent="0.4">
      <c r="A120" s="35">
        <v>1518</v>
      </c>
      <c r="B120" s="12" t="s">
        <v>1003</v>
      </c>
      <c r="C120" s="43">
        <v>45767</v>
      </c>
      <c r="D120" s="12" t="s">
        <v>63</v>
      </c>
      <c r="E120" s="13" t="s">
        <v>1004</v>
      </c>
      <c r="F120" s="14" t="s">
        <v>36</v>
      </c>
      <c r="G120" s="12" t="s">
        <v>1005</v>
      </c>
      <c r="H120" s="12" t="s">
        <v>1006</v>
      </c>
      <c r="I120" s="12" t="s">
        <v>1007</v>
      </c>
      <c r="J120" s="43">
        <v>45901</v>
      </c>
      <c r="K120" s="12" t="s">
        <v>1008</v>
      </c>
      <c r="L120" s="14" t="s">
        <v>1009</v>
      </c>
      <c r="M120" s="14" t="s">
        <v>1010</v>
      </c>
      <c r="N120" s="11">
        <v>202509059709</v>
      </c>
      <c r="O120" s="48">
        <v>45893</v>
      </c>
    </row>
    <row r="121" spans="1:15" x14ac:dyDescent="0.4">
      <c r="A121" s="36">
        <v>1519</v>
      </c>
      <c r="B121" s="12" t="s">
        <v>1011</v>
      </c>
      <c r="C121" s="43">
        <v>45612</v>
      </c>
      <c r="D121" s="12" t="s">
        <v>53</v>
      </c>
      <c r="E121" s="13" t="s">
        <v>1012</v>
      </c>
      <c r="F121" s="14" t="s">
        <v>55</v>
      </c>
      <c r="G121" s="12" t="s">
        <v>1013</v>
      </c>
      <c r="H121" s="12" t="s">
        <v>1014</v>
      </c>
      <c r="I121" s="12" t="s">
        <v>1015</v>
      </c>
      <c r="J121" s="43">
        <v>45901</v>
      </c>
      <c r="K121" s="12" t="s">
        <v>1016</v>
      </c>
      <c r="L121" s="14" t="s">
        <v>1017</v>
      </c>
      <c r="M121" s="14" t="s">
        <v>622</v>
      </c>
      <c r="N121" s="11">
        <v>202509059974</v>
      </c>
      <c r="O121" s="48">
        <v>45894</v>
      </c>
    </row>
    <row r="122" spans="1:15" x14ac:dyDescent="0.4">
      <c r="A122" s="35">
        <v>1520</v>
      </c>
      <c r="B122" s="12" t="s">
        <v>1018</v>
      </c>
      <c r="C122" s="43">
        <v>45442</v>
      </c>
      <c r="D122" s="12" t="s">
        <v>1019</v>
      </c>
      <c r="E122" s="13" t="s">
        <v>1020</v>
      </c>
      <c r="F122" s="14" t="s">
        <v>36</v>
      </c>
      <c r="G122" s="12" t="s">
        <v>748</v>
      </c>
      <c r="H122" s="12" t="s">
        <v>1021</v>
      </c>
      <c r="I122" s="12" t="s">
        <v>1022</v>
      </c>
      <c r="J122" s="43">
        <v>45874</v>
      </c>
      <c r="K122" s="12" t="s">
        <v>1023</v>
      </c>
      <c r="L122" s="14" t="s">
        <v>1024</v>
      </c>
      <c r="M122" s="14" t="s">
        <v>1025</v>
      </c>
      <c r="N122" s="11">
        <v>202509053922</v>
      </c>
      <c r="O122" s="48">
        <v>45870</v>
      </c>
    </row>
    <row r="123" spans="1:15" ht="30" customHeight="1" x14ac:dyDescent="0.4">
      <c r="A123" s="36">
        <v>1521</v>
      </c>
      <c r="B123" s="12" t="s">
        <v>1026</v>
      </c>
      <c r="C123" s="43">
        <v>45313</v>
      </c>
      <c r="D123" s="12" t="s">
        <v>1027</v>
      </c>
      <c r="E123" s="13" t="s">
        <v>1028</v>
      </c>
      <c r="F123" s="14" t="s">
        <v>36</v>
      </c>
      <c r="G123" s="12" t="s">
        <v>1029</v>
      </c>
      <c r="H123" s="12" t="s">
        <v>1030</v>
      </c>
      <c r="I123" s="12" t="s">
        <v>1031</v>
      </c>
      <c r="J123" s="43">
        <v>45868</v>
      </c>
      <c r="K123" s="12" t="s">
        <v>1032</v>
      </c>
      <c r="L123" s="14" t="s">
        <v>1033</v>
      </c>
      <c r="M123" s="14" t="s">
        <v>1034</v>
      </c>
      <c r="N123" s="11">
        <v>202509050834</v>
      </c>
      <c r="O123" s="48">
        <v>45859</v>
      </c>
    </row>
    <row r="124" spans="1:15" x14ac:dyDescent="0.4">
      <c r="A124" s="35">
        <v>1522</v>
      </c>
      <c r="B124" s="22" t="s">
        <v>1035</v>
      </c>
      <c r="C124" s="23">
        <v>45788</v>
      </c>
      <c r="D124" s="14" t="s">
        <v>945</v>
      </c>
      <c r="E124" s="22" t="s">
        <v>1036</v>
      </c>
      <c r="F124" s="14" t="s">
        <v>55</v>
      </c>
      <c r="G124" s="14" t="s">
        <v>1037</v>
      </c>
      <c r="H124" s="14" t="s">
        <v>1038</v>
      </c>
      <c r="I124" s="22" t="s">
        <v>1039</v>
      </c>
      <c r="J124" s="24">
        <v>45890</v>
      </c>
      <c r="K124" s="14" t="s">
        <v>1040</v>
      </c>
      <c r="L124" s="14" t="s">
        <v>1041</v>
      </c>
      <c r="M124" s="14" t="s">
        <v>1042</v>
      </c>
      <c r="N124" s="11">
        <v>202509048294</v>
      </c>
      <c r="O124" s="48">
        <v>45849</v>
      </c>
    </row>
    <row r="125" spans="1:15" ht="30" customHeight="1" x14ac:dyDescent="0.4">
      <c r="A125" s="36">
        <v>1523</v>
      </c>
      <c r="B125" s="12" t="s">
        <v>1043</v>
      </c>
      <c r="C125" s="43">
        <v>44968</v>
      </c>
      <c r="D125" s="12" t="s">
        <v>518</v>
      </c>
      <c r="E125" s="13" t="s">
        <v>1044</v>
      </c>
      <c r="F125" s="14" t="s">
        <v>36</v>
      </c>
      <c r="G125" s="12" t="s">
        <v>1045</v>
      </c>
      <c r="H125" s="12" t="s">
        <v>1046</v>
      </c>
      <c r="I125" s="12" t="s">
        <v>1047</v>
      </c>
      <c r="J125" s="23">
        <v>45911</v>
      </c>
      <c r="K125" s="14" t="s">
        <v>1048</v>
      </c>
      <c r="L125" s="14" t="s">
        <v>1049</v>
      </c>
      <c r="M125" s="14" t="s">
        <v>151</v>
      </c>
      <c r="N125" s="11">
        <v>202509041889</v>
      </c>
      <c r="O125" s="48">
        <v>45826</v>
      </c>
    </row>
    <row r="126" spans="1:15" x14ac:dyDescent="0.4">
      <c r="A126" s="35">
        <v>1524</v>
      </c>
      <c r="B126" s="12" t="s">
        <v>1050</v>
      </c>
      <c r="C126" s="43">
        <v>45822</v>
      </c>
      <c r="D126" s="12" t="s">
        <v>212</v>
      </c>
      <c r="E126" s="13" t="s">
        <v>1051</v>
      </c>
      <c r="F126" s="14" t="s">
        <v>55</v>
      </c>
      <c r="G126" s="12" t="s">
        <v>1052</v>
      </c>
      <c r="H126" s="12" t="s">
        <v>1053</v>
      </c>
      <c r="I126" s="12" t="s">
        <v>1054</v>
      </c>
      <c r="J126" s="23">
        <v>45911</v>
      </c>
      <c r="K126" s="12" t="s">
        <v>1055</v>
      </c>
      <c r="L126" s="14" t="s">
        <v>1056</v>
      </c>
      <c r="M126" s="14" t="s">
        <v>1057</v>
      </c>
      <c r="N126" s="11">
        <v>202509059228</v>
      </c>
      <c r="O126" s="48">
        <v>45891</v>
      </c>
    </row>
    <row r="127" spans="1:15" x14ac:dyDescent="0.4">
      <c r="A127" s="36">
        <v>1525</v>
      </c>
      <c r="B127" s="12" t="s">
        <v>1058</v>
      </c>
      <c r="C127" s="43">
        <v>45724</v>
      </c>
      <c r="D127" s="12" t="s">
        <v>53</v>
      </c>
      <c r="E127" s="13" t="s">
        <v>1059</v>
      </c>
      <c r="F127" s="14" t="s">
        <v>36</v>
      </c>
      <c r="G127" s="12" t="s">
        <v>1060</v>
      </c>
      <c r="H127" s="12" t="s">
        <v>1061</v>
      </c>
      <c r="I127" s="12" t="s">
        <v>1062</v>
      </c>
      <c r="J127" s="23">
        <v>45911</v>
      </c>
      <c r="K127" s="14" t="s">
        <v>1063</v>
      </c>
      <c r="L127" s="14" t="s">
        <v>1064</v>
      </c>
      <c r="M127" s="14" t="s">
        <v>943</v>
      </c>
      <c r="N127" s="11">
        <v>202509057979</v>
      </c>
      <c r="O127" s="48">
        <v>45887</v>
      </c>
    </row>
    <row r="128" spans="1:15" x14ac:dyDescent="0.4">
      <c r="A128" s="35">
        <v>1526</v>
      </c>
      <c r="B128" s="12" t="s">
        <v>1065</v>
      </c>
      <c r="C128" s="43">
        <v>45860</v>
      </c>
      <c r="D128" s="12" t="s">
        <v>53</v>
      </c>
      <c r="E128" s="13" t="s">
        <v>1066</v>
      </c>
      <c r="F128" s="14" t="s">
        <v>36</v>
      </c>
      <c r="G128" s="12" t="s">
        <v>1067</v>
      </c>
      <c r="H128" s="12" t="s">
        <v>1068</v>
      </c>
      <c r="I128" s="12" t="s">
        <v>1069</v>
      </c>
      <c r="J128" s="23">
        <v>45911</v>
      </c>
      <c r="K128" s="14" t="s">
        <v>1070</v>
      </c>
      <c r="L128" s="14" t="s">
        <v>1071</v>
      </c>
      <c r="M128" s="14" t="s">
        <v>151</v>
      </c>
      <c r="N128" s="11">
        <v>202509060560</v>
      </c>
      <c r="O128" s="48">
        <v>45896</v>
      </c>
    </row>
    <row r="129" spans="1:15" x14ac:dyDescent="0.4">
      <c r="A129" s="36">
        <v>1527</v>
      </c>
      <c r="B129" s="12" t="s">
        <v>1072</v>
      </c>
      <c r="C129" s="43">
        <v>45781</v>
      </c>
      <c r="D129" s="12" t="s">
        <v>126</v>
      </c>
      <c r="E129" s="13" t="s">
        <v>1073</v>
      </c>
      <c r="F129" s="14" t="s">
        <v>55</v>
      </c>
      <c r="G129" s="12" t="s">
        <v>1074</v>
      </c>
      <c r="H129" s="12" t="s">
        <v>1075</v>
      </c>
      <c r="I129" s="12" t="s">
        <v>1076</v>
      </c>
      <c r="J129" s="23">
        <v>45911</v>
      </c>
      <c r="K129" s="14" t="s">
        <v>1077</v>
      </c>
      <c r="L129" s="14" t="s">
        <v>1078</v>
      </c>
      <c r="M129" s="14" t="s">
        <v>1079</v>
      </c>
      <c r="N129" s="11">
        <v>202509058911</v>
      </c>
      <c r="O129" s="48">
        <v>45890</v>
      </c>
    </row>
    <row r="130" spans="1:15" ht="30" customHeight="1" x14ac:dyDescent="0.4">
      <c r="A130" s="35">
        <v>1528</v>
      </c>
      <c r="B130" s="12" t="s">
        <v>1080</v>
      </c>
      <c r="C130" s="43">
        <v>45845</v>
      </c>
      <c r="D130" s="12" t="s">
        <v>126</v>
      </c>
      <c r="E130" s="13" t="s">
        <v>1081</v>
      </c>
      <c r="F130" s="14" t="s">
        <v>36</v>
      </c>
      <c r="G130" s="12" t="s">
        <v>1082</v>
      </c>
      <c r="H130" s="12" t="s">
        <v>1083</v>
      </c>
      <c r="I130" s="12" t="s">
        <v>1084</v>
      </c>
      <c r="J130" s="23">
        <v>45911</v>
      </c>
      <c r="K130" s="14" t="s">
        <v>1085</v>
      </c>
      <c r="L130" s="14" t="s">
        <v>1086</v>
      </c>
      <c r="M130" s="14" t="s">
        <v>1087</v>
      </c>
      <c r="N130" s="11">
        <v>202509059855</v>
      </c>
      <c r="O130" s="48">
        <v>45894</v>
      </c>
    </row>
    <row r="131" spans="1:15" x14ac:dyDescent="0.4">
      <c r="A131" s="36">
        <v>1529</v>
      </c>
      <c r="B131" s="12" t="s">
        <v>1088</v>
      </c>
      <c r="C131" s="43">
        <v>45800</v>
      </c>
      <c r="D131" s="12" t="s">
        <v>53</v>
      </c>
      <c r="E131" s="13" t="s">
        <v>1089</v>
      </c>
      <c r="F131" s="14" t="s">
        <v>55</v>
      </c>
      <c r="G131" s="12" t="s">
        <v>1090</v>
      </c>
      <c r="H131" s="12" t="s">
        <v>1091</v>
      </c>
      <c r="I131" s="12" t="s">
        <v>1092</v>
      </c>
      <c r="J131" s="23">
        <v>45911</v>
      </c>
      <c r="K131" s="14" t="s">
        <v>1093</v>
      </c>
      <c r="L131" s="14" t="s">
        <v>1094</v>
      </c>
      <c r="M131" s="14" t="s">
        <v>1095</v>
      </c>
      <c r="N131" s="11">
        <v>202509060510</v>
      </c>
      <c r="O131" s="48">
        <v>45896</v>
      </c>
    </row>
    <row r="132" spans="1:15" ht="30" customHeight="1" x14ac:dyDescent="0.4">
      <c r="A132" s="35">
        <v>1530</v>
      </c>
      <c r="B132" s="12" t="s">
        <v>1096</v>
      </c>
      <c r="C132" s="43">
        <v>45710</v>
      </c>
      <c r="D132" s="12" t="s">
        <v>246</v>
      </c>
      <c r="E132" s="13" t="s">
        <v>1097</v>
      </c>
      <c r="F132" s="14" t="s">
        <v>55</v>
      </c>
      <c r="G132" s="12" t="s">
        <v>1098</v>
      </c>
      <c r="H132" s="12" t="s">
        <v>1099</v>
      </c>
      <c r="I132" s="12" t="s">
        <v>1100</v>
      </c>
      <c r="J132" s="23">
        <v>45911</v>
      </c>
      <c r="K132" s="14" t="s">
        <v>1101</v>
      </c>
      <c r="L132" s="14" t="s">
        <v>1102</v>
      </c>
      <c r="M132" s="14" t="s">
        <v>1103</v>
      </c>
      <c r="N132" s="11">
        <v>202509034292</v>
      </c>
      <c r="O132" s="48">
        <v>45796</v>
      </c>
    </row>
    <row r="133" spans="1:15" x14ac:dyDescent="0.4">
      <c r="A133" s="36">
        <v>1531</v>
      </c>
      <c r="B133" s="12" t="s">
        <v>1104</v>
      </c>
      <c r="C133" s="43">
        <v>45681</v>
      </c>
      <c r="D133" s="12" t="s">
        <v>1105</v>
      </c>
      <c r="E133" s="13" t="s">
        <v>1106</v>
      </c>
      <c r="F133" s="14" t="s">
        <v>36</v>
      </c>
      <c r="G133" s="12" t="s">
        <v>1107</v>
      </c>
      <c r="H133" s="12" t="s">
        <v>1108</v>
      </c>
      <c r="I133" s="12" t="s">
        <v>1109</v>
      </c>
      <c r="J133" s="23">
        <v>45911</v>
      </c>
      <c r="K133" s="14">
        <v>1</v>
      </c>
      <c r="L133" s="14" t="s">
        <v>1110</v>
      </c>
      <c r="M133" s="14" t="s">
        <v>269</v>
      </c>
      <c r="N133" s="11">
        <v>202509056271</v>
      </c>
      <c r="O133" s="48">
        <v>45879</v>
      </c>
    </row>
    <row r="134" spans="1:15" x14ac:dyDescent="0.4">
      <c r="A134" s="35">
        <v>1532</v>
      </c>
      <c r="B134" s="12" t="s">
        <v>1111</v>
      </c>
      <c r="C134" s="43">
        <v>45829</v>
      </c>
      <c r="D134" s="12" t="s">
        <v>1112</v>
      </c>
      <c r="E134" s="13" t="s">
        <v>1113</v>
      </c>
      <c r="F134" s="14" t="s">
        <v>55</v>
      </c>
      <c r="G134" s="12" t="s">
        <v>1114</v>
      </c>
      <c r="H134" s="12" t="s">
        <v>1115</v>
      </c>
      <c r="I134" s="12" t="s">
        <v>1116</v>
      </c>
      <c r="J134" s="23">
        <v>45911</v>
      </c>
      <c r="K134" s="14" t="s">
        <v>1117</v>
      </c>
      <c r="L134" s="14" t="s">
        <v>1118</v>
      </c>
      <c r="M134" s="14" t="s">
        <v>1119</v>
      </c>
      <c r="N134" s="11">
        <v>202509060206</v>
      </c>
      <c r="O134" s="48">
        <v>45895</v>
      </c>
    </row>
    <row r="135" spans="1:15" ht="45" customHeight="1" x14ac:dyDescent="0.4">
      <c r="A135" s="36">
        <v>1533</v>
      </c>
      <c r="B135" s="12" t="s">
        <v>1120</v>
      </c>
      <c r="C135" s="43">
        <v>45867</v>
      </c>
      <c r="D135" s="12" t="s">
        <v>1121</v>
      </c>
      <c r="E135" s="13" t="s">
        <v>1122</v>
      </c>
      <c r="F135" s="14" t="s">
        <v>36</v>
      </c>
      <c r="G135" s="12" t="s">
        <v>1123</v>
      </c>
      <c r="H135" s="12" t="s">
        <v>1124</v>
      </c>
      <c r="I135" s="12" t="s">
        <v>1125</v>
      </c>
      <c r="J135" s="23">
        <v>45911</v>
      </c>
      <c r="K135" s="14" t="s">
        <v>1126</v>
      </c>
      <c r="L135" s="14" t="s">
        <v>1127</v>
      </c>
      <c r="M135" s="14" t="s">
        <v>1128</v>
      </c>
      <c r="N135" s="11">
        <v>202509059074</v>
      </c>
      <c r="O135" s="48">
        <v>45890</v>
      </c>
    </row>
    <row r="136" spans="1:15" x14ac:dyDescent="0.4">
      <c r="A136" s="35">
        <v>1534</v>
      </c>
      <c r="B136" s="12" t="s">
        <v>1129</v>
      </c>
      <c r="C136" s="43">
        <v>45461</v>
      </c>
      <c r="D136" s="12" t="s">
        <v>81</v>
      </c>
      <c r="E136" s="13" t="s">
        <v>1130</v>
      </c>
      <c r="F136" s="14" t="s">
        <v>55</v>
      </c>
      <c r="G136" s="12" t="s">
        <v>1131</v>
      </c>
      <c r="H136" s="12" t="s">
        <v>1132</v>
      </c>
      <c r="I136" s="12" t="s">
        <v>1133</v>
      </c>
      <c r="J136" s="23">
        <v>45911</v>
      </c>
      <c r="K136" s="14"/>
      <c r="L136" s="14" t="s">
        <v>1134</v>
      </c>
      <c r="M136" s="14" t="s">
        <v>1135</v>
      </c>
      <c r="N136" s="11">
        <v>202509029850</v>
      </c>
      <c r="O136" s="48">
        <v>45779</v>
      </c>
    </row>
    <row r="137" spans="1:15" ht="45" customHeight="1" x14ac:dyDescent="0.4">
      <c r="A137" s="36">
        <v>1535</v>
      </c>
      <c r="B137" s="12" t="s">
        <v>1136</v>
      </c>
      <c r="C137" s="43">
        <v>45833</v>
      </c>
      <c r="D137" s="12" t="s">
        <v>153</v>
      </c>
      <c r="E137" s="13" t="s">
        <v>1137</v>
      </c>
      <c r="F137" s="14" t="s">
        <v>55</v>
      </c>
      <c r="G137" s="12" t="s">
        <v>1138</v>
      </c>
      <c r="H137" s="12" t="s">
        <v>1139</v>
      </c>
      <c r="I137" s="12" t="s">
        <v>1140</v>
      </c>
      <c r="J137" s="23">
        <v>45911</v>
      </c>
      <c r="K137" s="14" t="s">
        <v>1141</v>
      </c>
      <c r="L137" s="14" t="s">
        <v>1142</v>
      </c>
      <c r="M137" s="14" t="s">
        <v>1143</v>
      </c>
      <c r="N137" s="11">
        <v>202509060535</v>
      </c>
      <c r="O137" s="48">
        <v>45896</v>
      </c>
    </row>
    <row r="138" spans="1:15" x14ac:dyDescent="0.4">
      <c r="A138" s="35">
        <v>1536</v>
      </c>
      <c r="B138" s="12" t="s">
        <v>1144</v>
      </c>
      <c r="C138" s="43">
        <v>45542</v>
      </c>
      <c r="D138" s="12" t="s">
        <v>81</v>
      </c>
      <c r="E138" s="13" t="s">
        <v>1145</v>
      </c>
      <c r="F138" s="14" t="s">
        <v>36</v>
      </c>
      <c r="G138" s="12" t="s">
        <v>128</v>
      </c>
      <c r="H138" s="12" t="s">
        <v>198</v>
      </c>
      <c r="I138" s="12" t="s">
        <v>1146</v>
      </c>
      <c r="J138" s="23">
        <v>45911</v>
      </c>
      <c r="K138" s="14" t="s">
        <v>1147</v>
      </c>
      <c r="L138" s="14" t="s">
        <v>1148</v>
      </c>
      <c r="M138" s="14" t="s">
        <v>1149</v>
      </c>
      <c r="N138" s="11">
        <v>202509060567</v>
      </c>
      <c r="O138" s="48">
        <v>45896</v>
      </c>
    </row>
    <row r="139" spans="1:15" ht="45" customHeight="1" x14ac:dyDescent="0.4">
      <c r="A139" s="36">
        <v>1537</v>
      </c>
      <c r="B139" s="12" t="s">
        <v>1150</v>
      </c>
      <c r="C139" s="43">
        <v>45876</v>
      </c>
      <c r="D139" s="12" t="s">
        <v>518</v>
      </c>
      <c r="E139" s="13" t="s">
        <v>1151</v>
      </c>
      <c r="F139" s="14" t="s">
        <v>55</v>
      </c>
      <c r="G139" s="12" t="s">
        <v>1152</v>
      </c>
      <c r="H139" s="12" t="s">
        <v>1153</v>
      </c>
      <c r="I139" s="12" t="s">
        <v>1154</v>
      </c>
      <c r="J139" s="23">
        <v>45911</v>
      </c>
      <c r="K139" s="14" t="s">
        <v>1155</v>
      </c>
      <c r="L139" s="14" t="s">
        <v>1156</v>
      </c>
      <c r="M139" s="14" t="s">
        <v>1157</v>
      </c>
      <c r="N139" s="11">
        <v>202509059874</v>
      </c>
      <c r="O139" s="48">
        <v>45894</v>
      </c>
    </row>
    <row r="140" spans="1:15" ht="30" customHeight="1" x14ac:dyDescent="0.4">
      <c r="A140" s="35">
        <v>1538</v>
      </c>
      <c r="B140" s="12" t="s">
        <v>1158</v>
      </c>
      <c r="C140" s="43">
        <v>45519</v>
      </c>
      <c r="D140" s="12" t="s">
        <v>34</v>
      </c>
      <c r="E140" s="13" t="s">
        <v>1159</v>
      </c>
      <c r="F140" s="14" t="s">
        <v>36</v>
      </c>
      <c r="G140" s="12" t="s">
        <v>1160</v>
      </c>
      <c r="H140" s="12" t="s">
        <v>1161</v>
      </c>
      <c r="I140" s="12" t="s">
        <v>1162</v>
      </c>
      <c r="J140" s="23">
        <v>45911</v>
      </c>
      <c r="K140" s="14" t="s">
        <v>1163</v>
      </c>
      <c r="L140" s="14" t="s">
        <v>1164</v>
      </c>
      <c r="M140" s="14" t="s">
        <v>1165</v>
      </c>
      <c r="N140" s="11">
        <v>202509056612</v>
      </c>
      <c r="O140" s="48">
        <v>45881</v>
      </c>
    </row>
    <row r="141" spans="1:15" x14ac:dyDescent="0.4">
      <c r="A141" s="36">
        <v>1539</v>
      </c>
      <c r="B141" s="12" t="s">
        <v>1166</v>
      </c>
      <c r="C141" s="43">
        <v>45758</v>
      </c>
      <c r="D141" s="12" t="s">
        <v>53</v>
      </c>
      <c r="E141" s="13" t="s">
        <v>1167</v>
      </c>
      <c r="F141" s="14" t="s">
        <v>36</v>
      </c>
      <c r="G141" s="12" t="s">
        <v>1168</v>
      </c>
      <c r="H141" s="12" t="s">
        <v>1169</v>
      </c>
      <c r="I141" s="12" t="s">
        <v>1170</v>
      </c>
      <c r="J141" s="23">
        <v>45911</v>
      </c>
      <c r="K141" s="14"/>
      <c r="L141" s="14" t="s">
        <v>1171</v>
      </c>
      <c r="M141" s="14" t="s">
        <v>1172</v>
      </c>
      <c r="N141" s="11">
        <v>202509060485</v>
      </c>
      <c r="O141" s="48">
        <v>45896</v>
      </c>
    </row>
    <row r="142" spans="1:15" x14ac:dyDescent="0.4">
      <c r="A142" s="35">
        <v>1540</v>
      </c>
      <c r="B142" s="12" t="s">
        <v>1173</v>
      </c>
      <c r="C142" s="43">
        <v>45692</v>
      </c>
      <c r="D142" s="12" t="s">
        <v>385</v>
      </c>
      <c r="E142" s="13" t="s">
        <v>1174</v>
      </c>
      <c r="F142" s="14" t="s">
        <v>55</v>
      </c>
      <c r="G142" s="12" t="s">
        <v>1175</v>
      </c>
      <c r="H142" s="12" t="s">
        <v>1176</v>
      </c>
      <c r="I142" s="12" t="s">
        <v>1177</v>
      </c>
      <c r="J142" s="23">
        <v>45911</v>
      </c>
      <c r="K142" s="14">
        <v>44</v>
      </c>
      <c r="L142" s="14" t="s">
        <v>1178</v>
      </c>
      <c r="M142" s="14" t="s">
        <v>1179</v>
      </c>
      <c r="N142" s="11">
        <v>202509058138</v>
      </c>
      <c r="O142" s="48">
        <v>45887</v>
      </c>
    </row>
    <row r="143" spans="1:15" x14ac:dyDescent="0.4">
      <c r="A143" s="36">
        <v>1541</v>
      </c>
      <c r="B143" s="12" t="s">
        <v>1180</v>
      </c>
      <c r="C143" s="43">
        <v>45828</v>
      </c>
      <c r="D143" s="12" t="s">
        <v>518</v>
      </c>
      <c r="E143" s="13" t="s">
        <v>1181</v>
      </c>
      <c r="F143" s="14" t="s">
        <v>55</v>
      </c>
      <c r="G143" s="12" t="s">
        <v>982</v>
      </c>
      <c r="H143" s="12" t="s">
        <v>1182</v>
      </c>
      <c r="I143" s="12" t="s">
        <v>1183</v>
      </c>
      <c r="J143" s="23">
        <v>45911</v>
      </c>
      <c r="K143" s="14" t="s">
        <v>1184</v>
      </c>
      <c r="L143" s="14" t="s">
        <v>1185</v>
      </c>
      <c r="M143" s="14" t="s">
        <v>97</v>
      </c>
      <c r="N143" s="11">
        <v>202509057545</v>
      </c>
      <c r="O143" s="48">
        <v>45884</v>
      </c>
    </row>
    <row r="144" spans="1:15" x14ac:dyDescent="0.4">
      <c r="A144" s="35">
        <v>1542</v>
      </c>
      <c r="B144" s="12" t="s">
        <v>1186</v>
      </c>
      <c r="C144" s="43">
        <v>45854</v>
      </c>
      <c r="D144" s="12" t="s">
        <v>53</v>
      </c>
      <c r="E144" s="13" t="s">
        <v>1187</v>
      </c>
      <c r="F144" s="14" t="s">
        <v>55</v>
      </c>
      <c r="G144" s="12" t="s">
        <v>1188</v>
      </c>
      <c r="H144" s="12" t="s">
        <v>1189</v>
      </c>
      <c r="I144" s="12" t="s">
        <v>1190</v>
      </c>
      <c r="J144" s="23">
        <v>45911</v>
      </c>
      <c r="K144" s="14" t="s">
        <v>1191</v>
      </c>
      <c r="L144" s="14" t="s">
        <v>1192</v>
      </c>
      <c r="M144" s="14" t="s">
        <v>1193</v>
      </c>
      <c r="N144" s="11">
        <v>202509058286</v>
      </c>
      <c r="O144" s="48">
        <v>45888</v>
      </c>
    </row>
    <row r="145" spans="1:15" x14ac:dyDescent="0.4">
      <c r="A145" s="36">
        <v>1543</v>
      </c>
      <c r="B145" s="12" t="s">
        <v>1194</v>
      </c>
      <c r="C145" s="43">
        <v>45547</v>
      </c>
      <c r="D145" s="12" t="s">
        <v>53</v>
      </c>
      <c r="E145" s="13" t="s">
        <v>1195</v>
      </c>
      <c r="F145" s="14" t="s">
        <v>55</v>
      </c>
      <c r="G145" s="12" t="s">
        <v>1196</v>
      </c>
      <c r="H145" s="12" t="s">
        <v>1197</v>
      </c>
      <c r="I145" s="12" t="s">
        <v>1198</v>
      </c>
      <c r="J145" s="23">
        <v>45911</v>
      </c>
      <c r="K145" s="14" t="s">
        <v>1199</v>
      </c>
      <c r="L145" s="14" t="s">
        <v>1200</v>
      </c>
      <c r="M145" s="14" t="s">
        <v>1201</v>
      </c>
      <c r="N145" s="11">
        <v>202509059498</v>
      </c>
      <c r="O145" s="48">
        <v>45892</v>
      </c>
    </row>
    <row r="146" spans="1:15" x14ac:dyDescent="0.4">
      <c r="A146" s="35">
        <v>1544</v>
      </c>
      <c r="B146" s="12" t="s">
        <v>986</v>
      </c>
      <c r="C146" s="43">
        <v>45618</v>
      </c>
      <c r="D146" s="12" t="s">
        <v>90</v>
      </c>
      <c r="E146" s="13" t="s">
        <v>1202</v>
      </c>
      <c r="F146" s="14" t="s">
        <v>55</v>
      </c>
      <c r="G146" s="12" t="s">
        <v>1203</v>
      </c>
      <c r="H146" s="12" t="s">
        <v>1204</v>
      </c>
      <c r="I146" s="12" t="s">
        <v>1205</v>
      </c>
      <c r="J146" s="23">
        <v>45911</v>
      </c>
      <c r="K146" s="14" t="s">
        <v>1206</v>
      </c>
      <c r="L146" s="14" t="s">
        <v>1207</v>
      </c>
      <c r="M146" s="14" t="s">
        <v>1208</v>
      </c>
      <c r="N146" s="11">
        <v>202509057533</v>
      </c>
      <c r="O146" s="48">
        <v>45884</v>
      </c>
    </row>
    <row r="147" spans="1:15" x14ac:dyDescent="0.4">
      <c r="A147" s="36">
        <v>1545</v>
      </c>
      <c r="B147" s="12" t="s">
        <v>1209</v>
      </c>
      <c r="C147" s="43">
        <v>45652</v>
      </c>
      <c r="D147" s="12" t="s">
        <v>53</v>
      </c>
      <c r="E147" s="13" t="s">
        <v>1210</v>
      </c>
      <c r="F147" s="14" t="s">
        <v>55</v>
      </c>
      <c r="G147" s="12" t="s">
        <v>1211</v>
      </c>
      <c r="H147" s="12" t="s">
        <v>1212</v>
      </c>
      <c r="I147" s="12" t="s">
        <v>1213</v>
      </c>
      <c r="J147" s="23">
        <v>45911</v>
      </c>
      <c r="K147" s="14" t="s">
        <v>1214</v>
      </c>
      <c r="L147" s="14" t="s">
        <v>1215</v>
      </c>
      <c r="M147" s="14" t="s">
        <v>1216</v>
      </c>
      <c r="N147" s="11">
        <v>202509021962</v>
      </c>
      <c r="O147" s="48">
        <v>45746</v>
      </c>
    </row>
    <row r="148" spans="1:15" x14ac:dyDescent="0.4">
      <c r="A148" s="35">
        <v>1546</v>
      </c>
      <c r="B148" s="12" t="s">
        <v>1217</v>
      </c>
      <c r="C148" s="43">
        <v>45691</v>
      </c>
      <c r="D148" s="12" t="s">
        <v>1218</v>
      </c>
      <c r="E148" s="13" t="s">
        <v>1219</v>
      </c>
      <c r="F148" s="14" t="s">
        <v>36</v>
      </c>
      <c r="G148" s="12" t="s">
        <v>1220</v>
      </c>
      <c r="H148" s="12" t="s">
        <v>1221</v>
      </c>
      <c r="I148" s="12" t="s">
        <v>1222</v>
      </c>
      <c r="J148" s="23">
        <v>45911</v>
      </c>
      <c r="K148" s="14" t="s">
        <v>1223</v>
      </c>
      <c r="L148" s="14" t="s">
        <v>1224</v>
      </c>
      <c r="M148" s="14" t="s">
        <v>1225</v>
      </c>
      <c r="N148" s="11">
        <v>202509050295</v>
      </c>
      <c r="O148" s="48">
        <v>45856</v>
      </c>
    </row>
    <row r="149" spans="1:15" x14ac:dyDescent="0.4">
      <c r="A149" s="36">
        <v>1547</v>
      </c>
      <c r="B149" s="12" t="s">
        <v>1226</v>
      </c>
      <c r="C149" s="43">
        <v>45851</v>
      </c>
      <c r="D149" s="12" t="s">
        <v>53</v>
      </c>
      <c r="E149" s="13" t="s">
        <v>1227</v>
      </c>
      <c r="F149" s="14" t="s">
        <v>36</v>
      </c>
      <c r="G149" s="12" t="s">
        <v>1228</v>
      </c>
      <c r="H149" s="12" t="s">
        <v>1229</v>
      </c>
      <c r="I149" s="12" t="s">
        <v>1230</v>
      </c>
      <c r="J149" s="23">
        <v>45911</v>
      </c>
      <c r="K149" s="14" t="s">
        <v>1231</v>
      </c>
      <c r="L149" s="14" t="s">
        <v>1232</v>
      </c>
      <c r="M149" s="14" t="s">
        <v>1233</v>
      </c>
      <c r="N149" s="11">
        <v>202509057991</v>
      </c>
      <c r="O149" s="48">
        <v>45887</v>
      </c>
    </row>
    <row r="150" spans="1:15" x14ac:dyDescent="0.4">
      <c r="A150" s="35">
        <v>1548</v>
      </c>
      <c r="B150" s="12" t="s">
        <v>1234</v>
      </c>
      <c r="C150" s="43">
        <v>45756</v>
      </c>
      <c r="D150" s="12" t="s">
        <v>987</v>
      </c>
      <c r="E150" s="13" t="s">
        <v>1235</v>
      </c>
      <c r="F150" s="14" t="s">
        <v>36</v>
      </c>
      <c r="G150" s="12" t="s">
        <v>1236</v>
      </c>
      <c r="H150" s="12" t="s">
        <v>1237</v>
      </c>
      <c r="I150" s="12" t="s">
        <v>1238</v>
      </c>
      <c r="J150" s="23">
        <v>45911</v>
      </c>
      <c r="K150" s="14">
        <v>217</v>
      </c>
      <c r="L150" s="14" t="s">
        <v>1239</v>
      </c>
      <c r="M150" s="14" t="s">
        <v>1025</v>
      </c>
      <c r="N150" s="11">
        <v>202509061667</v>
      </c>
      <c r="O150" s="48">
        <v>45901</v>
      </c>
    </row>
    <row r="151" spans="1:15" ht="30" customHeight="1" x14ac:dyDescent="0.4">
      <c r="A151" s="36">
        <v>1549</v>
      </c>
      <c r="B151" s="12" t="s">
        <v>1240</v>
      </c>
      <c r="C151" s="43">
        <v>45823</v>
      </c>
      <c r="D151" s="12" t="s">
        <v>212</v>
      </c>
      <c r="E151" s="13" t="s">
        <v>1241</v>
      </c>
      <c r="F151" s="14" t="s">
        <v>55</v>
      </c>
      <c r="G151" s="12" t="s">
        <v>1242</v>
      </c>
      <c r="H151" s="12" t="s">
        <v>1243</v>
      </c>
      <c r="I151" s="12" t="s">
        <v>1244</v>
      </c>
      <c r="J151" s="23">
        <v>45911</v>
      </c>
      <c r="K151" s="14" t="s">
        <v>1245</v>
      </c>
      <c r="L151" s="14" t="s">
        <v>1246</v>
      </c>
      <c r="M151" s="14" t="s">
        <v>1247</v>
      </c>
      <c r="N151" s="11">
        <v>202509061489</v>
      </c>
      <c r="O151" s="48">
        <v>45900</v>
      </c>
    </row>
    <row r="152" spans="1:15" x14ac:dyDescent="0.4">
      <c r="A152" s="35">
        <v>1550</v>
      </c>
      <c r="B152" s="12" t="s">
        <v>872</v>
      </c>
      <c r="C152" s="43">
        <v>45842</v>
      </c>
      <c r="D152" s="12" t="s">
        <v>135</v>
      </c>
      <c r="E152" s="13" t="s">
        <v>1248</v>
      </c>
      <c r="F152" s="14" t="s">
        <v>55</v>
      </c>
      <c r="G152" s="12" t="s">
        <v>1249</v>
      </c>
      <c r="H152" s="12" t="s">
        <v>1250</v>
      </c>
      <c r="I152" s="12" t="s">
        <v>1251</v>
      </c>
      <c r="J152" s="23">
        <v>45911</v>
      </c>
      <c r="K152" s="14" t="s">
        <v>1252</v>
      </c>
      <c r="L152" s="14" t="s">
        <v>1253</v>
      </c>
      <c r="M152" s="14" t="s">
        <v>1254</v>
      </c>
      <c r="N152" s="11">
        <v>202509061488</v>
      </c>
      <c r="O152" s="48">
        <v>45900</v>
      </c>
    </row>
    <row r="153" spans="1:15" x14ac:dyDescent="0.4">
      <c r="A153" s="36">
        <v>1551</v>
      </c>
      <c r="B153" s="12" t="s">
        <v>1255</v>
      </c>
      <c r="C153" s="43">
        <v>45746</v>
      </c>
      <c r="D153" s="12" t="s">
        <v>153</v>
      </c>
      <c r="E153" s="13" t="s">
        <v>1256</v>
      </c>
      <c r="F153" s="14" t="s">
        <v>55</v>
      </c>
      <c r="G153" s="12" t="s">
        <v>1257</v>
      </c>
      <c r="H153" s="12" t="s">
        <v>1258</v>
      </c>
      <c r="I153" s="12" t="s">
        <v>1259</v>
      </c>
      <c r="J153" s="23">
        <v>45911</v>
      </c>
      <c r="K153" s="14" t="s">
        <v>1260</v>
      </c>
      <c r="L153" s="14" t="s">
        <v>1261</v>
      </c>
      <c r="M153" s="14" t="s">
        <v>235</v>
      </c>
      <c r="N153" s="11">
        <v>202509039482</v>
      </c>
      <c r="O153" s="48">
        <v>45816</v>
      </c>
    </row>
    <row r="154" spans="1:15" ht="30" customHeight="1" x14ac:dyDescent="0.4">
      <c r="A154" s="35">
        <v>1552</v>
      </c>
      <c r="B154" s="12" t="s">
        <v>1262</v>
      </c>
      <c r="C154" s="43">
        <v>45842</v>
      </c>
      <c r="D154" s="12" t="s">
        <v>1263</v>
      </c>
      <c r="E154" s="13" t="s">
        <v>1264</v>
      </c>
      <c r="F154" s="14" t="s">
        <v>36</v>
      </c>
      <c r="G154" s="12" t="s">
        <v>1265</v>
      </c>
      <c r="H154" s="12" t="s">
        <v>1266</v>
      </c>
      <c r="I154" s="12" t="s">
        <v>1267</v>
      </c>
      <c r="J154" s="23">
        <v>45911</v>
      </c>
      <c r="K154" s="14" t="s">
        <v>1268</v>
      </c>
      <c r="L154" s="14" t="s">
        <v>1269</v>
      </c>
      <c r="M154" s="14" t="s">
        <v>852</v>
      </c>
      <c r="N154" s="11">
        <v>202509061705</v>
      </c>
      <c r="O154" s="48">
        <v>45901</v>
      </c>
    </row>
    <row r="155" spans="1:15" x14ac:dyDescent="0.4">
      <c r="A155" s="36">
        <v>1553</v>
      </c>
      <c r="B155" s="12" t="s">
        <v>1270</v>
      </c>
      <c r="C155" s="43">
        <v>45690</v>
      </c>
      <c r="D155" s="12" t="s">
        <v>53</v>
      </c>
      <c r="E155" s="13" t="s">
        <v>1271</v>
      </c>
      <c r="F155" s="14" t="s">
        <v>36</v>
      </c>
      <c r="G155" s="12" t="s">
        <v>1272</v>
      </c>
      <c r="H155" s="12" t="s">
        <v>1273</v>
      </c>
      <c r="I155" s="12" t="s">
        <v>1274</v>
      </c>
      <c r="J155" s="23">
        <v>45911</v>
      </c>
      <c r="K155" s="14">
        <v>189</v>
      </c>
      <c r="L155" s="14" t="s">
        <v>1275</v>
      </c>
      <c r="M155" s="14" t="s">
        <v>1276</v>
      </c>
      <c r="N155" s="11">
        <v>202509052032</v>
      </c>
      <c r="O155" s="48">
        <v>45863</v>
      </c>
    </row>
    <row r="156" spans="1:15" x14ac:dyDescent="0.4">
      <c r="A156" s="35">
        <v>1554</v>
      </c>
      <c r="B156" s="12" t="s">
        <v>1277</v>
      </c>
      <c r="C156" s="43">
        <v>45850</v>
      </c>
      <c r="D156" s="14" t="s">
        <v>904</v>
      </c>
      <c r="E156" s="13" t="s">
        <v>1278</v>
      </c>
      <c r="F156" s="14" t="s">
        <v>55</v>
      </c>
      <c r="G156" s="12" t="s">
        <v>1279</v>
      </c>
      <c r="H156" s="12" t="s">
        <v>1280</v>
      </c>
      <c r="I156" s="12" t="s">
        <v>1281</v>
      </c>
      <c r="J156" s="23">
        <v>45911</v>
      </c>
      <c r="K156" s="14" t="s">
        <v>1282</v>
      </c>
      <c r="L156" s="14" t="s">
        <v>1283</v>
      </c>
      <c r="M156" s="14" t="s">
        <v>1284</v>
      </c>
      <c r="N156" s="11">
        <v>202509059031</v>
      </c>
      <c r="O156" s="48">
        <v>45890</v>
      </c>
    </row>
    <row r="157" spans="1:15" x14ac:dyDescent="0.4">
      <c r="A157" s="36">
        <v>1555</v>
      </c>
      <c r="B157" s="12" t="s">
        <v>1285</v>
      </c>
      <c r="C157" s="43">
        <v>45845</v>
      </c>
      <c r="D157" s="14" t="s">
        <v>547</v>
      </c>
      <c r="E157" s="13" t="s">
        <v>1286</v>
      </c>
      <c r="F157" s="14" t="s">
        <v>36</v>
      </c>
      <c r="G157" s="12" t="s">
        <v>1287</v>
      </c>
      <c r="H157" s="12" t="s">
        <v>1288</v>
      </c>
      <c r="I157" s="12" t="s">
        <v>1289</v>
      </c>
      <c r="J157" s="23">
        <v>45911</v>
      </c>
      <c r="K157" s="14" t="s">
        <v>1290</v>
      </c>
      <c r="L157" s="14" t="s">
        <v>1291</v>
      </c>
      <c r="M157" s="14" t="s">
        <v>1292</v>
      </c>
      <c r="N157" s="11">
        <v>202509056956</v>
      </c>
      <c r="O157" s="48">
        <v>45882</v>
      </c>
    </row>
    <row r="158" spans="1:15" ht="30" customHeight="1" x14ac:dyDescent="0.4">
      <c r="A158" s="35">
        <v>1556</v>
      </c>
      <c r="B158" s="12" t="s">
        <v>1293</v>
      </c>
      <c r="C158" s="43">
        <v>45826</v>
      </c>
      <c r="D158" s="14" t="s">
        <v>1294</v>
      </c>
      <c r="E158" s="13" t="s">
        <v>1295</v>
      </c>
      <c r="F158" s="14" t="s">
        <v>55</v>
      </c>
      <c r="G158" s="12" t="s">
        <v>794</v>
      </c>
      <c r="H158" s="12" t="s">
        <v>1296</v>
      </c>
      <c r="I158" s="12" t="s">
        <v>1297</v>
      </c>
      <c r="J158" s="23">
        <v>45911</v>
      </c>
      <c r="K158" s="14" t="s">
        <v>1298</v>
      </c>
      <c r="L158" s="14" t="s">
        <v>1299</v>
      </c>
      <c r="M158" s="14" t="s">
        <v>1300</v>
      </c>
      <c r="N158" s="11">
        <v>202509061935</v>
      </c>
      <c r="O158" s="48">
        <v>45902</v>
      </c>
    </row>
    <row r="159" spans="1:15" ht="45" customHeight="1" x14ac:dyDescent="0.4">
      <c r="A159" s="36">
        <v>1557</v>
      </c>
      <c r="B159" s="12" t="s">
        <v>1301</v>
      </c>
      <c r="C159" s="43">
        <v>45789</v>
      </c>
      <c r="D159" s="14" t="s">
        <v>536</v>
      </c>
      <c r="E159" s="13" t="s">
        <v>1302</v>
      </c>
      <c r="F159" s="14" t="s">
        <v>55</v>
      </c>
      <c r="G159" s="12" t="s">
        <v>1303</v>
      </c>
      <c r="H159" s="12" t="s">
        <v>1304</v>
      </c>
      <c r="I159" s="12" t="s">
        <v>1305</v>
      </c>
      <c r="J159" s="23">
        <v>45911</v>
      </c>
      <c r="K159" s="14" t="s">
        <v>1306</v>
      </c>
      <c r="L159" s="14" t="s">
        <v>1307</v>
      </c>
      <c r="M159" s="14" t="s">
        <v>1308</v>
      </c>
      <c r="N159" s="11">
        <v>202509057678</v>
      </c>
      <c r="O159" s="48">
        <v>45885</v>
      </c>
    </row>
    <row r="160" spans="1:15" ht="30" customHeight="1" x14ac:dyDescent="0.4">
      <c r="A160" s="35">
        <v>1558</v>
      </c>
      <c r="B160" s="12" t="s">
        <v>1309</v>
      </c>
      <c r="C160" s="43">
        <v>45633</v>
      </c>
      <c r="D160" s="12" t="s">
        <v>135</v>
      </c>
      <c r="E160" s="12" t="s">
        <v>1310</v>
      </c>
      <c r="F160" s="14" t="s">
        <v>55</v>
      </c>
      <c r="G160" s="12" t="s">
        <v>1311</v>
      </c>
      <c r="H160" s="12" t="s">
        <v>1312</v>
      </c>
      <c r="I160" s="14" t="s">
        <v>1313</v>
      </c>
      <c r="J160" s="23">
        <v>45912</v>
      </c>
      <c r="K160" s="14" t="s">
        <v>1314</v>
      </c>
      <c r="L160" s="14" t="s">
        <v>1315</v>
      </c>
      <c r="M160" s="14" t="s">
        <v>1316</v>
      </c>
      <c r="N160" s="11">
        <v>202509047219</v>
      </c>
      <c r="O160" s="48">
        <v>45845</v>
      </c>
    </row>
    <row r="161" spans="1:15" ht="30" customHeight="1" x14ac:dyDescent="0.4">
      <c r="A161" s="36">
        <v>1559</v>
      </c>
      <c r="B161" s="12" t="s">
        <v>1317</v>
      </c>
      <c r="C161" s="43">
        <v>43918</v>
      </c>
      <c r="D161" s="12" t="s">
        <v>1318</v>
      </c>
      <c r="E161" s="12" t="s">
        <v>1319</v>
      </c>
      <c r="F161" s="14" t="s">
        <v>55</v>
      </c>
      <c r="G161" s="12" t="s">
        <v>1320</v>
      </c>
      <c r="H161" s="12" t="s">
        <v>1321</v>
      </c>
      <c r="I161" s="14" t="s">
        <v>1322</v>
      </c>
      <c r="J161" s="23">
        <v>45912</v>
      </c>
      <c r="K161" s="12" t="s">
        <v>1323</v>
      </c>
      <c r="L161" s="14" t="s">
        <v>1324</v>
      </c>
      <c r="M161" s="14" t="s">
        <v>1325</v>
      </c>
      <c r="N161" s="10">
        <v>202509038251</v>
      </c>
      <c r="O161" s="48">
        <v>45811</v>
      </c>
    </row>
    <row r="162" spans="1:15" x14ac:dyDescent="0.4">
      <c r="A162" s="35">
        <v>1560</v>
      </c>
      <c r="B162" s="12" t="s">
        <v>1326</v>
      </c>
      <c r="C162" s="43">
        <v>44325</v>
      </c>
      <c r="D162" s="12" t="s">
        <v>53</v>
      </c>
      <c r="E162" s="13" t="s">
        <v>1327</v>
      </c>
      <c r="F162" s="14" t="s">
        <v>55</v>
      </c>
      <c r="G162" s="12" t="s">
        <v>1328</v>
      </c>
      <c r="H162" s="12" t="s">
        <v>1329</v>
      </c>
      <c r="I162" s="12" t="s">
        <v>1330</v>
      </c>
      <c r="J162" s="23">
        <v>45912</v>
      </c>
      <c r="K162" s="12" t="s">
        <v>1331</v>
      </c>
      <c r="L162" s="14" t="s">
        <v>1332</v>
      </c>
      <c r="M162" s="14" t="s">
        <v>310</v>
      </c>
      <c r="N162" s="11">
        <v>202509054179</v>
      </c>
      <c r="O162" s="48">
        <v>45871</v>
      </c>
    </row>
    <row r="163" spans="1:15" ht="30" customHeight="1" x14ac:dyDescent="0.4">
      <c r="A163" s="36">
        <v>1561</v>
      </c>
      <c r="B163" s="12" t="s">
        <v>1333</v>
      </c>
      <c r="C163" s="43">
        <v>45789</v>
      </c>
      <c r="D163" s="14" t="s">
        <v>44</v>
      </c>
      <c r="E163" s="13" t="s">
        <v>1334</v>
      </c>
      <c r="F163" s="14" t="s">
        <v>36</v>
      </c>
      <c r="G163" s="12" t="s">
        <v>1335</v>
      </c>
      <c r="H163" s="12" t="s">
        <v>1336</v>
      </c>
      <c r="I163" s="12" t="s">
        <v>1337</v>
      </c>
      <c r="J163" s="23">
        <v>45915</v>
      </c>
      <c r="K163" s="14" t="s">
        <v>1338</v>
      </c>
      <c r="L163" s="14" t="s">
        <v>1339</v>
      </c>
      <c r="M163" s="14" t="s">
        <v>1340</v>
      </c>
      <c r="N163" s="11">
        <v>202509061700</v>
      </c>
      <c r="O163" s="48">
        <v>45901</v>
      </c>
    </row>
    <row r="164" spans="1:15" x14ac:dyDescent="0.4">
      <c r="A164" s="35">
        <v>1562</v>
      </c>
      <c r="B164" s="12" t="s">
        <v>1341</v>
      </c>
      <c r="C164" s="43">
        <v>45814</v>
      </c>
      <c r="D164" s="12" t="s">
        <v>34</v>
      </c>
      <c r="E164" s="13" t="s">
        <v>1342</v>
      </c>
      <c r="F164" s="14" t="s">
        <v>36</v>
      </c>
      <c r="G164" s="12" t="s">
        <v>1343</v>
      </c>
      <c r="H164" s="12" t="s">
        <v>1344</v>
      </c>
      <c r="I164" s="12" t="s">
        <v>1345</v>
      </c>
      <c r="J164" s="23">
        <v>45915</v>
      </c>
      <c r="K164" s="14" t="s">
        <v>1346</v>
      </c>
      <c r="L164" s="14" t="s">
        <v>1347</v>
      </c>
      <c r="M164" s="14" t="s">
        <v>1348</v>
      </c>
      <c r="N164" s="11">
        <v>202509058686</v>
      </c>
      <c r="O164" s="48">
        <v>45889</v>
      </c>
    </row>
    <row r="165" spans="1:15" ht="30" customHeight="1" x14ac:dyDescent="0.4">
      <c r="A165" s="36">
        <v>1563</v>
      </c>
      <c r="B165" s="12" t="s">
        <v>1349</v>
      </c>
      <c r="C165" s="43">
        <v>45740</v>
      </c>
      <c r="D165" s="12" t="s">
        <v>1350</v>
      </c>
      <c r="E165" s="13" t="s">
        <v>1351</v>
      </c>
      <c r="F165" s="14" t="s">
        <v>55</v>
      </c>
      <c r="G165" s="12" t="s">
        <v>1352</v>
      </c>
      <c r="H165" s="12" t="s">
        <v>1353</v>
      </c>
      <c r="I165" s="12" t="s">
        <v>1354</v>
      </c>
      <c r="J165" s="23">
        <v>45915</v>
      </c>
      <c r="K165" s="14" t="s">
        <v>1355</v>
      </c>
      <c r="L165" s="14" t="s">
        <v>1356</v>
      </c>
      <c r="M165" s="14" t="s">
        <v>1357</v>
      </c>
      <c r="N165" s="11">
        <v>202509055113</v>
      </c>
      <c r="O165" s="48">
        <v>45874</v>
      </c>
    </row>
    <row r="166" spans="1:15" x14ac:dyDescent="0.4">
      <c r="A166" s="35">
        <v>1564</v>
      </c>
      <c r="B166" s="12" t="s">
        <v>1358</v>
      </c>
      <c r="C166" s="43">
        <v>45857</v>
      </c>
      <c r="D166" s="12" t="s">
        <v>518</v>
      </c>
      <c r="E166" s="13" t="s">
        <v>1359</v>
      </c>
      <c r="F166" s="14" t="s">
        <v>36</v>
      </c>
      <c r="G166" s="12" t="s">
        <v>1360</v>
      </c>
      <c r="H166" s="12" t="s">
        <v>1361</v>
      </c>
      <c r="I166" s="12" t="s">
        <v>1362</v>
      </c>
      <c r="J166" s="23">
        <v>45915</v>
      </c>
      <c r="K166" s="14" t="s">
        <v>1363</v>
      </c>
      <c r="L166" s="14" t="s">
        <v>1364</v>
      </c>
      <c r="M166" s="14" t="s">
        <v>640</v>
      </c>
      <c r="N166" s="11">
        <v>202509061766</v>
      </c>
      <c r="O166" s="48">
        <v>45901</v>
      </c>
    </row>
    <row r="167" spans="1:15" x14ac:dyDescent="0.4">
      <c r="A167" s="36">
        <v>1565</v>
      </c>
      <c r="B167" s="12" t="s">
        <v>1365</v>
      </c>
      <c r="C167" s="43">
        <v>45771</v>
      </c>
      <c r="D167" s="14" t="s">
        <v>44</v>
      </c>
      <c r="E167" s="13" t="s">
        <v>1366</v>
      </c>
      <c r="F167" s="14" t="s">
        <v>36</v>
      </c>
      <c r="G167" s="12" t="s">
        <v>1367</v>
      </c>
      <c r="H167" s="12" t="s">
        <v>1368</v>
      </c>
      <c r="I167" s="12" t="s">
        <v>1369</v>
      </c>
      <c r="J167" s="23">
        <v>45915</v>
      </c>
      <c r="K167" s="14" t="s">
        <v>1370</v>
      </c>
      <c r="L167" s="14" t="s">
        <v>1371</v>
      </c>
      <c r="M167" s="14" t="s">
        <v>1372</v>
      </c>
      <c r="N167" s="11">
        <v>202509045009</v>
      </c>
      <c r="O167" s="48">
        <v>45837</v>
      </c>
    </row>
    <row r="168" spans="1:15" x14ac:dyDescent="0.4">
      <c r="A168" s="35">
        <v>1566</v>
      </c>
      <c r="B168" s="12" t="s">
        <v>1373</v>
      </c>
      <c r="C168" s="43">
        <v>45719</v>
      </c>
      <c r="D168" s="14" t="s">
        <v>44</v>
      </c>
      <c r="E168" s="13" t="s">
        <v>1374</v>
      </c>
      <c r="F168" s="14" t="s">
        <v>36</v>
      </c>
      <c r="G168" s="12" t="s">
        <v>1375</v>
      </c>
      <c r="H168" s="12" t="s">
        <v>1376</v>
      </c>
      <c r="I168" s="12" t="s">
        <v>1377</v>
      </c>
      <c r="J168" s="23">
        <v>45915</v>
      </c>
      <c r="K168" s="14" t="s">
        <v>1378</v>
      </c>
      <c r="L168" s="14" t="s">
        <v>1379</v>
      </c>
      <c r="M168" s="14" t="s">
        <v>1208</v>
      </c>
      <c r="N168" s="11">
        <v>202509059996</v>
      </c>
      <c r="O168" s="48">
        <v>45894</v>
      </c>
    </row>
    <row r="169" spans="1:15" x14ac:dyDescent="0.4">
      <c r="A169" s="36">
        <v>1567</v>
      </c>
      <c r="B169" s="12" t="s">
        <v>1380</v>
      </c>
      <c r="C169" s="43">
        <v>45765</v>
      </c>
      <c r="D169" s="12" t="s">
        <v>1121</v>
      </c>
      <c r="E169" s="13" t="s">
        <v>1381</v>
      </c>
      <c r="F169" s="14" t="s">
        <v>36</v>
      </c>
      <c r="G169" s="12" t="s">
        <v>1249</v>
      </c>
      <c r="H169" s="12" t="s">
        <v>1382</v>
      </c>
      <c r="I169" s="12" t="s">
        <v>1383</v>
      </c>
      <c r="J169" s="23">
        <v>45915</v>
      </c>
      <c r="K169" s="14" t="s">
        <v>1384</v>
      </c>
      <c r="L169" s="14" t="s">
        <v>1385</v>
      </c>
      <c r="M169" s="14" t="s">
        <v>367</v>
      </c>
      <c r="N169" s="11">
        <v>202509062138</v>
      </c>
      <c r="O169" s="48">
        <v>45902</v>
      </c>
    </row>
    <row r="170" spans="1:15" ht="30" customHeight="1" x14ac:dyDescent="0.4">
      <c r="A170" s="35">
        <v>1568</v>
      </c>
      <c r="B170" s="12" t="s">
        <v>1386</v>
      </c>
      <c r="C170" s="43">
        <v>45779</v>
      </c>
      <c r="D170" s="12" t="s">
        <v>271</v>
      </c>
      <c r="E170" s="13" t="s">
        <v>1387</v>
      </c>
      <c r="F170" s="14" t="s">
        <v>36</v>
      </c>
      <c r="G170" s="12" t="s">
        <v>1388</v>
      </c>
      <c r="H170" s="12" t="s">
        <v>1389</v>
      </c>
      <c r="I170" s="12" t="s">
        <v>1390</v>
      </c>
      <c r="J170" s="23">
        <v>45915</v>
      </c>
      <c r="K170" s="14" t="s">
        <v>1391</v>
      </c>
      <c r="L170" s="14" t="s">
        <v>1392</v>
      </c>
      <c r="M170" s="14" t="s">
        <v>1393</v>
      </c>
      <c r="N170" s="11">
        <v>202509041103</v>
      </c>
      <c r="O170" s="48">
        <v>45824</v>
      </c>
    </row>
    <row r="171" spans="1:15" x14ac:dyDescent="0.4">
      <c r="A171" s="36">
        <v>1569</v>
      </c>
      <c r="B171" s="12" t="s">
        <v>1394</v>
      </c>
      <c r="C171" s="43">
        <v>45884</v>
      </c>
      <c r="D171" s="12" t="s">
        <v>1105</v>
      </c>
      <c r="E171" s="13" t="s">
        <v>1395</v>
      </c>
      <c r="F171" s="14" t="s">
        <v>55</v>
      </c>
      <c r="G171" s="12" t="s">
        <v>1396</v>
      </c>
      <c r="H171" s="12" t="s">
        <v>1397</v>
      </c>
      <c r="I171" s="12" t="s">
        <v>1398</v>
      </c>
      <c r="J171" s="23">
        <v>45915</v>
      </c>
      <c r="K171" s="14" t="s">
        <v>1399</v>
      </c>
      <c r="L171" s="14" t="s">
        <v>1400</v>
      </c>
      <c r="M171" s="14" t="s">
        <v>1401</v>
      </c>
      <c r="N171" s="11">
        <v>202509062043</v>
      </c>
      <c r="O171" s="48">
        <v>45902</v>
      </c>
    </row>
    <row r="172" spans="1:15" ht="45" customHeight="1" x14ac:dyDescent="0.4">
      <c r="A172" s="35">
        <v>1570</v>
      </c>
      <c r="B172" s="12" t="s">
        <v>1402</v>
      </c>
      <c r="C172" s="43">
        <v>45882</v>
      </c>
      <c r="D172" s="12" t="s">
        <v>153</v>
      </c>
      <c r="E172" s="13" t="s">
        <v>1403</v>
      </c>
      <c r="F172" s="14" t="s">
        <v>36</v>
      </c>
      <c r="G172" s="12" t="s">
        <v>1404</v>
      </c>
      <c r="H172" s="12" t="s">
        <v>1405</v>
      </c>
      <c r="I172" s="12" t="s">
        <v>1406</v>
      </c>
      <c r="J172" s="23">
        <v>45915</v>
      </c>
      <c r="K172" s="14" t="s">
        <v>1407</v>
      </c>
      <c r="L172" s="14" t="s">
        <v>1142</v>
      </c>
      <c r="M172" s="14" t="s">
        <v>1408</v>
      </c>
      <c r="N172" s="11">
        <v>202509062039</v>
      </c>
      <c r="O172" s="48">
        <v>45902</v>
      </c>
    </row>
    <row r="173" spans="1:15" x14ac:dyDescent="0.4">
      <c r="A173" s="36">
        <v>1571</v>
      </c>
      <c r="B173" s="12" t="s">
        <v>1409</v>
      </c>
      <c r="C173" s="43">
        <v>45771</v>
      </c>
      <c r="D173" s="12" t="s">
        <v>126</v>
      </c>
      <c r="E173" s="13" t="s">
        <v>1410</v>
      </c>
      <c r="F173" s="14" t="s">
        <v>55</v>
      </c>
      <c r="G173" s="12" t="s">
        <v>1411</v>
      </c>
      <c r="H173" s="12" t="s">
        <v>1412</v>
      </c>
      <c r="I173" s="12" t="s">
        <v>1413</v>
      </c>
      <c r="J173" s="23">
        <v>45915</v>
      </c>
      <c r="K173" s="14" t="s">
        <v>1414</v>
      </c>
      <c r="L173" s="14" t="s">
        <v>1415</v>
      </c>
      <c r="M173" s="14" t="s">
        <v>1416</v>
      </c>
      <c r="N173" s="11">
        <v>202509047909</v>
      </c>
      <c r="O173" s="48">
        <v>45847</v>
      </c>
    </row>
    <row r="174" spans="1:15" x14ac:dyDescent="0.4">
      <c r="A174" s="35">
        <v>1572</v>
      </c>
      <c r="B174" s="12" t="s">
        <v>1417</v>
      </c>
      <c r="C174" s="43">
        <v>45768</v>
      </c>
      <c r="D174" s="12" t="s">
        <v>1418</v>
      </c>
      <c r="E174" s="13" t="s">
        <v>1419</v>
      </c>
      <c r="F174" s="14" t="s">
        <v>55</v>
      </c>
      <c r="G174" s="12" t="s">
        <v>1420</v>
      </c>
      <c r="H174" s="12" t="s">
        <v>1421</v>
      </c>
      <c r="I174" s="12" t="s">
        <v>1422</v>
      </c>
      <c r="J174" s="23">
        <v>45915</v>
      </c>
      <c r="K174" s="14" t="s">
        <v>1423</v>
      </c>
      <c r="L174" s="14" t="s">
        <v>1424</v>
      </c>
      <c r="M174" s="14" t="s">
        <v>1425</v>
      </c>
      <c r="N174" s="11">
        <v>202509059307</v>
      </c>
      <c r="O174" s="48">
        <v>45891</v>
      </c>
    </row>
    <row r="175" spans="1:15" x14ac:dyDescent="0.4">
      <c r="A175" s="36">
        <v>1573</v>
      </c>
      <c r="B175" s="12" t="s">
        <v>1426</v>
      </c>
      <c r="C175" s="43">
        <v>45848</v>
      </c>
      <c r="D175" s="14" t="s">
        <v>509</v>
      </c>
      <c r="E175" s="13" t="s">
        <v>1427</v>
      </c>
      <c r="F175" s="14" t="s">
        <v>55</v>
      </c>
      <c r="G175" s="12" t="s">
        <v>1428</v>
      </c>
      <c r="H175" s="12" t="s">
        <v>1429</v>
      </c>
      <c r="I175" s="12" t="s">
        <v>1430</v>
      </c>
      <c r="J175" s="23">
        <v>45915</v>
      </c>
      <c r="K175" s="14" t="s">
        <v>1431</v>
      </c>
      <c r="L175" s="14" t="s">
        <v>1432</v>
      </c>
      <c r="M175" s="14" t="s">
        <v>1433</v>
      </c>
      <c r="N175" s="11">
        <v>202509058476</v>
      </c>
      <c r="O175" s="48">
        <v>45888</v>
      </c>
    </row>
    <row r="176" spans="1:15" x14ac:dyDescent="0.4">
      <c r="A176" s="35">
        <v>1574</v>
      </c>
      <c r="B176" s="12" t="s">
        <v>1434</v>
      </c>
      <c r="C176" s="43">
        <v>45861</v>
      </c>
      <c r="D176" s="14" t="s">
        <v>904</v>
      </c>
      <c r="E176" s="13" t="s">
        <v>1435</v>
      </c>
      <c r="F176" s="14" t="s">
        <v>55</v>
      </c>
      <c r="G176" s="12" t="s">
        <v>1436</v>
      </c>
      <c r="H176" s="12" t="s">
        <v>1437</v>
      </c>
      <c r="I176" s="12" t="s">
        <v>1438</v>
      </c>
      <c r="J176" s="23">
        <v>45915</v>
      </c>
      <c r="K176" s="14">
        <v>384</v>
      </c>
      <c r="L176" s="14" t="s">
        <v>1439</v>
      </c>
      <c r="M176" s="14" t="s">
        <v>943</v>
      </c>
      <c r="N176" s="11">
        <v>202509057810</v>
      </c>
      <c r="O176" s="48">
        <v>45886</v>
      </c>
    </row>
    <row r="177" spans="1:15" ht="30" customHeight="1" x14ac:dyDescent="0.4">
      <c r="A177" s="36">
        <v>1575</v>
      </c>
      <c r="B177" s="12" t="s">
        <v>1440</v>
      </c>
      <c r="C177" s="43">
        <v>45623</v>
      </c>
      <c r="D177" s="12" t="s">
        <v>72</v>
      </c>
      <c r="E177" s="13" t="s">
        <v>1441</v>
      </c>
      <c r="F177" s="14" t="s">
        <v>36</v>
      </c>
      <c r="G177" s="12" t="s">
        <v>1442</v>
      </c>
      <c r="H177" s="12" t="s">
        <v>1443</v>
      </c>
      <c r="I177" s="12" t="s">
        <v>1444</v>
      </c>
      <c r="J177" s="23">
        <v>45915</v>
      </c>
      <c r="K177" s="14" t="s">
        <v>1445</v>
      </c>
      <c r="L177" s="14" t="s">
        <v>1446</v>
      </c>
      <c r="M177" s="14" t="s">
        <v>1447</v>
      </c>
      <c r="N177" s="11">
        <v>202509062549</v>
      </c>
      <c r="O177" s="48">
        <v>45904</v>
      </c>
    </row>
    <row r="178" spans="1:15" ht="30" customHeight="1" x14ac:dyDescent="0.4">
      <c r="A178" s="35">
        <v>1576</v>
      </c>
      <c r="B178" s="12" t="s">
        <v>1448</v>
      </c>
      <c r="C178" s="43">
        <v>45826</v>
      </c>
      <c r="D178" s="14" t="s">
        <v>536</v>
      </c>
      <c r="E178" s="13" t="s">
        <v>1449</v>
      </c>
      <c r="F178" s="14" t="s">
        <v>36</v>
      </c>
      <c r="G178" s="12" t="s">
        <v>1450</v>
      </c>
      <c r="H178" s="12" t="s">
        <v>1451</v>
      </c>
      <c r="I178" s="12" t="s">
        <v>1452</v>
      </c>
      <c r="J178" s="23">
        <v>45915</v>
      </c>
      <c r="K178" s="14" t="s">
        <v>1453</v>
      </c>
      <c r="L178" s="14" t="s">
        <v>1454</v>
      </c>
      <c r="M178" s="14" t="s">
        <v>1455</v>
      </c>
      <c r="N178" s="11">
        <v>202509057656</v>
      </c>
      <c r="O178" s="48">
        <v>45885</v>
      </c>
    </row>
    <row r="179" spans="1:15" x14ac:dyDescent="0.4">
      <c r="A179" s="36">
        <v>1577</v>
      </c>
      <c r="B179" s="12" t="s">
        <v>1456</v>
      </c>
      <c r="C179" s="43">
        <v>45827</v>
      </c>
      <c r="D179" s="14" t="s">
        <v>1457</v>
      </c>
      <c r="E179" s="13" t="s">
        <v>1458</v>
      </c>
      <c r="F179" s="14" t="s">
        <v>55</v>
      </c>
      <c r="G179" s="12" t="s">
        <v>1459</v>
      </c>
      <c r="H179" s="12" t="s">
        <v>1460</v>
      </c>
      <c r="I179" s="12" t="s">
        <v>1461</v>
      </c>
      <c r="J179" s="23">
        <v>45915</v>
      </c>
      <c r="K179" s="14">
        <v>48</v>
      </c>
      <c r="L179" s="14" t="s">
        <v>1462</v>
      </c>
      <c r="M179" s="14" t="s">
        <v>466</v>
      </c>
      <c r="N179" s="11">
        <v>202509057653</v>
      </c>
      <c r="O179" s="48">
        <v>45885</v>
      </c>
    </row>
    <row r="180" spans="1:15" x14ac:dyDescent="0.4">
      <c r="A180" s="35">
        <v>1578</v>
      </c>
      <c r="B180" s="12" t="s">
        <v>1463</v>
      </c>
      <c r="C180" s="43">
        <v>45842</v>
      </c>
      <c r="D180" s="12" t="s">
        <v>63</v>
      </c>
      <c r="E180" s="13" t="s">
        <v>1464</v>
      </c>
      <c r="F180" s="14" t="s">
        <v>55</v>
      </c>
      <c r="G180" s="12" t="s">
        <v>1465</v>
      </c>
      <c r="H180" s="12" t="s">
        <v>1466</v>
      </c>
      <c r="I180" s="12" t="s">
        <v>1467</v>
      </c>
      <c r="J180" s="23">
        <v>45915</v>
      </c>
      <c r="K180" s="14" t="s">
        <v>1468</v>
      </c>
      <c r="L180" s="14" t="s">
        <v>1469</v>
      </c>
      <c r="M180" s="14" t="s">
        <v>278</v>
      </c>
      <c r="N180" s="11">
        <v>202509056628</v>
      </c>
      <c r="O180" s="48">
        <v>45881</v>
      </c>
    </row>
    <row r="181" spans="1:15" x14ac:dyDescent="0.4">
      <c r="A181" s="36">
        <v>1579</v>
      </c>
      <c r="B181" s="12" t="s">
        <v>1470</v>
      </c>
      <c r="C181" s="43">
        <v>45661</v>
      </c>
      <c r="D181" s="12" t="s">
        <v>1471</v>
      </c>
      <c r="E181" s="13" t="s">
        <v>1472</v>
      </c>
      <c r="F181" s="14" t="s">
        <v>55</v>
      </c>
      <c r="G181" s="12" t="s">
        <v>1473</v>
      </c>
      <c r="H181" s="12" t="s">
        <v>1474</v>
      </c>
      <c r="I181" s="12" t="s">
        <v>1475</v>
      </c>
      <c r="J181" s="23">
        <v>45915</v>
      </c>
      <c r="K181" s="14" t="s">
        <v>1476</v>
      </c>
      <c r="L181" s="14" t="s">
        <v>1477</v>
      </c>
      <c r="M181" s="14" t="s">
        <v>1478</v>
      </c>
      <c r="N181" s="11">
        <v>202509061073</v>
      </c>
      <c r="O181" s="48">
        <v>45898</v>
      </c>
    </row>
    <row r="182" spans="1:15" x14ac:dyDescent="0.4">
      <c r="A182" s="35">
        <v>1580</v>
      </c>
      <c r="B182" s="12" t="s">
        <v>1479</v>
      </c>
      <c r="C182" s="43">
        <v>45849</v>
      </c>
      <c r="D182" s="12" t="s">
        <v>53</v>
      </c>
      <c r="E182" s="13" t="s">
        <v>1480</v>
      </c>
      <c r="F182" s="14" t="s">
        <v>55</v>
      </c>
      <c r="G182" s="12" t="s">
        <v>1481</v>
      </c>
      <c r="H182" s="12" t="s">
        <v>1482</v>
      </c>
      <c r="I182" s="12" t="s">
        <v>1483</v>
      </c>
      <c r="J182" s="23">
        <v>45915</v>
      </c>
      <c r="K182" s="14" t="s">
        <v>1484</v>
      </c>
      <c r="L182" s="14" t="s">
        <v>1485</v>
      </c>
      <c r="M182" s="14" t="s">
        <v>1486</v>
      </c>
      <c r="N182" s="11">
        <v>202509062851</v>
      </c>
      <c r="O182" s="48">
        <v>45905</v>
      </c>
    </row>
    <row r="183" spans="1:15" x14ac:dyDescent="0.4">
      <c r="A183" s="36">
        <v>1581</v>
      </c>
      <c r="B183" s="12" t="s">
        <v>1487</v>
      </c>
      <c r="C183" s="43">
        <v>45848</v>
      </c>
      <c r="D183" s="12" t="s">
        <v>385</v>
      </c>
      <c r="E183" s="13" t="s">
        <v>1488</v>
      </c>
      <c r="F183" s="14" t="s">
        <v>55</v>
      </c>
      <c r="G183" s="12" t="s">
        <v>1489</v>
      </c>
      <c r="H183" s="12" t="s">
        <v>1490</v>
      </c>
      <c r="I183" s="12" t="s">
        <v>1491</v>
      </c>
      <c r="J183" s="23">
        <v>45915</v>
      </c>
      <c r="K183" s="14" t="s">
        <v>1492</v>
      </c>
      <c r="L183" s="14" t="s">
        <v>1493</v>
      </c>
      <c r="M183" s="14" t="s">
        <v>1494</v>
      </c>
      <c r="N183" s="11">
        <v>202509062834</v>
      </c>
      <c r="O183" s="48">
        <v>45905</v>
      </c>
    </row>
    <row r="184" spans="1:15" x14ac:dyDescent="0.4">
      <c r="A184" s="35">
        <v>1582</v>
      </c>
      <c r="B184" s="12" t="s">
        <v>1495</v>
      </c>
      <c r="C184" s="43">
        <v>45860</v>
      </c>
      <c r="D184" s="14" t="s">
        <v>737</v>
      </c>
      <c r="E184" s="13" t="s">
        <v>1496</v>
      </c>
      <c r="F184" s="14" t="s">
        <v>55</v>
      </c>
      <c r="G184" s="12" t="s">
        <v>1497</v>
      </c>
      <c r="H184" s="12" t="s">
        <v>857</v>
      </c>
      <c r="I184" s="12" t="s">
        <v>1498</v>
      </c>
      <c r="J184" s="23">
        <v>45915</v>
      </c>
      <c r="K184" s="14" t="s">
        <v>1499</v>
      </c>
      <c r="L184" s="14" t="s">
        <v>1500</v>
      </c>
      <c r="M184" s="14" t="s">
        <v>1501</v>
      </c>
      <c r="N184" s="11">
        <v>202509062611</v>
      </c>
      <c r="O184" s="48">
        <v>45914</v>
      </c>
    </row>
    <row r="185" spans="1:15" ht="30" customHeight="1" x14ac:dyDescent="0.4">
      <c r="A185" s="36">
        <v>1583</v>
      </c>
      <c r="B185" s="12" t="s">
        <v>1502</v>
      </c>
      <c r="C185" s="43">
        <v>45772</v>
      </c>
      <c r="D185" s="14" t="s">
        <v>1503</v>
      </c>
      <c r="E185" s="13" t="s">
        <v>1504</v>
      </c>
      <c r="F185" s="14" t="s">
        <v>55</v>
      </c>
      <c r="G185" s="12" t="s">
        <v>1505</v>
      </c>
      <c r="H185" s="12" t="s">
        <v>1506</v>
      </c>
      <c r="I185" s="12" t="s">
        <v>1507</v>
      </c>
      <c r="J185" s="23">
        <v>45915</v>
      </c>
      <c r="K185" s="14" t="s">
        <v>1508</v>
      </c>
      <c r="L185" s="14" t="s">
        <v>1509</v>
      </c>
      <c r="M185" s="14" t="s">
        <v>562</v>
      </c>
      <c r="N185" s="11">
        <v>202509062841</v>
      </c>
      <c r="O185" s="48">
        <v>45905</v>
      </c>
    </row>
    <row r="186" spans="1:15" x14ac:dyDescent="0.4">
      <c r="A186" s="35">
        <v>1584</v>
      </c>
      <c r="B186" s="12" t="s">
        <v>1510</v>
      </c>
      <c r="C186" s="43">
        <v>45853</v>
      </c>
      <c r="D186" s="14" t="s">
        <v>509</v>
      </c>
      <c r="E186" s="13" t="s">
        <v>1511</v>
      </c>
      <c r="F186" s="14" t="s">
        <v>36</v>
      </c>
      <c r="G186" s="12" t="s">
        <v>1512</v>
      </c>
      <c r="H186" s="12" t="s">
        <v>1513</v>
      </c>
      <c r="I186" s="12" t="s">
        <v>1514</v>
      </c>
      <c r="J186" s="23">
        <v>45915</v>
      </c>
      <c r="K186" s="14" t="s">
        <v>1515</v>
      </c>
      <c r="L186" s="14" t="s">
        <v>1516</v>
      </c>
      <c r="M186" s="14" t="s">
        <v>235</v>
      </c>
      <c r="N186" s="11">
        <v>202509063040</v>
      </c>
      <c r="O186" s="48">
        <v>45908</v>
      </c>
    </row>
    <row r="187" spans="1:15" ht="30" customHeight="1" x14ac:dyDescent="0.4">
      <c r="A187" s="36">
        <v>1585</v>
      </c>
      <c r="B187" s="12" t="s">
        <v>1517</v>
      </c>
      <c r="C187" s="43">
        <v>45851</v>
      </c>
      <c r="D187" s="12" t="s">
        <v>72</v>
      </c>
      <c r="E187" s="13" t="s">
        <v>1518</v>
      </c>
      <c r="F187" s="14" t="s">
        <v>36</v>
      </c>
      <c r="G187" s="12" t="s">
        <v>1519</v>
      </c>
      <c r="H187" s="12" t="s">
        <v>1520</v>
      </c>
      <c r="I187" s="12" t="s">
        <v>1521</v>
      </c>
      <c r="J187" s="23">
        <v>45915</v>
      </c>
      <c r="K187" s="14" t="s">
        <v>1522</v>
      </c>
      <c r="L187" s="14" t="s">
        <v>1523</v>
      </c>
      <c r="M187" s="14" t="s">
        <v>1524</v>
      </c>
      <c r="N187" s="11">
        <v>202509063496</v>
      </c>
      <c r="O187" s="48">
        <v>45909</v>
      </c>
    </row>
    <row r="188" spans="1:15" x14ac:dyDescent="0.4">
      <c r="A188" s="35">
        <v>1586</v>
      </c>
      <c r="B188" s="12" t="s">
        <v>1525</v>
      </c>
      <c r="C188" s="43">
        <v>45840</v>
      </c>
      <c r="D188" s="12" t="s">
        <v>246</v>
      </c>
      <c r="E188" s="13" t="s">
        <v>1526</v>
      </c>
      <c r="F188" s="14" t="s">
        <v>55</v>
      </c>
      <c r="G188" s="12" t="s">
        <v>1527</v>
      </c>
      <c r="H188" s="12" t="s">
        <v>1528</v>
      </c>
      <c r="I188" s="12" t="s">
        <v>1529</v>
      </c>
      <c r="J188" s="23">
        <v>45915</v>
      </c>
      <c r="K188" s="14" t="s">
        <v>1530</v>
      </c>
      <c r="L188" s="14" t="s">
        <v>1531</v>
      </c>
      <c r="M188" s="14" t="s">
        <v>1532</v>
      </c>
      <c r="N188" s="11">
        <v>202509051654</v>
      </c>
      <c r="O188" s="48">
        <v>45861</v>
      </c>
    </row>
    <row r="189" spans="1:15" ht="30" customHeight="1" x14ac:dyDescent="0.4">
      <c r="A189" s="36">
        <v>1587</v>
      </c>
      <c r="B189" s="12" t="s">
        <v>1533</v>
      </c>
      <c r="C189" s="43">
        <v>45645</v>
      </c>
      <c r="D189" s="12" t="s">
        <v>53</v>
      </c>
      <c r="E189" s="13" t="s">
        <v>1534</v>
      </c>
      <c r="F189" s="14" t="s">
        <v>36</v>
      </c>
      <c r="G189" s="12" t="s">
        <v>1535</v>
      </c>
      <c r="H189" s="12" t="s">
        <v>1536</v>
      </c>
      <c r="I189" s="12" t="s">
        <v>1537</v>
      </c>
      <c r="J189" s="23">
        <v>45915</v>
      </c>
      <c r="K189" s="14" t="s">
        <v>1538</v>
      </c>
      <c r="L189" s="14" t="s">
        <v>1539</v>
      </c>
      <c r="M189" s="14" t="s">
        <v>1540</v>
      </c>
      <c r="N189" s="11">
        <v>202509048757</v>
      </c>
      <c r="O189" s="48">
        <v>45851</v>
      </c>
    </row>
    <row r="190" spans="1:15" x14ac:dyDescent="0.4">
      <c r="A190" s="35">
        <v>1588</v>
      </c>
      <c r="B190" s="12" t="s">
        <v>1541</v>
      </c>
      <c r="C190" s="43">
        <v>45799</v>
      </c>
      <c r="D190" s="12" t="s">
        <v>1542</v>
      </c>
      <c r="E190" s="13" t="s">
        <v>1543</v>
      </c>
      <c r="F190" s="14" t="s">
        <v>36</v>
      </c>
      <c r="G190" s="12" t="s">
        <v>1544</v>
      </c>
      <c r="H190" s="12" t="s">
        <v>1545</v>
      </c>
      <c r="I190" s="12" t="s">
        <v>1546</v>
      </c>
      <c r="J190" s="23">
        <v>45915</v>
      </c>
      <c r="K190" s="14" t="s">
        <v>1547</v>
      </c>
      <c r="L190" s="14" t="s">
        <v>1548</v>
      </c>
      <c r="M190" s="14" t="s">
        <v>1549</v>
      </c>
      <c r="N190" s="11">
        <v>202509062653</v>
      </c>
      <c r="O190" s="48">
        <v>45904</v>
      </c>
    </row>
    <row r="191" spans="1:15" ht="30" customHeight="1" x14ac:dyDescent="0.4">
      <c r="A191" s="36">
        <v>1589</v>
      </c>
      <c r="B191" s="12" t="s">
        <v>1550</v>
      </c>
      <c r="C191" s="43">
        <v>45786</v>
      </c>
      <c r="D191" s="14" t="s">
        <v>1218</v>
      </c>
      <c r="E191" s="13" t="s">
        <v>1551</v>
      </c>
      <c r="F191" s="14" t="s">
        <v>55</v>
      </c>
      <c r="G191" s="12" t="s">
        <v>1552</v>
      </c>
      <c r="H191" s="12" t="s">
        <v>1553</v>
      </c>
      <c r="I191" s="12" t="s">
        <v>1554</v>
      </c>
      <c r="J191" s="23">
        <v>45915</v>
      </c>
      <c r="K191" s="14" t="s">
        <v>1555</v>
      </c>
      <c r="L191" s="14" t="s">
        <v>1556</v>
      </c>
      <c r="M191" s="14" t="s">
        <v>1557</v>
      </c>
      <c r="N191" s="11">
        <v>202509063501</v>
      </c>
      <c r="O191" s="48">
        <v>45909</v>
      </c>
    </row>
    <row r="192" spans="1:15" ht="30" customHeight="1" x14ac:dyDescent="0.4">
      <c r="A192" s="35">
        <v>1590</v>
      </c>
      <c r="B192" s="12" t="s">
        <v>1558</v>
      </c>
      <c r="C192" s="43">
        <v>45681</v>
      </c>
      <c r="D192" s="14" t="s">
        <v>527</v>
      </c>
      <c r="E192" s="13" t="s">
        <v>1559</v>
      </c>
      <c r="F192" s="14" t="s">
        <v>36</v>
      </c>
      <c r="G192" s="12" t="s">
        <v>1560</v>
      </c>
      <c r="H192" s="12" t="s">
        <v>1561</v>
      </c>
      <c r="I192" s="12" t="s">
        <v>1562</v>
      </c>
      <c r="J192" s="23">
        <v>45915</v>
      </c>
      <c r="K192" s="14" t="s">
        <v>1563</v>
      </c>
      <c r="L192" s="14" t="s">
        <v>1564</v>
      </c>
      <c r="M192" s="14" t="s">
        <v>1565</v>
      </c>
      <c r="N192" s="11">
        <v>202509062481</v>
      </c>
      <c r="O192" s="48">
        <v>45903</v>
      </c>
    </row>
    <row r="193" spans="1:15" ht="30" customHeight="1" x14ac:dyDescent="0.4">
      <c r="A193" s="36">
        <v>1591</v>
      </c>
      <c r="B193" s="12" t="s">
        <v>1566</v>
      </c>
      <c r="C193" s="43">
        <v>45847</v>
      </c>
      <c r="D193" s="12" t="s">
        <v>484</v>
      </c>
      <c r="E193" s="13" t="s">
        <v>1567</v>
      </c>
      <c r="F193" s="14" t="s">
        <v>55</v>
      </c>
      <c r="G193" s="12" t="s">
        <v>1568</v>
      </c>
      <c r="H193" s="12" t="s">
        <v>1569</v>
      </c>
      <c r="I193" s="12" t="s">
        <v>1570</v>
      </c>
      <c r="J193" s="23">
        <v>45916</v>
      </c>
      <c r="K193" s="14" t="s">
        <v>1571</v>
      </c>
      <c r="L193" s="14" t="s">
        <v>1572</v>
      </c>
      <c r="M193" s="14" t="s">
        <v>1573</v>
      </c>
      <c r="N193" s="10">
        <v>202509052922</v>
      </c>
      <c r="O193" s="54">
        <v>45867</v>
      </c>
    </row>
    <row r="194" spans="1:15" ht="30" customHeight="1" x14ac:dyDescent="0.4">
      <c r="A194" s="35">
        <v>1592</v>
      </c>
      <c r="B194" s="12" t="s">
        <v>1574</v>
      </c>
      <c r="C194" s="43">
        <v>45726</v>
      </c>
      <c r="D194" s="12" t="s">
        <v>1575</v>
      </c>
      <c r="E194" s="13" t="s">
        <v>1576</v>
      </c>
      <c r="F194" s="14" t="s">
        <v>55</v>
      </c>
      <c r="G194" s="12" t="s">
        <v>1013</v>
      </c>
      <c r="H194" s="12" t="s">
        <v>1577</v>
      </c>
      <c r="I194" s="12" t="s">
        <v>1578</v>
      </c>
      <c r="J194" s="23">
        <v>45919</v>
      </c>
      <c r="K194" s="14" t="s">
        <v>158</v>
      </c>
      <c r="L194" s="14" t="s">
        <v>1579</v>
      </c>
      <c r="M194" s="14" t="s">
        <v>1580</v>
      </c>
      <c r="N194" s="11">
        <v>202509059705</v>
      </c>
      <c r="O194" s="48">
        <v>45893</v>
      </c>
    </row>
    <row r="195" spans="1:15" x14ac:dyDescent="0.4">
      <c r="A195" s="36">
        <v>1593</v>
      </c>
      <c r="B195" s="12" t="s">
        <v>1581</v>
      </c>
      <c r="C195" s="43">
        <v>45849</v>
      </c>
      <c r="D195" s="12" t="s">
        <v>63</v>
      </c>
      <c r="E195" s="13" t="s">
        <v>1582</v>
      </c>
      <c r="F195" s="14" t="s">
        <v>55</v>
      </c>
      <c r="G195" s="12" t="s">
        <v>1583</v>
      </c>
      <c r="H195" s="12" t="s">
        <v>1584</v>
      </c>
      <c r="I195" s="12" t="s">
        <v>1585</v>
      </c>
      <c r="J195" s="23">
        <v>45919</v>
      </c>
      <c r="K195" s="14" t="s">
        <v>1586</v>
      </c>
      <c r="L195" s="14" t="s">
        <v>1587</v>
      </c>
      <c r="M195" s="14" t="s">
        <v>1588</v>
      </c>
      <c r="N195" s="11">
        <v>202509056620</v>
      </c>
      <c r="O195" s="48">
        <v>45881</v>
      </c>
    </row>
    <row r="196" spans="1:15" x14ac:dyDescent="0.4">
      <c r="A196" s="35">
        <v>1594</v>
      </c>
      <c r="B196" s="12" t="s">
        <v>1589</v>
      </c>
      <c r="C196" s="43">
        <v>45870</v>
      </c>
      <c r="D196" s="12" t="s">
        <v>518</v>
      </c>
      <c r="E196" s="13" t="s">
        <v>1590</v>
      </c>
      <c r="F196" s="14" t="s">
        <v>36</v>
      </c>
      <c r="G196" s="12" t="s">
        <v>1591</v>
      </c>
      <c r="H196" s="12" t="s">
        <v>1592</v>
      </c>
      <c r="I196" s="12" t="s">
        <v>1593</v>
      </c>
      <c r="J196" s="23">
        <v>45919</v>
      </c>
      <c r="K196" s="14" t="s">
        <v>1594</v>
      </c>
      <c r="L196" s="14" t="s">
        <v>1595</v>
      </c>
      <c r="M196" s="14" t="s">
        <v>1596</v>
      </c>
      <c r="N196" s="11">
        <v>202509063246</v>
      </c>
      <c r="O196" s="48">
        <v>45908</v>
      </c>
    </row>
    <row r="197" spans="1:15" ht="30" customHeight="1" x14ac:dyDescent="0.4">
      <c r="A197" s="36">
        <v>1595</v>
      </c>
      <c r="B197" s="12" t="s">
        <v>1597</v>
      </c>
      <c r="C197" s="43">
        <v>45775</v>
      </c>
      <c r="D197" s="12" t="s">
        <v>1318</v>
      </c>
      <c r="E197" s="13" t="s">
        <v>1598</v>
      </c>
      <c r="F197" s="14" t="s">
        <v>36</v>
      </c>
      <c r="G197" s="12" t="s">
        <v>1599</v>
      </c>
      <c r="H197" s="12" t="s">
        <v>1600</v>
      </c>
      <c r="I197" s="12" t="s">
        <v>1601</v>
      </c>
      <c r="J197" s="23">
        <v>45919</v>
      </c>
      <c r="K197" s="14" t="s">
        <v>1602</v>
      </c>
      <c r="L197" s="14" t="s">
        <v>1603</v>
      </c>
      <c r="M197" s="14" t="s">
        <v>1604</v>
      </c>
      <c r="N197" s="11">
        <v>202509063645</v>
      </c>
      <c r="O197" s="48">
        <v>45909</v>
      </c>
    </row>
    <row r="198" spans="1:15" x14ac:dyDescent="0.4">
      <c r="A198" s="35">
        <v>1596</v>
      </c>
      <c r="B198" s="12" t="s">
        <v>1605</v>
      </c>
      <c r="C198" s="43">
        <v>45863</v>
      </c>
      <c r="D198" s="14" t="s">
        <v>1606</v>
      </c>
      <c r="E198" s="13" t="s">
        <v>1607</v>
      </c>
      <c r="F198" s="14" t="s">
        <v>55</v>
      </c>
      <c r="G198" s="12" t="s">
        <v>1608</v>
      </c>
      <c r="H198" s="12" t="s">
        <v>1132</v>
      </c>
      <c r="I198" s="12" t="s">
        <v>1609</v>
      </c>
      <c r="J198" s="23">
        <v>45919</v>
      </c>
      <c r="K198" s="14" t="s">
        <v>464</v>
      </c>
      <c r="L198" s="14" t="s">
        <v>1610</v>
      </c>
      <c r="M198" s="14" t="s">
        <v>310</v>
      </c>
      <c r="N198" s="11">
        <v>202509059362</v>
      </c>
      <c r="O198" s="48">
        <v>45891</v>
      </c>
    </row>
    <row r="199" spans="1:15" x14ac:dyDescent="0.4">
      <c r="A199" s="36">
        <v>1597</v>
      </c>
      <c r="B199" s="12" t="s">
        <v>1611</v>
      </c>
      <c r="C199" s="43">
        <v>45666</v>
      </c>
      <c r="D199" s="14" t="s">
        <v>44</v>
      </c>
      <c r="E199" s="13" t="s">
        <v>1612</v>
      </c>
      <c r="F199" s="14" t="s">
        <v>55</v>
      </c>
      <c r="G199" s="12" t="s">
        <v>1613</v>
      </c>
      <c r="H199" s="12" t="s">
        <v>1614</v>
      </c>
      <c r="I199" s="12" t="s">
        <v>1615</v>
      </c>
      <c r="J199" s="23">
        <v>45919</v>
      </c>
      <c r="K199" s="14" t="s">
        <v>1616</v>
      </c>
      <c r="L199" s="14" t="s">
        <v>1617</v>
      </c>
      <c r="M199" s="14" t="s">
        <v>1618</v>
      </c>
      <c r="N199" s="11">
        <v>202509059248</v>
      </c>
      <c r="O199" s="48">
        <v>45891</v>
      </c>
    </row>
    <row r="200" spans="1:15" x14ac:dyDescent="0.4">
      <c r="A200" s="35">
        <v>1598</v>
      </c>
      <c r="B200" s="12" t="s">
        <v>1619</v>
      </c>
      <c r="C200" s="43">
        <v>45792</v>
      </c>
      <c r="D200" s="14" t="s">
        <v>547</v>
      </c>
      <c r="E200" s="13" t="s">
        <v>1620</v>
      </c>
      <c r="F200" s="14" t="s">
        <v>36</v>
      </c>
      <c r="G200" s="12" t="s">
        <v>1621</v>
      </c>
      <c r="H200" s="12" t="s">
        <v>1622</v>
      </c>
      <c r="I200" s="12" t="s">
        <v>1623</v>
      </c>
      <c r="J200" s="23">
        <v>45919</v>
      </c>
      <c r="K200" s="14" t="s">
        <v>1624</v>
      </c>
      <c r="L200" s="14" t="s">
        <v>1261</v>
      </c>
      <c r="M200" s="14" t="s">
        <v>1625</v>
      </c>
      <c r="N200" s="11">
        <v>202509059022</v>
      </c>
      <c r="O200" s="48">
        <v>45890</v>
      </c>
    </row>
    <row r="201" spans="1:15" ht="30" customHeight="1" x14ac:dyDescent="0.4">
      <c r="A201" s="36">
        <v>1599</v>
      </c>
      <c r="B201" s="12" t="s">
        <v>1626</v>
      </c>
      <c r="C201" s="43">
        <v>45774</v>
      </c>
      <c r="D201" s="12" t="s">
        <v>1027</v>
      </c>
      <c r="E201" s="13" t="s">
        <v>1627</v>
      </c>
      <c r="F201" s="14" t="s">
        <v>36</v>
      </c>
      <c r="G201" s="12" t="s">
        <v>1628</v>
      </c>
      <c r="H201" s="12" t="s">
        <v>1629</v>
      </c>
      <c r="I201" s="12" t="s">
        <v>1630</v>
      </c>
      <c r="J201" s="23">
        <v>45919</v>
      </c>
      <c r="K201" s="14" t="s">
        <v>1631</v>
      </c>
      <c r="L201" s="14" t="s">
        <v>1632</v>
      </c>
      <c r="M201" s="14" t="s">
        <v>791</v>
      </c>
      <c r="N201" s="11">
        <v>202509061076</v>
      </c>
      <c r="O201" s="48">
        <v>45898</v>
      </c>
    </row>
    <row r="202" spans="1:15" ht="30" customHeight="1" x14ac:dyDescent="0.4">
      <c r="A202" s="35">
        <v>1600</v>
      </c>
      <c r="B202" s="12" t="s">
        <v>1633</v>
      </c>
      <c r="C202" s="43">
        <v>45742</v>
      </c>
      <c r="D202" s="14" t="s">
        <v>536</v>
      </c>
      <c r="E202" s="13" t="s">
        <v>1634</v>
      </c>
      <c r="F202" s="14" t="s">
        <v>55</v>
      </c>
      <c r="G202" s="12" t="s">
        <v>1635</v>
      </c>
      <c r="H202" s="12" t="s">
        <v>1636</v>
      </c>
      <c r="I202" s="12" t="s">
        <v>1637</v>
      </c>
      <c r="J202" s="23">
        <v>45919</v>
      </c>
      <c r="K202" s="14" t="s">
        <v>1638</v>
      </c>
      <c r="L202" s="14" t="s">
        <v>1639</v>
      </c>
      <c r="M202" s="14" t="s">
        <v>1640</v>
      </c>
      <c r="N202" s="11">
        <v>202509064234</v>
      </c>
      <c r="O202" s="48">
        <v>45911</v>
      </c>
    </row>
    <row r="203" spans="1:15" x14ac:dyDescent="0.4">
      <c r="A203" s="36">
        <v>1601</v>
      </c>
      <c r="B203" s="12" t="s">
        <v>1641</v>
      </c>
      <c r="C203" s="43">
        <v>45794</v>
      </c>
      <c r="D203" s="14" t="s">
        <v>670</v>
      </c>
      <c r="E203" s="13" t="s">
        <v>1642</v>
      </c>
      <c r="F203" s="14" t="s">
        <v>55</v>
      </c>
      <c r="G203" s="12" t="s">
        <v>1643</v>
      </c>
      <c r="H203" s="12" t="s">
        <v>1644</v>
      </c>
      <c r="I203" s="12" t="s">
        <v>1645</v>
      </c>
      <c r="J203" s="23">
        <v>45919</v>
      </c>
      <c r="K203" s="14" t="s">
        <v>1646</v>
      </c>
      <c r="L203" s="14" t="s">
        <v>1647</v>
      </c>
      <c r="M203" s="14" t="s">
        <v>701</v>
      </c>
      <c r="N203" s="11">
        <v>202509060881</v>
      </c>
      <c r="O203" s="48">
        <v>45897</v>
      </c>
    </row>
    <row r="204" spans="1:15" x14ac:dyDescent="0.4">
      <c r="A204" s="35">
        <v>1602</v>
      </c>
      <c r="B204" s="12" t="s">
        <v>1648</v>
      </c>
      <c r="C204" s="43">
        <v>45707</v>
      </c>
      <c r="D204" s="14" t="s">
        <v>509</v>
      </c>
      <c r="E204" s="13" t="s">
        <v>1649</v>
      </c>
      <c r="F204" s="14" t="s">
        <v>55</v>
      </c>
      <c r="G204" s="12" t="s">
        <v>1650</v>
      </c>
      <c r="H204" s="12" t="s">
        <v>1651</v>
      </c>
      <c r="I204" s="12" t="s">
        <v>1652</v>
      </c>
      <c r="J204" s="23">
        <v>45919</v>
      </c>
      <c r="K204" s="14">
        <v>66</v>
      </c>
      <c r="L204" s="14" t="s">
        <v>1653</v>
      </c>
      <c r="M204" s="14" t="s">
        <v>1654</v>
      </c>
      <c r="N204" s="11">
        <v>202509060245</v>
      </c>
      <c r="O204" s="48">
        <v>45895</v>
      </c>
    </row>
    <row r="205" spans="1:15" x14ac:dyDescent="0.4">
      <c r="A205" s="36">
        <v>1603</v>
      </c>
      <c r="B205" s="12" t="s">
        <v>1655</v>
      </c>
      <c r="C205" s="43">
        <v>45690</v>
      </c>
      <c r="D205" s="14" t="s">
        <v>509</v>
      </c>
      <c r="E205" s="13" t="s">
        <v>1656</v>
      </c>
      <c r="F205" s="14" t="s">
        <v>55</v>
      </c>
      <c r="G205" s="12" t="s">
        <v>1657</v>
      </c>
      <c r="H205" s="12" t="s">
        <v>1658</v>
      </c>
      <c r="I205" s="12" t="s">
        <v>1659</v>
      </c>
      <c r="J205" s="23">
        <v>45919</v>
      </c>
      <c r="K205" s="14" t="s">
        <v>1660</v>
      </c>
      <c r="L205" s="14" t="s">
        <v>1661</v>
      </c>
      <c r="M205" s="14" t="s">
        <v>359</v>
      </c>
      <c r="N205" s="11">
        <v>202509050599</v>
      </c>
      <c r="O205" s="48">
        <v>45857</v>
      </c>
    </row>
    <row r="206" spans="1:15" ht="16.5" customHeight="1" thickBot="1" x14ac:dyDescent="0.45">
      <c r="A206" s="35">
        <v>1604</v>
      </c>
      <c r="B206" s="12" t="s">
        <v>1662</v>
      </c>
      <c r="C206" s="55">
        <v>45653</v>
      </c>
      <c r="D206" s="14" t="s">
        <v>402</v>
      </c>
      <c r="E206" s="13" t="s">
        <v>1663</v>
      </c>
      <c r="F206" s="14" t="s">
        <v>36</v>
      </c>
      <c r="G206" s="12" t="s">
        <v>1664</v>
      </c>
      <c r="H206" s="12" t="s">
        <v>1665</v>
      </c>
      <c r="I206" s="12" t="s">
        <v>1666</v>
      </c>
      <c r="J206" s="23">
        <v>45919</v>
      </c>
      <c r="K206" s="14" t="s">
        <v>1667</v>
      </c>
      <c r="L206" s="14" t="s">
        <v>1668</v>
      </c>
      <c r="M206" s="14" t="s">
        <v>1669</v>
      </c>
      <c r="N206" s="11">
        <v>202509053679</v>
      </c>
      <c r="O206" s="48">
        <v>45869</v>
      </c>
    </row>
    <row r="207" spans="1:15" ht="30" customHeight="1" x14ac:dyDescent="0.4">
      <c r="A207" s="36">
        <v>1605</v>
      </c>
      <c r="B207" s="12" t="s">
        <v>1670</v>
      </c>
      <c r="C207" s="43">
        <v>45787</v>
      </c>
      <c r="D207" s="14" t="s">
        <v>44</v>
      </c>
      <c r="E207" s="13" t="s">
        <v>1671</v>
      </c>
      <c r="F207" s="14" t="s">
        <v>36</v>
      </c>
      <c r="G207" s="12" t="s">
        <v>1672</v>
      </c>
      <c r="H207" s="12" t="s">
        <v>1673</v>
      </c>
      <c r="I207" s="12" t="s">
        <v>1674</v>
      </c>
      <c r="J207" s="23">
        <v>45919</v>
      </c>
      <c r="K207" s="14" t="s">
        <v>1675</v>
      </c>
      <c r="L207" s="14" t="s">
        <v>1676</v>
      </c>
      <c r="M207" s="14" t="s">
        <v>1677</v>
      </c>
      <c r="N207" s="11">
        <v>202509062325</v>
      </c>
      <c r="O207" s="48">
        <v>45903</v>
      </c>
    </row>
    <row r="208" spans="1:15" ht="30" customHeight="1" x14ac:dyDescent="0.4">
      <c r="A208" s="35">
        <v>1606</v>
      </c>
      <c r="B208" s="12" t="s">
        <v>1678</v>
      </c>
      <c r="C208" s="43">
        <v>45848</v>
      </c>
      <c r="D208" s="14" t="s">
        <v>547</v>
      </c>
      <c r="E208" s="15" t="s">
        <v>1679</v>
      </c>
      <c r="F208" s="14" t="s">
        <v>36</v>
      </c>
      <c r="G208" s="12" t="s">
        <v>1680</v>
      </c>
      <c r="H208" s="12" t="s">
        <v>1681</v>
      </c>
      <c r="I208" s="12" t="s">
        <v>1682</v>
      </c>
      <c r="J208" s="23">
        <v>45919</v>
      </c>
      <c r="K208" s="14" t="s">
        <v>1683</v>
      </c>
      <c r="L208" s="14" t="s">
        <v>1684</v>
      </c>
      <c r="M208" s="14" t="s">
        <v>1408</v>
      </c>
      <c r="N208" s="11">
        <v>202509065197</v>
      </c>
      <c r="O208" s="48">
        <v>45915</v>
      </c>
    </row>
    <row r="209" spans="1:15" ht="16.5" customHeight="1" thickBot="1" x14ac:dyDescent="0.45">
      <c r="A209" s="36">
        <v>1607</v>
      </c>
      <c r="B209" s="12" t="s">
        <v>1685</v>
      </c>
      <c r="C209" s="55">
        <v>45856</v>
      </c>
      <c r="D209" s="14" t="s">
        <v>402</v>
      </c>
      <c r="E209" s="13" t="s">
        <v>1686</v>
      </c>
      <c r="F209" s="14" t="s">
        <v>55</v>
      </c>
      <c r="G209" s="12" t="s">
        <v>1687</v>
      </c>
      <c r="H209" s="12" t="s">
        <v>1688</v>
      </c>
      <c r="I209" s="12" t="s">
        <v>1689</v>
      </c>
      <c r="J209" s="23">
        <v>45919</v>
      </c>
      <c r="K209" s="14" t="s">
        <v>1690</v>
      </c>
      <c r="L209" s="14" t="s">
        <v>1691</v>
      </c>
      <c r="M209" s="14" t="s">
        <v>1692</v>
      </c>
      <c r="N209" s="11">
        <v>202509064013</v>
      </c>
      <c r="O209" s="48">
        <v>45910</v>
      </c>
    </row>
    <row r="210" spans="1:15" ht="30" customHeight="1" x14ac:dyDescent="0.4">
      <c r="A210" s="35">
        <v>1608</v>
      </c>
      <c r="B210" s="12" t="s">
        <v>1693</v>
      </c>
      <c r="C210" s="43">
        <v>45705</v>
      </c>
      <c r="D210" s="14" t="s">
        <v>527</v>
      </c>
      <c r="E210" s="13" t="s">
        <v>1694</v>
      </c>
      <c r="F210" s="14" t="s">
        <v>55</v>
      </c>
      <c r="G210" s="12" t="s">
        <v>1695</v>
      </c>
      <c r="H210" s="12" t="s">
        <v>1696</v>
      </c>
      <c r="I210" s="12" t="s">
        <v>1697</v>
      </c>
      <c r="J210" s="23">
        <v>45919</v>
      </c>
      <c r="K210" s="14" t="s">
        <v>1698</v>
      </c>
      <c r="L210" s="14" t="s">
        <v>1699</v>
      </c>
      <c r="M210" s="14" t="s">
        <v>1143</v>
      </c>
      <c r="N210" s="11">
        <v>202509064554</v>
      </c>
      <c r="O210" s="48">
        <v>45912</v>
      </c>
    </row>
    <row r="211" spans="1:15" x14ac:dyDescent="0.4">
      <c r="A211" s="36">
        <v>1609</v>
      </c>
      <c r="B211" s="12" t="s">
        <v>1700</v>
      </c>
      <c r="C211" s="43">
        <v>45665</v>
      </c>
      <c r="D211" s="14" t="s">
        <v>904</v>
      </c>
      <c r="E211" s="13" t="s">
        <v>1701</v>
      </c>
      <c r="F211" s="14" t="s">
        <v>55</v>
      </c>
      <c r="G211" s="12" t="s">
        <v>1702</v>
      </c>
      <c r="H211" s="12" t="s">
        <v>1703</v>
      </c>
      <c r="I211" s="12" t="s">
        <v>1704</v>
      </c>
      <c r="J211" s="23">
        <v>45919</v>
      </c>
      <c r="K211" s="14" t="s">
        <v>1705</v>
      </c>
      <c r="L211" s="14" t="s">
        <v>1706</v>
      </c>
      <c r="M211" s="14" t="s">
        <v>235</v>
      </c>
      <c r="N211" s="11">
        <v>202509048195</v>
      </c>
      <c r="O211" s="48">
        <v>45848</v>
      </c>
    </row>
    <row r="212" spans="1:15" x14ac:dyDescent="0.4">
      <c r="A212" s="35">
        <v>1610</v>
      </c>
      <c r="B212" s="12" t="s">
        <v>1707</v>
      </c>
      <c r="C212" s="43">
        <v>45833</v>
      </c>
      <c r="D212" s="14" t="s">
        <v>509</v>
      </c>
      <c r="E212" s="13" t="s">
        <v>1708</v>
      </c>
      <c r="F212" s="14" t="s">
        <v>55</v>
      </c>
      <c r="G212" s="12" t="s">
        <v>1709</v>
      </c>
      <c r="H212" s="12" t="s">
        <v>1710</v>
      </c>
      <c r="I212" s="12" t="s">
        <v>1711</v>
      </c>
      <c r="J212" s="23">
        <v>45919</v>
      </c>
      <c r="K212" s="14" t="s">
        <v>1712</v>
      </c>
      <c r="L212" s="14" t="s">
        <v>1713</v>
      </c>
      <c r="M212" s="14" t="s">
        <v>1714</v>
      </c>
      <c r="N212" s="11">
        <v>202509065064</v>
      </c>
      <c r="O212" s="48">
        <v>45914</v>
      </c>
    </row>
    <row r="213" spans="1:15" ht="30" customHeight="1" x14ac:dyDescent="0.4">
      <c r="A213" s="36">
        <v>1611</v>
      </c>
      <c r="B213" s="12" t="s">
        <v>1715</v>
      </c>
      <c r="C213" s="43">
        <v>45873</v>
      </c>
      <c r="D213" s="14" t="s">
        <v>452</v>
      </c>
      <c r="E213" s="13" t="s">
        <v>1716</v>
      </c>
      <c r="F213" s="14" t="s">
        <v>55</v>
      </c>
      <c r="G213" s="12" t="s">
        <v>1717</v>
      </c>
      <c r="H213" s="12" t="s">
        <v>1718</v>
      </c>
      <c r="I213" s="12" t="s">
        <v>1719</v>
      </c>
      <c r="J213" s="23">
        <v>45919</v>
      </c>
      <c r="K213" s="14" t="s">
        <v>1720</v>
      </c>
      <c r="L213" s="14" t="s">
        <v>1721</v>
      </c>
      <c r="M213" s="14" t="s">
        <v>1722</v>
      </c>
      <c r="N213" s="11">
        <v>202509064051</v>
      </c>
      <c r="O213" s="48">
        <v>45910</v>
      </c>
    </row>
    <row r="214" spans="1:15" x14ac:dyDescent="0.4">
      <c r="A214" s="35">
        <v>1612</v>
      </c>
      <c r="B214" s="12" t="s">
        <v>1723</v>
      </c>
      <c r="C214" s="43">
        <v>45866</v>
      </c>
      <c r="D214" s="14" t="s">
        <v>452</v>
      </c>
      <c r="E214" s="13" t="s">
        <v>1724</v>
      </c>
      <c r="F214" s="14" t="s">
        <v>55</v>
      </c>
      <c r="G214" s="12" t="s">
        <v>1725</v>
      </c>
      <c r="H214" s="12" t="s">
        <v>1726</v>
      </c>
      <c r="I214" s="12" t="s">
        <v>1727</v>
      </c>
      <c r="J214" s="23">
        <v>45919</v>
      </c>
      <c r="K214" s="14" t="s">
        <v>1728</v>
      </c>
      <c r="L214" s="14" t="s">
        <v>1729</v>
      </c>
      <c r="M214" s="14" t="s">
        <v>943</v>
      </c>
      <c r="N214" s="11">
        <v>202509063643</v>
      </c>
      <c r="O214" s="48">
        <v>45909</v>
      </c>
    </row>
    <row r="215" spans="1:15" ht="45" customHeight="1" x14ac:dyDescent="0.4">
      <c r="A215" s="36">
        <v>1613</v>
      </c>
      <c r="B215" s="12" t="s">
        <v>1730</v>
      </c>
      <c r="C215" s="43">
        <v>45888</v>
      </c>
      <c r="D215" s="12" t="s">
        <v>144</v>
      </c>
      <c r="E215" s="13" t="s">
        <v>1731</v>
      </c>
      <c r="F215" s="14" t="s">
        <v>36</v>
      </c>
      <c r="G215" s="12" t="s">
        <v>1732</v>
      </c>
      <c r="H215" s="12" t="s">
        <v>1733</v>
      </c>
      <c r="I215" s="12" t="s">
        <v>1734</v>
      </c>
      <c r="J215" s="23">
        <v>45919</v>
      </c>
      <c r="K215" s="14" t="s">
        <v>1735</v>
      </c>
      <c r="L215" s="14" t="s">
        <v>391</v>
      </c>
      <c r="M215" s="14" t="s">
        <v>392</v>
      </c>
      <c r="N215" s="11">
        <v>202509064552</v>
      </c>
      <c r="O215" s="48">
        <v>45912</v>
      </c>
    </row>
    <row r="216" spans="1:15" x14ac:dyDescent="0.4">
      <c r="A216" s="35">
        <v>1614</v>
      </c>
      <c r="B216" s="12" t="s">
        <v>1736</v>
      </c>
      <c r="C216" s="43">
        <v>45679</v>
      </c>
      <c r="D216" s="14" t="s">
        <v>1737</v>
      </c>
      <c r="E216" s="13" t="s">
        <v>1738</v>
      </c>
      <c r="F216" s="14" t="s">
        <v>36</v>
      </c>
      <c r="G216" s="12" t="s">
        <v>1739</v>
      </c>
      <c r="H216" s="12" t="s">
        <v>1740</v>
      </c>
      <c r="I216" s="12" t="s">
        <v>1741</v>
      </c>
      <c r="J216" s="23">
        <v>45919</v>
      </c>
      <c r="K216" s="14" t="s">
        <v>1742</v>
      </c>
      <c r="L216" s="14" t="s">
        <v>1743</v>
      </c>
      <c r="M216" s="14" t="s">
        <v>1372</v>
      </c>
      <c r="N216" s="11">
        <v>202509049349</v>
      </c>
      <c r="O216" s="48">
        <v>45853</v>
      </c>
    </row>
    <row r="217" spans="1:15" x14ac:dyDescent="0.4">
      <c r="A217" s="36">
        <v>1615</v>
      </c>
      <c r="B217" s="12" t="s">
        <v>1744</v>
      </c>
      <c r="C217" s="43">
        <v>45741</v>
      </c>
      <c r="D217" s="14" t="s">
        <v>1218</v>
      </c>
      <c r="E217" s="13" t="s">
        <v>1745</v>
      </c>
      <c r="F217" s="14" t="s">
        <v>55</v>
      </c>
      <c r="G217" s="12" t="s">
        <v>1746</v>
      </c>
      <c r="H217" s="12" t="s">
        <v>1747</v>
      </c>
      <c r="I217" s="12" t="s">
        <v>1748</v>
      </c>
      <c r="J217" s="23">
        <v>45922</v>
      </c>
      <c r="K217" s="14" t="s">
        <v>1749</v>
      </c>
      <c r="L217" s="14" t="s">
        <v>1750</v>
      </c>
      <c r="M217" s="14" t="s">
        <v>1751</v>
      </c>
      <c r="N217" s="11">
        <v>202509046928</v>
      </c>
      <c r="O217" s="48">
        <v>45844</v>
      </c>
    </row>
    <row r="218" spans="1:15" ht="30.75" customHeight="1" thickBot="1" x14ac:dyDescent="0.45">
      <c r="A218" s="35">
        <v>1616</v>
      </c>
      <c r="B218" s="12" t="s">
        <v>1752</v>
      </c>
      <c r="C218" s="55">
        <v>45828</v>
      </c>
      <c r="D218" s="14" t="s">
        <v>1737</v>
      </c>
      <c r="E218" s="13" t="s">
        <v>1753</v>
      </c>
      <c r="F218" s="14" t="s">
        <v>55</v>
      </c>
      <c r="G218" s="12" t="s">
        <v>1754</v>
      </c>
      <c r="H218" s="12" t="s">
        <v>1755</v>
      </c>
      <c r="I218" s="12" t="s">
        <v>1756</v>
      </c>
      <c r="J218" s="23">
        <v>45922</v>
      </c>
      <c r="K218" s="14" t="s">
        <v>1757</v>
      </c>
      <c r="L218" s="14" t="s">
        <v>1758</v>
      </c>
      <c r="M218" s="14" t="s">
        <v>1759</v>
      </c>
      <c r="N218" s="11">
        <v>202509063986</v>
      </c>
      <c r="O218" s="48">
        <v>45910</v>
      </c>
    </row>
    <row r="219" spans="1:15" x14ac:dyDescent="0.4">
      <c r="A219" s="36">
        <v>1617</v>
      </c>
      <c r="B219" s="12" t="s">
        <v>1760</v>
      </c>
      <c r="C219" s="43">
        <v>45560</v>
      </c>
      <c r="D219" s="14" t="s">
        <v>509</v>
      </c>
      <c r="E219" s="13" t="s">
        <v>1761</v>
      </c>
      <c r="F219" s="14" t="s">
        <v>55</v>
      </c>
      <c r="G219" s="12" t="s">
        <v>1762</v>
      </c>
      <c r="H219" s="12" t="s">
        <v>1763</v>
      </c>
      <c r="I219" s="12" t="s">
        <v>1764</v>
      </c>
      <c r="J219" s="23">
        <v>45922</v>
      </c>
      <c r="K219" s="14" t="s">
        <v>1765</v>
      </c>
      <c r="L219" s="14" t="s">
        <v>123</v>
      </c>
      <c r="M219" s="14" t="s">
        <v>1766</v>
      </c>
      <c r="N219" s="11">
        <v>202509063492</v>
      </c>
      <c r="O219" s="48">
        <v>45909</v>
      </c>
    </row>
    <row r="220" spans="1:15" x14ac:dyDescent="0.4">
      <c r="A220" s="35">
        <v>1618</v>
      </c>
      <c r="B220" s="12" t="s">
        <v>1767</v>
      </c>
      <c r="C220" s="43">
        <v>45763</v>
      </c>
      <c r="D220" s="14" t="s">
        <v>1768</v>
      </c>
      <c r="E220" s="13" t="s">
        <v>1769</v>
      </c>
      <c r="F220" s="14" t="s">
        <v>36</v>
      </c>
      <c r="G220" s="12" t="s">
        <v>1770</v>
      </c>
      <c r="H220" s="12" t="s">
        <v>1382</v>
      </c>
      <c r="I220" s="12" t="s">
        <v>1771</v>
      </c>
      <c r="J220" s="23">
        <v>45922</v>
      </c>
      <c r="K220" s="14" t="s">
        <v>1772</v>
      </c>
      <c r="L220" s="14" t="s">
        <v>1773</v>
      </c>
      <c r="M220" s="14" t="s">
        <v>177</v>
      </c>
      <c r="N220" s="11">
        <v>202509062832</v>
      </c>
      <c r="O220" s="48">
        <v>45905</v>
      </c>
    </row>
    <row r="221" spans="1:15" ht="30" customHeight="1" x14ac:dyDescent="0.4">
      <c r="A221" s="36">
        <v>1619</v>
      </c>
      <c r="B221" s="12" t="s">
        <v>1774</v>
      </c>
      <c r="C221" s="43">
        <v>45877</v>
      </c>
      <c r="D221" s="14" t="s">
        <v>536</v>
      </c>
      <c r="E221" s="13" t="s">
        <v>1775</v>
      </c>
      <c r="F221" s="14" t="s">
        <v>36</v>
      </c>
      <c r="G221" s="12" t="s">
        <v>1776</v>
      </c>
      <c r="H221" s="12" t="s">
        <v>1777</v>
      </c>
      <c r="I221" s="12" t="s">
        <v>1778</v>
      </c>
      <c r="J221" s="23">
        <v>45922</v>
      </c>
      <c r="K221" s="14" t="s">
        <v>1779</v>
      </c>
      <c r="L221" s="14" t="s">
        <v>1780</v>
      </c>
      <c r="M221" s="14" t="s">
        <v>1781</v>
      </c>
      <c r="N221" s="11">
        <v>202509063575</v>
      </c>
      <c r="O221" s="48">
        <v>45909</v>
      </c>
    </row>
    <row r="222" spans="1:15" ht="30" customHeight="1" x14ac:dyDescent="0.4">
      <c r="A222" s="35">
        <v>1620</v>
      </c>
      <c r="B222" s="12" t="s">
        <v>1782</v>
      </c>
      <c r="C222" s="43">
        <v>45867</v>
      </c>
      <c r="D222" s="14" t="s">
        <v>509</v>
      </c>
      <c r="E222" s="13" t="s">
        <v>1783</v>
      </c>
      <c r="F222" s="14" t="s">
        <v>55</v>
      </c>
      <c r="G222" s="12" t="s">
        <v>1784</v>
      </c>
      <c r="H222" s="12" t="s">
        <v>1785</v>
      </c>
      <c r="I222" s="12" t="s">
        <v>1786</v>
      </c>
      <c r="J222" s="23">
        <v>45922</v>
      </c>
      <c r="K222" s="14" t="s">
        <v>1787</v>
      </c>
      <c r="L222" s="14" t="s">
        <v>1788</v>
      </c>
      <c r="M222" s="14" t="s">
        <v>1789</v>
      </c>
      <c r="N222" s="11">
        <v>202509060380</v>
      </c>
      <c r="O222" s="48">
        <v>45895</v>
      </c>
    </row>
    <row r="223" spans="1:15" x14ac:dyDescent="0.4">
      <c r="A223" s="36">
        <v>1621</v>
      </c>
      <c r="B223" s="12" t="s">
        <v>1790</v>
      </c>
      <c r="C223" s="43">
        <v>45863</v>
      </c>
      <c r="D223" s="14" t="s">
        <v>547</v>
      </c>
      <c r="E223" s="13" t="s">
        <v>1791</v>
      </c>
      <c r="F223" s="14" t="s">
        <v>36</v>
      </c>
      <c r="G223" s="12" t="s">
        <v>1792</v>
      </c>
      <c r="H223" s="12" t="s">
        <v>1793</v>
      </c>
      <c r="I223" s="12" t="s">
        <v>1794</v>
      </c>
      <c r="J223" s="23">
        <v>45922</v>
      </c>
      <c r="K223" s="14" t="s">
        <v>1795</v>
      </c>
      <c r="L223" s="14" t="s">
        <v>1796</v>
      </c>
      <c r="M223" s="14" t="s">
        <v>235</v>
      </c>
      <c r="N223" s="11">
        <v>202509060125</v>
      </c>
      <c r="O223" s="48">
        <v>45894</v>
      </c>
    </row>
    <row r="224" spans="1:15" x14ac:dyDescent="0.4">
      <c r="A224" s="35">
        <v>1622</v>
      </c>
      <c r="B224" s="12" t="s">
        <v>1797</v>
      </c>
      <c r="C224" s="43">
        <v>45889</v>
      </c>
      <c r="D224" s="14" t="s">
        <v>452</v>
      </c>
      <c r="E224" s="13" t="s">
        <v>1798</v>
      </c>
      <c r="F224" s="14" t="s">
        <v>36</v>
      </c>
      <c r="G224" s="12" t="s">
        <v>1799</v>
      </c>
      <c r="H224" s="12" t="s">
        <v>1800</v>
      </c>
      <c r="I224" s="12" t="s">
        <v>1801</v>
      </c>
      <c r="J224" s="23">
        <v>45922</v>
      </c>
      <c r="K224" s="14" t="s">
        <v>1802</v>
      </c>
      <c r="L224" s="14" t="s">
        <v>1803</v>
      </c>
      <c r="M224" s="14" t="s">
        <v>1804</v>
      </c>
      <c r="N224" s="11">
        <v>202509063502</v>
      </c>
      <c r="O224" s="48">
        <v>45909</v>
      </c>
    </row>
    <row r="225" spans="1:15" ht="30" customHeight="1" x14ac:dyDescent="0.4">
      <c r="A225" s="36">
        <v>1623</v>
      </c>
      <c r="B225" s="12" t="s">
        <v>1805</v>
      </c>
      <c r="C225" s="43">
        <v>45886</v>
      </c>
      <c r="D225" s="14" t="s">
        <v>1806</v>
      </c>
      <c r="E225" s="13" t="s">
        <v>1807</v>
      </c>
      <c r="F225" s="14" t="s">
        <v>55</v>
      </c>
      <c r="G225" s="12" t="s">
        <v>1808</v>
      </c>
      <c r="H225" s="12" t="s">
        <v>1809</v>
      </c>
      <c r="I225" s="12" t="s">
        <v>1810</v>
      </c>
      <c r="J225" s="23">
        <v>45922</v>
      </c>
      <c r="K225" s="14" t="s">
        <v>1811</v>
      </c>
      <c r="L225" s="14" t="s">
        <v>630</v>
      </c>
      <c r="M225" s="14" t="s">
        <v>631</v>
      </c>
      <c r="N225" s="11">
        <v>202509063932</v>
      </c>
      <c r="O225" s="48">
        <v>45910</v>
      </c>
    </row>
    <row r="226" spans="1:15" ht="30" customHeight="1" x14ac:dyDescent="0.4">
      <c r="A226" s="35">
        <v>1624</v>
      </c>
      <c r="B226" s="12" t="s">
        <v>1812</v>
      </c>
      <c r="C226" s="43">
        <v>45851</v>
      </c>
      <c r="D226" s="14" t="s">
        <v>527</v>
      </c>
      <c r="E226" s="13" t="s">
        <v>1813</v>
      </c>
      <c r="F226" s="14" t="s">
        <v>36</v>
      </c>
      <c r="G226" s="12" t="s">
        <v>1814</v>
      </c>
      <c r="H226" s="12" t="s">
        <v>1815</v>
      </c>
      <c r="I226" s="12" t="s">
        <v>1816</v>
      </c>
      <c r="J226" s="23">
        <v>45922</v>
      </c>
      <c r="K226" s="14" t="s">
        <v>1817</v>
      </c>
      <c r="L226" s="14" t="s">
        <v>1818</v>
      </c>
      <c r="M226" s="14" t="s">
        <v>1819</v>
      </c>
      <c r="N226" s="11">
        <v>202509064226</v>
      </c>
      <c r="O226" s="48">
        <v>45911</v>
      </c>
    </row>
    <row r="227" spans="1:15" x14ac:dyDescent="0.4">
      <c r="A227" s="36">
        <v>1625</v>
      </c>
      <c r="B227" s="12" t="s">
        <v>1820</v>
      </c>
      <c r="C227" s="43">
        <v>45839</v>
      </c>
      <c r="D227" s="14" t="s">
        <v>44</v>
      </c>
      <c r="E227" s="13" t="s">
        <v>1821</v>
      </c>
      <c r="F227" s="14" t="s">
        <v>55</v>
      </c>
      <c r="G227" s="12" t="s">
        <v>1822</v>
      </c>
      <c r="H227" s="12" t="s">
        <v>1075</v>
      </c>
      <c r="I227" s="12" t="s">
        <v>1823</v>
      </c>
      <c r="J227" s="23">
        <v>45922</v>
      </c>
      <c r="K227" s="14" t="s">
        <v>1824</v>
      </c>
      <c r="L227" s="14" t="s">
        <v>1825</v>
      </c>
      <c r="M227" s="14" t="s">
        <v>1826</v>
      </c>
      <c r="N227" s="11">
        <v>202509058284</v>
      </c>
      <c r="O227" s="48">
        <v>45888</v>
      </c>
    </row>
    <row r="228" spans="1:15" x14ac:dyDescent="0.4">
      <c r="A228" s="35">
        <v>1626</v>
      </c>
      <c r="B228" s="12" t="s">
        <v>1827</v>
      </c>
      <c r="C228" s="43">
        <v>45715</v>
      </c>
      <c r="D228" s="14" t="s">
        <v>44</v>
      </c>
      <c r="E228" s="13" t="s">
        <v>1828</v>
      </c>
      <c r="F228" s="14" t="s">
        <v>55</v>
      </c>
      <c r="G228" s="12" t="s">
        <v>1829</v>
      </c>
      <c r="H228" s="12" t="s">
        <v>1830</v>
      </c>
      <c r="I228" s="12" t="s">
        <v>1831</v>
      </c>
      <c r="J228" s="23">
        <v>45922</v>
      </c>
      <c r="K228" s="14" t="s">
        <v>1832</v>
      </c>
      <c r="L228" s="14" t="s">
        <v>1833</v>
      </c>
      <c r="M228" s="14" t="s">
        <v>1834</v>
      </c>
      <c r="N228" s="11">
        <v>202509058730</v>
      </c>
      <c r="O228" s="48">
        <v>45889</v>
      </c>
    </row>
    <row r="229" spans="1:15" ht="30" customHeight="1" x14ac:dyDescent="0.4">
      <c r="A229" s="36">
        <v>1627</v>
      </c>
      <c r="B229" s="12" t="s">
        <v>1835</v>
      </c>
      <c r="C229" s="43">
        <v>45814</v>
      </c>
      <c r="D229" s="14" t="s">
        <v>536</v>
      </c>
      <c r="E229" s="13" t="s">
        <v>1836</v>
      </c>
      <c r="F229" s="14" t="s">
        <v>55</v>
      </c>
      <c r="G229" s="12" t="s">
        <v>1837</v>
      </c>
      <c r="H229" s="12" t="s">
        <v>1838</v>
      </c>
      <c r="I229" s="12" t="s">
        <v>1839</v>
      </c>
      <c r="J229" s="23">
        <v>45922</v>
      </c>
      <c r="K229" s="14" t="s">
        <v>1840</v>
      </c>
      <c r="L229" s="14" t="s">
        <v>1841</v>
      </c>
      <c r="M229" s="14" t="s">
        <v>1842</v>
      </c>
      <c r="N229" s="11">
        <v>202509062275</v>
      </c>
      <c r="O229" s="48">
        <v>45903</v>
      </c>
    </row>
    <row r="230" spans="1:15" ht="30" customHeight="1" x14ac:dyDescent="0.4">
      <c r="A230" s="35">
        <v>1628</v>
      </c>
      <c r="B230" s="12" t="s">
        <v>1843</v>
      </c>
      <c r="C230" s="43">
        <v>45637</v>
      </c>
      <c r="D230" s="14" t="s">
        <v>536</v>
      </c>
      <c r="E230" s="13" t="s">
        <v>1844</v>
      </c>
      <c r="F230" s="14" t="s">
        <v>36</v>
      </c>
      <c r="G230" s="12" t="s">
        <v>1845</v>
      </c>
      <c r="H230" s="12" t="s">
        <v>1846</v>
      </c>
      <c r="I230" s="12" t="s">
        <v>1847</v>
      </c>
      <c r="J230" s="23">
        <v>45922</v>
      </c>
      <c r="K230" s="14" t="s">
        <v>1848</v>
      </c>
      <c r="L230" s="14" t="s">
        <v>1849</v>
      </c>
      <c r="M230" s="14" t="s">
        <v>1850</v>
      </c>
      <c r="N230" s="11">
        <v>202509065490</v>
      </c>
      <c r="O230" s="48">
        <v>45916</v>
      </c>
    </row>
    <row r="231" spans="1:15" ht="30" customHeight="1" x14ac:dyDescent="0.4">
      <c r="A231" s="36">
        <v>1629</v>
      </c>
      <c r="B231" s="12" t="s">
        <v>1851</v>
      </c>
      <c r="C231" s="43">
        <v>45811</v>
      </c>
      <c r="D231" s="14" t="s">
        <v>509</v>
      </c>
      <c r="E231" s="13" t="s">
        <v>1852</v>
      </c>
      <c r="F231" s="14" t="s">
        <v>55</v>
      </c>
      <c r="G231" s="12" t="s">
        <v>1853</v>
      </c>
      <c r="H231" s="12" t="s">
        <v>1854</v>
      </c>
      <c r="I231" s="12" t="s">
        <v>1855</v>
      </c>
      <c r="J231" s="23">
        <v>45922</v>
      </c>
      <c r="K231" s="14" t="s">
        <v>1856</v>
      </c>
      <c r="L231" s="14" t="s">
        <v>1857</v>
      </c>
      <c r="M231" s="14" t="s">
        <v>151</v>
      </c>
      <c r="N231" s="11">
        <v>202509053753</v>
      </c>
      <c r="O231" s="48">
        <v>45869</v>
      </c>
    </row>
    <row r="232" spans="1:15" x14ac:dyDescent="0.4">
      <c r="A232" s="35">
        <v>1630</v>
      </c>
      <c r="B232" s="12" t="s">
        <v>1858</v>
      </c>
      <c r="C232" s="43">
        <v>45554</v>
      </c>
      <c r="D232" s="14" t="s">
        <v>547</v>
      </c>
      <c r="E232" s="13" t="s">
        <v>1859</v>
      </c>
      <c r="F232" s="14" t="s">
        <v>55</v>
      </c>
      <c r="G232" s="12" t="s">
        <v>856</v>
      </c>
      <c r="H232" s="12" t="s">
        <v>1860</v>
      </c>
      <c r="I232" s="12" t="s">
        <v>1861</v>
      </c>
      <c r="J232" s="23">
        <v>45922</v>
      </c>
      <c r="K232" s="14" t="s">
        <v>1862</v>
      </c>
      <c r="L232" s="14" t="s">
        <v>1863</v>
      </c>
      <c r="M232" s="14" t="s">
        <v>235</v>
      </c>
      <c r="N232" s="11">
        <v>202509054843</v>
      </c>
      <c r="O232" s="48">
        <v>45874</v>
      </c>
    </row>
    <row r="233" spans="1:15" x14ac:dyDescent="0.4">
      <c r="A233" s="36">
        <v>1631</v>
      </c>
      <c r="B233" s="12" t="s">
        <v>1864</v>
      </c>
      <c r="C233" s="43">
        <v>45840</v>
      </c>
      <c r="D233" s="14" t="s">
        <v>509</v>
      </c>
      <c r="E233" s="13" t="s">
        <v>1865</v>
      </c>
      <c r="F233" s="14" t="s">
        <v>36</v>
      </c>
      <c r="G233" s="12" t="s">
        <v>1866</v>
      </c>
      <c r="H233" s="12" t="s">
        <v>1867</v>
      </c>
      <c r="I233" s="12" t="s">
        <v>1868</v>
      </c>
      <c r="J233" s="23">
        <v>45922</v>
      </c>
      <c r="K233" s="14" t="s">
        <v>1869</v>
      </c>
      <c r="L233" s="14" t="s">
        <v>1870</v>
      </c>
      <c r="M233" s="14" t="s">
        <v>235</v>
      </c>
      <c r="N233" s="11">
        <v>202509063588</v>
      </c>
      <c r="O233" s="48">
        <v>45909</v>
      </c>
    </row>
    <row r="234" spans="1:15" x14ac:dyDescent="0.4">
      <c r="A234" s="35">
        <v>1632</v>
      </c>
      <c r="B234" s="12" t="s">
        <v>1234</v>
      </c>
      <c r="C234" s="43">
        <v>45630</v>
      </c>
      <c r="D234" s="14" t="s">
        <v>536</v>
      </c>
      <c r="E234" s="13" t="s">
        <v>1871</v>
      </c>
      <c r="F234" s="14" t="s">
        <v>36</v>
      </c>
      <c r="G234" s="12" t="s">
        <v>1872</v>
      </c>
      <c r="H234" s="12" t="s">
        <v>1873</v>
      </c>
      <c r="I234" s="12" t="s">
        <v>1874</v>
      </c>
      <c r="J234" s="23">
        <v>45922</v>
      </c>
      <c r="K234" s="14" t="s">
        <v>158</v>
      </c>
      <c r="L234" s="14" t="s">
        <v>1875</v>
      </c>
      <c r="M234" s="14" t="s">
        <v>1876</v>
      </c>
      <c r="N234" s="11">
        <v>202509062175</v>
      </c>
      <c r="O234" s="48">
        <v>45902</v>
      </c>
    </row>
    <row r="235" spans="1:15" ht="30" customHeight="1" x14ac:dyDescent="0.4">
      <c r="A235" s="36">
        <v>1633</v>
      </c>
      <c r="B235" s="12" t="s">
        <v>1877</v>
      </c>
      <c r="C235" s="43">
        <v>45622</v>
      </c>
      <c r="D235" s="14" t="s">
        <v>1294</v>
      </c>
      <c r="E235" s="13" t="s">
        <v>1878</v>
      </c>
      <c r="F235" s="14" t="s">
        <v>55</v>
      </c>
      <c r="G235" s="12" t="s">
        <v>1879</v>
      </c>
      <c r="H235" s="12" t="s">
        <v>1880</v>
      </c>
      <c r="I235" s="12" t="s">
        <v>1881</v>
      </c>
      <c r="J235" s="23">
        <v>45922</v>
      </c>
      <c r="K235" s="14" t="s">
        <v>1882</v>
      </c>
      <c r="L235" s="14" t="s">
        <v>1883</v>
      </c>
      <c r="M235" s="14" t="s">
        <v>1884</v>
      </c>
      <c r="N235" s="11">
        <v>202509052663</v>
      </c>
      <c r="O235" s="48">
        <v>45866</v>
      </c>
    </row>
    <row r="236" spans="1:15" x14ac:dyDescent="0.4">
      <c r="A236" s="35">
        <v>1634</v>
      </c>
      <c r="B236" s="12" t="s">
        <v>1885</v>
      </c>
      <c r="C236" s="43">
        <v>45620</v>
      </c>
      <c r="D236" s="14" t="s">
        <v>509</v>
      </c>
      <c r="E236" s="13" t="s">
        <v>1886</v>
      </c>
      <c r="F236" s="14" t="s">
        <v>55</v>
      </c>
      <c r="G236" s="12" t="s">
        <v>1887</v>
      </c>
      <c r="H236" s="12" t="s">
        <v>1888</v>
      </c>
      <c r="I236" s="12" t="s">
        <v>1889</v>
      </c>
      <c r="J236" s="23">
        <v>45924</v>
      </c>
      <c r="K236" s="14" t="s">
        <v>1890</v>
      </c>
      <c r="L236" s="14" t="s">
        <v>1891</v>
      </c>
      <c r="M236" s="14" t="s">
        <v>1892</v>
      </c>
      <c r="N236" s="11">
        <v>202509055803</v>
      </c>
      <c r="O236" s="48">
        <v>45877</v>
      </c>
    </row>
    <row r="237" spans="1:15" x14ac:dyDescent="0.4">
      <c r="A237" s="36">
        <v>1635</v>
      </c>
      <c r="B237" s="12" t="s">
        <v>1893</v>
      </c>
      <c r="C237" s="43">
        <v>45661</v>
      </c>
      <c r="D237" s="14" t="s">
        <v>509</v>
      </c>
      <c r="E237" s="13" t="s">
        <v>1894</v>
      </c>
      <c r="F237" s="14" t="s">
        <v>36</v>
      </c>
      <c r="G237" s="12" t="s">
        <v>1895</v>
      </c>
      <c r="H237" s="12" t="s">
        <v>1896</v>
      </c>
      <c r="I237" s="12" t="s">
        <v>1897</v>
      </c>
      <c r="J237" s="23">
        <v>45925</v>
      </c>
      <c r="K237" s="14" t="s">
        <v>1898</v>
      </c>
      <c r="L237" s="14" t="s">
        <v>1899</v>
      </c>
      <c r="M237" s="14" t="s">
        <v>310</v>
      </c>
      <c r="N237" s="11">
        <v>202509063484</v>
      </c>
      <c r="O237" s="48">
        <v>45971</v>
      </c>
    </row>
    <row r="238" spans="1:15" x14ac:dyDescent="0.4">
      <c r="A238" s="35">
        <v>1636</v>
      </c>
      <c r="B238" s="12" t="s">
        <v>1900</v>
      </c>
      <c r="C238" s="43">
        <v>45849</v>
      </c>
      <c r="D238" s="14" t="s">
        <v>509</v>
      </c>
      <c r="E238" s="13" t="s">
        <v>1901</v>
      </c>
      <c r="F238" s="14" t="s">
        <v>36</v>
      </c>
      <c r="G238" s="12" t="s">
        <v>1902</v>
      </c>
      <c r="H238" s="12" t="s">
        <v>1903</v>
      </c>
      <c r="I238" s="12" t="s">
        <v>1904</v>
      </c>
      <c r="J238" s="23">
        <v>45925</v>
      </c>
      <c r="K238" s="14" t="s">
        <v>1905</v>
      </c>
      <c r="L238" s="14" t="s">
        <v>1906</v>
      </c>
      <c r="M238" s="14" t="s">
        <v>1580</v>
      </c>
      <c r="N238" s="11">
        <v>202509057657</v>
      </c>
      <c r="O238" s="48">
        <v>45885</v>
      </c>
    </row>
    <row r="239" spans="1:15" x14ac:dyDescent="0.4">
      <c r="A239" s="36">
        <v>1637</v>
      </c>
      <c r="B239" s="3" t="s">
        <v>1907</v>
      </c>
      <c r="C239" s="45">
        <v>45839</v>
      </c>
      <c r="D239" s="1" t="s">
        <v>509</v>
      </c>
      <c r="E239" s="13" t="s">
        <v>1908</v>
      </c>
      <c r="F239" s="1" t="s">
        <v>36</v>
      </c>
      <c r="G239" s="3" t="s">
        <v>1909</v>
      </c>
      <c r="H239" s="3" t="s">
        <v>1910</v>
      </c>
      <c r="I239" s="3" t="s">
        <v>1911</v>
      </c>
      <c r="J239" s="23">
        <v>45925</v>
      </c>
      <c r="K239" s="1" t="s">
        <v>1912</v>
      </c>
      <c r="L239" s="1" t="s">
        <v>309</v>
      </c>
      <c r="M239" s="1" t="s">
        <v>310</v>
      </c>
      <c r="N239" s="2">
        <v>202509062238</v>
      </c>
      <c r="O239" s="47">
        <v>45903</v>
      </c>
    </row>
    <row r="240" spans="1:15" ht="30.75" customHeight="1" thickBot="1" x14ac:dyDescent="0.45">
      <c r="A240" s="35">
        <v>1638</v>
      </c>
      <c r="B240" s="3" t="s">
        <v>1913</v>
      </c>
      <c r="C240" s="56">
        <v>45859</v>
      </c>
      <c r="D240" s="1" t="s">
        <v>1914</v>
      </c>
      <c r="E240" s="13" t="s">
        <v>1915</v>
      </c>
      <c r="F240" s="1" t="s">
        <v>36</v>
      </c>
      <c r="G240" s="3" t="s">
        <v>1916</v>
      </c>
      <c r="H240" s="3" t="s">
        <v>1917</v>
      </c>
      <c r="I240" s="3" t="s">
        <v>1918</v>
      </c>
      <c r="J240" s="38">
        <v>45926</v>
      </c>
      <c r="K240" s="1" t="s">
        <v>1919</v>
      </c>
      <c r="L240" s="1" t="s">
        <v>1920</v>
      </c>
      <c r="M240" s="1" t="s">
        <v>1921</v>
      </c>
      <c r="N240" s="2">
        <v>202509064059</v>
      </c>
      <c r="O240" s="47">
        <v>45910</v>
      </c>
    </row>
    <row r="241" spans="1:15" x14ac:dyDescent="0.4">
      <c r="A241" s="36">
        <v>1639</v>
      </c>
      <c r="B241" s="3" t="s">
        <v>1922</v>
      </c>
      <c r="C241" s="45">
        <v>45888</v>
      </c>
      <c r="D241" s="1" t="s">
        <v>509</v>
      </c>
      <c r="E241" s="13" t="s">
        <v>1923</v>
      </c>
      <c r="F241" s="1" t="s">
        <v>36</v>
      </c>
      <c r="G241" s="3" t="s">
        <v>1924</v>
      </c>
      <c r="H241" s="3" t="s">
        <v>1925</v>
      </c>
      <c r="I241" s="3" t="s">
        <v>1926</v>
      </c>
      <c r="J241" s="38">
        <v>45926</v>
      </c>
      <c r="K241" s="1" t="s">
        <v>1927</v>
      </c>
      <c r="L241" s="1" t="s">
        <v>1928</v>
      </c>
      <c r="M241" s="1" t="s">
        <v>1929</v>
      </c>
      <c r="N241" s="2">
        <v>202509065506</v>
      </c>
      <c r="O241" s="47">
        <v>45916</v>
      </c>
    </row>
    <row r="242" spans="1:15" ht="30" customHeight="1" x14ac:dyDescent="0.4">
      <c r="A242" s="35">
        <v>1640</v>
      </c>
      <c r="B242" s="3" t="s">
        <v>1930</v>
      </c>
      <c r="C242" s="45">
        <v>45858</v>
      </c>
      <c r="D242" s="1" t="s">
        <v>1931</v>
      </c>
      <c r="E242" s="13" t="s">
        <v>1932</v>
      </c>
      <c r="F242" s="1" t="s">
        <v>36</v>
      </c>
      <c r="G242" s="3" t="s">
        <v>1933</v>
      </c>
      <c r="H242" s="3" t="s">
        <v>1934</v>
      </c>
      <c r="I242" s="3" t="s">
        <v>1935</v>
      </c>
      <c r="J242" s="38">
        <v>45926</v>
      </c>
      <c r="K242" s="1" t="s">
        <v>1936</v>
      </c>
      <c r="L242" s="1" t="s">
        <v>1937</v>
      </c>
      <c r="M242" s="1" t="s">
        <v>1938</v>
      </c>
      <c r="N242" s="2">
        <v>202509061741</v>
      </c>
      <c r="O242" s="47">
        <v>45901</v>
      </c>
    </row>
    <row r="243" spans="1:15" x14ac:dyDescent="0.4">
      <c r="A243" s="36">
        <v>1641</v>
      </c>
      <c r="B243" s="3" t="s">
        <v>1939</v>
      </c>
      <c r="C243" s="45">
        <v>45565</v>
      </c>
      <c r="D243" s="1" t="s">
        <v>44</v>
      </c>
      <c r="E243" s="13" t="s">
        <v>1940</v>
      </c>
      <c r="F243" s="1" t="s">
        <v>55</v>
      </c>
      <c r="G243" s="3" t="s">
        <v>1941</v>
      </c>
      <c r="H243" s="3" t="s">
        <v>1942</v>
      </c>
      <c r="I243" s="3" t="s">
        <v>1943</v>
      </c>
      <c r="J243" s="38">
        <v>45926</v>
      </c>
      <c r="K243" s="1" t="s">
        <v>1944</v>
      </c>
      <c r="L243" s="1" t="s">
        <v>1945</v>
      </c>
      <c r="M243" s="1" t="s">
        <v>1946</v>
      </c>
      <c r="N243" s="2">
        <v>202509060823</v>
      </c>
      <c r="O243" s="47">
        <v>45897</v>
      </c>
    </row>
    <row r="244" spans="1:15" ht="16.5" customHeight="1" thickBot="1" x14ac:dyDescent="0.45">
      <c r="A244" s="35">
        <v>1642</v>
      </c>
      <c r="B244" s="3" t="s">
        <v>1947</v>
      </c>
      <c r="C244" s="56">
        <v>45799</v>
      </c>
      <c r="D244" s="1" t="s">
        <v>44</v>
      </c>
      <c r="E244" s="13" t="s">
        <v>1948</v>
      </c>
      <c r="F244" s="1" t="s">
        <v>36</v>
      </c>
      <c r="G244" s="3" t="s">
        <v>1949</v>
      </c>
      <c r="H244" s="3" t="s">
        <v>1950</v>
      </c>
      <c r="I244" s="3" t="s">
        <v>1951</v>
      </c>
      <c r="J244" s="38">
        <v>45926</v>
      </c>
      <c r="K244" s="1" t="s">
        <v>1952</v>
      </c>
      <c r="L244" s="1" t="s">
        <v>1953</v>
      </c>
      <c r="M244" s="1" t="s">
        <v>235</v>
      </c>
      <c r="N244" s="2">
        <v>202509061315</v>
      </c>
      <c r="O244" s="47">
        <v>45899</v>
      </c>
    </row>
    <row r="245" spans="1:15" x14ac:dyDescent="0.4">
      <c r="A245" s="36">
        <v>1643</v>
      </c>
      <c r="B245" s="3" t="s">
        <v>1954</v>
      </c>
      <c r="C245" s="45">
        <v>45883</v>
      </c>
      <c r="D245" s="1" t="s">
        <v>402</v>
      </c>
      <c r="E245" s="13" t="s">
        <v>1955</v>
      </c>
      <c r="F245" s="1" t="s">
        <v>55</v>
      </c>
      <c r="G245" s="3" t="s">
        <v>1956</v>
      </c>
      <c r="H245" s="3" t="s">
        <v>1957</v>
      </c>
      <c r="I245" s="1" t="s">
        <v>1958</v>
      </c>
      <c r="J245" s="38">
        <v>45926</v>
      </c>
      <c r="K245" s="1" t="s">
        <v>1959</v>
      </c>
      <c r="L245" s="1" t="s">
        <v>1960</v>
      </c>
      <c r="M245" s="1" t="s">
        <v>1961</v>
      </c>
      <c r="N245" s="2">
        <v>202509065555</v>
      </c>
      <c r="O245" s="47">
        <v>45916</v>
      </c>
    </row>
    <row r="246" spans="1:15" x14ac:dyDescent="0.4">
      <c r="A246" s="35">
        <v>1644</v>
      </c>
      <c r="B246" s="3" t="s">
        <v>1962</v>
      </c>
      <c r="C246" s="45">
        <v>45793</v>
      </c>
      <c r="D246" s="1" t="s">
        <v>509</v>
      </c>
      <c r="E246" s="13" t="s">
        <v>1963</v>
      </c>
      <c r="F246" s="1" t="s">
        <v>55</v>
      </c>
      <c r="G246" s="3" t="s">
        <v>1964</v>
      </c>
      <c r="H246" s="3" t="s">
        <v>495</v>
      </c>
      <c r="I246" s="3" t="s">
        <v>1965</v>
      </c>
      <c r="J246" s="38">
        <v>45929</v>
      </c>
      <c r="K246" s="1" t="s">
        <v>1966</v>
      </c>
      <c r="L246" s="1" t="s">
        <v>1967</v>
      </c>
      <c r="M246" s="1" t="s">
        <v>1010</v>
      </c>
      <c r="N246" s="2">
        <v>202509063925</v>
      </c>
      <c r="O246" s="47">
        <v>45910</v>
      </c>
    </row>
    <row r="247" spans="1:15" x14ac:dyDescent="0.4">
      <c r="A247" s="36">
        <v>1645</v>
      </c>
      <c r="B247" s="3" t="s">
        <v>1968</v>
      </c>
      <c r="C247" s="45">
        <v>45619</v>
      </c>
      <c r="D247" s="1" t="s">
        <v>661</v>
      </c>
      <c r="E247" s="13" t="s">
        <v>1969</v>
      </c>
      <c r="F247" s="1" t="s">
        <v>36</v>
      </c>
      <c r="G247" s="3" t="s">
        <v>1970</v>
      </c>
      <c r="H247" s="3" t="s">
        <v>1971</v>
      </c>
      <c r="I247" s="3" t="s">
        <v>1972</v>
      </c>
      <c r="J247" s="38">
        <v>45929</v>
      </c>
      <c r="K247" s="1" t="s">
        <v>1973</v>
      </c>
      <c r="L247" s="1" t="s">
        <v>1974</v>
      </c>
      <c r="M247" s="1" t="s">
        <v>1975</v>
      </c>
      <c r="N247" s="2">
        <v>202509011065</v>
      </c>
      <c r="O247" s="47">
        <v>45702</v>
      </c>
    </row>
    <row r="248" spans="1:15" ht="30" customHeight="1" x14ac:dyDescent="0.4">
      <c r="A248" s="35">
        <v>1646</v>
      </c>
      <c r="B248" s="3" t="s">
        <v>1976</v>
      </c>
      <c r="C248" s="45">
        <v>45861</v>
      </c>
      <c r="D248" s="1" t="s">
        <v>1931</v>
      </c>
      <c r="E248" s="13" t="s">
        <v>1977</v>
      </c>
      <c r="F248" s="1" t="s">
        <v>55</v>
      </c>
      <c r="G248" s="3" t="s">
        <v>1978</v>
      </c>
      <c r="H248" s="3" t="s">
        <v>1979</v>
      </c>
      <c r="I248" s="3" t="s">
        <v>1980</v>
      </c>
      <c r="J248" s="38">
        <v>45929</v>
      </c>
      <c r="K248" s="1" t="s">
        <v>1981</v>
      </c>
      <c r="L248" s="1" t="s">
        <v>1982</v>
      </c>
      <c r="M248" s="1" t="s">
        <v>1983</v>
      </c>
      <c r="N248" s="2">
        <v>202509065795</v>
      </c>
      <c r="O248" s="47">
        <v>45917</v>
      </c>
    </row>
    <row r="249" spans="1:15" x14ac:dyDescent="0.4">
      <c r="A249" s="36">
        <v>1647</v>
      </c>
      <c r="B249" s="3" t="s">
        <v>1984</v>
      </c>
      <c r="C249" s="45">
        <v>45755</v>
      </c>
      <c r="D249" s="12" t="s">
        <v>34</v>
      </c>
      <c r="E249" s="13" t="s">
        <v>1985</v>
      </c>
      <c r="F249" s="1" t="s">
        <v>55</v>
      </c>
      <c r="G249" s="3" t="s">
        <v>1986</v>
      </c>
      <c r="H249" s="3" t="s">
        <v>1987</v>
      </c>
      <c r="I249" s="3" t="s">
        <v>1988</v>
      </c>
      <c r="J249" s="38">
        <v>45929</v>
      </c>
      <c r="K249" s="1" t="s">
        <v>1989</v>
      </c>
      <c r="L249" s="1" t="s">
        <v>382</v>
      </c>
      <c r="M249" s="1" t="s">
        <v>383</v>
      </c>
      <c r="N249" s="2">
        <v>202509060785</v>
      </c>
      <c r="O249" s="47">
        <v>45897</v>
      </c>
    </row>
    <row r="250" spans="1:15" ht="30" customHeight="1" x14ac:dyDescent="0.4">
      <c r="A250" s="35">
        <v>1648</v>
      </c>
      <c r="B250" s="3" t="s">
        <v>1990</v>
      </c>
      <c r="C250" s="45">
        <v>45886</v>
      </c>
      <c r="D250" s="1" t="s">
        <v>670</v>
      </c>
      <c r="E250" s="13" t="s">
        <v>1991</v>
      </c>
      <c r="F250" s="1" t="s">
        <v>55</v>
      </c>
      <c r="G250" s="3" t="s">
        <v>1992</v>
      </c>
      <c r="H250" s="3" t="s">
        <v>1993</v>
      </c>
      <c r="I250" s="3" t="s">
        <v>1994</v>
      </c>
      <c r="J250" s="38">
        <v>45929</v>
      </c>
      <c r="K250" s="1" t="s">
        <v>1995</v>
      </c>
      <c r="L250" s="1" t="s">
        <v>1996</v>
      </c>
      <c r="M250" s="1" t="s">
        <v>1997</v>
      </c>
      <c r="N250" s="2">
        <v>202509065672</v>
      </c>
      <c r="O250" s="47">
        <v>45916</v>
      </c>
    </row>
    <row r="251" spans="1:15" x14ac:dyDescent="0.4">
      <c r="A251" s="36">
        <v>1649</v>
      </c>
      <c r="B251" s="3" t="s">
        <v>1998</v>
      </c>
      <c r="C251" s="45">
        <v>45861</v>
      </c>
      <c r="D251" s="1" t="s">
        <v>509</v>
      </c>
      <c r="E251" s="13" t="s">
        <v>1999</v>
      </c>
      <c r="F251" s="1" t="s">
        <v>36</v>
      </c>
      <c r="G251" s="3" t="s">
        <v>2000</v>
      </c>
      <c r="H251" s="3" t="s">
        <v>2001</v>
      </c>
      <c r="I251" s="3" t="s">
        <v>2002</v>
      </c>
      <c r="J251" s="38">
        <v>45929</v>
      </c>
      <c r="K251" s="1" t="s">
        <v>2003</v>
      </c>
      <c r="L251" s="1" t="s">
        <v>2004</v>
      </c>
      <c r="M251" s="1" t="s">
        <v>2005</v>
      </c>
      <c r="N251" s="2">
        <v>202509065892</v>
      </c>
      <c r="O251" s="47">
        <v>45917</v>
      </c>
    </row>
    <row r="252" spans="1:15" x14ac:dyDescent="0.4">
      <c r="A252" s="35">
        <v>1650</v>
      </c>
      <c r="B252" s="3" t="s">
        <v>2006</v>
      </c>
      <c r="C252" s="45">
        <v>45763</v>
      </c>
      <c r="D252" s="1" t="s">
        <v>411</v>
      </c>
      <c r="E252" s="13" t="s">
        <v>2007</v>
      </c>
      <c r="F252" s="1" t="s">
        <v>55</v>
      </c>
      <c r="G252" s="3" t="s">
        <v>2008</v>
      </c>
      <c r="H252" s="3" t="s">
        <v>2009</v>
      </c>
      <c r="I252" s="3" t="s">
        <v>2010</v>
      </c>
      <c r="J252" s="38">
        <v>45929</v>
      </c>
      <c r="K252" s="1" t="s">
        <v>2011</v>
      </c>
      <c r="L252" s="1" t="s">
        <v>2012</v>
      </c>
      <c r="M252" s="1" t="s">
        <v>2013</v>
      </c>
      <c r="N252" s="2">
        <v>202509066141</v>
      </c>
      <c r="O252" s="47">
        <v>45918</v>
      </c>
    </row>
    <row r="253" spans="1:15" ht="30" customHeight="1" x14ac:dyDescent="0.4">
      <c r="A253" s="36">
        <v>1651</v>
      </c>
      <c r="B253" s="3" t="s">
        <v>2014</v>
      </c>
      <c r="C253" s="45">
        <v>45847</v>
      </c>
      <c r="D253" s="1" t="s">
        <v>670</v>
      </c>
      <c r="E253" s="13" t="s">
        <v>2015</v>
      </c>
      <c r="F253" s="1" t="s">
        <v>55</v>
      </c>
      <c r="G253" s="3" t="s">
        <v>2016</v>
      </c>
      <c r="H253" s="3" t="s">
        <v>2017</v>
      </c>
      <c r="I253" s="3" t="s">
        <v>2018</v>
      </c>
      <c r="J253" s="38">
        <v>45929</v>
      </c>
      <c r="K253" s="1" t="s">
        <v>2019</v>
      </c>
      <c r="L253" s="1" t="s">
        <v>2020</v>
      </c>
      <c r="M253" s="1" t="s">
        <v>2021</v>
      </c>
      <c r="N253" s="2">
        <v>202509061679</v>
      </c>
      <c r="O253" s="47">
        <v>45901</v>
      </c>
    </row>
    <row r="254" spans="1:15" x14ac:dyDescent="0.4">
      <c r="A254" s="35">
        <v>1652</v>
      </c>
      <c r="B254" s="3" t="s">
        <v>2022</v>
      </c>
      <c r="C254" s="45">
        <v>45871</v>
      </c>
      <c r="D254" s="1" t="s">
        <v>44</v>
      </c>
      <c r="E254" s="13" t="s">
        <v>2023</v>
      </c>
      <c r="F254" s="1" t="s">
        <v>36</v>
      </c>
      <c r="G254" s="3" t="s">
        <v>2024</v>
      </c>
      <c r="H254" s="3" t="s">
        <v>2025</v>
      </c>
      <c r="I254" s="3" t="s">
        <v>2026</v>
      </c>
      <c r="J254" s="38">
        <v>45929</v>
      </c>
      <c r="K254" s="1" t="s">
        <v>2027</v>
      </c>
      <c r="L254" s="1" t="s">
        <v>2028</v>
      </c>
      <c r="M254" s="1" t="s">
        <v>2029</v>
      </c>
      <c r="N254" s="2">
        <v>202509059231</v>
      </c>
      <c r="O254" s="47">
        <v>45891</v>
      </c>
    </row>
    <row r="255" spans="1:15" x14ac:dyDescent="0.4">
      <c r="A255" s="36">
        <v>1653</v>
      </c>
      <c r="B255" s="3" t="s">
        <v>2030</v>
      </c>
      <c r="C255" s="45">
        <v>45868</v>
      </c>
      <c r="D255" s="1" t="s">
        <v>661</v>
      </c>
      <c r="E255" s="13" t="s">
        <v>2031</v>
      </c>
      <c r="F255" s="1" t="s">
        <v>36</v>
      </c>
      <c r="G255" s="3" t="s">
        <v>2032</v>
      </c>
      <c r="H255" s="3" t="s">
        <v>2033</v>
      </c>
      <c r="I255" s="3" t="s">
        <v>2034</v>
      </c>
      <c r="J255" s="38">
        <v>45929</v>
      </c>
      <c r="K255" s="1" t="s">
        <v>2035</v>
      </c>
      <c r="L255" s="1" t="s">
        <v>2036</v>
      </c>
      <c r="M255" s="1" t="s">
        <v>160</v>
      </c>
      <c r="N255" s="2">
        <v>202509063817</v>
      </c>
      <c r="O255" s="47">
        <v>45909</v>
      </c>
    </row>
    <row r="256" spans="1:15" x14ac:dyDescent="0.4">
      <c r="A256" s="35">
        <v>1654</v>
      </c>
      <c r="B256" s="3" t="s">
        <v>2037</v>
      </c>
      <c r="C256" s="45">
        <v>45846</v>
      </c>
      <c r="D256" s="1" t="s">
        <v>1931</v>
      </c>
      <c r="E256" s="13" t="s">
        <v>2038</v>
      </c>
      <c r="F256" s="1" t="s">
        <v>55</v>
      </c>
      <c r="G256" s="3" t="s">
        <v>2039</v>
      </c>
      <c r="H256" s="3" t="s">
        <v>2040</v>
      </c>
      <c r="I256" s="3" t="s">
        <v>2041</v>
      </c>
      <c r="J256" s="38">
        <v>45929</v>
      </c>
      <c r="K256" s="1" t="s">
        <v>2042</v>
      </c>
      <c r="L256" s="1" t="s">
        <v>2043</v>
      </c>
      <c r="M256" s="1" t="s">
        <v>2044</v>
      </c>
      <c r="N256" s="2">
        <v>202509065813</v>
      </c>
      <c r="O256" s="47">
        <v>45917</v>
      </c>
    </row>
    <row r="257" spans="1:15" ht="30" customHeight="1" x14ac:dyDescent="0.4">
      <c r="A257" s="36">
        <v>1655</v>
      </c>
      <c r="B257" s="3" t="s">
        <v>2045</v>
      </c>
      <c r="C257" s="45">
        <v>45616</v>
      </c>
      <c r="D257" s="1" t="s">
        <v>402</v>
      </c>
      <c r="E257" s="13" t="s">
        <v>2046</v>
      </c>
      <c r="F257" s="1" t="s">
        <v>36</v>
      </c>
      <c r="G257" s="3" t="s">
        <v>2047</v>
      </c>
      <c r="H257" s="3" t="s">
        <v>2048</v>
      </c>
      <c r="I257" s="3" t="s">
        <v>2049</v>
      </c>
      <c r="J257" s="38">
        <v>45929</v>
      </c>
      <c r="K257" s="1" t="s">
        <v>2050</v>
      </c>
      <c r="L257" s="1" t="s">
        <v>2051</v>
      </c>
      <c r="M257" s="1" t="s">
        <v>2052</v>
      </c>
      <c r="N257" s="2">
        <v>202509064628</v>
      </c>
      <c r="O257" s="47">
        <v>45912</v>
      </c>
    </row>
    <row r="258" spans="1:15" x14ac:dyDescent="0.4">
      <c r="A258" s="35">
        <v>1656</v>
      </c>
      <c r="B258" s="3" t="s">
        <v>2053</v>
      </c>
      <c r="C258" s="45">
        <v>45870</v>
      </c>
      <c r="D258" s="1" t="s">
        <v>509</v>
      </c>
      <c r="E258" s="13" t="s">
        <v>2054</v>
      </c>
      <c r="F258" s="1" t="s">
        <v>36</v>
      </c>
      <c r="G258" s="3" t="s">
        <v>2055</v>
      </c>
      <c r="H258" s="3" t="s">
        <v>2056</v>
      </c>
      <c r="I258" s="3" t="s">
        <v>2057</v>
      </c>
      <c r="J258" s="38">
        <v>45929</v>
      </c>
      <c r="K258" s="1" t="s">
        <v>2058</v>
      </c>
      <c r="L258" s="1" t="s">
        <v>2059</v>
      </c>
      <c r="M258" s="1" t="s">
        <v>2060</v>
      </c>
      <c r="N258" s="2">
        <v>202509066123</v>
      </c>
      <c r="O258" s="47">
        <v>45918</v>
      </c>
    </row>
    <row r="259" spans="1:15" x14ac:dyDescent="0.4">
      <c r="A259" s="36">
        <v>1657</v>
      </c>
      <c r="B259" s="3" t="s">
        <v>2061</v>
      </c>
      <c r="C259" s="45">
        <v>45826</v>
      </c>
      <c r="D259" s="1" t="s">
        <v>509</v>
      </c>
      <c r="E259" s="13" t="s">
        <v>2062</v>
      </c>
      <c r="F259" s="1" t="s">
        <v>36</v>
      </c>
      <c r="G259" s="3" t="s">
        <v>2063</v>
      </c>
      <c r="H259" s="3" t="s">
        <v>2064</v>
      </c>
      <c r="I259" s="3" t="s">
        <v>2065</v>
      </c>
      <c r="J259" s="38">
        <v>45929</v>
      </c>
      <c r="K259" s="1" t="s">
        <v>2066</v>
      </c>
      <c r="L259" s="1" t="s">
        <v>2067</v>
      </c>
      <c r="M259" s="1" t="s">
        <v>554</v>
      </c>
      <c r="N259" s="2">
        <v>202509060481</v>
      </c>
      <c r="O259" s="47">
        <v>45896</v>
      </c>
    </row>
    <row r="260" spans="1:15" x14ac:dyDescent="0.4">
      <c r="A260" s="35">
        <v>1658</v>
      </c>
      <c r="B260" s="3" t="s">
        <v>2068</v>
      </c>
      <c r="C260" s="45">
        <v>45842</v>
      </c>
      <c r="D260" s="1" t="s">
        <v>509</v>
      </c>
      <c r="E260" s="13" t="s">
        <v>2069</v>
      </c>
      <c r="F260" s="1" t="s">
        <v>55</v>
      </c>
      <c r="G260" s="3" t="s">
        <v>2070</v>
      </c>
      <c r="H260" s="3" t="s">
        <v>2071</v>
      </c>
      <c r="I260" s="3" t="s">
        <v>2072</v>
      </c>
      <c r="J260" s="38">
        <v>45929</v>
      </c>
      <c r="K260" s="1" t="s">
        <v>2073</v>
      </c>
      <c r="L260" s="1" t="s">
        <v>2074</v>
      </c>
      <c r="M260" s="1" t="s">
        <v>310</v>
      </c>
      <c r="N260" s="2">
        <v>202509060557</v>
      </c>
      <c r="O260" s="47">
        <v>45896</v>
      </c>
    </row>
    <row r="261" spans="1:15" x14ac:dyDescent="0.4">
      <c r="A261" s="36">
        <v>1659</v>
      </c>
      <c r="B261" s="3" t="s">
        <v>2075</v>
      </c>
      <c r="C261" s="45">
        <v>45844</v>
      </c>
      <c r="D261" s="1" t="s">
        <v>509</v>
      </c>
      <c r="E261" s="13" t="s">
        <v>2076</v>
      </c>
      <c r="F261" s="1" t="s">
        <v>36</v>
      </c>
      <c r="G261" s="3" t="s">
        <v>2077</v>
      </c>
      <c r="H261" s="3" t="s">
        <v>2078</v>
      </c>
      <c r="I261" s="1" t="s">
        <v>957</v>
      </c>
      <c r="J261" s="38">
        <v>45929</v>
      </c>
      <c r="K261" s="1" t="s">
        <v>2079</v>
      </c>
      <c r="L261" s="1" t="s">
        <v>2080</v>
      </c>
      <c r="M261" s="1" t="s">
        <v>160</v>
      </c>
      <c r="N261" s="2">
        <v>202509065772</v>
      </c>
      <c r="O261" s="47">
        <v>45917</v>
      </c>
    </row>
    <row r="262" spans="1:15" x14ac:dyDescent="0.4">
      <c r="A262" s="35">
        <v>1660</v>
      </c>
      <c r="B262" s="3" t="s">
        <v>2081</v>
      </c>
      <c r="C262" s="45">
        <v>45841</v>
      </c>
      <c r="D262" s="1" t="s">
        <v>1931</v>
      </c>
      <c r="E262" s="13" t="s">
        <v>2082</v>
      </c>
      <c r="F262" s="1" t="s">
        <v>36</v>
      </c>
      <c r="G262" s="3" t="s">
        <v>2083</v>
      </c>
      <c r="H262" s="3" t="s">
        <v>2084</v>
      </c>
      <c r="I262" s="3" t="s">
        <v>2085</v>
      </c>
      <c r="J262" s="38">
        <v>45930</v>
      </c>
      <c r="K262" s="1" t="s">
        <v>2086</v>
      </c>
      <c r="L262" s="1" t="s">
        <v>2087</v>
      </c>
      <c r="M262" s="1" t="s">
        <v>2088</v>
      </c>
      <c r="N262" s="2">
        <v>202509066249</v>
      </c>
      <c r="O262" s="47">
        <v>45918</v>
      </c>
    </row>
    <row r="263" spans="1:15" x14ac:dyDescent="0.4">
      <c r="A263" s="36">
        <v>1661</v>
      </c>
      <c r="B263" s="3" t="s">
        <v>2089</v>
      </c>
      <c r="C263" s="45">
        <v>45733</v>
      </c>
      <c r="D263" s="1" t="s">
        <v>509</v>
      </c>
      <c r="E263" s="13" t="s">
        <v>2090</v>
      </c>
      <c r="F263" s="1" t="s">
        <v>36</v>
      </c>
      <c r="G263" s="3" t="s">
        <v>2091</v>
      </c>
      <c r="H263" s="3" t="s">
        <v>2092</v>
      </c>
      <c r="I263" s="3" t="s">
        <v>2093</v>
      </c>
      <c r="J263" s="38">
        <v>45930</v>
      </c>
      <c r="K263" s="1" t="s">
        <v>2094</v>
      </c>
      <c r="L263" s="1" t="s">
        <v>2095</v>
      </c>
      <c r="M263" s="1" t="s">
        <v>2096</v>
      </c>
      <c r="N263" s="2">
        <v>202509065041</v>
      </c>
      <c r="O263" s="47">
        <v>45914</v>
      </c>
    </row>
    <row r="264" spans="1:15" x14ac:dyDescent="0.4">
      <c r="A264" s="35">
        <v>1662</v>
      </c>
      <c r="B264" s="3" t="s">
        <v>2097</v>
      </c>
      <c r="C264" s="45">
        <v>45831</v>
      </c>
      <c r="D264" s="1" t="s">
        <v>2098</v>
      </c>
      <c r="E264" s="13" t="s">
        <v>2099</v>
      </c>
      <c r="F264" s="1" t="s">
        <v>36</v>
      </c>
      <c r="G264" s="3" t="s">
        <v>2100</v>
      </c>
      <c r="H264" s="3" t="s">
        <v>2101</v>
      </c>
      <c r="I264" s="3" t="s">
        <v>2102</v>
      </c>
      <c r="J264" s="38">
        <v>45930</v>
      </c>
      <c r="K264" s="1" t="s">
        <v>2103</v>
      </c>
      <c r="L264" s="1" t="s">
        <v>2104</v>
      </c>
      <c r="M264" s="1" t="s">
        <v>2105</v>
      </c>
      <c r="N264" s="2">
        <v>202509060946</v>
      </c>
      <c r="O264" s="47">
        <v>45897</v>
      </c>
    </row>
    <row r="265" spans="1:15" x14ac:dyDescent="0.4">
      <c r="A265" s="36">
        <v>1663</v>
      </c>
      <c r="B265" s="3" t="s">
        <v>2106</v>
      </c>
      <c r="C265" s="45">
        <v>45838</v>
      </c>
      <c r="D265" s="1" t="s">
        <v>2107</v>
      </c>
      <c r="E265" s="13" t="s">
        <v>2108</v>
      </c>
      <c r="F265" s="1" t="s">
        <v>36</v>
      </c>
      <c r="G265" s="3" t="s">
        <v>2109</v>
      </c>
      <c r="H265" s="3" t="s">
        <v>2110</v>
      </c>
      <c r="I265" s="3" t="s">
        <v>2111</v>
      </c>
      <c r="J265" s="38">
        <v>45930</v>
      </c>
      <c r="K265" s="1" t="s">
        <v>2112</v>
      </c>
      <c r="L265" s="1" t="s">
        <v>2113</v>
      </c>
      <c r="M265" s="1" t="s">
        <v>2114</v>
      </c>
      <c r="N265" s="2">
        <v>202509051991</v>
      </c>
      <c r="O265" s="47">
        <v>45863</v>
      </c>
    </row>
    <row r="266" spans="1:15" x14ac:dyDescent="0.4">
      <c r="A266" s="35">
        <v>1664</v>
      </c>
      <c r="B266" s="3" t="s">
        <v>2115</v>
      </c>
      <c r="C266" s="45">
        <v>45703</v>
      </c>
      <c r="D266" s="1" t="s">
        <v>2116</v>
      </c>
      <c r="E266" s="13" t="s">
        <v>2117</v>
      </c>
      <c r="F266" s="1" t="s">
        <v>36</v>
      </c>
      <c r="G266" s="3" t="s">
        <v>2118</v>
      </c>
      <c r="H266" s="3" t="s">
        <v>2119</v>
      </c>
      <c r="I266" s="3" t="s">
        <v>2120</v>
      </c>
      <c r="J266" s="38">
        <v>45930</v>
      </c>
      <c r="K266" s="1" t="s">
        <v>2121</v>
      </c>
      <c r="L266" s="1" t="s">
        <v>2122</v>
      </c>
      <c r="M266" s="1" t="s">
        <v>1135</v>
      </c>
      <c r="N266" s="2">
        <v>202509052645</v>
      </c>
      <c r="O266" s="47">
        <v>45866</v>
      </c>
    </row>
    <row r="267" spans="1:15" x14ac:dyDescent="0.4">
      <c r="A267" s="36">
        <v>1665</v>
      </c>
      <c r="B267" s="3" t="s">
        <v>2123</v>
      </c>
      <c r="C267" s="45">
        <v>45844</v>
      </c>
      <c r="D267" s="1" t="s">
        <v>411</v>
      </c>
      <c r="E267" s="13" t="s">
        <v>2124</v>
      </c>
      <c r="F267" s="1" t="s">
        <v>36</v>
      </c>
      <c r="G267" s="3" t="s">
        <v>2125</v>
      </c>
      <c r="H267" s="3" t="s">
        <v>2126</v>
      </c>
      <c r="I267" s="3" t="s">
        <v>2127</v>
      </c>
      <c r="J267" s="38">
        <v>45930</v>
      </c>
      <c r="K267" s="1" t="s">
        <v>158</v>
      </c>
      <c r="L267" s="1" t="s">
        <v>2128</v>
      </c>
      <c r="M267" s="1" t="s">
        <v>2129</v>
      </c>
      <c r="N267" s="2">
        <v>202509063608</v>
      </c>
      <c r="O267" s="47">
        <v>45909</v>
      </c>
    </row>
    <row r="268" spans="1:15" ht="30" customHeight="1" x14ac:dyDescent="0.4">
      <c r="A268" s="35">
        <v>1666</v>
      </c>
      <c r="B268" s="3" t="s">
        <v>2130</v>
      </c>
      <c r="C268" s="45">
        <v>45667</v>
      </c>
      <c r="D268" s="1" t="s">
        <v>1294</v>
      </c>
      <c r="E268" s="13" t="s">
        <v>2131</v>
      </c>
      <c r="F268" s="1" t="s">
        <v>55</v>
      </c>
      <c r="G268" s="3" t="s">
        <v>2132</v>
      </c>
      <c r="H268" s="3" t="s">
        <v>2133</v>
      </c>
      <c r="I268" s="3" t="s">
        <v>2134</v>
      </c>
      <c r="J268" s="38">
        <v>45930</v>
      </c>
      <c r="K268" s="1" t="s">
        <v>2135</v>
      </c>
      <c r="L268" s="1" t="s">
        <v>2136</v>
      </c>
      <c r="M268" s="1" t="s">
        <v>2137</v>
      </c>
      <c r="N268" s="2">
        <v>202509055815</v>
      </c>
      <c r="O268" s="47">
        <v>45877</v>
      </c>
    </row>
    <row r="269" spans="1:15" x14ac:dyDescent="0.4">
      <c r="A269" s="36">
        <v>1667</v>
      </c>
      <c r="B269" s="3" t="s">
        <v>2138</v>
      </c>
      <c r="C269" s="45">
        <v>45890</v>
      </c>
      <c r="D269" s="1" t="s">
        <v>411</v>
      </c>
      <c r="E269" s="13" t="s">
        <v>2139</v>
      </c>
      <c r="F269" s="1" t="s">
        <v>55</v>
      </c>
      <c r="G269" s="3" t="s">
        <v>2140</v>
      </c>
      <c r="H269" s="3" t="s">
        <v>2141</v>
      </c>
      <c r="I269" s="3" t="s">
        <v>2142</v>
      </c>
      <c r="J269" s="38">
        <v>45930</v>
      </c>
      <c r="K269" s="1" t="s">
        <v>2143</v>
      </c>
      <c r="L269" s="1" t="s">
        <v>2144</v>
      </c>
      <c r="M269" s="1" t="s">
        <v>2145</v>
      </c>
      <c r="N269" s="2">
        <v>202509065800</v>
      </c>
      <c r="O269" s="47">
        <v>45917</v>
      </c>
    </row>
    <row r="270" spans="1:15" x14ac:dyDescent="0.4">
      <c r="A270" s="35">
        <v>1668</v>
      </c>
      <c r="B270" s="3" t="s">
        <v>2146</v>
      </c>
      <c r="C270" s="45">
        <v>45887</v>
      </c>
      <c r="D270" s="1" t="s">
        <v>2147</v>
      </c>
      <c r="E270" s="13" t="s">
        <v>2148</v>
      </c>
      <c r="F270" s="1" t="s">
        <v>36</v>
      </c>
      <c r="G270" s="3" t="s">
        <v>2149</v>
      </c>
      <c r="H270" s="3" t="s">
        <v>2150</v>
      </c>
      <c r="I270" s="3" t="s">
        <v>2151</v>
      </c>
      <c r="J270" s="38">
        <v>45930</v>
      </c>
      <c r="K270" s="1" t="s">
        <v>2152</v>
      </c>
      <c r="L270" s="1" t="s">
        <v>2153</v>
      </c>
      <c r="M270" s="1" t="s">
        <v>2154</v>
      </c>
      <c r="N270" s="2">
        <v>202509064238</v>
      </c>
      <c r="O270" s="47">
        <v>45911</v>
      </c>
    </row>
    <row r="271" spans="1:15" x14ac:dyDescent="0.4">
      <c r="A271" s="36">
        <v>1669</v>
      </c>
      <c r="B271" s="3" t="s">
        <v>2155</v>
      </c>
      <c r="C271" s="45">
        <v>45706</v>
      </c>
      <c r="D271" s="1" t="s">
        <v>2156</v>
      </c>
      <c r="E271" s="13" t="s">
        <v>2157</v>
      </c>
      <c r="F271" s="1" t="s">
        <v>36</v>
      </c>
      <c r="G271" s="3" t="s">
        <v>2158</v>
      </c>
      <c r="H271" s="3" t="s">
        <v>2159</v>
      </c>
      <c r="I271" s="3" t="s">
        <v>2160</v>
      </c>
      <c r="J271" s="38">
        <v>45930</v>
      </c>
      <c r="K271" s="1" t="s">
        <v>2161</v>
      </c>
      <c r="L271" s="1" t="s">
        <v>234</v>
      </c>
      <c r="M271" s="1" t="s">
        <v>235</v>
      </c>
      <c r="N271" s="2">
        <v>202509066493</v>
      </c>
      <c r="O271" s="47">
        <v>45919</v>
      </c>
    </row>
    <row r="272" spans="1:15" x14ac:dyDescent="0.4">
      <c r="A272" s="35">
        <v>1670</v>
      </c>
      <c r="B272" s="3" t="s">
        <v>2162</v>
      </c>
      <c r="C272" s="45">
        <v>45619</v>
      </c>
      <c r="D272" s="1" t="s">
        <v>509</v>
      </c>
      <c r="E272" s="13" t="s">
        <v>2163</v>
      </c>
      <c r="F272" s="1" t="s">
        <v>36</v>
      </c>
      <c r="G272" s="3" t="s">
        <v>2164</v>
      </c>
      <c r="H272" s="3" t="s">
        <v>2165</v>
      </c>
      <c r="I272" s="3" t="s">
        <v>2166</v>
      </c>
      <c r="J272" s="38">
        <v>45930</v>
      </c>
      <c r="K272" s="1" t="s">
        <v>2167</v>
      </c>
      <c r="L272" s="1" t="s">
        <v>2168</v>
      </c>
      <c r="M272" s="1" t="s">
        <v>2169</v>
      </c>
      <c r="N272" s="2">
        <v>202509054175</v>
      </c>
      <c r="O272" s="47">
        <v>45871</v>
      </c>
    </row>
    <row r="273" spans="1:15" x14ac:dyDescent="0.4">
      <c r="A273" s="36">
        <v>1671</v>
      </c>
      <c r="B273" s="3" t="s">
        <v>2170</v>
      </c>
      <c r="C273" s="45">
        <v>45809</v>
      </c>
      <c r="D273" s="1" t="s">
        <v>44</v>
      </c>
      <c r="E273" s="13" t="s">
        <v>2171</v>
      </c>
      <c r="F273" s="1" t="s">
        <v>55</v>
      </c>
      <c r="G273" s="3" t="s">
        <v>2172</v>
      </c>
      <c r="H273" s="3" t="s">
        <v>2173</v>
      </c>
      <c r="I273" s="3" t="s">
        <v>2174</v>
      </c>
      <c r="J273" s="38">
        <v>45930</v>
      </c>
      <c r="K273" s="1" t="s">
        <v>2175</v>
      </c>
      <c r="L273" s="1" t="s">
        <v>2176</v>
      </c>
      <c r="M273" s="1" t="s">
        <v>2177</v>
      </c>
      <c r="N273" s="2">
        <v>202509067085</v>
      </c>
      <c r="O273" s="47">
        <v>45922</v>
      </c>
    </row>
    <row r="274" spans="1:15" x14ac:dyDescent="0.4">
      <c r="A274" s="35">
        <v>1672</v>
      </c>
      <c r="B274" s="3" t="s">
        <v>2178</v>
      </c>
      <c r="C274" s="45">
        <v>45833</v>
      </c>
      <c r="D274" s="1" t="s">
        <v>1931</v>
      </c>
      <c r="E274" s="13" t="s">
        <v>2179</v>
      </c>
      <c r="F274" s="1" t="s">
        <v>36</v>
      </c>
      <c r="G274" s="3" t="s">
        <v>2180</v>
      </c>
      <c r="H274" s="3" t="s">
        <v>2181</v>
      </c>
      <c r="I274" s="3" t="s">
        <v>2182</v>
      </c>
      <c r="J274" s="38">
        <v>45930</v>
      </c>
      <c r="K274" s="1" t="s">
        <v>158</v>
      </c>
      <c r="L274" s="1" t="s">
        <v>2183</v>
      </c>
      <c r="M274" s="1" t="s">
        <v>2184</v>
      </c>
      <c r="N274" s="2">
        <v>202509066714</v>
      </c>
      <c r="O274" s="47">
        <v>45920</v>
      </c>
    </row>
    <row r="275" spans="1:15" x14ac:dyDescent="0.4">
      <c r="A275" s="36">
        <v>1673</v>
      </c>
      <c r="B275" s="3" t="s">
        <v>2185</v>
      </c>
      <c r="C275" s="45">
        <v>45674</v>
      </c>
      <c r="D275" s="1" t="s">
        <v>44</v>
      </c>
      <c r="E275" s="13" t="s">
        <v>2186</v>
      </c>
      <c r="F275" s="1" t="s">
        <v>55</v>
      </c>
      <c r="G275" s="3" t="s">
        <v>2187</v>
      </c>
      <c r="H275" s="3" t="s">
        <v>2188</v>
      </c>
      <c r="I275" s="3" t="s">
        <v>2189</v>
      </c>
      <c r="J275" s="38">
        <v>45930</v>
      </c>
      <c r="K275" s="1" t="s">
        <v>2190</v>
      </c>
      <c r="L275" s="1" t="s">
        <v>2191</v>
      </c>
      <c r="M275" s="1" t="s">
        <v>894</v>
      </c>
      <c r="N275" s="2">
        <v>202509060662</v>
      </c>
      <c r="O275" s="47">
        <v>45896</v>
      </c>
    </row>
    <row r="276" spans="1:15" x14ac:dyDescent="0.4">
      <c r="A276" s="35">
        <v>1674</v>
      </c>
      <c r="B276" s="3" t="s">
        <v>2192</v>
      </c>
      <c r="C276" s="45">
        <v>45720</v>
      </c>
      <c r="D276" s="1" t="s">
        <v>1931</v>
      </c>
      <c r="E276" s="13" t="s">
        <v>2193</v>
      </c>
      <c r="F276" s="1" t="s">
        <v>55</v>
      </c>
      <c r="G276" s="3" t="s">
        <v>2194</v>
      </c>
      <c r="H276" s="3" t="s">
        <v>355</v>
      </c>
      <c r="I276" s="3" t="s">
        <v>2195</v>
      </c>
      <c r="J276" s="38">
        <v>45930</v>
      </c>
      <c r="K276" s="1" t="s">
        <v>2196</v>
      </c>
      <c r="L276" s="1" t="s">
        <v>2197</v>
      </c>
      <c r="M276" s="1" t="s">
        <v>2198</v>
      </c>
      <c r="N276" s="2">
        <v>202509067164</v>
      </c>
      <c r="O276" s="47">
        <v>45922</v>
      </c>
    </row>
    <row r="277" spans="1:15" x14ac:dyDescent="0.4">
      <c r="A277" s="36">
        <v>1675</v>
      </c>
      <c r="B277" s="3" t="s">
        <v>2199</v>
      </c>
      <c r="C277" s="45">
        <v>45832</v>
      </c>
      <c r="D277" s="1" t="s">
        <v>547</v>
      </c>
      <c r="E277" s="13" t="s">
        <v>2200</v>
      </c>
      <c r="F277" s="1" t="s">
        <v>55</v>
      </c>
      <c r="G277" s="3" t="s">
        <v>2201</v>
      </c>
      <c r="H277" s="3" t="s">
        <v>2202</v>
      </c>
      <c r="I277" s="3" t="s">
        <v>2203</v>
      </c>
      <c r="J277" s="38">
        <v>45930</v>
      </c>
      <c r="K277" s="1" t="s">
        <v>2204</v>
      </c>
      <c r="L277" s="1" t="s">
        <v>2205</v>
      </c>
      <c r="M277" s="1" t="s">
        <v>2206</v>
      </c>
      <c r="N277" s="2">
        <v>202509067140</v>
      </c>
      <c r="O277" s="47">
        <v>45922</v>
      </c>
    </row>
    <row r="278" spans="1:15" x14ac:dyDescent="0.4">
      <c r="A278" s="35">
        <v>1676</v>
      </c>
      <c r="B278" s="3" t="s">
        <v>2207</v>
      </c>
      <c r="C278" s="45">
        <v>45875</v>
      </c>
      <c r="D278" s="1" t="s">
        <v>536</v>
      </c>
      <c r="E278" s="13" t="s">
        <v>2208</v>
      </c>
      <c r="F278" s="1" t="s">
        <v>55</v>
      </c>
      <c r="G278" s="3" t="s">
        <v>2209</v>
      </c>
      <c r="H278" s="3" t="s">
        <v>2210</v>
      </c>
      <c r="I278" s="3" t="s">
        <v>2211</v>
      </c>
      <c r="J278" s="38">
        <v>45930</v>
      </c>
      <c r="K278" s="1" t="s">
        <v>158</v>
      </c>
      <c r="L278" s="1" t="s">
        <v>2212</v>
      </c>
      <c r="M278" s="1" t="s">
        <v>2213</v>
      </c>
      <c r="N278" s="2">
        <v>202509060901</v>
      </c>
      <c r="O278" s="47">
        <v>45897</v>
      </c>
    </row>
    <row r="279" spans="1:15" x14ac:dyDescent="0.4">
      <c r="A279" s="36">
        <v>1677</v>
      </c>
      <c r="B279" s="3" t="s">
        <v>2214</v>
      </c>
      <c r="C279" s="45">
        <v>45864</v>
      </c>
      <c r="D279" s="1" t="s">
        <v>1931</v>
      </c>
      <c r="E279" s="13" t="s">
        <v>2215</v>
      </c>
      <c r="F279" s="1" t="s">
        <v>55</v>
      </c>
      <c r="G279" s="3" t="s">
        <v>2216</v>
      </c>
      <c r="H279" s="3" t="s">
        <v>2025</v>
      </c>
      <c r="I279" s="3" t="s">
        <v>2217</v>
      </c>
      <c r="J279" s="38">
        <v>45930</v>
      </c>
      <c r="K279" s="1" t="s">
        <v>2218</v>
      </c>
      <c r="L279" s="1" t="s">
        <v>2219</v>
      </c>
      <c r="M279" s="1" t="s">
        <v>2220</v>
      </c>
      <c r="N279" s="2">
        <v>202509060895</v>
      </c>
      <c r="O279" s="47">
        <v>45897</v>
      </c>
    </row>
    <row r="280" spans="1:15" ht="30" customHeight="1" x14ac:dyDescent="0.4">
      <c r="A280" s="35">
        <v>1678</v>
      </c>
      <c r="B280" s="3" t="s">
        <v>2221</v>
      </c>
      <c r="C280" s="45">
        <v>45836</v>
      </c>
      <c r="D280" s="1" t="s">
        <v>536</v>
      </c>
      <c r="E280" s="13" t="s">
        <v>2222</v>
      </c>
      <c r="F280" s="1" t="s">
        <v>36</v>
      </c>
      <c r="G280" s="3" t="s">
        <v>2223</v>
      </c>
      <c r="H280" s="3" t="s">
        <v>2224</v>
      </c>
      <c r="I280" s="3" t="s">
        <v>2225</v>
      </c>
      <c r="J280" s="38">
        <v>45930</v>
      </c>
      <c r="K280" s="1" t="s">
        <v>2226</v>
      </c>
      <c r="L280" s="1" t="s">
        <v>2227</v>
      </c>
      <c r="M280" s="1" t="s">
        <v>2228</v>
      </c>
      <c r="N280" s="2">
        <v>202509066796</v>
      </c>
      <c r="O280" s="47">
        <v>45920</v>
      </c>
    </row>
    <row r="281" spans="1:15" x14ac:dyDescent="0.4">
      <c r="A281" s="36">
        <v>1679</v>
      </c>
      <c r="B281" s="3" t="s">
        <v>2229</v>
      </c>
      <c r="C281" s="45">
        <v>45640</v>
      </c>
      <c r="D281" s="1" t="s">
        <v>1931</v>
      </c>
      <c r="E281" s="13" t="s">
        <v>2230</v>
      </c>
      <c r="F281" s="1" t="s">
        <v>36</v>
      </c>
      <c r="G281" s="3" t="s">
        <v>2231</v>
      </c>
      <c r="H281" s="3" t="s">
        <v>2232</v>
      </c>
      <c r="I281" s="3" t="s">
        <v>2233</v>
      </c>
      <c r="J281" s="38">
        <v>45930</v>
      </c>
      <c r="K281" s="1" t="s">
        <v>2234</v>
      </c>
      <c r="L281" s="1" t="s">
        <v>2235</v>
      </c>
      <c r="M281" s="1" t="s">
        <v>219</v>
      </c>
      <c r="N281" s="2">
        <v>202509033252</v>
      </c>
      <c r="O281" s="47">
        <v>45792</v>
      </c>
    </row>
    <row r="282" spans="1:15" x14ac:dyDescent="0.4">
      <c r="A282" s="35">
        <v>1680</v>
      </c>
      <c r="B282" s="3" t="s">
        <v>2236</v>
      </c>
      <c r="C282" s="45">
        <v>45786</v>
      </c>
      <c r="D282" s="1" t="s">
        <v>509</v>
      </c>
      <c r="E282" s="13" t="s">
        <v>2237</v>
      </c>
      <c r="F282" s="1" t="s">
        <v>36</v>
      </c>
      <c r="G282" s="3" t="s">
        <v>2238</v>
      </c>
      <c r="H282" s="3" t="s">
        <v>2239</v>
      </c>
      <c r="I282" s="3" t="s">
        <v>2240</v>
      </c>
      <c r="J282" s="38">
        <v>45930</v>
      </c>
      <c r="K282" s="1" t="s">
        <v>2241</v>
      </c>
      <c r="L282" s="1" t="s">
        <v>2242</v>
      </c>
      <c r="M282" s="1" t="s">
        <v>979</v>
      </c>
      <c r="N282" s="2">
        <v>202509059212</v>
      </c>
      <c r="O282" s="47">
        <v>45891</v>
      </c>
    </row>
    <row r="283" spans="1:15" x14ac:dyDescent="0.4">
      <c r="A283" s="36">
        <v>1681</v>
      </c>
      <c r="B283" s="3" t="s">
        <v>2243</v>
      </c>
      <c r="C283" s="45">
        <v>45882</v>
      </c>
      <c r="D283" s="1" t="s">
        <v>44</v>
      </c>
      <c r="E283" s="13" t="s">
        <v>2244</v>
      </c>
      <c r="F283" s="1" t="s">
        <v>36</v>
      </c>
      <c r="G283" s="3" t="s">
        <v>2245</v>
      </c>
      <c r="H283" s="3" t="s">
        <v>2246</v>
      </c>
      <c r="I283" s="3" t="s">
        <v>2247</v>
      </c>
      <c r="J283" s="38">
        <v>45930</v>
      </c>
      <c r="K283" s="1" t="s">
        <v>2248</v>
      </c>
      <c r="L283" s="1" t="s">
        <v>2249</v>
      </c>
      <c r="M283" s="1" t="s">
        <v>2250</v>
      </c>
      <c r="N283" s="2">
        <v>202509065312</v>
      </c>
      <c r="O283" s="47">
        <v>45915</v>
      </c>
    </row>
    <row r="284" spans="1:15" ht="30" customHeight="1" x14ac:dyDescent="0.4">
      <c r="A284" s="35">
        <v>1682</v>
      </c>
      <c r="B284" s="3" t="s">
        <v>2251</v>
      </c>
      <c r="C284" s="45">
        <v>45602</v>
      </c>
      <c r="D284" s="1" t="s">
        <v>509</v>
      </c>
      <c r="E284" s="13" t="s">
        <v>2252</v>
      </c>
      <c r="F284" s="1" t="s">
        <v>36</v>
      </c>
      <c r="G284" s="3" t="s">
        <v>2253</v>
      </c>
      <c r="H284" s="3" t="s">
        <v>2254</v>
      </c>
      <c r="I284" s="3" t="s">
        <v>2255</v>
      </c>
      <c r="J284" s="38">
        <v>45933</v>
      </c>
      <c r="K284" s="1" t="s">
        <v>2256</v>
      </c>
      <c r="L284" s="1" t="s">
        <v>2257</v>
      </c>
      <c r="M284" s="1" t="s">
        <v>2258</v>
      </c>
      <c r="N284" s="2">
        <v>202509053736</v>
      </c>
      <c r="O284" s="47">
        <v>45869</v>
      </c>
    </row>
    <row r="285" spans="1:15" ht="30" customHeight="1" x14ac:dyDescent="0.4">
      <c r="A285" s="36">
        <v>1683</v>
      </c>
      <c r="B285" s="12" t="s">
        <v>2259</v>
      </c>
      <c r="C285" s="43">
        <v>45783</v>
      </c>
      <c r="D285" s="12" t="s">
        <v>144</v>
      </c>
      <c r="E285" s="13" t="s">
        <v>2260</v>
      </c>
      <c r="F285" s="14" t="s">
        <v>55</v>
      </c>
      <c r="G285" s="12" t="s">
        <v>1052</v>
      </c>
      <c r="H285" s="12" t="s">
        <v>2261</v>
      </c>
      <c r="I285" s="12" t="s">
        <v>2262</v>
      </c>
      <c r="J285" s="23">
        <v>45939</v>
      </c>
      <c r="K285" s="14" t="s">
        <v>158</v>
      </c>
      <c r="L285" s="14" t="s">
        <v>2263</v>
      </c>
      <c r="M285" s="14" t="s">
        <v>2264</v>
      </c>
      <c r="N285" s="11">
        <v>202509065606</v>
      </c>
      <c r="O285" s="48">
        <v>45916</v>
      </c>
    </row>
    <row r="286" spans="1:15" x14ac:dyDescent="0.4">
      <c r="A286" s="35">
        <v>1684</v>
      </c>
      <c r="B286" s="12" t="s">
        <v>2265</v>
      </c>
      <c r="C286" s="43">
        <v>45687</v>
      </c>
      <c r="D286" s="12" t="s">
        <v>385</v>
      </c>
      <c r="E286" s="13" t="s">
        <v>2266</v>
      </c>
      <c r="F286" s="14" t="s">
        <v>55</v>
      </c>
      <c r="G286" s="12" t="s">
        <v>2267</v>
      </c>
      <c r="H286" s="12" t="s">
        <v>2268</v>
      </c>
      <c r="I286" s="12" t="s">
        <v>2269</v>
      </c>
      <c r="J286" s="23">
        <v>45939</v>
      </c>
      <c r="K286" s="14" t="s">
        <v>2270</v>
      </c>
      <c r="L286" s="14" t="s">
        <v>2271</v>
      </c>
      <c r="M286" s="14" t="s">
        <v>2272</v>
      </c>
      <c r="N286" s="11">
        <v>202509054416</v>
      </c>
      <c r="O286" s="48">
        <v>45872</v>
      </c>
    </row>
    <row r="287" spans="1:15" x14ac:dyDescent="0.4">
      <c r="A287" s="36">
        <v>1685</v>
      </c>
      <c r="B287" s="12" t="s">
        <v>2273</v>
      </c>
      <c r="C287" s="43">
        <v>45856</v>
      </c>
      <c r="D287" s="14" t="s">
        <v>509</v>
      </c>
      <c r="E287" s="13" t="s">
        <v>2274</v>
      </c>
      <c r="F287" s="14" t="s">
        <v>36</v>
      </c>
      <c r="G287" s="12" t="s">
        <v>1249</v>
      </c>
      <c r="H287" s="12" t="s">
        <v>2275</v>
      </c>
      <c r="I287" s="12" t="s">
        <v>2276</v>
      </c>
      <c r="J287" s="23">
        <v>45939</v>
      </c>
      <c r="K287" s="14" t="s">
        <v>158</v>
      </c>
      <c r="L287" s="14" t="s">
        <v>2277</v>
      </c>
      <c r="M287" s="14" t="s">
        <v>2278</v>
      </c>
      <c r="N287" s="11">
        <v>202509060563</v>
      </c>
      <c r="O287" s="48">
        <v>45896</v>
      </c>
    </row>
    <row r="288" spans="1:15" x14ac:dyDescent="0.4">
      <c r="A288" s="35">
        <v>1686</v>
      </c>
      <c r="B288" s="12" t="s">
        <v>2279</v>
      </c>
      <c r="C288" s="43">
        <v>45855</v>
      </c>
      <c r="D288" s="14" t="s">
        <v>509</v>
      </c>
      <c r="E288" s="13" t="s">
        <v>2280</v>
      </c>
      <c r="F288" s="14" t="s">
        <v>55</v>
      </c>
      <c r="G288" s="12" t="s">
        <v>866</v>
      </c>
      <c r="H288" s="12" t="s">
        <v>2281</v>
      </c>
      <c r="I288" s="12" t="s">
        <v>2282</v>
      </c>
      <c r="J288" s="23">
        <v>45939</v>
      </c>
      <c r="K288" s="14" t="s">
        <v>2283</v>
      </c>
      <c r="L288" s="14" t="s">
        <v>2284</v>
      </c>
      <c r="M288" s="14" t="s">
        <v>2105</v>
      </c>
      <c r="N288" s="11">
        <v>202509065049</v>
      </c>
      <c r="O288" s="48">
        <v>45914</v>
      </c>
    </row>
    <row r="289" spans="1:15" ht="30" customHeight="1" x14ac:dyDescent="0.4">
      <c r="A289" s="36">
        <v>1687</v>
      </c>
      <c r="B289" s="12" t="s">
        <v>2285</v>
      </c>
      <c r="C289" s="43">
        <v>45898</v>
      </c>
      <c r="D289" s="12" t="s">
        <v>1471</v>
      </c>
      <c r="E289" s="13" t="s">
        <v>2286</v>
      </c>
      <c r="F289" s="14" t="s">
        <v>55</v>
      </c>
      <c r="G289" s="12" t="s">
        <v>2287</v>
      </c>
      <c r="H289" s="12" t="s">
        <v>2288</v>
      </c>
      <c r="I289" s="12" t="s">
        <v>2289</v>
      </c>
      <c r="J289" s="23">
        <v>45939</v>
      </c>
      <c r="K289" s="14" t="s">
        <v>2290</v>
      </c>
      <c r="L289" s="14" t="s">
        <v>2291</v>
      </c>
      <c r="M289" s="14" t="s">
        <v>2292</v>
      </c>
      <c r="N289" s="11">
        <v>202509066500</v>
      </c>
      <c r="O289" s="48">
        <v>45919</v>
      </c>
    </row>
    <row r="290" spans="1:15" x14ac:dyDescent="0.4">
      <c r="A290" s="35">
        <v>1688</v>
      </c>
      <c r="B290" s="12" t="s">
        <v>2293</v>
      </c>
      <c r="C290" s="43">
        <v>45827</v>
      </c>
      <c r="D290" s="14" t="s">
        <v>670</v>
      </c>
      <c r="E290" s="13" t="s">
        <v>2294</v>
      </c>
      <c r="F290" s="14" t="s">
        <v>36</v>
      </c>
      <c r="G290" s="12" t="s">
        <v>2295</v>
      </c>
      <c r="H290" s="12" t="s">
        <v>2296</v>
      </c>
      <c r="I290" s="12" t="s">
        <v>2297</v>
      </c>
      <c r="J290" s="23">
        <v>45939</v>
      </c>
      <c r="K290" s="14" t="s">
        <v>2298</v>
      </c>
      <c r="L290" s="14" t="s">
        <v>2136</v>
      </c>
      <c r="M290" s="14" t="s">
        <v>979</v>
      </c>
      <c r="N290" s="11">
        <v>202509047721</v>
      </c>
      <c r="O290" s="48">
        <v>45847</v>
      </c>
    </row>
    <row r="291" spans="1:15" x14ac:dyDescent="0.4">
      <c r="A291" s="36">
        <v>1689</v>
      </c>
      <c r="B291" s="12" t="s">
        <v>2299</v>
      </c>
      <c r="C291" s="43">
        <v>45735</v>
      </c>
      <c r="D291" s="14" t="s">
        <v>509</v>
      </c>
      <c r="E291" s="13" t="s">
        <v>2300</v>
      </c>
      <c r="F291" s="14" t="s">
        <v>55</v>
      </c>
      <c r="G291" s="12" t="s">
        <v>2301</v>
      </c>
      <c r="H291" s="12" t="s">
        <v>2302</v>
      </c>
      <c r="I291" s="12" t="s">
        <v>2303</v>
      </c>
      <c r="J291" s="23">
        <v>45939</v>
      </c>
      <c r="K291" s="14" t="s">
        <v>2304</v>
      </c>
      <c r="L291" s="14" t="s">
        <v>2305</v>
      </c>
      <c r="M291" s="14" t="s">
        <v>979</v>
      </c>
      <c r="N291" s="11">
        <v>202509067656</v>
      </c>
      <c r="O291" s="48">
        <v>45924</v>
      </c>
    </row>
    <row r="292" spans="1:15" ht="30" customHeight="1" x14ac:dyDescent="0.4">
      <c r="A292" s="35">
        <v>1690</v>
      </c>
      <c r="B292" s="12" t="s">
        <v>2306</v>
      </c>
      <c r="C292" s="43">
        <v>45783</v>
      </c>
      <c r="D292" s="14" t="s">
        <v>509</v>
      </c>
      <c r="E292" s="13" t="s">
        <v>2307</v>
      </c>
      <c r="F292" s="14" t="s">
        <v>36</v>
      </c>
      <c r="G292" s="12" t="s">
        <v>2308</v>
      </c>
      <c r="H292" s="12" t="s">
        <v>2309</v>
      </c>
      <c r="I292" s="12" t="s">
        <v>2310</v>
      </c>
      <c r="J292" s="23">
        <v>45939</v>
      </c>
      <c r="K292" s="14" t="s">
        <v>158</v>
      </c>
      <c r="L292" s="14" t="s">
        <v>2311</v>
      </c>
      <c r="M292" s="14" t="s">
        <v>2312</v>
      </c>
      <c r="N292" s="11">
        <v>202509061495</v>
      </c>
      <c r="O292" s="48">
        <v>45900</v>
      </c>
    </row>
    <row r="293" spans="1:15" x14ac:dyDescent="0.4">
      <c r="A293" s="36">
        <v>1691</v>
      </c>
      <c r="B293" s="12" t="s">
        <v>2313</v>
      </c>
      <c r="C293" s="43">
        <v>45840</v>
      </c>
      <c r="D293" s="14" t="s">
        <v>452</v>
      </c>
      <c r="E293" s="13" t="s">
        <v>2314</v>
      </c>
      <c r="F293" s="14" t="s">
        <v>36</v>
      </c>
      <c r="G293" s="12" t="s">
        <v>2315</v>
      </c>
      <c r="H293" s="12" t="s">
        <v>2316</v>
      </c>
      <c r="I293" s="12" t="s">
        <v>2317</v>
      </c>
      <c r="J293" s="23">
        <v>45939</v>
      </c>
      <c r="K293" s="14" t="s">
        <v>2318</v>
      </c>
      <c r="L293" s="14" t="s">
        <v>2319</v>
      </c>
      <c r="M293" s="14" t="s">
        <v>2320</v>
      </c>
      <c r="N293" s="11">
        <v>202509052811</v>
      </c>
      <c r="O293" s="48">
        <v>45866</v>
      </c>
    </row>
    <row r="294" spans="1:15" ht="30" customHeight="1" x14ac:dyDescent="0.4">
      <c r="A294" s="35">
        <v>1692</v>
      </c>
      <c r="B294" s="12" t="s">
        <v>2321</v>
      </c>
      <c r="C294" s="43">
        <v>45904</v>
      </c>
      <c r="D294" s="14" t="s">
        <v>536</v>
      </c>
      <c r="E294" s="13" t="s">
        <v>2322</v>
      </c>
      <c r="F294" s="14" t="s">
        <v>36</v>
      </c>
      <c r="G294" s="12" t="s">
        <v>2323</v>
      </c>
      <c r="H294" s="12" t="s">
        <v>2324</v>
      </c>
      <c r="I294" s="12" t="s">
        <v>2325</v>
      </c>
      <c r="J294" s="23">
        <v>45939</v>
      </c>
      <c r="K294" s="14" t="s">
        <v>2326</v>
      </c>
      <c r="L294" s="14" t="s">
        <v>2327</v>
      </c>
      <c r="M294" s="14" t="s">
        <v>2328</v>
      </c>
      <c r="N294" s="11">
        <v>202509067680</v>
      </c>
      <c r="O294" s="48">
        <v>45924</v>
      </c>
    </row>
    <row r="295" spans="1:15" x14ac:dyDescent="0.4">
      <c r="A295" s="36">
        <v>1693</v>
      </c>
      <c r="B295" s="12" t="s">
        <v>2329</v>
      </c>
      <c r="C295" s="43">
        <v>45912</v>
      </c>
      <c r="D295" s="12" t="s">
        <v>492</v>
      </c>
      <c r="E295" s="13" t="s">
        <v>2330</v>
      </c>
      <c r="F295" s="14" t="s">
        <v>55</v>
      </c>
      <c r="G295" s="12" t="s">
        <v>2331</v>
      </c>
      <c r="H295" s="12" t="s">
        <v>2332</v>
      </c>
      <c r="I295" s="12" t="s">
        <v>2333</v>
      </c>
      <c r="J295" s="23">
        <v>45939</v>
      </c>
      <c r="K295" s="14" t="s">
        <v>2334</v>
      </c>
      <c r="L295" s="14" t="s">
        <v>2335</v>
      </c>
      <c r="M295" s="14" t="s">
        <v>1372</v>
      </c>
      <c r="N295" s="11">
        <v>202509068030</v>
      </c>
      <c r="O295" s="48">
        <v>45925</v>
      </c>
    </row>
    <row r="296" spans="1:15" x14ac:dyDescent="0.4">
      <c r="A296" s="35">
        <v>1694</v>
      </c>
      <c r="B296" s="12" t="s">
        <v>2336</v>
      </c>
      <c r="C296" s="43">
        <v>45872</v>
      </c>
      <c r="D296" s="14" t="s">
        <v>509</v>
      </c>
      <c r="E296" s="13" t="s">
        <v>2337</v>
      </c>
      <c r="F296" s="14" t="s">
        <v>36</v>
      </c>
      <c r="G296" s="12" t="s">
        <v>2338</v>
      </c>
      <c r="H296" s="12" t="s">
        <v>2339</v>
      </c>
      <c r="I296" s="12" t="s">
        <v>2340</v>
      </c>
      <c r="J296" s="23">
        <v>45939</v>
      </c>
      <c r="K296" s="14"/>
      <c r="L296" s="14" t="s">
        <v>2341</v>
      </c>
      <c r="M296" s="14" t="s">
        <v>744</v>
      </c>
      <c r="N296" s="11">
        <v>202509067260</v>
      </c>
      <c r="O296" s="48">
        <v>45922</v>
      </c>
    </row>
    <row r="297" spans="1:15" x14ac:dyDescent="0.4">
      <c r="A297" s="36">
        <v>1695</v>
      </c>
      <c r="B297" s="12" t="s">
        <v>2342</v>
      </c>
      <c r="C297" s="43">
        <v>45876</v>
      </c>
      <c r="D297" s="14" t="s">
        <v>44</v>
      </c>
      <c r="E297" s="13" t="s">
        <v>2343</v>
      </c>
      <c r="F297" s="14" t="s">
        <v>36</v>
      </c>
      <c r="G297" s="12" t="s">
        <v>2344</v>
      </c>
      <c r="H297" s="12" t="s">
        <v>2275</v>
      </c>
      <c r="I297" s="12" t="s">
        <v>2345</v>
      </c>
      <c r="J297" s="23">
        <v>45939</v>
      </c>
      <c r="K297" s="12">
        <v>212</v>
      </c>
      <c r="L297" s="14" t="s">
        <v>2346</v>
      </c>
      <c r="M297" s="14" t="s">
        <v>2347</v>
      </c>
      <c r="N297" s="11">
        <v>202509068888</v>
      </c>
      <c r="O297" s="48">
        <v>45929</v>
      </c>
    </row>
    <row r="298" spans="1:15" ht="30" customHeight="1" x14ac:dyDescent="0.4">
      <c r="A298" s="35">
        <v>1696</v>
      </c>
      <c r="B298" s="12" t="s">
        <v>2348</v>
      </c>
      <c r="C298" s="43">
        <v>45832</v>
      </c>
      <c r="D298" s="12" t="s">
        <v>2349</v>
      </c>
      <c r="E298" s="13" t="s">
        <v>2350</v>
      </c>
      <c r="F298" s="14" t="s">
        <v>55</v>
      </c>
      <c r="G298" s="12" t="s">
        <v>2351</v>
      </c>
      <c r="H298" s="12" t="s">
        <v>2352</v>
      </c>
      <c r="I298" s="12" t="s">
        <v>2353</v>
      </c>
      <c r="J298" s="23">
        <v>45940</v>
      </c>
      <c r="K298" s="14" t="s">
        <v>2354</v>
      </c>
      <c r="L298" s="14" t="s">
        <v>2355</v>
      </c>
      <c r="M298" s="14" t="s">
        <v>2356</v>
      </c>
      <c r="N298" s="11">
        <v>202509067731</v>
      </c>
      <c r="O298" s="48">
        <v>45924</v>
      </c>
    </row>
    <row r="299" spans="1:15" ht="30" customHeight="1" x14ac:dyDescent="0.4">
      <c r="A299" s="36">
        <v>1697</v>
      </c>
      <c r="B299" s="12" t="s">
        <v>2357</v>
      </c>
      <c r="C299" s="43">
        <v>45905</v>
      </c>
      <c r="D299" s="12" t="s">
        <v>2358</v>
      </c>
      <c r="E299" s="13" t="s">
        <v>2359</v>
      </c>
      <c r="F299" s="14" t="s">
        <v>55</v>
      </c>
      <c r="G299" s="12" t="s">
        <v>2360</v>
      </c>
      <c r="H299" s="12" t="s">
        <v>2361</v>
      </c>
      <c r="I299" s="12" t="s">
        <v>2362</v>
      </c>
      <c r="J299" s="23">
        <v>45940</v>
      </c>
      <c r="K299" s="14" t="s">
        <v>2363</v>
      </c>
      <c r="L299" s="14" t="s">
        <v>2364</v>
      </c>
      <c r="M299" s="14" t="s">
        <v>2365</v>
      </c>
      <c r="N299" s="11">
        <v>202509068246</v>
      </c>
      <c r="O299" s="48">
        <v>45926</v>
      </c>
    </row>
    <row r="300" spans="1:15" x14ac:dyDescent="0.4">
      <c r="A300" s="35">
        <v>1698</v>
      </c>
      <c r="B300" s="12" t="s">
        <v>2366</v>
      </c>
      <c r="C300" s="43">
        <v>45893</v>
      </c>
      <c r="D300" s="12" t="s">
        <v>135</v>
      </c>
      <c r="E300" s="13" t="s">
        <v>2367</v>
      </c>
      <c r="F300" s="14" t="s">
        <v>55</v>
      </c>
      <c r="G300" s="12" t="s">
        <v>2368</v>
      </c>
      <c r="H300" s="12" t="s">
        <v>1421</v>
      </c>
      <c r="I300" s="12" t="s">
        <v>2369</v>
      </c>
      <c r="J300" s="23">
        <v>45940</v>
      </c>
      <c r="K300" s="14" t="s">
        <v>2370</v>
      </c>
      <c r="L300" s="14" t="s">
        <v>2371</v>
      </c>
      <c r="M300" s="14" t="s">
        <v>816</v>
      </c>
      <c r="N300" s="11">
        <v>202509065571</v>
      </c>
      <c r="O300" s="48">
        <v>45916</v>
      </c>
    </row>
    <row r="301" spans="1:15" x14ac:dyDescent="0.4">
      <c r="A301" s="36">
        <v>1699</v>
      </c>
      <c r="B301" s="12" t="s">
        <v>2372</v>
      </c>
      <c r="C301" s="43">
        <v>45700</v>
      </c>
      <c r="D301" s="12" t="s">
        <v>2373</v>
      </c>
      <c r="E301" s="13" t="s">
        <v>2374</v>
      </c>
      <c r="F301" s="14" t="s">
        <v>36</v>
      </c>
      <c r="G301" s="12" t="s">
        <v>2375</v>
      </c>
      <c r="H301" s="12" t="s">
        <v>1460</v>
      </c>
      <c r="I301" s="12" t="s">
        <v>2376</v>
      </c>
      <c r="J301" s="23">
        <v>45940</v>
      </c>
      <c r="K301" s="14" t="s">
        <v>2377</v>
      </c>
      <c r="L301" s="14" t="s">
        <v>2378</v>
      </c>
      <c r="M301" s="14" t="s">
        <v>310</v>
      </c>
      <c r="N301" s="11">
        <v>202509066935</v>
      </c>
      <c r="O301" s="48">
        <v>45921</v>
      </c>
    </row>
    <row r="302" spans="1:15" x14ac:dyDescent="0.4">
      <c r="A302" s="35">
        <v>1700</v>
      </c>
      <c r="B302" s="12" t="s">
        <v>2379</v>
      </c>
      <c r="C302" s="43">
        <v>45877</v>
      </c>
      <c r="D302" s="14" t="s">
        <v>44</v>
      </c>
      <c r="E302" s="13" t="s">
        <v>2380</v>
      </c>
      <c r="F302" s="14" t="s">
        <v>55</v>
      </c>
      <c r="G302" s="12" t="s">
        <v>2381</v>
      </c>
      <c r="H302" s="12" t="s">
        <v>2382</v>
      </c>
      <c r="I302" s="12" t="s">
        <v>2383</v>
      </c>
      <c r="J302" s="23">
        <v>45940</v>
      </c>
      <c r="K302" s="14" t="s">
        <v>2384</v>
      </c>
      <c r="L302" s="14" t="s">
        <v>2385</v>
      </c>
      <c r="M302" s="14" t="s">
        <v>2386</v>
      </c>
      <c r="N302" s="11">
        <v>202509068892</v>
      </c>
      <c r="O302" s="48">
        <v>45929</v>
      </c>
    </row>
    <row r="303" spans="1:15" x14ac:dyDescent="0.4">
      <c r="A303" s="36">
        <v>1701</v>
      </c>
      <c r="B303" s="12" t="s">
        <v>2387</v>
      </c>
      <c r="C303" s="43">
        <v>45890</v>
      </c>
      <c r="D303" s="14" t="s">
        <v>670</v>
      </c>
      <c r="E303" s="13" t="s">
        <v>2388</v>
      </c>
      <c r="F303" s="14" t="s">
        <v>36</v>
      </c>
      <c r="G303" s="12" t="s">
        <v>2389</v>
      </c>
      <c r="H303" s="12" t="s">
        <v>2390</v>
      </c>
      <c r="I303" s="12" t="s">
        <v>2391</v>
      </c>
      <c r="J303" s="23">
        <v>45940</v>
      </c>
      <c r="K303" s="14" t="s">
        <v>2392</v>
      </c>
      <c r="L303" s="14" t="s">
        <v>2393</v>
      </c>
      <c r="M303" s="14" t="s">
        <v>2394</v>
      </c>
      <c r="N303" s="11">
        <v>202509068504</v>
      </c>
      <c r="O303" s="48">
        <v>45927</v>
      </c>
    </row>
    <row r="304" spans="1:15" x14ac:dyDescent="0.4">
      <c r="A304" s="35">
        <v>1702</v>
      </c>
      <c r="B304" s="12" t="s">
        <v>2395</v>
      </c>
      <c r="C304" s="43">
        <v>45698</v>
      </c>
      <c r="D304" s="14" t="s">
        <v>509</v>
      </c>
      <c r="E304" s="13" t="s">
        <v>2396</v>
      </c>
      <c r="F304" s="14" t="s">
        <v>36</v>
      </c>
      <c r="G304" s="12" t="s">
        <v>2397</v>
      </c>
      <c r="H304" s="12" t="s">
        <v>2398</v>
      </c>
      <c r="I304" s="12" t="s">
        <v>2399</v>
      </c>
      <c r="J304" s="23">
        <v>45940</v>
      </c>
      <c r="K304" s="14" t="s">
        <v>2400</v>
      </c>
      <c r="L304" s="14" t="s">
        <v>2401</v>
      </c>
      <c r="M304" s="14" t="s">
        <v>2402</v>
      </c>
      <c r="N304" s="11">
        <v>202509048952</v>
      </c>
      <c r="O304" s="48">
        <v>45852</v>
      </c>
    </row>
    <row r="305" spans="1:15" x14ac:dyDescent="0.4">
      <c r="A305" s="36">
        <v>1703</v>
      </c>
      <c r="B305" s="12" t="s">
        <v>2403</v>
      </c>
      <c r="C305" s="43">
        <v>45867</v>
      </c>
      <c r="D305" s="14" t="s">
        <v>411</v>
      </c>
      <c r="E305" s="13" t="s">
        <v>2404</v>
      </c>
      <c r="F305" s="14" t="s">
        <v>36</v>
      </c>
      <c r="G305" s="12" t="s">
        <v>2405</v>
      </c>
      <c r="H305" s="12" t="s">
        <v>2406</v>
      </c>
      <c r="I305" s="12" t="s">
        <v>2407</v>
      </c>
      <c r="J305" s="23">
        <v>45940</v>
      </c>
      <c r="K305" s="14" t="s">
        <v>2408</v>
      </c>
      <c r="L305" s="14" t="s">
        <v>2409</v>
      </c>
      <c r="M305" s="14" t="s">
        <v>2410</v>
      </c>
      <c r="N305" s="11">
        <v>202509067961</v>
      </c>
      <c r="O305" s="48">
        <v>45925</v>
      </c>
    </row>
    <row r="306" spans="1:15" ht="30" customHeight="1" x14ac:dyDescent="0.4">
      <c r="A306" s="35">
        <v>1704</v>
      </c>
      <c r="B306" s="12" t="s">
        <v>2411</v>
      </c>
      <c r="C306" s="43">
        <v>45845</v>
      </c>
      <c r="D306" s="14" t="s">
        <v>509</v>
      </c>
      <c r="E306" s="13" t="s">
        <v>2412</v>
      </c>
      <c r="F306" s="14" t="s">
        <v>36</v>
      </c>
      <c r="G306" s="12" t="s">
        <v>2413</v>
      </c>
      <c r="H306" s="12" t="s">
        <v>2414</v>
      </c>
      <c r="I306" s="12" t="s">
        <v>2415</v>
      </c>
      <c r="J306" s="23">
        <v>45940</v>
      </c>
      <c r="K306" s="14" t="s">
        <v>2416</v>
      </c>
      <c r="L306" s="14" t="s">
        <v>2235</v>
      </c>
      <c r="M306" s="14" t="s">
        <v>383</v>
      </c>
      <c r="N306" s="11">
        <v>202509067422</v>
      </c>
      <c r="O306" s="48">
        <v>45923</v>
      </c>
    </row>
    <row r="307" spans="1:15" ht="30" customHeight="1" x14ac:dyDescent="0.4">
      <c r="A307" s="36">
        <v>1705</v>
      </c>
      <c r="B307" s="12" t="s">
        <v>2417</v>
      </c>
      <c r="C307" s="43">
        <v>45853</v>
      </c>
      <c r="D307" s="14" t="s">
        <v>44</v>
      </c>
      <c r="E307" s="13" t="s">
        <v>2418</v>
      </c>
      <c r="F307" s="14" t="s">
        <v>36</v>
      </c>
      <c r="G307" s="12" t="s">
        <v>2419</v>
      </c>
      <c r="H307" s="12" t="s">
        <v>2420</v>
      </c>
      <c r="I307" s="12" t="s">
        <v>2421</v>
      </c>
      <c r="J307" s="23">
        <v>45940</v>
      </c>
      <c r="K307" s="14" t="s">
        <v>158</v>
      </c>
      <c r="L307" s="14" t="s">
        <v>2422</v>
      </c>
      <c r="M307" s="14" t="s">
        <v>2013</v>
      </c>
      <c r="N307" s="11">
        <v>202509067130</v>
      </c>
      <c r="O307" s="48">
        <v>45922</v>
      </c>
    </row>
    <row r="308" spans="1:15" ht="30" customHeight="1" x14ac:dyDescent="0.4">
      <c r="A308" s="35">
        <v>1706</v>
      </c>
      <c r="B308" s="12" t="s">
        <v>2423</v>
      </c>
      <c r="C308" s="43">
        <v>45874</v>
      </c>
      <c r="D308" s="14" t="s">
        <v>1218</v>
      </c>
      <c r="E308" s="13" t="s">
        <v>2424</v>
      </c>
      <c r="F308" s="14" t="s">
        <v>36</v>
      </c>
      <c r="G308" s="12" t="s">
        <v>1249</v>
      </c>
      <c r="H308" s="12" t="s">
        <v>2425</v>
      </c>
      <c r="I308" s="12" t="s">
        <v>2426</v>
      </c>
      <c r="J308" s="23">
        <v>45940</v>
      </c>
      <c r="K308" s="14" t="s">
        <v>2427</v>
      </c>
      <c r="L308" s="14" t="s">
        <v>2428</v>
      </c>
      <c r="M308" s="14" t="s">
        <v>2429</v>
      </c>
      <c r="N308" s="11">
        <v>202509062037</v>
      </c>
      <c r="O308" s="48">
        <v>45902</v>
      </c>
    </row>
    <row r="309" spans="1:15" ht="30" customHeight="1" x14ac:dyDescent="0.4">
      <c r="A309" s="36">
        <v>1707</v>
      </c>
      <c r="B309" s="12" t="s">
        <v>2430</v>
      </c>
      <c r="C309" s="43">
        <v>45785</v>
      </c>
      <c r="D309" s="14" t="s">
        <v>547</v>
      </c>
      <c r="E309" s="13" t="s">
        <v>2431</v>
      </c>
      <c r="F309" s="14" t="s">
        <v>36</v>
      </c>
      <c r="G309" s="12" t="s">
        <v>2432</v>
      </c>
      <c r="H309" s="12" t="s">
        <v>2433</v>
      </c>
      <c r="I309" s="12" t="s">
        <v>2434</v>
      </c>
      <c r="J309" s="23">
        <v>45940</v>
      </c>
      <c r="K309" s="14" t="s">
        <v>2435</v>
      </c>
      <c r="L309" s="14" t="s">
        <v>2436</v>
      </c>
      <c r="M309" s="14" t="s">
        <v>2437</v>
      </c>
      <c r="N309" s="11">
        <v>202509066463</v>
      </c>
      <c r="O309" s="48">
        <v>45919</v>
      </c>
    </row>
    <row r="310" spans="1:15" ht="30" customHeight="1" x14ac:dyDescent="0.4">
      <c r="A310" s="35">
        <v>1708</v>
      </c>
      <c r="B310" s="12" t="s">
        <v>2438</v>
      </c>
      <c r="C310" s="43">
        <v>45842</v>
      </c>
      <c r="D310" s="14" t="s">
        <v>509</v>
      </c>
      <c r="E310" s="12" t="s">
        <v>2439</v>
      </c>
      <c r="F310" s="14" t="s">
        <v>55</v>
      </c>
      <c r="G310" s="12" t="s">
        <v>2440</v>
      </c>
      <c r="H310" s="12" t="s">
        <v>2441</v>
      </c>
      <c r="I310" s="12" t="s">
        <v>2442</v>
      </c>
      <c r="J310" s="23">
        <v>45940</v>
      </c>
      <c r="K310" s="14" t="s">
        <v>2443</v>
      </c>
      <c r="L310" s="14" t="s">
        <v>2444</v>
      </c>
      <c r="M310" s="14" t="s">
        <v>2445</v>
      </c>
      <c r="N310" s="11">
        <v>202509062835</v>
      </c>
      <c r="O310" s="48">
        <v>45905</v>
      </c>
    </row>
    <row r="311" spans="1:15" x14ac:dyDescent="0.4">
      <c r="A311" s="36">
        <v>1709</v>
      </c>
      <c r="B311" s="12" t="s">
        <v>2446</v>
      </c>
      <c r="C311" s="43">
        <v>45584</v>
      </c>
      <c r="D311" s="14" t="s">
        <v>411</v>
      </c>
      <c r="E311" s="13" t="s">
        <v>2447</v>
      </c>
      <c r="F311" s="14" t="s">
        <v>36</v>
      </c>
      <c r="G311" s="12" t="s">
        <v>2448</v>
      </c>
      <c r="H311" s="12" t="s">
        <v>2449</v>
      </c>
      <c r="I311" s="12" t="s">
        <v>2450</v>
      </c>
      <c r="J311" s="23">
        <v>45940</v>
      </c>
      <c r="K311" s="14" t="s">
        <v>2451</v>
      </c>
      <c r="L311" s="14" t="s">
        <v>2452</v>
      </c>
      <c r="M311" s="14" t="s">
        <v>2453</v>
      </c>
      <c r="N311" s="11">
        <v>202509066156</v>
      </c>
      <c r="O311" s="48">
        <v>45918</v>
      </c>
    </row>
    <row r="312" spans="1:15" x14ac:dyDescent="0.4">
      <c r="A312" s="35">
        <v>1710</v>
      </c>
      <c r="B312" s="12" t="s">
        <v>2454</v>
      </c>
      <c r="C312" s="43">
        <v>45825</v>
      </c>
      <c r="D312" s="14" t="s">
        <v>536</v>
      </c>
      <c r="E312" s="13" t="s">
        <v>2455</v>
      </c>
      <c r="F312" s="14" t="s">
        <v>36</v>
      </c>
      <c r="G312" s="12" t="s">
        <v>2456</v>
      </c>
      <c r="H312" s="12" t="s">
        <v>2457</v>
      </c>
      <c r="I312" s="12" t="s">
        <v>2458</v>
      </c>
      <c r="J312" s="23">
        <v>45940</v>
      </c>
      <c r="K312" s="14" t="s">
        <v>2459</v>
      </c>
      <c r="L312" s="14" t="s">
        <v>2460</v>
      </c>
      <c r="M312" s="14" t="s">
        <v>2461</v>
      </c>
      <c r="N312" s="11">
        <v>202509061639</v>
      </c>
      <c r="O312" s="48">
        <v>45901</v>
      </c>
    </row>
    <row r="313" spans="1:15" x14ac:dyDescent="0.4">
      <c r="A313" s="36">
        <v>1711</v>
      </c>
      <c r="B313" s="12" t="s">
        <v>2462</v>
      </c>
      <c r="C313" s="43">
        <v>45854</v>
      </c>
      <c r="D313" s="14" t="s">
        <v>904</v>
      </c>
      <c r="E313" s="13" t="s">
        <v>2463</v>
      </c>
      <c r="F313" s="14" t="s">
        <v>36</v>
      </c>
      <c r="G313" s="12" t="s">
        <v>2464</v>
      </c>
      <c r="H313" s="12" t="s">
        <v>2465</v>
      </c>
      <c r="I313" s="12" t="s">
        <v>2466</v>
      </c>
      <c r="J313" s="23">
        <v>45940</v>
      </c>
      <c r="K313" s="14" t="s">
        <v>158</v>
      </c>
      <c r="L313" s="14" t="s">
        <v>2467</v>
      </c>
      <c r="M313" s="14" t="s">
        <v>310</v>
      </c>
      <c r="N313" s="11">
        <v>202509061626</v>
      </c>
      <c r="O313" s="48">
        <v>45901</v>
      </c>
    </row>
    <row r="314" spans="1:15" x14ac:dyDescent="0.4">
      <c r="A314" s="35">
        <v>1712</v>
      </c>
      <c r="B314" s="12" t="s">
        <v>1180</v>
      </c>
      <c r="C314" s="43">
        <v>45857</v>
      </c>
      <c r="D314" s="14" t="s">
        <v>509</v>
      </c>
      <c r="E314" s="13" t="s">
        <v>2468</v>
      </c>
      <c r="F314" s="14" t="s">
        <v>55</v>
      </c>
      <c r="G314" s="12" t="s">
        <v>1082</v>
      </c>
      <c r="H314" s="12" t="s">
        <v>2469</v>
      </c>
      <c r="I314" s="12" t="s">
        <v>2470</v>
      </c>
      <c r="J314" s="23">
        <v>45940</v>
      </c>
      <c r="K314" s="14" t="s">
        <v>2471</v>
      </c>
      <c r="L314" s="14" t="s">
        <v>1432</v>
      </c>
      <c r="M314" s="14" t="s">
        <v>1433</v>
      </c>
      <c r="N314" s="11">
        <v>202509061623</v>
      </c>
      <c r="O314" s="48">
        <v>45901</v>
      </c>
    </row>
    <row r="315" spans="1:15" ht="30" customHeight="1" x14ac:dyDescent="0.4">
      <c r="A315" s="36">
        <v>1713</v>
      </c>
      <c r="B315" s="12" t="s">
        <v>2472</v>
      </c>
      <c r="C315" s="43">
        <v>45870</v>
      </c>
      <c r="D315" s="14" t="s">
        <v>1931</v>
      </c>
      <c r="E315" s="13" t="s">
        <v>2473</v>
      </c>
      <c r="F315" s="14" t="s">
        <v>36</v>
      </c>
      <c r="G315" s="12" t="s">
        <v>2474</v>
      </c>
      <c r="H315" s="12" t="s">
        <v>2475</v>
      </c>
      <c r="I315" s="12" t="s">
        <v>2476</v>
      </c>
      <c r="J315" s="23">
        <v>45940</v>
      </c>
      <c r="K315" s="14" t="s">
        <v>2477</v>
      </c>
      <c r="L315" s="14" t="s">
        <v>2478</v>
      </c>
      <c r="M315" s="14" t="s">
        <v>613</v>
      </c>
      <c r="N315" s="11">
        <v>202509067813</v>
      </c>
      <c r="O315" s="48">
        <v>45924</v>
      </c>
    </row>
    <row r="316" spans="1:15" x14ac:dyDescent="0.4">
      <c r="A316" s="35">
        <v>1714</v>
      </c>
      <c r="B316" s="12" t="s">
        <v>2479</v>
      </c>
      <c r="C316" s="43">
        <v>45758</v>
      </c>
      <c r="D316" s="14" t="s">
        <v>1931</v>
      </c>
      <c r="E316" s="13" t="s">
        <v>2480</v>
      </c>
      <c r="F316" s="14" t="s">
        <v>55</v>
      </c>
      <c r="G316" s="12" t="s">
        <v>2481</v>
      </c>
      <c r="H316" s="12" t="s">
        <v>2482</v>
      </c>
      <c r="I316" s="12" t="s">
        <v>2483</v>
      </c>
      <c r="J316" s="23">
        <v>45940</v>
      </c>
      <c r="K316" s="14" t="s">
        <v>2484</v>
      </c>
      <c r="L316" s="14" t="s">
        <v>2485</v>
      </c>
      <c r="M316" s="14" t="s">
        <v>2250</v>
      </c>
      <c r="N316" s="11">
        <v>202509045525</v>
      </c>
      <c r="O316" s="48">
        <v>45839</v>
      </c>
    </row>
    <row r="317" spans="1:15" x14ac:dyDescent="0.4">
      <c r="A317" s="36">
        <v>1715</v>
      </c>
      <c r="B317" s="12" t="s">
        <v>2486</v>
      </c>
      <c r="C317" s="43">
        <v>45877</v>
      </c>
      <c r="D317" s="14" t="s">
        <v>1503</v>
      </c>
      <c r="E317" s="13" t="s">
        <v>2487</v>
      </c>
      <c r="F317" s="14" t="s">
        <v>36</v>
      </c>
      <c r="G317" s="12" t="s">
        <v>1428</v>
      </c>
      <c r="H317" s="12" t="s">
        <v>2488</v>
      </c>
      <c r="I317" s="12" t="s">
        <v>2489</v>
      </c>
      <c r="J317" s="23">
        <v>45940</v>
      </c>
      <c r="K317" s="14" t="s">
        <v>2490</v>
      </c>
      <c r="L317" s="14" t="s">
        <v>2491</v>
      </c>
      <c r="M317" s="14" t="s">
        <v>79</v>
      </c>
      <c r="N317" s="11">
        <v>202509067963</v>
      </c>
      <c r="O317" s="48">
        <v>45925</v>
      </c>
    </row>
    <row r="318" spans="1:15" x14ac:dyDescent="0.4">
      <c r="A318" s="35">
        <v>1716</v>
      </c>
      <c r="B318" s="12" t="s">
        <v>2492</v>
      </c>
      <c r="C318" s="43">
        <v>45828</v>
      </c>
      <c r="D318" s="14" t="s">
        <v>509</v>
      </c>
      <c r="E318" s="13" t="s">
        <v>2493</v>
      </c>
      <c r="F318" s="14" t="s">
        <v>55</v>
      </c>
      <c r="G318" s="12" t="s">
        <v>2494</v>
      </c>
      <c r="H318" s="12" t="s">
        <v>1053</v>
      </c>
      <c r="I318" s="12" t="s">
        <v>2495</v>
      </c>
      <c r="J318" s="23">
        <v>45940</v>
      </c>
      <c r="K318" s="14">
        <v>106</v>
      </c>
      <c r="L318" s="14" t="s">
        <v>2496</v>
      </c>
      <c r="M318" s="14" t="s">
        <v>613</v>
      </c>
      <c r="N318" s="11">
        <v>202509067982</v>
      </c>
      <c r="O318" s="48">
        <v>45925</v>
      </c>
    </row>
    <row r="319" spans="1:15" x14ac:dyDescent="0.4">
      <c r="A319" s="36">
        <v>1717</v>
      </c>
      <c r="B319" s="12" t="s">
        <v>2497</v>
      </c>
      <c r="C319" s="43">
        <v>45834</v>
      </c>
      <c r="D319" s="14" t="s">
        <v>1931</v>
      </c>
      <c r="E319" s="13" t="s">
        <v>2498</v>
      </c>
      <c r="F319" s="14" t="s">
        <v>36</v>
      </c>
      <c r="G319" s="12" t="s">
        <v>2499</v>
      </c>
      <c r="H319" s="12" t="s">
        <v>2500</v>
      </c>
      <c r="I319" s="12" t="s">
        <v>2501</v>
      </c>
      <c r="J319" s="23">
        <v>45940</v>
      </c>
      <c r="K319" s="14" t="s">
        <v>2502</v>
      </c>
      <c r="L319" s="14" t="s">
        <v>2503</v>
      </c>
      <c r="M319" s="14" t="s">
        <v>2504</v>
      </c>
      <c r="N319" s="11">
        <v>202509067879</v>
      </c>
      <c r="O319" s="48">
        <v>45924</v>
      </c>
    </row>
    <row r="320" spans="1:15" x14ac:dyDescent="0.4">
      <c r="A320" s="35">
        <v>1718</v>
      </c>
      <c r="B320" s="12" t="s">
        <v>2505</v>
      </c>
      <c r="C320" s="43">
        <v>45742</v>
      </c>
      <c r="D320" s="14" t="s">
        <v>670</v>
      </c>
      <c r="E320" s="13" t="s">
        <v>2506</v>
      </c>
      <c r="F320" s="14" t="s">
        <v>55</v>
      </c>
      <c r="G320" s="12" t="s">
        <v>2507</v>
      </c>
      <c r="H320" s="12" t="s">
        <v>2508</v>
      </c>
      <c r="I320" s="12" t="s">
        <v>2509</v>
      </c>
      <c r="J320" s="23">
        <v>45940</v>
      </c>
      <c r="K320" s="14" t="s">
        <v>2510</v>
      </c>
      <c r="L320" s="14" t="s">
        <v>2511</v>
      </c>
      <c r="M320" s="14" t="s">
        <v>2512</v>
      </c>
      <c r="N320" s="11">
        <v>202509049652</v>
      </c>
      <c r="O320" s="48">
        <v>45854</v>
      </c>
    </row>
    <row r="321" spans="1:15" ht="30" customHeight="1" x14ac:dyDescent="0.4">
      <c r="A321" s="36">
        <v>1719</v>
      </c>
      <c r="B321" s="12" t="s">
        <v>2513</v>
      </c>
      <c r="C321" s="43">
        <v>45895</v>
      </c>
      <c r="D321" s="14" t="s">
        <v>1931</v>
      </c>
      <c r="E321" s="13" t="s">
        <v>2514</v>
      </c>
      <c r="F321" s="14" t="s">
        <v>36</v>
      </c>
      <c r="G321" s="12" t="s">
        <v>2515</v>
      </c>
      <c r="H321" s="12" t="s">
        <v>2516</v>
      </c>
      <c r="I321" s="12" t="s">
        <v>2517</v>
      </c>
      <c r="J321" s="23">
        <v>45940</v>
      </c>
      <c r="K321" s="14" t="s">
        <v>2518</v>
      </c>
      <c r="L321" s="14" t="s">
        <v>2519</v>
      </c>
      <c r="M321" s="14" t="s">
        <v>2520</v>
      </c>
      <c r="N321" s="11">
        <v>202509069195</v>
      </c>
      <c r="O321" s="48">
        <v>45930</v>
      </c>
    </row>
    <row r="322" spans="1:15" x14ac:dyDescent="0.4">
      <c r="A322" s="35">
        <v>1720</v>
      </c>
      <c r="B322" s="12" t="s">
        <v>2521</v>
      </c>
      <c r="C322" s="43">
        <v>45804</v>
      </c>
      <c r="D322" s="14" t="s">
        <v>527</v>
      </c>
      <c r="E322" s="13" t="s">
        <v>2522</v>
      </c>
      <c r="F322" s="14" t="s">
        <v>55</v>
      </c>
      <c r="G322" s="12" t="s">
        <v>2523</v>
      </c>
      <c r="H322" s="12" t="s">
        <v>2524</v>
      </c>
      <c r="I322" s="12" t="s">
        <v>2525</v>
      </c>
      <c r="J322" s="23">
        <v>45940</v>
      </c>
      <c r="K322" s="14" t="s">
        <v>2526</v>
      </c>
      <c r="L322" s="14" t="s">
        <v>2527</v>
      </c>
      <c r="M322" s="14" t="s">
        <v>2528</v>
      </c>
      <c r="N322" s="11">
        <v>202509069202</v>
      </c>
      <c r="O322" s="48">
        <v>45930</v>
      </c>
    </row>
    <row r="323" spans="1:15" x14ac:dyDescent="0.4">
      <c r="A323" s="36">
        <v>1721</v>
      </c>
      <c r="B323" s="12" t="s">
        <v>2529</v>
      </c>
      <c r="C323" s="43">
        <v>45822</v>
      </c>
      <c r="D323" s="14" t="s">
        <v>2098</v>
      </c>
      <c r="E323" s="13" t="s">
        <v>2530</v>
      </c>
      <c r="F323" s="14" t="s">
        <v>36</v>
      </c>
      <c r="G323" s="12" t="s">
        <v>2531</v>
      </c>
      <c r="H323" s="12" t="s">
        <v>2532</v>
      </c>
      <c r="I323" s="12" t="s">
        <v>2533</v>
      </c>
      <c r="J323" s="23">
        <v>45940</v>
      </c>
      <c r="K323" s="14" t="s">
        <v>2534</v>
      </c>
      <c r="L323" s="14" t="s">
        <v>2535</v>
      </c>
      <c r="M323" s="14" t="s">
        <v>1892</v>
      </c>
      <c r="N323" s="11">
        <v>202509063649</v>
      </c>
      <c r="O323" s="48">
        <v>45909</v>
      </c>
    </row>
    <row r="324" spans="1:15" x14ac:dyDescent="0.4">
      <c r="A324" s="35">
        <v>1722</v>
      </c>
      <c r="B324" s="12" t="s">
        <v>2536</v>
      </c>
      <c r="C324" s="43">
        <v>45792</v>
      </c>
      <c r="D324" s="14" t="s">
        <v>547</v>
      </c>
      <c r="E324" s="13" t="s">
        <v>2537</v>
      </c>
      <c r="F324" s="14" t="s">
        <v>55</v>
      </c>
      <c r="G324" s="12" t="s">
        <v>2538</v>
      </c>
      <c r="H324" s="12" t="s">
        <v>2539</v>
      </c>
      <c r="I324" s="12" t="s">
        <v>2540</v>
      </c>
      <c r="J324" s="23">
        <v>45940</v>
      </c>
      <c r="K324" s="14" t="s">
        <v>2541</v>
      </c>
      <c r="L324" s="14" t="s">
        <v>2542</v>
      </c>
      <c r="M324" s="14" t="s">
        <v>2543</v>
      </c>
      <c r="N324" s="11">
        <v>202509069508</v>
      </c>
      <c r="O324" s="48">
        <v>45931</v>
      </c>
    </row>
    <row r="325" spans="1:15" ht="30" customHeight="1" x14ac:dyDescent="0.4">
      <c r="A325" s="36">
        <v>1723</v>
      </c>
      <c r="B325" s="12" t="s">
        <v>2544</v>
      </c>
      <c r="C325" s="43">
        <v>45855</v>
      </c>
      <c r="D325" s="14" t="s">
        <v>44</v>
      </c>
      <c r="E325" s="13" t="s">
        <v>2545</v>
      </c>
      <c r="F325" s="14" t="s">
        <v>36</v>
      </c>
      <c r="G325" s="12" t="s">
        <v>2546</v>
      </c>
      <c r="H325" s="12" t="s">
        <v>2547</v>
      </c>
      <c r="I325" s="12" t="s">
        <v>2548</v>
      </c>
      <c r="J325" s="23">
        <v>45940</v>
      </c>
      <c r="K325" s="14" t="s">
        <v>2549</v>
      </c>
      <c r="L325" s="14" t="s">
        <v>2550</v>
      </c>
      <c r="M325" s="14" t="s">
        <v>466</v>
      </c>
      <c r="N325" s="11">
        <v>202509063568</v>
      </c>
      <c r="O325" s="48">
        <v>45909</v>
      </c>
    </row>
    <row r="326" spans="1:15" x14ac:dyDescent="0.4">
      <c r="A326" s="35">
        <v>1724</v>
      </c>
      <c r="B326" s="12" t="s">
        <v>2551</v>
      </c>
      <c r="C326" s="43">
        <v>45665</v>
      </c>
      <c r="D326" s="14" t="s">
        <v>1218</v>
      </c>
      <c r="E326" s="13" t="s">
        <v>2552</v>
      </c>
      <c r="F326" s="14" t="s">
        <v>36</v>
      </c>
      <c r="G326" s="12" t="s">
        <v>2553</v>
      </c>
      <c r="H326" s="12" t="s">
        <v>2554</v>
      </c>
      <c r="I326" s="12" t="s">
        <v>2555</v>
      </c>
      <c r="J326" s="23">
        <v>45940</v>
      </c>
      <c r="K326" s="14" t="s">
        <v>2556</v>
      </c>
      <c r="L326" s="14" t="s">
        <v>2557</v>
      </c>
      <c r="M326" s="14" t="s">
        <v>1103</v>
      </c>
      <c r="N326" s="11">
        <v>202509059229</v>
      </c>
      <c r="O326" s="48">
        <v>45891</v>
      </c>
    </row>
    <row r="327" spans="1:15" x14ac:dyDescent="0.4">
      <c r="A327" s="36">
        <v>1725</v>
      </c>
      <c r="B327" s="12" t="s">
        <v>2558</v>
      </c>
      <c r="C327" s="43">
        <v>45873</v>
      </c>
      <c r="D327" s="14" t="s">
        <v>527</v>
      </c>
      <c r="E327" s="13" t="s">
        <v>2559</v>
      </c>
      <c r="F327" s="14" t="s">
        <v>36</v>
      </c>
      <c r="G327" s="12" t="s">
        <v>2560</v>
      </c>
      <c r="H327" s="12" t="s">
        <v>2561</v>
      </c>
      <c r="I327" s="12" t="s">
        <v>2562</v>
      </c>
      <c r="J327" s="23">
        <v>45940</v>
      </c>
      <c r="K327" s="14" t="s">
        <v>2563</v>
      </c>
      <c r="L327" s="14" t="s">
        <v>2564</v>
      </c>
      <c r="M327" s="14" t="s">
        <v>2565</v>
      </c>
      <c r="N327" s="11">
        <v>202509069137</v>
      </c>
      <c r="O327" s="48">
        <v>45929</v>
      </c>
    </row>
    <row r="328" spans="1:15" x14ac:dyDescent="0.4">
      <c r="A328" s="35">
        <v>1726</v>
      </c>
      <c r="B328" s="12" t="s">
        <v>2566</v>
      </c>
      <c r="C328" s="43">
        <v>45824</v>
      </c>
      <c r="D328" s="14" t="s">
        <v>527</v>
      </c>
      <c r="E328" s="13" t="s">
        <v>2567</v>
      </c>
      <c r="F328" s="14" t="s">
        <v>55</v>
      </c>
      <c r="G328" s="12" t="s">
        <v>172</v>
      </c>
      <c r="H328" s="12" t="s">
        <v>2568</v>
      </c>
      <c r="I328" s="12" t="s">
        <v>2569</v>
      </c>
      <c r="J328" s="23">
        <v>45940</v>
      </c>
      <c r="K328" s="14" t="s">
        <v>2570</v>
      </c>
      <c r="L328" s="14" t="s">
        <v>2409</v>
      </c>
      <c r="M328" s="14" t="s">
        <v>2571</v>
      </c>
      <c r="N328" s="11">
        <v>202509057379</v>
      </c>
      <c r="O328" s="48">
        <v>45883</v>
      </c>
    </row>
    <row r="329" spans="1:15" x14ac:dyDescent="0.4">
      <c r="A329" s="36">
        <v>1727</v>
      </c>
      <c r="B329" s="12" t="s">
        <v>2572</v>
      </c>
      <c r="C329" s="43">
        <v>45756</v>
      </c>
      <c r="D329" s="14" t="s">
        <v>1218</v>
      </c>
      <c r="E329" s="13" t="s">
        <v>2573</v>
      </c>
      <c r="F329" s="14" t="s">
        <v>55</v>
      </c>
      <c r="G329" s="12" t="s">
        <v>2574</v>
      </c>
      <c r="H329" s="12" t="s">
        <v>2575</v>
      </c>
      <c r="I329" s="12" t="s">
        <v>2576</v>
      </c>
      <c r="J329" s="23">
        <v>45940</v>
      </c>
      <c r="K329" s="14" t="s">
        <v>158</v>
      </c>
      <c r="L329" s="14" t="s">
        <v>2577</v>
      </c>
      <c r="M329" s="14" t="s">
        <v>2461</v>
      </c>
      <c r="N329" s="11">
        <v>202509067340</v>
      </c>
      <c r="O329" s="48">
        <v>45923</v>
      </c>
    </row>
    <row r="330" spans="1:15" x14ac:dyDescent="0.4">
      <c r="A330" s="35">
        <v>1728</v>
      </c>
      <c r="B330" s="12" t="s">
        <v>2578</v>
      </c>
      <c r="C330" s="43">
        <v>45897</v>
      </c>
      <c r="D330" s="14" t="s">
        <v>536</v>
      </c>
      <c r="E330" s="13" t="s">
        <v>2579</v>
      </c>
      <c r="F330" s="14" t="s">
        <v>55</v>
      </c>
      <c r="G330" s="12" t="s">
        <v>2580</v>
      </c>
      <c r="H330" s="12" t="s">
        <v>2581</v>
      </c>
      <c r="I330" s="12" t="s">
        <v>2582</v>
      </c>
      <c r="J330" s="23">
        <v>45946</v>
      </c>
      <c r="K330" s="14" t="s">
        <v>2583</v>
      </c>
      <c r="L330" s="14" t="s">
        <v>2584</v>
      </c>
      <c r="M330" s="14" t="s">
        <v>2585</v>
      </c>
      <c r="N330" s="11">
        <v>202509069280</v>
      </c>
      <c r="O330" s="48">
        <v>45930</v>
      </c>
    </row>
    <row r="331" spans="1:15" ht="30" customHeight="1" x14ac:dyDescent="0.4">
      <c r="A331" s="36">
        <v>1729</v>
      </c>
      <c r="B331" s="12" t="s">
        <v>2586</v>
      </c>
      <c r="C331" s="43">
        <v>45889</v>
      </c>
      <c r="D331" s="14" t="s">
        <v>536</v>
      </c>
      <c r="E331" s="13" t="s">
        <v>2587</v>
      </c>
      <c r="F331" s="14" t="s">
        <v>55</v>
      </c>
      <c r="G331" s="12" t="s">
        <v>2588</v>
      </c>
      <c r="H331" s="12" t="s">
        <v>2589</v>
      </c>
      <c r="I331" s="12" t="s">
        <v>2590</v>
      </c>
      <c r="J331" s="23">
        <v>45946</v>
      </c>
      <c r="K331" s="14" t="s">
        <v>2591</v>
      </c>
      <c r="L331" s="14" t="s">
        <v>2592</v>
      </c>
      <c r="M331" s="14" t="s">
        <v>1921</v>
      </c>
      <c r="N331" s="11">
        <v>202509066134</v>
      </c>
      <c r="O331" s="48">
        <v>45918</v>
      </c>
    </row>
    <row r="332" spans="1:15" x14ac:dyDescent="0.4">
      <c r="A332" s="35">
        <v>1730</v>
      </c>
      <c r="B332" s="12" t="s">
        <v>2593</v>
      </c>
      <c r="C332" s="43">
        <v>45798</v>
      </c>
      <c r="D332" s="12" t="s">
        <v>987</v>
      </c>
      <c r="E332" s="13" t="s">
        <v>2594</v>
      </c>
      <c r="F332" s="14" t="s">
        <v>36</v>
      </c>
      <c r="G332" s="12" t="s">
        <v>2595</v>
      </c>
      <c r="H332" s="12" t="s">
        <v>2596</v>
      </c>
      <c r="I332" s="12" t="s">
        <v>2597</v>
      </c>
      <c r="J332" s="23">
        <v>45946</v>
      </c>
      <c r="K332" s="14" t="s">
        <v>2598</v>
      </c>
      <c r="L332" s="14" t="s">
        <v>2599</v>
      </c>
      <c r="M332" s="14" t="s">
        <v>2600</v>
      </c>
      <c r="N332" s="11">
        <v>202509069575</v>
      </c>
      <c r="O332" s="48">
        <v>45931</v>
      </c>
    </row>
    <row r="333" spans="1:15" x14ac:dyDescent="0.4">
      <c r="A333" s="36">
        <v>1731</v>
      </c>
      <c r="B333" s="12" t="s">
        <v>2601</v>
      </c>
      <c r="C333" s="43">
        <v>45851</v>
      </c>
      <c r="D333" s="14" t="s">
        <v>904</v>
      </c>
      <c r="E333" s="13" t="s">
        <v>2602</v>
      </c>
      <c r="F333" s="14" t="s">
        <v>36</v>
      </c>
      <c r="G333" s="12" t="s">
        <v>2603</v>
      </c>
      <c r="H333" s="12" t="s">
        <v>2604</v>
      </c>
      <c r="I333" s="12" t="s">
        <v>2605</v>
      </c>
      <c r="J333" s="23">
        <v>45946</v>
      </c>
      <c r="K333" s="14" t="s">
        <v>2606</v>
      </c>
      <c r="L333" s="14" t="s">
        <v>2607</v>
      </c>
      <c r="M333" s="14" t="s">
        <v>2608</v>
      </c>
      <c r="N333" s="11">
        <v>202509068972</v>
      </c>
      <c r="O333" s="48">
        <v>45929</v>
      </c>
    </row>
    <row r="334" spans="1:15" x14ac:dyDescent="0.4">
      <c r="A334" s="35">
        <v>1732</v>
      </c>
      <c r="B334" s="12" t="s">
        <v>1426</v>
      </c>
      <c r="C334" s="43">
        <v>45741</v>
      </c>
      <c r="D334" s="14" t="s">
        <v>2098</v>
      </c>
      <c r="E334" s="13" t="s">
        <v>2609</v>
      </c>
      <c r="F334" s="14" t="s">
        <v>55</v>
      </c>
      <c r="G334" s="12" t="s">
        <v>2610</v>
      </c>
      <c r="H334" s="12" t="s">
        <v>1536</v>
      </c>
      <c r="I334" s="12" t="s">
        <v>2611</v>
      </c>
      <c r="J334" s="23">
        <v>45946</v>
      </c>
      <c r="K334" s="14" t="s">
        <v>2612</v>
      </c>
      <c r="L334" s="14" t="s">
        <v>2613</v>
      </c>
      <c r="M334" s="14" t="s">
        <v>2614</v>
      </c>
      <c r="N334" s="11">
        <v>202509063044</v>
      </c>
      <c r="O334" s="48">
        <v>45908</v>
      </c>
    </row>
    <row r="335" spans="1:15" x14ac:dyDescent="0.4">
      <c r="A335" s="36">
        <v>1733</v>
      </c>
      <c r="B335" s="12" t="s">
        <v>2615</v>
      </c>
      <c r="C335" s="43">
        <v>45455</v>
      </c>
      <c r="D335" s="14" t="s">
        <v>670</v>
      </c>
      <c r="E335" s="13" t="s">
        <v>2616</v>
      </c>
      <c r="F335" s="14" t="s">
        <v>36</v>
      </c>
      <c r="G335" s="12" t="s">
        <v>2617</v>
      </c>
      <c r="H335" s="12" t="s">
        <v>2618</v>
      </c>
      <c r="I335" s="12" t="s">
        <v>2619</v>
      </c>
      <c r="J335" s="23">
        <v>45946</v>
      </c>
      <c r="K335" s="14" t="s">
        <v>158</v>
      </c>
      <c r="L335" s="14" t="s">
        <v>2620</v>
      </c>
      <c r="M335" s="14" t="s">
        <v>310</v>
      </c>
      <c r="N335" s="11">
        <v>202509061084</v>
      </c>
      <c r="O335" s="48">
        <v>45898</v>
      </c>
    </row>
    <row r="336" spans="1:15" x14ac:dyDescent="0.4">
      <c r="A336" s="35">
        <v>1734</v>
      </c>
      <c r="B336" s="12" t="s">
        <v>2621</v>
      </c>
      <c r="C336" s="43">
        <v>45875</v>
      </c>
      <c r="D336" s="14" t="s">
        <v>547</v>
      </c>
      <c r="E336" s="13" t="s">
        <v>2622</v>
      </c>
      <c r="F336" s="14" t="s">
        <v>55</v>
      </c>
      <c r="G336" s="12" t="s">
        <v>2623</v>
      </c>
      <c r="H336" s="12" t="s">
        <v>2624</v>
      </c>
      <c r="I336" s="12" t="s">
        <v>2625</v>
      </c>
      <c r="J336" s="23">
        <v>45946</v>
      </c>
      <c r="K336" s="14" t="s">
        <v>2626</v>
      </c>
      <c r="L336" s="14" t="s">
        <v>2627</v>
      </c>
      <c r="M336" s="14" t="s">
        <v>2628</v>
      </c>
      <c r="N336" s="11">
        <v>202509065189</v>
      </c>
      <c r="O336" s="48">
        <v>45915</v>
      </c>
    </row>
    <row r="337" spans="1:15" x14ac:dyDescent="0.4">
      <c r="A337" s="36">
        <v>1735</v>
      </c>
      <c r="B337" s="12" t="s">
        <v>2629</v>
      </c>
      <c r="C337" s="43">
        <v>45884</v>
      </c>
      <c r="D337" s="14" t="s">
        <v>509</v>
      </c>
      <c r="E337" s="13" t="s">
        <v>2630</v>
      </c>
      <c r="F337" s="14" t="s">
        <v>36</v>
      </c>
      <c r="G337" s="12" t="s">
        <v>2631</v>
      </c>
      <c r="H337" s="12" t="s">
        <v>2632</v>
      </c>
      <c r="I337" s="12" t="s">
        <v>2633</v>
      </c>
      <c r="J337" s="23">
        <v>45946</v>
      </c>
      <c r="K337" s="14" t="s">
        <v>2634</v>
      </c>
      <c r="L337" s="14" t="s">
        <v>2635</v>
      </c>
      <c r="M337" s="14" t="s">
        <v>1216</v>
      </c>
      <c r="N337" s="11">
        <v>202509064801</v>
      </c>
      <c r="O337" s="48">
        <v>45913</v>
      </c>
    </row>
    <row r="338" spans="1:15" x14ac:dyDescent="0.4">
      <c r="A338" s="35">
        <v>1736</v>
      </c>
      <c r="B338" s="12" t="s">
        <v>2636</v>
      </c>
      <c r="C338" s="43">
        <v>45810</v>
      </c>
      <c r="D338" s="14" t="s">
        <v>1218</v>
      </c>
      <c r="E338" s="13" t="s">
        <v>2637</v>
      </c>
      <c r="F338" s="14" t="s">
        <v>55</v>
      </c>
      <c r="G338" s="12" t="s">
        <v>2638</v>
      </c>
      <c r="H338" s="12" t="s">
        <v>2465</v>
      </c>
      <c r="I338" s="12" t="s">
        <v>2639</v>
      </c>
      <c r="J338" s="23">
        <v>45946</v>
      </c>
      <c r="K338" s="14" t="s">
        <v>2640</v>
      </c>
      <c r="L338" s="14" t="s">
        <v>2641</v>
      </c>
      <c r="M338" s="14" t="s">
        <v>2642</v>
      </c>
      <c r="N338" s="11">
        <v>202509063023</v>
      </c>
      <c r="O338" s="48">
        <v>45908</v>
      </c>
    </row>
    <row r="339" spans="1:15" x14ac:dyDescent="0.4">
      <c r="A339" s="36">
        <v>1737</v>
      </c>
      <c r="B339" s="12" t="s">
        <v>1864</v>
      </c>
      <c r="C339" s="43">
        <v>45850</v>
      </c>
      <c r="D339" s="14" t="s">
        <v>1931</v>
      </c>
      <c r="E339" s="13" t="s">
        <v>2643</v>
      </c>
      <c r="F339" s="14" t="s">
        <v>36</v>
      </c>
      <c r="G339" s="12" t="s">
        <v>2644</v>
      </c>
      <c r="H339" s="12" t="s">
        <v>2645</v>
      </c>
      <c r="I339" s="12" t="s">
        <v>2646</v>
      </c>
      <c r="J339" s="23">
        <v>45946</v>
      </c>
      <c r="K339" s="14" t="s">
        <v>2647</v>
      </c>
      <c r="L339" s="14" t="s">
        <v>2648</v>
      </c>
      <c r="M339" s="14" t="s">
        <v>2356</v>
      </c>
      <c r="N339" s="11">
        <v>202509063500</v>
      </c>
      <c r="O339" s="48">
        <v>45909</v>
      </c>
    </row>
    <row r="340" spans="1:15" ht="30" customHeight="1" x14ac:dyDescent="0.4">
      <c r="A340" s="35">
        <v>1738</v>
      </c>
      <c r="B340" s="12" t="s">
        <v>2649</v>
      </c>
      <c r="C340" s="43">
        <v>45845</v>
      </c>
      <c r="D340" s="14" t="s">
        <v>411</v>
      </c>
      <c r="E340" s="13" t="s">
        <v>2650</v>
      </c>
      <c r="F340" s="14" t="s">
        <v>55</v>
      </c>
      <c r="G340" s="12" t="s">
        <v>2651</v>
      </c>
      <c r="H340" s="12" t="s">
        <v>2652</v>
      </c>
      <c r="I340" s="12" t="s">
        <v>2653</v>
      </c>
      <c r="J340" s="23">
        <v>45946</v>
      </c>
      <c r="K340" s="14" t="s">
        <v>2654</v>
      </c>
      <c r="L340" s="14" t="s">
        <v>2655</v>
      </c>
      <c r="M340" s="14" t="s">
        <v>2656</v>
      </c>
      <c r="N340" s="11">
        <v>2025031330</v>
      </c>
      <c r="O340" s="48">
        <v>45896</v>
      </c>
    </row>
    <row r="341" spans="1:15" x14ac:dyDescent="0.4">
      <c r="A341" s="36">
        <v>1739</v>
      </c>
      <c r="B341" s="12" t="s">
        <v>2657</v>
      </c>
      <c r="C341" s="43">
        <v>45859</v>
      </c>
      <c r="D341" s="14" t="s">
        <v>509</v>
      </c>
      <c r="E341" s="13" t="s">
        <v>2658</v>
      </c>
      <c r="F341" s="14" t="s">
        <v>36</v>
      </c>
      <c r="G341" s="12" t="s">
        <v>2659</v>
      </c>
      <c r="H341" s="12" t="s">
        <v>2660</v>
      </c>
      <c r="I341" s="12" t="s">
        <v>2661</v>
      </c>
      <c r="J341" s="23">
        <v>45946</v>
      </c>
      <c r="K341" s="14" t="s">
        <v>2662</v>
      </c>
      <c r="L341" s="14" t="s">
        <v>2663</v>
      </c>
      <c r="M341" s="14" t="s">
        <v>1573</v>
      </c>
      <c r="N341" s="11">
        <v>202509069179</v>
      </c>
      <c r="O341" s="48">
        <v>45930</v>
      </c>
    </row>
    <row r="342" spans="1:15" x14ac:dyDescent="0.4">
      <c r="A342" s="35">
        <v>1740</v>
      </c>
      <c r="B342" s="12" t="s">
        <v>2664</v>
      </c>
      <c r="C342" s="43">
        <v>45750</v>
      </c>
      <c r="D342" s="14" t="s">
        <v>411</v>
      </c>
      <c r="E342" s="13" t="s">
        <v>2665</v>
      </c>
      <c r="F342" s="14" t="s">
        <v>55</v>
      </c>
      <c r="G342" s="12" t="s">
        <v>2666</v>
      </c>
      <c r="H342" s="12" t="s">
        <v>2667</v>
      </c>
      <c r="I342" s="12" t="s">
        <v>2668</v>
      </c>
      <c r="J342" s="23">
        <v>45946</v>
      </c>
      <c r="K342" s="14" t="s">
        <v>2669</v>
      </c>
      <c r="L342" s="14" t="s">
        <v>1750</v>
      </c>
      <c r="M342" s="14" t="s">
        <v>2670</v>
      </c>
      <c r="N342" s="11">
        <v>202509065631</v>
      </c>
      <c r="O342" s="48">
        <v>45916</v>
      </c>
    </row>
    <row r="343" spans="1:15" x14ac:dyDescent="0.4">
      <c r="A343" s="36">
        <v>1741</v>
      </c>
      <c r="B343" s="12" t="s">
        <v>2671</v>
      </c>
      <c r="C343" s="43">
        <v>45731</v>
      </c>
      <c r="D343" s="14" t="s">
        <v>2672</v>
      </c>
      <c r="E343" s="13" t="s">
        <v>2673</v>
      </c>
      <c r="F343" s="14" t="s">
        <v>36</v>
      </c>
      <c r="G343" s="12" t="s">
        <v>2674</v>
      </c>
      <c r="H343" s="12" t="s">
        <v>2675</v>
      </c>
      <c r="I343" s="12" t="s">
        <v>2676</v>
      </c>
      <c r="J343" s="23">
        <v>45946</v>
      </c>
      <c r="K343" s="14" t="s">
        <v>2677</v>
      </c>
      <c r="L343" s="14" t="s">
        <v>2678</v>
      </c>
      <c r="M343" s="14" t="s">
        <v>2679</v>
      </c>
      <c r="N343" s="11">
        <v>202509069795</v>
      </c>
      <c r="O343" s="48">
        <v>45932</v>
      </c>
    </row>
    <row r="344" spans="1:15" x14ac:dyDescent="0.4">
      <c r="A344" s="35">
        <v>1742</v>
      </c>
      <c r="B344" s="12" t="s">
        <v>2680</v>
      </c>
      <c r="C344" s="43">
        <v>45587</v>
      </c>
      <c r="D344" s="14" t="s">
        <v>2681</v>
      </c>
      <c r="E344" s="13" t="s">
        <v>2682</v>
      </c>
      <c r="F344" s="14" t="s">
        <v>55</v>
      </c>
      <c r="G344" s="12" t="s">
        <v>2683</v>
      </c>
      <c r="H344" s="12" t="s">
        <v>1658</v>
      </c>
      <c r="I344" s="12" t="s">
        <v>2684</v>
      </c>
      <c r="J344" s="23">
        <v>45946</v>
      </c>
      <c r="K344" s="14" t="s">
        <v>2685</v>
      </c>
      <c r="L344" s="14" t="s">
        <v>2686</v>
      </c>
      <c r="M344" s="14" t="s">
        <v>2687</v>
      </c>
      <c r="N344" s="11">
        <v>202509067362</v>
      </c>
      <c r="O344" s="48">
        <v>45923</v>
      </c>
    </row>
    <row r="345" spans="1:15" ht="30" customHeight="1" x14ac:dyDescent="0.4">
      <c r="A345" s="36">
        <v>1743</v>
      </c>
      <c r="B345" s="12" t="s">
        <v>2688</v>
      </c>
      <c r="C345" s="43">
        <v>45904</v>
      </c>
      <c r="D345" s="14" t="s">
        <v>536</v>
      </c>
      <c r="E345" s="12" t="s">
        <v>2689</v>
      </c>
      <c r="F345" s="14" t="s">
        <v>55</v>
      </c>
      <c r="G345" s="12" t="s">
        <v>2690</v>
      </c>
      <c r="H345" s="12" t="s">
        <v>2691</v>
      </c>
      <c r="I345" s="12" t="s">
        <v>2692</v>
      </c>
      <c r="J345" s="23">
        <v>45946</v>
      </c>
      <c r="K345" s="12" t="s">
        <v>2693</v>
      </c>
      <c r="L345" s="12" t="s">
        <v>2694</v>
      </c>
      <c r="M345" s="12" t="s">
        <v>2695</v>
      </c>
      <c r="N345" s="11">
        <v>202509070446</v>
      </c>
      <c r="O345" s="48">
        <v>45935</v>
      </c>
    </row>
    <row r="346" spans="1:15" ht="30" customHeight="1" x14ac:dyDescent="0.4">
      <c r="A346" s="35">
        <v>1744</v>
      </c>
      <c r="B346" s="12" t="s">
        <v>2696</v>
      </c>
      <c r="C346" s="43">
        <v>45908</v>
      </c>
      <c r="D346" s="14" t="s">
        <v>536</v>
      </c>
      <c r="E346" s="13" t="s">
        <v>2697</v>
      </c>
      <c r="F346" s="14" t="s">
        <v>55</v>
      </c>
      <c r="G346" s="12" t="s">
        <v>2698</v>
      </c>
      <c r="H346" s="12" t="s">
        <v>2699</v>
      </c>
      <c r="I346" s="12" t="s">
        <v>2700</v>
      </c>
      <c r="J346" s="23">
        <v>45947</v>
      </c>
      <c r="K346" s="12" t="s">
        <v>2701</v>
      </c>
      <c r="L346" s="14" t="s">
        <v>2702</v>
      </c>
      <c r="M346" s="14" t="s">
        <v>2703</v>
      </c>
      <c r="N346" s="11">
        <v>202509069815</v>
      </c>
      <c r="O346" s="48">
        <v>45932</v>
      </c>
    </row>
    <row r="347" spans="1:15" ht="30" customHeight="1" x14ac:dyDescent="0.4">
      <c r="A347" s="36">
        <v>1745</v>
      </c>
      <c r="B347" s="12" t="s">
        <v>2704</v>
      </c>
      <c r="C347" s="43">
        <v>45811</v>
      </c>
      <c r="D347" s="14" t="s">
        <v>509</v>
      </c>
      <c r="E347" s="13" t="s">
        <v>2705</v>
      </c>
      <c r="F347" s="14" t="s">
        <v>55</v>
      </c>
      <c r="G347" s="12" t="s">
        <v>2706</v>
      </c>
      <c r="H347" s="12" t="s">
        <v>2707</v>
      </c>
      <c r="I347" s="12" t="s">
        <v>2708</v>
      </c>
      <c r="J347" s="23">
        <v>45947</v>
      </c>
      <c r="K347" s="14" t="s">
        <v>2709</v>
      </c>
      <c r="L347" s="14" t="s">
        <v>2710</v>
      </c>
      <c r="M347" s="14" t="s">
        <v>2711</v>
      </c>
      <c r="N347" s="11">
        <v>202509056957</v>
      </c>
      <c r="O347" s="48">
        <v>45882</v>
      </c>
    </row>
    <row r="348" spans="1:15" x14ac:dyDescent="0.4">
      <c r="A348" s="35">
        <v>1746</v>
      </c>
      <c r="B348" s="12" t="s">
        <v>2712</v>
      </c>
      <c r="C348" s="43">
        <v>45806</v>
      </c>
      <c r="D348" s="14" t="s">
        <v>411</v>
      </c>
      <c r="E348" s="13" t="s">
        <v>2713</v>
      </c>
      <c r="F348" s="14" t="s">
        <v>55</v>
      </c>
      <c r="G348" s="12" t="s">
        <v>2714</v>
      </c>
      <c r="H348" s="12" t="s">
        <v>2715</v>
      </c>
      <c r="I348" s="12" t="s">
        <v>2716</v>
      </c>
      <c r="J348" s="23">
        <v>45947</v>
      </c>
      <c r="K348" s="14" t="s">
        <v>2717</v>
      </c>
      <c r="L348" s="14" t="s">
        <v>2718</v>
      </c>
      <c r="M348" s="14" t="s">
        <v>269</v>
      </c>
      <c r="N348" s="11">
        <v>202509069476</v>
      </c>
      <c r="O348" s="48">
        <v>45931</v>
      </c>
    </row>
    <row r="349" spans="1:15" ht="30" customHeight="1" x14ac:dyDescent="0.4">
      <c r="A349" s="36">
        <v>1747</v>
      </c>
      <c r="B349" s="12" t="s">
        <v>2719</v>
      </c>
      <c r="C349" s="43">
        <v>45878</v>
      </c>
      <c r="D349" s="14" t="s">
        <v>1294</v>
      </c>
      <c r="E349" s="13" t="s">
        <v>2720</v>
      </c>
      <c r="F349" s="14" t="s">
        <v>55</v>
      </c>
      <c r="G349" s="12" t="s">
        <v>2721</v>
      </c>
      <c r="H349" s="12" t="s">
        <v>2722</v>
      </c>
      <c r="I349" s="12" t="s">
        <v>2723</v>
      </c>
      <c r="J349" s="23">
        <v>45947</v>
      </c>
      <c r="K349" s="14" t="s">
        <v>2724</v>
      </c>
      <c r="L349" s="14" t="s">
        <v>2725</v>
      </c>
      <c r="M349" s="14" t="s">
        <v>2726</v>
      </c>
      <c r="N349" s="11">
        <v>202509068942</v>
      </c>
      <c r="O349" s="48">
        <v>45929</v>
      </c>
    </row>
    <row r="350" spans="1:15" x14ac:dyDescent="0.4">
      <c r="A350" s="35">
        <v>1748</v>
      </c>
      <c r="B350" s="12" t="s">
        <v>2727</v>
      </c>
      <c r="C350" s="43">
        <v>45810</v>
      </c>
      <c r="D350" s="14" t="s">
        <v>670</v>
      </c>
      <c r="E350" s="13" t="s">
        <v>2728</v>
      </c>
      <c r="F350" s="14" t="s">
        <v>36</v>
      </c>
      <c r="G350" s="12" t="s">
        <v>197</v>
      </c>
      <c r="H350" s="12" t="s">
        <v>2729</v>
      </c>
      <c r="I350" s="12" t="s">
        <v>2730</v>
      </c>
      <c r="J350" s="23">
        <v>45947</v>
      </c>
      <c r="K350" s="14" t="s">
        <v>2731</v>
      </c>
      <c r="L350" s="14" t="s">
        <v>2732</v>
      </c>
      <c r="M350" s="14" t="s">
        <v>2733</v>
      </c>
      <c r="N350" s="11">
        <v>202509063914</v>
      </c>
      <c r="O350" s="48">
        <v>45910</v>
      </c>
    </row>
    <row r="351" spans="1:15" x14ac:dyDescent="0.4">
      <c r="A351" s="36">
        <v>1749</v>
      </c>
      <c r="B351" s="12" t="s">
        <v>2734</v>
      </c>
      <c r="C351" s="43">
        <v>45799</v>
      </c>
      <c r="D351" s="14" t="s">
        <v>452</v>
      </c>
      <c r="E351" s="13" t="s">
        <v>2735</v>
      </c>
      <c r="F351" s="14" t="s">
        <v>36</v>
      </c>
      <c r="G351" s="12" t="s">
        <v>2736</v>
      </c>
      <c r="H351" s="12" t="s">
        <v>2737</v>
      </c>
      <c r="I351" s="12" t="s">
        <v>2738</v>
      </c>
      <c r="J351" s="23">
        <v>45947</v>
      </c>
      <c r="K351" s="14" t="s">
        <v>2739</v>
      </c>
      <c r="L351" s="14" t="s">
        <v>2740</v>
      </c>
      <c r="M351" s="14" t="s">
        <v>2741</v>
      </c>
      <c r="N351" s="11">
        <v>202509065204</v>
      </c>
      <c r="O351" s="48">
        <v>45915</v>
      </c>
    </row>
    <row r="352" spans="1:15" x14ac:dyDescent="0.4">
      <c r="A352" s="35">
        <v>1750</v>
      </c>
      <c r="B352" s="12" t="s">
        <v>986</v>
      </c>
      <c r="C352" s="43">
        <v>45873</v>
      </c>
      <c r="D352" s="14" t="s">
        <v>1218</v>
      </c>
      <c r="E352" s="13" t="s">
        <v>2742</v>
      </c>
      <c r="F352" s="14" t="s">
        <v>55</v>
      </c>
      <c r="G352" s="12" t="s">
        <v>2743</v>
      </c>
      <c r="H352" s="12" t="s">
        <v>2261</v>
      </c>
      <c r="I352" s="12" t="s">
        <v>2744</v>
      </c>
      <c r="J352" s="23">
        <v>45947</v>
      </c>
      <c r="K352" s="14" t="s">
        <v>2745</v>
      </c>
      <c r="L352" s="14" t="s">
        <v>2746</v>
      </c>
      <c r="M352" s="14" t="s">
        <v>2747</v>
      </c>
      <c r="N352" s="11">
        <v>202509065208</v>
      </c>
      <c r="O352" s="48">
        <v>45915</v>
      </c>
    </row>
    <row r="353" spans="1:15" x14ac:dyDescent="0.4">
      <c r="A353" s="36">
        <v>1751</v>
      </c>
      <c r="B353" s="12" t="s">
        <v>2748</v>
      </c>
      <c r="C353" s="43">
        <v>45845</v>
      </c>
      <c r="D353" s="14" t="s">
        <v>2098</v>
      </c>
      <c r="E353" s="13" t="s">
        <v>2749</v>
      </c>
      <c r="F353" s="14" t="s">
        <v>55</v>
      </c>
      <c r="G353" s="12" t="s">
        <v>2750</v>
      </c>
      <c r="H353" s="12" t="s">
        <v>2751</v>
      </c>
      <c r="I353" s="12" t="s">
        <v>2752</v>
      </c>
      <c r="J353" s="23">
        <v>45947</v>
      </c>
      <c r="K353" s="14" t="s">
        <v>2753</v>
      </c>
      <c r="L353" s="14" t="s">
        <v>2754</v>
      </c>
      <c r="M353" s="14" t="s">
        <v>2755</v>
      </c>
      <c r="N353" s="11">
        <v>202509065808</v>
      </c>
      <c r="O353" s="48">
        <v>45917</v>
      </c>
    </row>
    <row r="354" spans="1:15" ht="30" customHeight="1" x14ac:dyDescent="0.4">
      <c r="A354" s="35">
        <v>1752</v>
      </c>
      <c r="B354" s="12" t="s">
        <v>2756</v>
      </c>
      <c r="C354" s="43">
        <v>45417</v>
      </c>
      <c r="D354" s="14" t="s">
        <v>854</v>
      </c>
      <c r="E354" s="13" t="s">
        <v>2757</v>
      </c>
      <c r="F354" s="14" t="s">
        <v>55</v>
      </c>
      <c r="G354" s="12" t="s">
        <v>2758</v>
      </c>
      <c r="H354" s="12" t="s">
        <v>2759</v>
      </c>
      <c r="I354" s="12" t="s">
        <v>2760</v>
      </c>
      <c r="J354" s="23">
        <v>45947</v>
      </c>
      <c r="K354" s="14" t="s">
        <v>2761</v>
      </c>
      <c r="L354" s="14" t="s">
        <v>2762</v>
      </c>
      <c r="M354" s="14" t="s">
        <v>2763</v>
      </c>
      <c r="N354" s="11">
        <v>202509048556</v>
      </c>
      <c r="O354" s="48">
        <v>45850</v>
      </c>
    </row>
    <row r="355" spans="1:15" ht="30" customHeight="1" x14ac:dyDescent="0.4">
      <c r="A355" s="36">
        <v>1753</v>
      </c>
      <c r="B355" s="12" t="s">
        <v>2764</v>
      </c>
      <c r="C355" s="43">
        <v>45867</v>
      </c>
      <c r="D355" s="14" t="s">
        <v>509</v>
      </c>
      <c r="E355" s="13" t="s">
        <v>2765</v>
      </c>
      <c r="F355" s="14" t="s">
        <v>36</v>
      </c>
      <c r="G355" s="12" t="s">
        <v>2766</v>
      </c>
      <c r="H355" s="12" t="s">
        <v>2767</v>
      </c>
      <c r="I355" s="12" t="s">
        <v>2768</v>
      </c>
      <c r="J355" s="23">
        <v>45947</v>
      </c>
      <c r="K355" s="14" t="s">
        <v>2769</v>
      </c>
      <c r="L355" s="14" t="s">
        <v>2770</v>
      </c>
      <c r="M355" s="14" t="s">
        <v>2771</v>
      </c>
      <c r="N355" s="11">
        <v>202509066928</v>
      </c>
      <c r="O355" s="48">
        <v>45921</v>
      </c>
    </row>
    <row r="356" spans="1:15" x14ac:dyDescent="0.4">
      <c r="A356" s="35">
        <v>1754</v>
      </c>
      <c r="B356" s="12" t="s">
        <v>2772</v>
      </c>
      <c r="C356" s="43">
        <v>45854</v>
      </c>
      <c r="D356" s="14" t="s">
        <v>2116</v>
      </c>
      <c r="E356" s="13" t="s">
        <v>2773</v>
      </c>
      <c r="F356" s="14" t="s">
        <v>36</v>
      </c>
      <c r="G356" s="12" t="s">
        <v>2774</v>
      </c>
      <c r="H356" s="12" t="s">
        <v>198</v>
      </c>
      <c r="I356" s="12" t="s">
        <v>2775</v>
      </c>
      <c r="J356" s="23">
        <v>45947</v>
      </c>
      <c r="K356" s="14" t="s">
        <v>158</v>
      </c>
      <c r="L356" s="14" t="s">
        <v>2776</v>
      </c>
      <c r="M356" s="14" t="s">
        <v>151</v>
      </c>
      <c r="N356" s="11">
        <v>202509067345</v>
      </c>
      <c r="O356" s="48">
        <v>45923</v>
      </c>
    </row>
    <row r="357" spans="1:15" x14ac:dyDescent="0.4">
      <c r="A357" s="36">
        <v>1755</v>
      </c>
      <c r="B357" s="12" t="s">
        <v>2777</v>
      </c>
      <c r="C357" s="43">
        <v>45762</v>
      </c>
      <c r="D357" s="14" t="s">
        <v>2098</v>
      </c>
      <c r="E357" s="13" t="s">
        <v>2778</v>
      </c>
      <c r="F357" s="14" t="s">
        <v>55</v>
      </c>
      <c r="G357" s="12" t="s">
        <v>1792</v>
      </c>
      <c r="H357" s="12" t="s">
        <v>2779</v>
      </c>
      <c r="I357" s="12" t="s">
        <v>2780</v>
      </c>
      <c r="J357" s="23">
        <v>45947</v>
      </c>
      <c r="K357" s="14" t="s">
        <v>2781</v>
      </c>
      <c r="L357" s="14" t="s">
        <v>2312</v>
      </c>
      <c r="M357" s="14"/>
      <c r="N357" s="11">
        <v>202509062773</v>
      </c>
      <c r="O357" s="48">
        <v>45904</v>
      </c>
    </row>
    <row r="358" spans="1:15" x14ac:dyDescent="0.4">
      <c r="A358" s="35">
        <v>1756</v>
      </c>
      <c r="B358" s="12" t="s">
        <v>2782</v>
      </c>
      <c r="C358" s="43">
        <v>45797</v>
      </c>
      <c r="D358" s="14" t="s">
        <v>452</v>
      </c>
      <c r="E358" s="13" t="s">
        <v>2783</v>
      </c>
      <c r="F358" s="14" t="s">
        <v>36</v>
      </c>
      <c r="G358" s="12" t="s">
        <v>2784</v>
      </c>
      <c r="H358" s="12" t="s">
        <v>2785</v>
      </c>
      <c r="I358" s="12" t="s">
        <v>2786</v>
      </c>
      <c r="J358" s="23">
        <v>45947</v>
      </c>
      <c r="K358" s="14" t="s">
        <v>2787</v>
      </c>
      <c r="L358" s="14" t="s">
        <v>2788</v>
      </c>
      <c r="M358" s="14" t="s">
        <v>1010</v>
      </c>
      <c r="N358" s="11">
        <v>202509065815</v>
      </c>
      <c r="O358" s="48">
        <v>45917</v>
      </c>
    </row>
    <row r="359" spans="1:15" x14ac:dyDescent="0.4">
      <c r="A359" s="36">
        <v>1757</v>
      </c>
      <c r="B359" s="12" t="s">
        <v>2789</v>
      </c>
      <c r="C359" s="43">
        <v>45807</v>
      </c>
      <c r="D359" s="14" t="s">
        <v>854</v>
      </c>
      <c r="E359" s="13" t="s">
        <v>2790</v>
      </c>
      <c r="F359" s="14" t="s">
        <v>36</v>
      </c>
      <c r="G359" s="12" t="s">
        <v>2791</v>
      </c>
      <c r="H359" s="12" t="s">
        <v>2792</v>
      </c>
      <c r="I359" s="12" t="s">
        <v>2793</v>
      </c>
      <c r="J359" s="23">
        <v>45947</v>
      </c>
      <c r="K359" s="14" t="s">
        <v>2794</v>
      </c>
      <c r="L359" s="14" t="s">
        <v>2795</v>
      </c>
      <c r="M359" s="14" t="s">
        <v>2796</v>
      </c>
      <c r="N359" s="11">
        <v>202509066929</v>
      </c>
      <c r="O359" s="48">
        <v>45921</v>
      </c>
    </row>
    <row r="360" spans="1:15" x14ac:dyDescent="0.4">
      <c r="A360" s="35">
        <v>1758</v>
      </c>
      <c r="B360" s="12" t="s">
        <v>2797</v>
      </c>
      <c r="C360" s="43">
        <v>45711</v>
      </c>
      <c r="D360" s="14" t="s">
        <v>509</v>
      </c>
      <c r="E360" s="13" t="s">
        <v>2798</v>
      </c>
      <c r="F360" s="14" t="s">
        <v>36</v>
      </c>
      <c r="G360" s="12" t="s">
        <v>2799</v>
      </c>
      <c r="H360" s="12" t="s">
        <v>2800</v>
      </c>
      <c r="I360" s="12" t="s">
        <v>2801</v>
      </c>
      <c r="J360" s="23">
        <v>45947</v>
      </c>
      <c r="K360" s="14" t="s">
        <v>158</v>
      </c>
      <c r="L360" s="14" t="s">
        <v>2802</v>
      </c>
      <c r="M360" s="14" t="s">
        <v>160</v>
      </c>
      <c r="N360" s="11">
        <v>202509047490</v>
      </c>
      <c r="O360" s="48">
        <v>45846</v>
      </c>
    </row>
    <row r="361" spans="1:15" x14ac:dyDescent="0.4">
      <c r="A361" s="36">
        <v>1759</v>
      </c>
      <c r="B361" s="12" t="s">
        <v>2803</v>
      </c>
      <c r="C361" s="43">
        <v>45839</v>
      </c>
      <c r="D361" s="14" t="s">
        <v>536</v>
      </c>
      <c r="E361" s="13" t="s">
        <v>2804</v>
      </c>
      <c r="F361" s="14" t="s">
        <v>55</v>
      </c>
      <c r="G361" s="12" t="s">
        <v>2805</v>
      </c>
      <c r="H361" s="12" t="s">
        <v>2806</v>
      </c>
      <c r="I361" s="12" t="s">
        <v>2807</v>
      </c>
      <c r="J361" s="23">
        <v>45947</v>
      </c>
      <c r="K361" s="14" t="s">
        <v>2808</v>
      </c>
      <c r="L361" s="14" t="s">
        <v>2809</v>
      </c>
      <c r="M361" s="14" t="s">
        <v>2810</v>
      </c>
      <c r="N361" s="11">
        <v>202509064543</v>
      </c>
      <c r="O361" s="48">
        <v>45912</v>
      </c>
    </row>
    <row r="362" spans="1:15" x14ac:dyDescent="0.4">
      <c r="A362" s="35">
        <v>1760</v>
      </c>
      <c r="B362" s="12" t="s">
        <v>2811</v>
      </c>
      <c r="C362" s="43">
        <v>45843</v>
      </c>
      <c r="D362" s="14" t="s">
        <v>44</v>
      </c>
      <c r="E362" s="13" t="s">
        <v>2812</v>
      </c>
      <c r="F362" s="14" t="s">
        <v>36</v>
      </c>
      <c r="G362" s="12" t="s">
        <v>2813</v>
      </c>
      <c r="H362" s="12" t="s">
        <v>2814</v>
      </c>
      <c r="I362" s="12" t="s">
        <v>2815</v>
      </c>
      <c r="J362" s="23">
        <v>45947</v>
      </c>
      <c r="K362" s="14" t="s">
        <v>2816</v>
      </c>
      <c r="L362" s="14" t="s">
        <v>2817</v>
      </c>
      <c r="M362" s="14" t="s">
        <v>2818</v>
      </c>
      <c r="N362" s="11">
        <v>202509060193</v>
      </c>
      <c r="O362" s="48">
        <v>45895</v>
      </c>
    </row>
    <row r="363" spans="1:15" x14ac:dyDescent="0.4">
      <c r="A363" s="36">
        <v>1761</v>
      </c>
      <c r="B363" s="12" t="s">
        <v>2819</v>
      </c>
      <c r="C363" s="43">
        <v>45901</v>
      </c>
      <c r="D363" s="14" t="s">
        <v>2116</v>
      </c>
      <c r="E363" s="13" t="s">
        <v>2820</v>
      </c>
      <c r="F363" s="14" t="s">
        <v>55</v>
      </c>
      <c r="G363" s="12" t="s">
        <v>2821</v>
      </c>
      <c r="H363" s="12" t="s">
        <v>2822</v>
      </c>
      <c r="I363" s="12" t="s">
        <v>2823</v>
      </c>
      <c r="J363" s="23">
        <v>45947</v>
      </c>
      <c r="K363" s="14" t="s">
        <v>2824</v>
      </c>
      <c r="L363" s="14" t="s">
        <v>2825</v>
      </c>
      <c r="M363" s="14" t="s">
        <v>2826</v>
      </c>
      <c r="N363" s="11">
        <v>202509067363</v>
      </c>
      <c r="O363" s="48">
        <v>45923</v>
      </c>
    </row>
    <row r="364" spans="1:15" x14ac:dyDescent="0.4">
      <c r="A364" s="35">
        <v>1762</v>
      </c>
      <c r="B364" s="12" t="s">
        <v>2827</v>
      </c>
      <c r="C364" s="43">
        <v>45812</v>
      </c>
      <c r="D364" s="14" t="s">
        <v>509</v>
      </c>
      <c r="E364" s="13" t="s">
        <v>2828</v>
      </c>
      <c r="F364" s="14" t="s">
        <v>55</v>
      </c>
      <c r="G364" s="12" t="s">
        <v>2829</v>
      </c>
      <c r="H364" s="12" t="s">
        <v>2261</v>
      </c>
      <c r="I364" s="12" t="s">
        <v>2830</v>
      </c>
      <c r="J364" s="23">
        <v>45947</v>
      </c>
      <c r="K364" s="14" t="s">
        <v>2831</v>
      </c>
      <c r="L364" s="14" t="s">
        <v>2832</v>
      </c>
      <c r="M364" s="14" t="s">
        <v>2543</v>
      </c>
      <c r="N364" s="11">
        <v>202509072151</v>
      </c>
      <c r="O364" s="48">
        <v>45941</v>
      </c>
    </row>
    <row r="365" spans="1:15" x14ac:dyDescent="0.4">
      <c r="A365" s="36">
        <v>1763</v>
      </c>
      <c r="B365" s="12" t="s">
        <v>2833</v>
      </c>
      <c r="C365" s="43">
        <v>45851</v>
      </c>
      <c r="D365" s="14" t="s">
        <v>411</v>
      </c>
      <c r="E365" s="13" t="s">
        <v>2834</v>
      </c>
      <c r="F365" s="14" t="s">
        <v>36</v>
      </c>
      <c r="G365" s="12" t="s">
        <v>2835</v>
      </c>
      <c r="H365" s="12" t="s">
        <v>2836</v>
      </c>
      <c r="I365" s="12" t="s">
        <v>2837</v>
      </c>
      <c r="J365" s="23">
        <v>45947</v>
      </c>
      <c r="K365" s="14" t="s">
        <v>2606</v>
      </c>
      <c r="L365" s="14" t="s">
        <v>2838</v>
      </c>
      <c r="M365" s="14" t="s">
        <v>2013</v>
      </c>
      <c r="N365" s="11">
        <v>202509069777</v>
      </c>
      <c r="O365" s="48">
        <v>45932</v>
      </c>
    </row>
    <row r="366" spans="1:15" ht="30" customHeight="1" x14ac:dyDescent="0.4">
      <c r="A366" s="35">
        <v>1764</v>
      </c>
      <c r="B366" s="12" t="s">
        <v>2839</v>
      </c>
      <c r="C366" s="43">
        <v>45883</v>
      </c>
      <c r="D366" s="14" t="s">
        <v>509</v>
      </c>
      <c r="E366" s="13" t="s">
        <v>2840</v>
      </c>
      <c r="F366" s="14" t="s">
        <v>36</v>
      </c>
      <c r="G366" s="12" t="s">
        <v>2841</v>
      </c>
      <c r="H366" s="12" t="s">
        <v>2842</v>
      </c>
      <c r="I366" s="12" t="s">
        <v>2843</v>
      </c>
      <c r="J366" s="23">
        <v>45947</v>
      </c>
      <c r="K366" s="14" t="s">
        <v>2844</v>
      </c>
      <c r="L366" s="14" t="s">
        <v>2845</v>
      </c>
      <c r="M366" s="14" t="s">
        <v>310</v>
      </c>
      <c r="N366" s="11">
        <v>202509069618</v>
      </c>
      <c r="O366" s="48">
        <v>45931</v>
      </c>
    </row>
    <row r="367" spans="1:15" ht="30" customHeight="1" x14ac:dyDescent="0.4">
      <c r="A367" s="36">
        <v>1765</v>
      </c>
      <c r="B367" s="12" t="s">
        <v>2846</v>
      </c>
      <c r="C367" s="43">
        <v>45786</v>
      </c>
      <c r="D367" s="14" t="s">
        <v>2098</v>
      </c>
      <c r="E367" s="13" t="s">
        <v>2847</v>
      </c>
      <c r="F367" s="14" t="s">
        <v>36</v>
      </c>
      <c r="G367" s="12" t="s">
        <v>2848</v>
      </c>
      <c r="H367" s="12" t="s">
        <v>2849</v>
      </c>
      <c r="I367" s="12" t="s">
        <v>2850</v>
      </c>
      <c r="J367" s="23">
        <v>45947</v>
      </c>
      <c r="K367" s="14" t="s">
        <v>2851</v>
      </c>
      <c r="L367" s="14" t="s">
        <v>2852</v>
      </c>
      <c r="M367" s="14" t="s">
        <v>2853</v>
      </c>
      <c r="N367" s="11">
        <v>202509055265</v>
      </c>
      <c r="O367" s="48">
        <v>45875</v>
      </c>
    </row>
    <row r="368" spans="1:15" ht="30" customHeight="1" x14ac:dyDescent="0.4">
      <c r="A368" s="35">
        <v>1766</v>
      </c>
      <c r="B368" s="12" t="s">
        <v>2854</v>
      </c>
      <c r="C368" s="43">
        <v>45883</v>
      </c>
      <c r="D368" s="14" t="s">
        <v>509</v>
      </c>
      <c r="E368" s="13" t="s">
        <v>2855</v>
      </c>
      <c r="F368" s="14" t="s">
        <v>36</v>
      </c>
      <c r="G368" s="12" t="s">
        <v>2856</v>
      </c>
      <c r="H368" s="12" t="s">
        <v>1658</v>
      </c>
      <c r="I368" s="12" t="s">
        <v>2857</v>
      </c>
      <c r="J368" s="23">
        <v>45947</v>
      </c>
      <c r="K368" s="14" t="s">
        <v>2858</v>
      </c>
      <c r="L368" s="14" t="s">
        <v>2859</v>
      </c>
      <c r="M368" s="14" t="s">
        <v>418</v>
      </c>
      <c r="N368" s="11">
        <v>202509068747</v>
      </c>
      <c r="O368" s="48">
        <v>45928</v>
      </c>
    </row>
    <row r="369" spans="1:15" ht="30" customHeight="1" x14ac:dyDescent="0.4">
      <c r="A369" s="36">
        <v>1767</v>
      </c>
      <c r="B369" s="12" t="s">
        <v>2860</v>
      </c>
      <c r="C369" s="43">
        <v>45780</v>
      </c>
      <c r="D369" s="14" t="s">
        <v>2098</v>
      </c>
      <c r="E369" s="13" t="s">
        <v>2861</v>
      </c>
      <c r="F369" s="14" t="s">
        <v>36</v>
      </c>
      <c r="G369" s="12" t="s">
        <v>2862</v>
      </c>
      <c r="H369" s="12" t="s">
        <v>2863</v>
      </c>
      <c r="I369" s="12" t="s">
        <v>2864</v>
      </c>
      <c r="J369" s="23">
        <v>45947</v>
      </c>
      <c r="K369" s="14" t="s">
        <v>2865</v>
      </c>
      <c r="L369" s="14" t="s">
        <v>2866</v>
      </c>
      <c r="M369" s="14" t="s">
        <v>2867</v>
      </c>
      <c r="N369" s="11">
        <v>202509067086</v>
      </c>
      <c r="O369" s="48">
        <v>45922</v>
      </c>
    </row>
    <row r="370" spans="1:15" x14ac:dyDescent="0.4">
      <c r="A370" s="35">
        <v>1768</v>
      </c>
      <c r="B370" s="12" t="s">
        <v>2868</v>
      </c>
      <c r="C370" s="43">
        <v>45660</v>
      </c>
      <c r="D370" s="14" t="s">
        <v>547</v>
      </c>
      <c r="E370" s="13" t="s">
        <v>2869</v>
      </c>
      <c r="F370" s="14" t="s">
        <v>36</v>
      </c>
      <c r="G370" s="12" t="s">
        <v>2870</v>
      </c>
      <c r="H370" s="12" t="s">
        <v>2871</v>
      </c>
      <c r="I370" s="12" t="s">
        <v>2872</v>
      </c>
      <c r="J370" s="23">
        <v>45947</v>
      </c>
      <c r="K370" s="14" t="s">
        <v>2873</v>
      </c>
      <c r="L370" s="14" t="s">
        <v>2874</v>
      </c>
      <c r="M370" s="14" t="s">
        <v>219</v>
      </c>
      <c r="N370" s="11">
        <v>202509038869</v>
      </c>
      <c r="O370" s="48">
        <v>45813</v>
      </c>
    </row>
    <row r="371" spans="1:15" ht="30" customHeight="1" x14ac:dyDescent="0.4">
      <c r="A371" s="36">
        <v>1769</v>
      </c>
      <c r="B371" s="12" t="s">
        <v>2875</v>
      </c>
      <c r="C371" s="43">
        <v>45877</v>
      </c>
      <c r="D371" s="14" t="s">
        <v>411</v>
      </c>
      <c r="E371" s="13" t="s">
        <v>2876</v>
      </c>
      <c r="F371" s="14" t="s">
        <v>36</v>
      </c>
      <c r="G371" s="12" t="s">
        <v>2877</v>
      </c>
      <c r="H371" s="12" t="s">
        <v>2878</v>
      </c>
      <c r="I371" s="12" t="s">
        <v>2879</v>
      </c>
      <c r="J371" s="23">
        <v>45947</v>
      </c>
      <c r="K371" s="14" t="s">
        <v>2880</v>
      </c>
      <c r="L371" s="14" t="s">
        <v>2881</v>
      </c>
      <c r="M371" s="14" t="s">
        <v>2882</v>
      </c>
      <c r="N371" s="11">
        <v>202509069979</v>
      </c>
      <c r="O371" s="48">
        <v>45933</v>
      </c>
    </row>
    <row r="372" spans="1:15" x14ac:dyDescent="0.4">
      <c r="A372" s="35">
        <v>1770</v>
      </c>
      <c r="B372" s="12" t="s">
        <v>2883</v>
      </c>
      <c r="C372" s="43">
        <v>45852</v>
      </c>
      <c r="D372" s="14" t="s">
        <v>547</v>
      </c>
      <c r="E372" s="13" t="s">
        <v>2884</v>
      </c>
      <c r="F372" s="14" t="s">
        <v>36</v>
      </c>
      <c r="G372" s="12" t="s">
        <v>2885</v>
      </c>
      <c r="H372" s="12" t="s">
        <v>2886</v>
      </c>
      <c r="I372" s="12" t="s">
        <v>2887</v>
      </c>
      <c r="J372" s="23">
        <v>45947</v>
      </c>
      <c r="K372" s="14" t="s">
        <v>158</v>
      </c>
      <c r="L372" s="14" t="s">
        <v>2888</v>
      </c>
      <c r="M372" s="14" t="s">
        <v>2889</v>
      </c>
      <c r="N372" s="11">
        <v>202509069975</v>
      </c>
      <c r="O372" s="48">
        <v>45933</v>
      </c>
    </row>
    <row r="373" spans="1:15" x14ac:dyDescent="0.4">
      <c r="A373" s="36">
        <v>1771</v>
      </c>
      <c r="B373" s="12" t="s">
        <v>2890</v>
      </c>
      <c r="C373" s="43">
        <v>45690</v>
      </c>
      <c r="D373" s="14" t="s">
        <v>2116</v>
      </c>
      <c r="E373" s="13" t="s">
        <v>2891</v>
      </c>
      <c r="F373" s="14" t="s">
        <v>36</v>
      </c>
      <c r="G373" s="12" t="s">
        <v>2892</v>
      </c>
      <c r="H373" s="12" t="s">
        <v>2893</v>
      </c>
      <c r="I373" s="12" t="s">
        <v>2894</v>
      </c>
      <c r="J373" s="23">
        <v>45947</v>
      </c>
      <c r="K373" s="14" t="s">
        <v>2895</v>
      </c>
      <c r="L373" s="14" t="s">
        <v>2896</v>
      </c>
      <c r="M373" s="14" t="s">
        <v>2453</v>
      </c>
      <c r="N373" s="11">
        <v>202509046290</v>
      </c>
      <c r="O373" s="48">
        <v>45841</v>
      </c>
    </row>
    <row r="374" spans="1:15" x14ac:dyDescent="0.4">
      <c r="A374" s="35">
        <v>1772</v>
      </c>
      <c r="B374" s="12" t="s">
        <v>2897</v>
      </c>
      <c r="C374" s="43">
        <v>45766</v>
      </c>
      <c r="D374" s="14" t="s">
        <v>509</v>
      </c>
      <c r="E374" s="13" t="s">
        <v>2898</v>
      </c>
      <c r="F374" s="14" t="s">
        <v>36</v>
      </c>
      <c r="G374" s="12" t="s">
        <v>2899</v>
      </c>
      <c r="H374" s="12" t="s">
        <v>2900</v>
      </c>
      <c r="I374" s="12" t="s">
        <v>2901</v>
      </c>
      <c r="J374" s="23">
        <v>45947</v>
      </c>
      <c r="K374" s="14" t="s">
        <v>2902</v>
      </c>
      <c r="L374" s="14" t="s">
        <v>2903</v>
      </c>
      <c r="M374" s="14" t="s">
        <v>97</v>
      </c>
      <c r="N374" s="11">
        <v>202509064538</v>
      </c>
      <c r="O374" s="48">
        <v>45912</v>
      </c>
    </row>
    <row r="375" spans="1:15" x14ac:dyDescent="0.4">
      <c r="A375" s="36">
        <v>1773</v>
      </c>
      <c r="B375" s="12" t="s">
        <v>2904</v>
      </c>
      <c r="C375" s="43">
        <v>45846</v>
      </c>
      <c r="D375" s="12" t="s">
        <v>2905</v>
      </c>
      <c r="E375" s="13" t="s">
        <v>2906</v>
      </c>
      <c r="F375" s="14" t="s">
        <v>55</v>
      </c>
      <c r="G375" s="12" t="s">
        <v>2907</v>
      </c>
      <c r="H375" s="12" t="s">
        <v>2908</v>
      </c>
      <c r="I375" s="12" t="s">
        <v>2909</v>
      </c>
      <c r="J375" s="23">
        <v>45947</v>
      </c>
      <c r="K375" s="14" t="s">
        <v>158</v>
      </c>
      <c r="L375" s="14" t="s">
        <v>2910</v>
      </c>
      <c r="M375" s="14" t="s">
        <v>1300</v>
      </c>
      <c r="N375" s="11">
        <v>202509057542</v>
      </c>
      <c r="O375" s="48">
        <v>45884</v>
      </c>
    </row>
    <row r="376" spans="1:15" ht="30" customHeight="1" x14ac:dyDescent="0.4">
      <c r="A376" s="35">
        <v>1774</v>
      </c>
      <c r="B376" s="12" t="s">
        <v>2911</v>
      </c>
      <c r="C376" s="43">
        <v>45661</v>
      </c>
      <c r="D376" s="14" t="s">
        <v>661</v>
      </c>
      <c r="E376" s="13" t="s">
        <v>2912</v>
      </c>
      <c r="F376" s="14" t="s">
        <v>36</v>
      </c>
      <c r="G376" s="12" t="s">
        <v>2913</v>
      </c>
      <c r="H376" s="12" t="s">
        <v>2914</v>
      </c>
      <c r="I376" s="12" t="s">
        <v>2915</v>
      </c>
      <c r="J376" s="23">
        <v>45947</v>
      </c>
      <c r="K376" s="14" t="s">
        <v>2916</v>
      </c>
      <c r="L376" s="14" t="s">
        <v>2917</v>
      </c>
      <c r="M376" s="14" t="s">
        <v>2918</v>
      </c>
      <c r="N376" s="11">
        <v>202509069496</v>
      </c>
      <c r="O376" s="48">
        <v>45931</v>
      </c>
    </row>
    <row r="377" spans="1:15" x14ac:dyDescent="0.4">
      <c r="A377" s="36">
        <v>1775</v>
      </c>
      <c r="B377" s="12" t="s">
        <v>2919</v>
      </c>
      <c r="C377" s="43">
        <v>45895</v>
      </c>
      <c r="D377" s="14" t="s">
        <v>509</v>
      </c>
      <c r="E377" s="13" t="s">
        <v>2920</v>
      </c>
      <c r="F377" s="14" t="s">
        <v>55</v>
      </c>
      <c r="G377" s="12" t="s">
        <v>2921</v>
      </c>
      <c r="H377" s="12" t="s">
        <v>2922</v>
      </c>
      <c r="I377" s="12" t="s">
        <v>2923</v>
      </c>
      <c r="J377" s="23">
        <v>45947</v>
      </c>
      <c r="K377" s="14" t="s">
        <v>2924</v>
      </c>
      <c r="L377" s="14" t="s">
        <v>2925</v>
      </c>
      <c r="M377" s="14" t="s">
        <v>1588</v>
      </c>
      <c r="N377" s="11">
        <v>202509069223</v>
      </c>
      <c r="O377" s="48">
        <v>45930</v>
      </c>
    </row>
    <row r="378" spans="1:15" x14ac:dyDescent="0.4">
      <c r="A378" s="35">
        <v>1776</v>
      </c>
      <c r="B378" s="12" t="s">
        <v>2926</v>
      </c>
      <c r="C378" s="43">
        <v>45707</v>
      </c>
      <c r="D378" s="14" t="s">
        <v>536</v>
      </c>
      <c r="E378" s="13" t="s">
        <v>2927</v>
      </c>
      <c r="F378" s="14" t="s">
        <v>55</v>
      </c>
      <c r="G378" s="12" t="s">
        <v>2928</v>
      </c>
      <c r="H378" s="12" t="s">
        <v>2929</v>
      </c>
      <c r="I378" s="12" t="s">
        <v>2930</v>
      </c>
      <c r="J378" s="23">
        <v>45947</v>
      </c>
      <c r="K378" s="14" t="s">
        <v>2931</v>
      </c>
      <c r="L378" s="14" t="s">
        <v>2932</v>
      </c>
      <c r="M378" s="14" t="s">
        <v>2933</v>
      </c>
      <c r="N378" s="11">
        <v>202509063758</v>
      </c>
      <c r="O378" s="48">
        <v>45909</v>
      </c>
    </row>
    <row r="379" spans="1:15" x14ac:dyDescent="0.4">
      <c r="A379" s="36">
        <v>1777</v>
      </c>
      <c r="B379" s="12" t="s">
        <v>2934</v>
      </c>
      <c r="C379" s="43">
        <v>45866</v>
      </c>
      <c r="D379" s="14" t="s">
        <v>509</v>
      </c>
      <c r="E379" s="12" t="s">
        <v>2935</v>
      </c>
      <c r="F379" s="14" t="s">
        <v>55</v>
      </c>
      <c r="G379" s="12" t="s">
        <v>2936</v>
      </c>
      <c r="H379" s="12" t="s">
        <v>2937</v>
      </c>
      <c r="I379" s="12" t="s">
        <v>2938</v>
      </c>
      <c r="J379" s="23">
        <v>45947</v>
      </c>
      <c r="K379" s="12" t="s">
        <v>2939</v>
      </c>
      <c r="L379" s="12" t="s">
        <v>2940</v>
      </c>
      <c r="M379" s="12" t="s">
        <v>2941</v>
      </c>
      <c r="N379" s="11">
        <v>202509065032</v>
      </c>
      <c r="O379" s="48">
        <v>45914</v>
      </c>
    </row>
    <row r="380" spans="1:15" x14ac:dyDescent="0.4">
      <c r="A380" s="35">
        <v>1778</v>
      </c>
      <c r="B380" s="12" t="s">
        <v>2942</v>
      </c>
      <c r="C380" s="43">
        <v>45881</v>
      </c>
      <c r="D380" s="14" t="s">
        <v>509</v>
      </c>
      <c r="E380" s="13" t="s">
        <v>2943</v>
      </c>
      <c r="F380" s="14" t="s">
        <v>36</v>
      </c>
      <c r="G380" s="12" t="s">
        <v>2944</v>
      </c>
      <c r="H380" s="12" t="s">
        <v>2945</v>
      </c>
      <c r="I380" s="12" t="s">
        <v>2946</v>
      </c>
      <c r="J380" s="23">
        <v>45951</v>
      </c>
      <c r="K380" s="14" t="s">
        <v>2947</v>
      </c>
      <c r="L380" s="14" t="s">
        <v>2948</v>
      </c>
      <c r="M380" s="12" t="s">
        <v>1983</v>
      </c>
      <c r="N380" s="11">
        <v>202509066064</v>
      </c>
      <c r="O380" s="48">
        <v>45917</v>
      </c>
    </row>
    <row r="381" spans="1:15" ht="30" customHeight="1" x14ac:dyDescent="0.4">
      <c r="A381" s="36">
        <v>1779</v>
      </c>
      <c r="B381" s="12" t="s">
        <v>2949</v>
      </c>
      <c r="C381" s="43">
        <v>45841</v>
      </c>
      <c r="D381" s="14" t="s">
        <v>452</v>
      </c>
      <c r="E381" s="13" t="s">
        <v>2950</v>
      </c>
      <c r="F381" s="14" t="s">
        <v>55</v>
      </c>
      <c r="G381" s="12" t="s">
        <v>2951</v>
      </c>
      <c r="H381" s="12" t="s">
        <v>2952</v>
      </c>
      <c r="I381" s="12" t="s">
        <v>2953</v>
      </c>
      <c r="J381" s="23">
        <v>45951</v>
      </c>
      <c r="K381" s="14" t="s">
        <v>2954</v>
      </c>
      <c r="L381" s="14" t="s">
        <v>2955</v>
      </c>
      <c r="M381" s="14" t="s">
        <v>2956</v>
      </c>
      <c r="N381" s="11">
        <v>202509050707</v>
      </c>
      <c r="O381" s="48">
        <v>45858</v>
      </c>
    </row>
    <row r="382" spans="1:15" ht="30" customHeight="1" x14ac:dyDescent="0.4">
      <c r="A382" s="35">
        <v>1780</v>
      </c>
      <c r="B382" s="12" t="s">
        <v>2957</v>
      </c>
      <c r="C382" s="43">
        <v>45678</v>
      </c>
      <c r="D382" s="14" t="s">
        <v>2116</v>
      </c>
      <c r="E382" s="13" t="s">
        <v>2958</v>
      </c>
      <c r="F382" s="14" t="s">
        <v>36</v>
      </c>
      <c r="G382" s="12" t="s">
        <v>2959</v>
      </c>
      <c r="H382" s="12" t="s">
        <v>2960</v>
      </c>
      <c r="I382" s="12" t="s">
        <v>2961</v>
      </c>
      <c r="J382" s="23">
        <v>45951</v>
      </c>
      <c r="K382" s="14" t="s">
        <v>2962</v>
      </c>
      <c r="L382" s="14" t="s">
        <v>2963</v>
      </c>
      <c r="M382" s="12" t="s">
        <v>2964</v>
      </c>
      <c r="N382" s="11">
        <v>202509051915</v>
      </c>
      <c r="O382" s="48">
        <v>45862</v>
      </c>
    </row>
    <row r="383" spans="1:15" x14ac:dyDescent="0.4">
      <c r="A383" s="36">
        <v>1781</v>
      </c>
      <c r="B383" s="12" t="s">
        <v>2965</v>
      </c>
      <c r="C383" s="43">
        <v>45773</v>
      </c>
      <c r="D383" s="14" t="s">
        <v>1931</v>
      </c>
      <c r="E383" s="13" t="s">
        <v>2966</v>
      </c>
      <c r="F383" s="14" t="s">
        <v>55</v>
      </c>
      <c r="G383" s="12" t="s">
        <v>2967</v>
      </c>
      <c r="H383" s="12" t="s">
        <v>1658</v>
      </c>
      <c r="I383" s="12" t="s">
        <v>2968</v>
      </c>
      <c r="J383" s="23">
        <v>45951</v>
      </c>
      <c r="K383" s="14" t="s">
        <v>2969</v>
      </c>
      <c r="L383" s="14" t="s">
        <v>2970</v>
      </c>
      <c r="M383" s="14" t="s">
        <v>613</v>
      </c>
      <c r="N383" s="11">
        <v>202509051278</v>
      </c>
      <c r="O383" s="48">
        <v>45860</v>
      </c>
    </row>
    <row r="384" spans="1:15" x14ac:dyDescent="0.4">
      <c r="A384" s="35">
        <v>1782</v>
      </c>
      <c r="B384" s="12" t="s">
        <v>2971</v>
      </c>
      <c r="C384" s="43">
        <v>45839</v>
      </c>
      <c r="D384" s="14" t="s">
        <v>452</v>
      </c>
      <c r="E384" s="13" t="s">
        <v>2972</v>
      </c>
      <c r="F384" s="14" t="s">
        <v>55</v>
      </c>
      <c r="G384" s="12" t="s">
        <v>2973</v>
      </c>
      <c r="H384" s="12" t="s">
        <v>2974</v>
      </c>
      <c r="I384" s="12" t="s">
        <v>2975</v>
      </c>
      <c r="J384" s="23">
        <v>45951</v>
      </c>
      <c r="K384" s="14" t="s">
        <v>2976</v>
      </c>
      <c r="L384" s="14" t="s">
        <v>2977</v>
      </c>
      <c r="M384" s="12" t="s">
        <v>79</v>
      </c>
      <c r="N384" s="11">
        <v>202509067334</v>
      </c>
      <c r="O384" s="48">
        <v>45923</v>
      </c>
    </row>
    <row r="385" spans="1:15" x14ac:dyDescent="0.4">
      <c r="A385" s="36">
        <v>1783</v>
      </c>
      <c r="B385" s="12" t="s">
        <v>2978</v>
      </c>
      <c r="C385" s="43">
        <v>45879</v>
      </c>
      <c r="D385" s="14" t="s">
        <v>536</v>
      </c>
      <c r="E385" s="13" t="s">
        <v>2979</v>
      </c>
      <c r="F385" s="14" t="s">
        <v>36</v>
      </c>
      <c r="G385" s="12" t="s">
        <v>2980</v>
      </c>
      <c r="H385" s="12" t="s">
        <v>2981</v>
      </c>
      <c r="I385" s="12" t="s">
        <v>2982</v>
      </c>
      <c r="J385" s="23">
        <v>45951</v>
      </c>
      <c r="K385" s="14" t="s">
        <v>464</v>
      </c>
      <c r="L385" s="14" t="s">
        <v>2983</v>
      </c>
      <c r="M385" s="14" t="s">
        <v>2984</v>
      </c>
      <c r="N385" s="11">
        <v>202509071388</v>
      </c>
      <c r="O385" s="48">
        <v>45938</v>
      </c>
    </row>
    <row r="386" spans="1:15" x14ac:dyDescent="0.4">
      <c r="A386" s="35">
        <v>1784</v>
      </c>
      <c r="B386" s="12" t="s">
        <v>2985</v>
      </c>
      <c r="C386" s="43">
        <v>45756</v>
      </c>
      <c r="D386" s="14" t="s">
        <v>195</v>
      </c>
      <c r="E386" s="13" t="s">
        <v>2986</v>
      </c>
      <c r="F386" s="14" t="s">
        <v>55</v>
      </c>
      <c r="G386" s="12" t="s">
        <v>2987</v>
      </c>
      <c r="H386" s="12" t="s">
        <v>2988</v>
      </c>
      <c r="I386" s="12" t="s">
        <v>2989</v>
      </c>
      <c r="J386" s="23">
        <v>45951</v>
      </c>
      <c r="K386" s="14" t="s">
        <v>2990</v>
      </c>
      <c r="L386" s="14" t="s">
        <v>2991</v>
      </c>
      <c r="M386" s="12" t="s">
        <v>160</v>
      </c>
      <c r="N386" s="11">
        <v>202509053017</v>
      </c>
      <c r="O386" s="48">
        <v>45867</v>
      </c>
    </row>
    <row r="387" spans="1:15" x14ac:dyDescent="0.4">
      <c r="A387" s="36">
        <v>1785</v>
      </c>
      <c r="B387" s="12" t="s">
        <v>2992</v>
      </c>
      <c r="C387" s="43">
        <v>45629</v>
      </c>
      <c r="D387" s="14" t="s">
        <v>411</v>
      </c>
      <c r="E387" s="13" t="s">
        <v>2993</v>
      </c>
      <c r="F387" s="14" t="s">
        <v>55</v>
      </c>
      <c r="G387" s="12" t="s">
        <v>2994</v>
      </c>
      <c r="H387" s="12" t="s">
        <v>1221</v>
      </c>
      <c r="I387" s="12" t="s">
        <v>2995</v>
      </c>
      <c r="J387" s="23">
        <v>45951</v>
      </c>
      <c r="K387" s="14" t="s">
        <v>2996</v>
      </c>
      <c r="L387" s="14" t="s">
        <v>2997</v>
      </c>
      <c r="M387" s="14" t="s">
        <v>2998</v>
      </c>
      <c r="N387" s="11">
        <v>202509072320</v>
      </c>
      <c r="O387" s="48">
        <v>45942</v>
      </c>
    </row>
    <row r="388" spans="1:15" x14ac:dyDescent="0.4">
      <c r="A388" s="35">
        <v>1786</v>
      </c>
      <c r="B388" s="12" t="s">
        <v>2999</v>
      </c>
      <c r="C388" s="43">
        <v>45629</v>
      </c>
      <c r="D388" s="14" t="s">
        <v>411</v>
      </c>
      <c r="E388" s="13" t="s">
        <v>3000</v>
      </c>
      <c r="F388" s="14" t="s">
        <v>36</v>
      </c>
      <c r="G388" s="12" t="s">
        <v>2994</v>
      </c>
      <c r="H388" s="12" t="s">
        <v>1221</v>
      </c>
      <c r="I388" s="12" t="s">
        <v>2995</v>
      </c>
      <c r="J388" s="23">
        <v>45951</v>
      </c>
      <c r="K388" s="14" t="s">
        <v>2996</v>
      </c>
      <c r="L388" s="14" t="s">
        <v>2997</v>
      </c>
      <c r="M388" s="12" t="s">
        <v>2998</v>
      </c>
      <c r="N388" s="11">
        <v>202509072321</v>
      </c>
      <c r="O388" s="48">
        <v>45942</v>
      </c>
    </row>
    <row r="389" spans="1:15" x14ac:dyDescent="0.4">
      <c r="A389" s="36">
        <v>1787</v>
      </c>
      <c r="B389" s="12" t="s">
        <v>3001</v>
      </c>
      <c r="C389" s="43">
        <v>45899</v>
      </c>
      <c r="D389" s="14" t="s">
        <v>509</v>
      </c>
      <c r="E389" s="13" t="s">
        <v>3002</v>
      </c>
      <c r="F389" s="14" t="s">
        <v>55</v>
      </c>
      <c r="G389" s="12" t="s">
        <v>3003</v>
      </c>
      <c r="H389" s="12" t="s">
        <v>3004</v>
      </c>
      <c r="I389" s="12" t="s">
        <v>3005</v>
      </c>
      <c r="J389" s="23">
        <v>45951</v>
      </c>
      <c r="K389" s="14" t="s">
        <v>3006</v>
      </c>
      <c r="L389" s="14" t="s">
        <v>2710</v>
      </c>
      <c r="M389" s="14" t="s">
        <v>2600</v>
      </c>
      <c r="N389" s="11">
        <v>202509068934</v>
      </c>
      <c r="O389" s="48">
        <v>45929</v>
      </c>
    </row>
    <row r="390" spans="1:15" ht="30" customHeight="1" x14ac:dyDescent="0.4">
      <c r="A390" s="35">
        <v>1788</v>
      </c>
      <c r="B390" s="12" t="s">
        <v>3007</v>
      </c>
      <c r="C390" s="43">
        <v>45810</v>
      </c>
      <c r="D390" s="14" t="s">
        <v>509</v>
      </c>
      <c r="E390" s="13" t="s">
        <v>3008</v>
      </c>
      <c r="F390" s="14" t="s">
        <v>55</v>
      </c>
      <c r="G390" s="12" t="s">
        <v>3009</v>
      </c>
      <c r="H390" s="12" t="s">
        <v>3010</v>
      </c>
      <c r="I390" s="12" t="s">
        <v>3011</v>
      </c>
      <c r="J390" s="23">
        <v>45951</v>
      </c>
      <c r="K390" s="14" t="s">
        <v>464</v>
      </c>
      <c r="L390" s="14" t="s">
        <v>3012</v>
      </c>
      <c r="M390" s="14" t="s">
        <v>979</v>
      </c>
      <c r="N390" s="11">
        <v>202509065240</v>
      </c>
      <c r="O390" s="48">
        <v>45915</v>
      </c>
    </row>
    <row r="391" spans="1:15" x14ac:dyDescent="0.4">
      <c r="A391" s="36">
        <v>1789</v>
      </c>
      <c r="B391" s="12" t="s">
        <v>3013</v>
      </c>
      <c r="C391" s="43">
        <v>45878</v>
      </c>
      <c r="D391" s="14" t="s">
        <v>509</v>
      </c>
      <c r="E391" s="13" t="s">
        <v>3014</v>
      </c>
      <c r="F391" s="14" t="s">
        <v>55</v>
      </c>
      <c r="G391" s="12" t="s">
        <v>3015</v>
      </c>
      <c r="H391" s="12" t="s">
        <v>3016</v>
      </c>
      <c r="I391" s="12" t="s">
        <v>3017</v>
      </c>
      <c r="J391" s="23">
        <v>45951</v>
      </c>
      <c r="K391" s="14" t="s">
        <v>3018</v>
      </c>
      <c r="L391" s="14" t="s">
        <v>3019</v>
      </c>
      <c r="M391" s="14" t="s">
        <v>3020</v>
      </c>
      <c r="N391" s="11">
        <v>202509064802</v>
      </c>
      <c r="O391" s="48">
        <v>45913</v>
      </c>
    </row>
    <row r="392" spans="1:15" x14ac:dyDescent="0.4">
      <c r="A392" s="35">
        <v>1790</v>
      </c>
      <c r="B392" s="12" t="s">
        <v>3021</v>
      </c>
      <c r="C392" s="43">
        <v>45792</v>
      </c>
      <c r="D392" s="14" t="s">
        <v>547</v>
      </c>
      <c r="E392" s="13" t="s">
        <v>3022</v>
      </c>
      <c r="F392" s="14" t="s">
        <v>36</v>
      </c>
      <c r="G392" s="12" t="s">
        <v>3023</v>
      </c>
      <c r="H392" s="12" t="s">
        <v>3024</v>
      </c>
      <c r="I392" s="12" t="s">
        <v>3025</v>
      </c>
      <c r="J392" s="23">
        <v>45951</v>
      </c>
      <c r="K392" s="14" t="s">
        <v>3026</v>
      </c>
      <c r="L392" s="14" t="s">
        <v>3027</v>
      </c>
      <c r="M392" s="14" t="s">
        <v>3028</v>
      </c>
      <c r="N392" s="11">
        <v>202509066944</v>
      </c>
      <c r="O392" s="48">
        <v>45921</v>
      </c>
    </row>
    <row r="393" spans="1:15" x14ac:dyDescent="0.4">
      <c r="A393" s="36">
        <v>1791</v>
      </c>
      <c r="B393" s="12" t="s">
        <v>3029</v>
      </c>
      <c r="C393" s="43">
        <v>45387</v>
      </c>
      <c r="D393" s="14" t="s">
        <v>509</v>
      </c>
      <c r="E393" s="13" t="s">
        <v>3030</v>
      </c>
      <c r="F393" s="14" t="s">
        <v>55</v>
      </c>
      <c r="G393" s="12" t="s">
        <v>3031</v>
      </c>
      <c r="H393" s="12" t="s">
        <v>2632</v>
      </c>
      <c r="I393" s="12" t="s">
        <v>3032</v>
      </c>
      <c r="J393" s="23">
        <v>45951</v>
      </c>
      <c r="K393" s="14" t="s">
        <v>3033</v>
      </c>
      <c r="L393" s="14" t="s">
        <v>3034</v>
      </c>
      <c r="M393" s="14" t="s">
        <v>3035</v>
      </c>
      <c r="N393" s="11">
        <v>202509065839</v>
      </c>
      <c r="O393" s="48">
        <v>45917</v>
      </c>
    </row>
    <row r="394" spans="1:15" x14ac:dyDescent="0.4">
      <c r="A394" s="35">
        <v>1792</v>
      </c>
      <c r="B394" s="12" t="s">
        <v>3036</v>
      </c>
      <c r="C394" s="43">
        <v>45777</v>
      </c>
      <c r="D394" s="14" t="s">
        <v>2116</v>
      </c>
      <c r="E394" s="13" t="s">
        <v>3037</v>
      </c>
      <c r="F394" s="14" t="s">
        <v>36</v>
      </c>
      <c r="G394" s="12" t="s">
        <v>3038</v>
      </c>
      <c r="H394" s="12" t="s">
        <v>3039</v>
      </c>
      <c r="I394" s="12" t="s">
        <v>3040</v>
      </c>
      <c r="J394" s="23">
        <v>45951</v>
      </c>
      <c r="K394" s="14" t="s">
        <v>3041</v>
      </c>
      <c r="L394" s="14" t="s">
        <v>3042</v>
      </c>
      <c r="M394" s="14" t="s">
        <v>3043</v>
      </c>
      <c r="N394" s="11">
        <v>202509060344</v>
      </c>
      <c r="O394" s="48">
        <v>45895</v>
      </c>
    </row>
    <row r="395" spans="1:15" ht="30" customHeight="1" x14ac:dyDescent="0.4">
      <c r="A395" s="36">
        <v>1793</v>
      </c>
      <c r="B395" s="12" t="s">
        <v>3044</v>
      </c>
      <c r="C395" s="43">
        <v>45792</v>
      </c>
      <c r="D395" s="14" t="s">
        <v>527</v>
      </c>
      <c r="E395" s="12" t="s">
        <v>3045</v>
      </c>
      <c r="F395" s="14" t="s">
        <v>36</v>
      </c>
      <c r="G395" s="12" t="s">
        <v>3046</v>
      </c>
      <c r="H395" s="12" t="s">
        <v>3047</v>
      </c>
      <c r="I395" s="12" t="s">
        <v>3048</v>
      </c>
      <c r="J395" s="23">
        <v>45957</v>
      </c>
      <c r="K395" s="12" t="s">
        <v>3049</v>
      </c>
      <c r="L395" s="12" t="s">
        <v>3050</v>
      </c>
      <c r="M395" s="12" t="s">
        <v>3051</v>
      </c>
      <c r="N395" s="11">
        <v>202509069342</v>
      </c>
      <c r="O395" s="48">
        <v>45930</v>
      </c>
    </row>
    <row r="396" spans="1:15" x14ac:dyDescent="0.4">
      <c r="A396" s="35">
        <v>1794</v>
      </c>
      <c r="B396" s="12" t="s">
        <v>3052</v>
      </c>
      <c r="C396" s="43">
        <v>45706</v>
      </c>
      <c r="D396" s="14" t="s">
        <v>661</v>
      </c>
      <c r="E396" s="12" t="s">
        <v>3053</v>
      </c>
      <c r="F396" s="14" t="s">
        <v>36</v>
      </c>
      <c r="G396" s="12" t="s">
        <v>3054</v>
      </c>
      <c r="H396" s="12" t="s">
        <v>3055</v>
      </c>
      <c r="I396" s="12" t="s">
        <v>3056</v>
      </c>
      <c r="J396" s="23">
        <v>45957</v>
      </c>
      <c r="K396" s="12" t="s">
        <v>3057</v>
      </c>
      <c r="L396" s="12" t="s">
        <v>3058</v>
      </c>
      <c r="M396" s="12" t="s">
        <v>3059</v>
      </c>
      <c r="N396" s="11">
        <v>202509066470</v>
      </c>
      <c r="O396" s="48">
        <v>45919</v>
      </c>
    </row>
    <row r="397" spans="1:15" x14ac:dyDescent="0.4">
      <c r="A397" s="36">
        <v>1795</v>
      </c>
      <c r="B397" s="12" t="s">
        <v>3060</v>
      </c>
      <c r="C397" s="43">
        <v>45912</v>
      </c>
      <c r="D397" s="14" t="s">
        <v>411</v>
      </c>
      <c r="E397" s="12" t="s">
        <v>3061</v>
      </c>
      <c r="F397" s="14" t="s">
        <v>36</v>
      </c>
      <c r="G397" s="12" t="s">
        <v>3062</v>
      </c>
      <c r="H397" s="12" t="s">
        <v>3063</v>
      </c>
      <c r="I397" s="12" t="s">
        <v>3064</v>
      </c>
      <c r="J397" s="23">
        <v>45957</v>
      </c>
      <c r="K397" s="12" t="s">
        <v>3065</v>
      </c>
      <c r="L397" s="12" t="s">
        <v>3066</v>
      </c>
      <c r="M397" s="12" t="s">
        <v>3067</v>
      </c>
      <c r="N397" s="11">
        <v>202509071538</v>
      </c>
      <c r="O397" s="48">
        <v>45939</v>
      </c>
    </row>
    <row r="398" spans="1:15" x14ac:dyDescent="0.4">
      <c r="A398" s="35">
        <v>1796</v>
      </c>
      <c r="B398" s="12" t="s">
        <v>3068</v>
      </c>
      <c r="C398" s="43">
        <v>45834</v>
      </c>
      <c r="D398" s="14" t="s">
        <v>509</v>
      </c>
      <c r="E398" s="12" t="s">
        <v>3069</v>
      </c>
      <c r="F398" s="14" t="s">
        <v>55</v>
      </c>
      <c r="G398" s="12" t="s">
        <v>3070</v>
      </c>
      <c r="H398" s="12" t="s">
        <v>3071</v>
      </c>
      <c r="I398" s="12" t="s">
        <v>3072</v>
      </c>
      <c r="J398" s="23">
        <v>45957</v>
      </c>
      <c r="K398" s="12" t="s">
        <v>3073</v>
      </c>
      <c r="L398" s="12" t="s">
        <v>3074</v>
      </c>
      <c r="M398" s="12" t="s">
        <v>3075</v>
      </c>
      <c r="N398" s="11">
        <v>202509072488</v>
      </c>
      <c r="O398" s="48">
        <v>45943</v>
      </c>
    </row>
    <row r="399" spans="1:15" x14ac:dyDescent="0.4">
      <c r="A399" s="36">
        <v>1797</v>
      </c>
      <c r="B399" s="12" t="s">
        <v>3076</v>
      </c>
      <c r="C399" s="43">
        <v>45782</v>
      </c>
      <c r="D399" s="14" t="s">
        <v>509</v>
      </c>
      <c r="E399" s="12" t="s">
        <v>3077</v>
      </c>
      <c r="F399" s="14" t="s">
        <v>36</v>
      </c>
      <c r="G399" s="12" t="s">
        <v>3078</v>
      </c>
      <c r="H399" s="12" t="s">
        <v>3079</v>
      </c>
      <c r="I399" s="12" t="s">
        <v>3080</v>
      </c>
      <c r="J399" s="23">
        <v>45957</v>
      </c>
      <c r="K399" s="12" t="s">
        <v>3081</v>
      </c>
      <c r="L399" s="12" t="s">
        <v>3082</v>
      </c>
      <c r="M399" s="12" t="s">
        <v>3083</v>
      </c>
      <c r="N399" s="11">
        <v>202509071756</v>
      </c>
      <c r="O399" s="48">
        <v>45939</v>
      </c>
    </row>
    <row r="400" spans="1:15" x14ac:dyDescent="0.4">
      <c r="A400" s="35">
        <v>1798</v>
      </c>
      <c r="B400" s="12" t="s">
        <v>3084</v>
      </c>
      <c r="C400" s="43">
        <v>45858</v>
      </c>
      <c r="D400" s="14" t="s">
        <v>547</v>
      </c>
      <c r="E400" s="12" t="s">
        <v>3085</v>
      </c>
      <c r="F400" s="14" t="s">
        <v>36</v>
      </c>
      <c r="G400" s="12" t="s">
        <v>3086</v>
      </c>
      <c r="H400" s="12" t="s">
        <v>3087</v>
      </c>
      <c r="I400" s="12" t="s">
        <v>3088</v>
      </c>
      <c r="J400" s="23">
        <v>45957</v>
      </c>
      <c r="K400" s="12" t="s">
        <v>3089</v>
      </c>
      <c r="L400" s="12" t="s">
        <v>3090</v>
      </c>
      <c r="M400" s="12" t="s">
        <v>3091</v>
      </c>
      <c r="N400" s="11">
        <v>202509072789</v>
      </c>
      <c r="O400" s="48">
        <v>45944</v>
      </c>
    </row>
    <row r="401" spans="1:15" x14ac:dyDescent="0.4">
      <c r="A401" s="36">
        <v>1799</v>
      </c>
      <c r="B401" s="12" t="s">
        <v>3092</v>
      </c>
      <c r="C401" s="43">
        <v>45879</v>
      </c>
      <c r="D401" s="14" t="s">
        <v>509</v>
      </c>
      <c r="E401" s="12" t="s">
        <v>3093</v>
      </c>
      <c r="F401" s="14" t="s">
        <v>36</v>
      </c>
      <c r="G401" s="12" t="s">
        <v>3094</v>
      </c>
      <c r="H401" s="12" t="s">
        <v>3095</v>
      </c>
      <c r="I401" s="12" t="s">
        <v>3096</v>
      </c>
      <c r="J401" s="23">
        <v>45957</v>
      </c>
      <c r="K401" s="12" t="s">
        <v>3097</v>
      </c>
      <c r="L401" s="12" t="s">
        <v>3098</v>
      </c>
      <c r="M401" s="12" t="s">
        <v>3099</v>
      </c>
      <c r="N401" s="11">
        <v>202509072359</v>
      </c>
      <c r="O401" s="48">
        <v>45942</v>
      </c>
    </row>
    <row r="402" spans="1:15" ht="30" customHeight="1" x14ac:dyDescent="0.4">
      <c r="A402" s="35">
        <v>1800</v>
      </c>
      <c r="B402" s="12" t="s">
        <v>3100</v>
      </c>
      <c r="C402" s="43">
        <v>45886</v>
      </c>
      <c r="D402" s="14" t="s">
        <v>527</v>
      </c>
      <c r="E402" s="12" t="s">
        <v>3101</v>
      </c>
      <c r="F402" s="14" t="s">
        <v>55</v>
      </c>
      <c r="G402" s="12" t="s">
        <v>3102</v>
      </c>
      <c r="H402" s="12" t="s">
        <v>3103</v>
      </c>
      <c r="I402" s="12" t="s">
        <v>3104</v>
      </c>
      <c r="J402" s="23">
        <v>45958</v>
      </c>
      <c r="K402" s="12">
        <v>64</v>
      </c>
      <c r="L402" s="12" t="s">
        <v>3105</v>
      </c>
      <c r="M402" s="12" t="s">
        <v>3106</v>
      </c>
      <c r="N402" s="11">
        <v>202509071546</v>
      </c>
      <c r="O402" s="48">
        <v>45939</v>
      </c>
    </row>
    <row r="403" spans="1:15" ht="30" customHeight="1" x14ac:dyDescent="0.4">
      <c r="A403" s="36">
        <v>1801</v>
      </c>
      <c r="B403" s="12" t="s">
        <v>3107</v>
      </c>
      <c r="C403" s="43">
        <v>45923</v>
      </c>
      <c r="D403" s="14" t="s">
        <v>452</v>
      </c>
      <c r="E403" s="12" t="s">
        <v>3108</v>
      </c>
      <c r="F403" s="14" t="s">
        <v>55</v>
      </c>
      <c r="G403" s="12" t="s">
        <v>3109</v>
      </c>
      <c r="H403" s="12" t="s">
        <v>3110</v>
      </c>
      <c r="I403" s="12" t="s">
        <v>3111</v>
      </c>
      <c r="J403" s="23">
        <v>45958</v>
      </c>
      <c r="K403" s="12" t="s">
        <v>3112</v>
      </c>
      <c r="L403" s="12" t="s">
        <v>3113</v>
      </c>
      <c r="M403" s="12" t="s">
        <v>3114</v>
      </c>
      <c r="N403" s="10">
        <v>202509073112</v>
      </c>
      <c r="O403" s="48">
        <v>45945</v>
      </c>
    </row>
    <row r="404" spans="1:15" ht="30" customHeight="1" x14ac:dyDescent="0.4">
      <c r="A404" s="35">
        <v>1802</v>
      </c>
      <c r="B404" s="12" t="s">
        <v>3115</v>
      </c>
      <c r="C404" s="43">
        <v>45870</v>
      </c>
      <c r="D404" s="14" t="s">
        <v>452</v>
      </c>
      <c r="E404" s="12" t="s">
        <v>3116</v>
      </c>
      <c r="F404" s="14" t="s">
        <v>36</v>
      </c>
      <c r="G404" s="12" t="s">
        <v>3117</v>
      </c>
      <c r="H404" s="12" t="s">
        <v>3118</v>
      </c>
      <c r="I404" s="12" t="s">
        <v>3119</v>
      </c>
      <c r="J404" s="23">
        <v>45958</v>
      </c>
      <c r="K404" s="12" t="s">
        <v>3120</v>
      </c>
      <c r="L404" s="12" t="s">
        <v>3121</v>
      </c>
      <c r="M404" s="12" t="s">
        <v>3122</v>
      </c>
      <c r="N404" s="11">
        <v>202509071207</v>
      </c>
      <c r="O404" s="48">
        <v>45938</v>
      </c>
    </row>
    <row r="405" spans="1:15" ht="30" customHeight="1" x14ac:dyDescent="0.4">
      <c r="A405" s="36">
        <v>1803</v>
      </c>
      <c r="B405" s="12" t="s">
        <v>3123</v>
      </c>
      <c r="C405" s="43">
        <v>45904</v>
      </c>
      <c r="D405" s="14" t="s">
        <v>2672</v>
      </c>
      <c r="E405" s="12" t="s">
        <v>3124</v>
      </c>
      <c r="F405" s="14" t="s">
        <v>36</v>
      </c>
      <c r="G405" s="12" t="s">
        <v>3125</v>
      </c>
      <c r="H405" s="12" t="s">
        <v>3126</v>
      </c>
      <c r="I405" s="12" t="s">
        <v>3127</v>
      </c>
      <c r="J405" s="23">
        <v>45958</v>
      </c>
      <c r="K405" s="12" t="s">
        <v>3128</v>
      </c>
      <c r="L405" s="12" t="s">
        <v>3129</v>
      </c>
      <c r="M405" s="12" t="s">
        <v>3130</v>
      </c>
      <c r="N405" s="11">
        <v>202509072170</v>
      </c>
      <c r="O405" s="48">
        <v>45941</v>
      </c>
    </row>
    <row r="406" spans="1:15" ht="30" customHeight="1" x14ac:dyDescent="0.4">
      <c r="A406" s="35">
        <v>1804</v>
      </c>
      <c r="B406" s="12" t="s">
        <v>3131</v>
      </c>
      <c r="C406" s="43">
        <v>45847</v>
      </c>
      <c r="D406" s="14" t="s">
        <v>3132</v>
      </c>
      <c r="E406" s="12" t="s">
        <v>3133</v>
      </c>
      <c r="F406" s="14" t="s">
        <v>36</v>
      </c>
      <c r="G406" s="12" t="s">
        <v>3134</v>
      </c>
      <c r="H406" s="12" t="s">
        <v>3135</v>
      </c>
      <c r="I406" s="12" t="s">
        <v>3136</v>
      </c>
      <c r="J406" s="23">
        <v>45958</v>
      </c>
      <c r="K406" s="12" t="s">
        <v>3137</v>
      </c>
      <c r="L406" s="12" t="s">
        <v>3138</v>
      </c>
      <c r="M406" s="12" t="s">
        <v>3139</v>
      </c>
      <c r="N406" s="11">
        <v>202509072799</v>
      </c>
      <c r="O406" s="48">
        <v>45944</v>
      </c>
    </row>
    <row r="407" spans="1:15" x14ac:dyDescent="0.4">
      <c r="A407" s="36">
        <v>1805</v>
      </c>
      <c r="B407" s="12" t="s">
        <v>3140</v>
      </c>
      <c r="C407" s="43">
        <v>45667</v>
      </c>
      <c r="D407" s="14" t="s">
        <v>509</v>
      </c>
      <c r="E407" s="12" t="s">
        <v>3141</v>
      </c>
      <c r="F407" s="14" t="s">
        <v>55</v>
      </c>
      <c r="G407" s="12" t="s">
        <v>3142</v>
      </c>
      <c r="H407" s="12" t="s">
        <v>3143</v>
      </c>
      <c r="I407" s="12" t="s">
        <v>3144</v>
      </c>
      <c r="J407" s="23">
        <v>45958</v>
      </c>
      <c r="K407" s="12" t="s">
        <v>3145</v>
      </c>
      <c r="L407" s="12" t="s">
        <v>3146</v>
      </c>
      <c r="M407" s="12" t="s">
        <v>3147</v>
      </c>
      <c r="N407" s="11">
        <v>202509072787</v>
      </c>
      <c r="O407" s="48">
        <v>45944</v>
      </c>
    </row>
    <row r="408" spans="1:15" x14ac:dyDescent="0.4">
      <c r="A408" s="35">
        <v>1806</v>
      </c>
      <c r="B408" s="1" t="s">
        <v>3148</v>
      </c>
      <c r="C408" s="38">
        <v>45807</v>
      </c>
      <c r="D408" s="1" t="s">
        <v>1931</v>
      </c>
      <c r="E408" s="1" t="s">
        <v>3149</v>
      </c>
      <c r="F408" s="1" t="s">
        <v>36</v>
      </c>
      <c r="G408" s="1" t="s">
        <v>3150</v>
      </c>
      <c r="H408" s="1" t="s">
        <v>3151</v>
      </c>
      <c r="I408" s="1" t="s">
        <v>3152</v>
      </c>
      <c r="J408" s="38">
        <v>45961</v>
      </c>
      <c r="K408" s="1" t="s">
        <v>3153</v>
      </c>
      <c r="L408" s="1" t="s">
        <v>3154</v>
      </c>
      <c r="M408" s="1" t="s">
        <v>3155</v>
      </c>
      <c r="N408" s="2">
        <v>202509068879</v>
      </c>
      <c r="O408" s="47">
        <v>45929</v>
      </c>
    </row>
    <row r="409" spans="1:15" x14ac:dyDescent="0.4">
      <c r="A409" s="36">
        <v>1807</v>
      </c>
      <c r="B409" s="1" t="s">
        <v>3156</v>
      </c>
      <c r="C409" s="38">
        <v>45888</v>
      </c>
      <c r="D409" s="1" t="s">
        <v>44</v>
      </c>
      <c r="E409" s="1" t="s">
        <v>3157</v>
      </c>
      <c r="F409" s="1" t="s">
        <v>55</v>
      </c>
      <c r="G409" s="1" t="s">
        <v>3158</v>
      </c>
      <c r="H409" s="1" t="s">
        <v>3159</v>
      </c>
      <c r="I409" s="1" t="s">
        <v>3160</v>
      </c>
      <c r="J409" s="38">
        <v>45964</v>
      </c>
      <c r="K409" s="1" t="s">
        <v>3161</v>
      </c>
      <c r="L409" s="1" t="s">
        <v>3162</v>
      </c>
      <c r="M409" s="1" t="s">
        <v>3163</v>
      </c>
      <c r="N409" s="2">
        <v>202509070414</v>
      </c>
      <c r="O409" s="47">
        <v>45935</v>
      </c>
    </row>
    <row r="410" spans="1:15" x14ac:dyDescent="0.4">
      <c r="A410" s="35">
        <v>1808</v>
      </c>
      <c r="B410" s="1" t="s">
        <v>3164</v>
      </c>
      <c r="C410" s="38">
        <v>45907</v>
      </c>
      <c r="D410" s="1" t="s">
        <v>452</v>
      </c>
      <c r="E410" s="1" t="s">
        <v>3165</v>
      </c>
      <c r="F410" s="1" t="s">
        <v>36</v>
      </c>
      <c r="G410" s="1" t="s">
        <v>3166</v>
      </c>
      <c r="H410" s="1" t="s">
        <v>3167</v>
      </c>
      <c r="I410" s="1" t="s">
        <v>3168</v>
      </c>
      <c r="J410" s="38">
        <v>45964</v>
      </c>
      <c r="K410" s="1" t="s">
        <v>158</v>
      </c>
      <c r="L410" s="1" t="s">
        <v>3169</v>
      </c>
      <c r="M410" s="1" t="s">
        <v>3170</v>
      </c>
      <c r="N410" s="2">
        <v>202509072768</v>
      </c>
      <c r="O410" s="47">
        <v>45944</v>
      </c>
    </row>
    <row r="411" spans="1:15" x14ac:dyDescent="0.4">
      <c r="A411" s="36">
        <v>1809</v>
      </c>
      <c r="B411" s="1" t="s">
        <v>3171</v>
      </c>
      <c r="C411" s="38">
        <v>45896</v>
      </c>
      <c r="D411" s="1" t="s">
        <v>509</v>
      </c>
      <c r="E411" s="1" t="s">
        <v>3172</v>
      </c>
      <c r="F411" s="1" t="s">
        <v>55</v>
      </c>
      <c r="G411" s="1" t="s">
        <v>2892</v>
      </c>
      <c r="H411" s="1" t="s">
        <v>3173</v>
      </c>
      <c r="I411" s="1" t="s">
        <v>3174</v>
      </c>
      <c r="J411" s="38">
        <v>45964</v>
      </c>
      <c r="K411" s="1" t="s">
        <v>3175</v>
      </c>
      <c r="L411" s="1" t="s">
        <v>3176</v>
      </c>
      <c r="M411" s="1" t="s">
        <v>3177</v>
      </c>
      <c r="N411" s="2">
        <v>202509073054</v>
      </c>
      <c r="O411" s="47">
        <v>45945</v>
      </c>
    </row>
    <row r="412" spans="1:15" x14ac:dyDescent="0.4">
      <c r="A412" s="35">
        <v>1810</v>
      </c>
      <c r="B412" s="1" t="s">
        <v>3178</v>
      </c>
      <c r="C412" s="38">
        <v>45806</v>
      </c>
      <c r="D412" s="1" t="s">
        <v>44</v>
      </c>
      <c r="E412" s="1" t="s">
        <v>3179</v>
      </c>
      <c r="F412" s="1" t="s">
        <v>36</v>
      </c>
      <c r="G412" s="1" t="s">
        <v>3180</v>
      </c>
      <c r="H412" s="1" t="s">
        <v>3087</v>
      </c>
      <c r="I412" s="1" t="s">
        <v>3181</v>
      </c>
      <c r="J412" s="38">
        <v>45964</v>
      </c>
      <c r="K412" s="1" t="s">
        <v>3182</v>
      </c>
      <c r="L412" s="1" t="s">
        <v>3183</v>
      </c>
      <c r="M412" s="1" t="s">
        <v>3184</v>
      </c>
      <c r="N412" s="2">
        <v>202509071868</v>
      </c>
      <c r="O412" s="47">
        <v>45940</v>
      </c>
    </row>
    <row r="413" spans="1:15" x14ac:dyDescent="0.4">
      <c r="A413" s="36">
        <v>1811</v>
      </c>
      <c r="B413" s="1" t="s">
        <v>3185</v>
      </c>
      <c r="C413" s="38">
        <v>45689</v>
      </c>
      <c r="D413" s="1" t="s">
        <v>509</v>
      </c>
      <c r="E413" s="1" t="s">
        <v>3186</v>
      </c>
      <c r="F413" s="1" t="s">
        <v>36</v>
      </c>
      <c r="G413" s="1" t="s">
        <v>3187</v>
      </c>
      <c r="H413" s="1" t="s">
        <v>3188</v>
      </c>
      <c r="I413" s="1" t="s">
        <v>3189</v>
      </c>
      <c r="J413" s="38">
        <v>45964</v>
      </c>
      <c r="K413" s="1" t="s">
        <v>3190</v>
      </c>
      <c r="L413" s="1" t="s">
        <v>3191</v>
      </c>
      <c r="M413" s="1" t="s">
        <v>3192</v>
      </c>
      <c r="N413" s="2">
        <v>202509070962</v>
      </c>
      <c r="O413" s="47">
        <v>45937</v>
      </c>
    </row>
    <row r="414" spans="1:15" x14ac:dyDescent="0.4">
      <c r="A414" s="35">
        <v>1812</v>
      </c>
      <c r="B414" s="1" t="s">
        <v>3193</v>
      </c>
      <c r="C414" s="38">
        <v>45902</v>
      </c>
      <c r="D414" s="1" t="s">
        <v>737</v>
      </c>
      <c r="E414" s="1" t="s">
        <v>3194</v>
      </c>
      <c r="F414" s="1" t="s">
        <v>55</v>
      </c>
      <c r="G414" s="1" t="s">
        <v>3195</v>
      </c>
      <c r="H414" s="1" t="s">
        <v>3196</v>
      </c>
      <c r="I414" s="1" t="s">
        <v>3197</v>
      </c>
      <c r="J414" s="38">
        <v>45964</v>
      </c>
      <c r="K414" s="1" t="s">
        <v>3198</v>
      </c>
      <c r="L414" s="1" t="s">
        <v>3199</v>
      </c>
      <c r="M414" s="1" t="s">
        <v>3200</v>
      </c>
      <c r="N414" s="2">
        <v>202509073447</v>
      </c>
      <c r="O414" s="47">
        <v>45946</v>
      </c>
    </row>
    <row r="415" spans="1:15" x14ac:dyDescent="0.4">
      <c r="A415" s="36">
        <v>1813</v>
      </c>
      <c r="B415" s="1" t="s">
        <v>3201</v>
      </c>
      <c r="C415" s="38">
        <v>45902</v>
      </c>
      <c r="D415" s="1" t="s">
        <v>536</v>
      </c>
      <c r="E415" s="1" t="s">
        <v>3202</v>
      </c>
      <c r="F415" s="1" t="s">
        <v>36</v>
      </c>
      <c r="G415" s="1" t="s">
        <v>3203</v>
      </c>
      <c r="H415" s="1" t="s">
        <v>3204</v>
      </c>
      <c r="I415" s="1" t="s">
        <v>3205</v>
      </c>
      <c r="J415" s="38">
        <v>45964</v>
      </c>
      <c r="K415" s="1" t="s">
        <v>3206</v>
      </c>
      <c r="L415" s="1" t="s">
        <v>3207</v>
      </c>
      <c r="M415" s="1" t="s">
        <v>3208</v>
      </c>
      <c r="N415" s="2">
        <v>202509073448</v>
      </c>
      <c r="O415" s="47">
        <v>45946</v>
      </c>
    </row>
    <row r="416" spans="1:15" x14ac:dyDescent="0.4">
      <c r="A416" s="35">
        <v>1814</v>
      </c>
      <c r="B416" s="1" t="s">
        <v>3209</v>
      </c>
      <c r="C416" s="38">
        <v>45826</v>
      </c>
      <c r="D416" s="1" t="s">
        <v>509</v>
      </c>
      <c r="E416" s="1" t="s">
        <v>3210</v>
      </c>
      <c r="F416" s="1" t="s">
        <v>36</v>
      </c>
      <c r="G416" s="1" t="s">
        <v>3211</v>
      </c>
      <c r="H416" s="1" t="s">
        <v>3212</v>
      </c>
      <c r="I416" s="1" t="s">
        <v>3213</v>
      </c>
      <c r="J416" s="38">
        <v>45964</v>
      </c>
      <c r="K416" s="1" t="s">
        <v>3214</v>
      </c>
      <c r="L416" s="1" t="s">
        <v>3215</v>
      </c>
      <c r="M416" s="1" t="s">
        <v>3200</v>
      </c>
      <c r="N416" s="2">
        <v>202509065662</v>
      </c>
      <c r="O416" s="47">
        <v>45916</v>
      </c>
    </row>
    <row r="417" spans="1:15" x14ac:dyDescent="0.4">
      <c r="A417" s="36">
        <v>1815</v>
      </c>
      <c r="B417" s="1" t="s">
        <v>3216</v>
      </c>
      <c r="C417" s="38">
        <v>45727</v>
      </c>
      <c r="D417" s="1" t="s">
        <v>527</v>
      </c>
      <c r="E417" s="1" t="s">
        <v>3217</v>
      </c>
      <c r="F417" s="1" t="s">
        <v>36</v>
      </c>
      <c r="G417" s="1" t="s">
        <v>3218</v>
      </c>
      <c r="H417" s="1" t="s">
        <v>618</v>
      </c>
      <c r="I417" s="1" t="s">
        <v>3219</v>
      </c>
      <c r="J417" s="38">
        <v>45964</v>
      </c>
      <c r="K417" s="1" t="s">
        <v>3220</v>
      </c>
      <c r="L417" s="1" t="s">
        <v>3221</v>
      </c>
      <c r="M417" s="1" t="s">
        <v>3222</v>
      </c>
      <c r="N417" s="2">
        <v>202509072294</v>
      </c>
      <c r="O417" s="47">
        <v>45942</v>
      </c>
    </row>
    <row r="418" spans="1:15" x14ac:dyDescent="0.4">
      <c r="A418" s="35">
        <v>1816</v>
      </c>
      <c r="B418" s="1" t="s">
        <v>3223</v>
      </c>
      <c r="C418" s="38">
        <v>45859</v>
      </c>
      <c r="D418" s="1" t="s">
        <v>3224</v>
      </c>
      <c r="E418" s="1" t="s">
        <v>3225</v>
      </c>
      <c r="F418" s="1" t="s">
        <v>55</v>
      </c>
      <c r="G418" s="1" t="s">
        <v>3226</v>
      </c>
      <c r="H418" s="1" t="s">
        <v>3227</v>
      </c>
      <c r="I418" s="1" t="s">
        <v>3228</v>
      </c>
      <c r="J418" s="38">
        <v>45964</v>
      </c>
      <c r="K418" s="1" t="s">
        <v>3229</v>
      </c>
      <c r="L418" s="1" t="s">
        <v>3230</v>
      </c>
      <c r="M418" s="1" t="s">
        <v>3231</v>
      </c>
      <c r="N418" s="2">
        <v>202509070831</v>
      </c>
      <c r="O418" s="47">
        <v>45937</v>
      </c>
    </row>
    <row r="419" spans="1:15" x14ac:dyDescent="0.4">
      <c r="A419" s="36">
        <v>1817</v>
      </c>
      <c r="B419" s="1" t="s">
        <v>3232</v>
      </c>
      <c r="C419" s="38">
        <v>45914</v>
      </c>
      <c r="D419" s="1" t="s">
        <v>1768</v>
      </c>
      <c r="E419" s="1" t="s">
        <v>3233</v>
      </c>
      <c r="F419" s="1" t="s">
        <v>36</v>
      </c>
      <c r="G419" s="1" t="s">
        <v>3234</v>
      </c>
      <c r="H419" s="1" t="s">
        <v>3235</v>
      </c>
      <c r="I419" s="1" t="s">
        <v>3236</v>
      </c>
      <c r="J419" s="38">
        <v>45964</v>
      </c>
      <c r="K419" s="1" t="s">
        <v>3237</v>
      </c>
      <c r="L419" s="1" t="s">
        <v>3238</v>
      </c>
      <c r="M419" s="1" t="s">
        <v>3239</v>
      </c>
      <c r="N419" s="2">
        <v>202509072095</v>
      </c>
      <c r="O419" s="47">
        <v>45941</v>
      </c>
    </row>
    <row r="420" spans="1:15" x14ac:dyDescent="0.4">
      <c r="A420" s="35">
        <v>1818</v>
      </c>
      <c r="B420" s="1" t="s">
        <v>3240</v>
      </c>
      <c r="C420" s="38">
        <v>45847</v>
      </c>
      <c r="D420" s="1" t="s">
        <v>509</v>
      </c>
      <c r="E420" s="1" t="s">
        <v>3241</v>
      </c>
      <c r="F420" s="1" t="s">
        <v>55</v>
      </c>
      <c r="G420" s="1" t="s">
        <v>3211</v>
      </c>
      <c r="H420" s="1" t="s">
        <v>3242</v>
      </c>
      <c r="I420" s="1" t="s">
        <v>3243</v>
      </c>
      <c r="J420" s="38">
        <v>45964</v>
      </c>
      <c r="K420" s="1" t="s">
        <v>3244</v>
      </c>
      <c r="L420" s="1" t="s">
        <v>3245</v>
      </c>
      <c r="M420" s="1" t="s">
        <v>3246</v>
      </c>
      <c r="N420" s="2">
        <v>202509073439</v>
      </c>
      <c r="O420" s="47">
        <v>45946</v>
      </c>
    </row>
    <row r="421" spans="1:15" x14ac:dyDescent="0.4">
      <c r="A421" s="36">
        <v>1819</v>
      </c>
      <c r="B421" s="1" t="s">
        <v>3247</v>
      </c>
      <c r="C421" s="38">
        <v>45916</v>
      </c>
      <c r="D421" s="1" t="s">
        <v>547</v>
      </c>
      <c r="E421" s="1" t="s">
        <v>3248</v>
      </c>
      <c r="F421" s="1" t="s">
        <v>36</v>
      </c>
      <c r="G421" s="1" t="s">
        <v>3249</v>
      </c>
      <c r="H421" s="1" t="s">
        <v>3250</v>
      </c>
      <c r="I421" s="1" t="s">
        <v>3251</v>
      </c>
      <c r="J421" s="38">
        <v>45965</v>
      </c>
      <c r="K421" s="1" t="s">
        <v>3252</v>
      </c>
      <c r="L421" s="1" t="s">
        <v>3253</v>
      </c>
      <c r="M421" s="1" t="s">
        <v>3254</v>
      </c>
      <c r="N421" s="2">
        <v>202509074848</v>
      </c>
      <c r="O421" s="47">
        <v>45952</v>
      </c>
    </row>
    <row r="422" spans="1:15" x14ac:dyDescent="0.4">
      <c r="A422" s="35">
        <v>1820</v>
      </c>
      <c r="B422" s="1" t="s">
        <v>3255</v>
      </c>
      <c r="C422" s="38">
        <v>45902</v>
      </c>
      <c r="D422" s="1" t="s">
        <v>547</v>
      </c>
      <c r="E422" s="1" t="s">
        <v>3256</v>
      </c>
      <c r="F422" s="1" t="s">
        <v>36</v>
      </c>
      <c r="G422" s="1" t="s">
        <v>3257</v>
      </c>
      <c r="H422" s="1" t="s">
        <v>3258</v>
      </c>
      <c r="I422" s="1" t="s">
        <v>3259</v>
      </c>
      <c r="J422" s="38">
        <v>45965</v>
      </c>
      <c r="K422" s="1" t="s">
        <v>3260</v>
      </c>
      <c r="L422" s="1" t="s">
        <v>3261</v>
      </c>
      <c r="M422" s="1" t="s">
        <v>3262</v>
      </c>
      <c r="N422" s="2">
        <v>202509069017</v>
      </c>
      <c r="O422" s="47">
        <v>45929</v>
      </c>
    </row>
    <row r="423" spans="1:15" x14ac:dyDescent="0.4">
      <c r="A423" s="36">
        <v>1821</v>
      </c>
      <c r="B423" s="1" t="s">
        <v>3263</v>
      </c>
      <c r="C423" s="38">
        <v>45850</v>
      </c>
      <c r="D423" s="1" t="s">
        <v>904</v>
      </c>
      <c r="E423" s="1" t="s">
        <v>3264</v>
      </c>
      <c r="F423" s="1" t="s">
        <v>36</v>
      </c>
      <c r="G423" s="1" t="s">
        <v>3265</v>
      </c>
      <c r="H423" s="1" t="s">
        <v>3266</v>
      </c>
      <c r="I423" s="1" t="s">
        <v>3267</v>
      </c>
      <c r="J423" s="38">
        <v>45965</v>
      </c>
      <c r="K423" s="1" t="s">
        <v>3268</v>
      </c>
      <c r="L423" s="1" t="s">
        <v>3269</v>
      </c>
      <c r="M423" s="1" t="s">
        <v>3270</v>
      </c>
      <c r="N423" s="2">
        <v>202509072436</v>
      </c>
      <c r="O423" s="47">
        <v>45943</v>
      </c>
    </row>
    <row r="424" spans="1:15" x14ac:dyDescent="0.4">
      <c r="A424" s="35">
        <v>1822</v>
      </c>
      <c r="B424" s="1" t="s">
        <v>3271</v>
      </c>
      <c r="C424" s="38">
        <v>45828</v>
      </c>
      <c r="D424" s="1" t="s">
        <v>509</v>
      </c>
      <c r="E424" s="1" t="s">
        <v>3272</v>
      </c>
      <c r="F424" s="1" t="s">
        <v>36</v>
      </c>
      <c r="G424" s="1" t="s">
        <v>3273</v>
      </c>
      <c r="H424" s="1" t="s">
        <v>3274</v>
      </c>
      <c r="I424" s="1" t="s">
        <v>3275</v>
      </c>
      <c r="J424" s="38">
        <v>45965</v>
      </c>
      <c r="K424" s="1" t="s">
        <v>158</v>
      </c>
      <c r="L424" s="1" t="s">
        <v>3276</v>
      </c>
      <c r="M424" s="1" t="s">
        <v>3277</v>
      </c>
      <c r="N424" s="2">
        <v>202509071969</v>
      </c>
      <c r="O424" s="47">
        <v>45940</v>
      </c>
    </row>
    <row r="425" spans="1:15" x14ac:dyDescent="0.4">
      <c r="A425" s="36">
        <v>1823</v>
      </c>
      <c r="B425" s="1" t="s">
        <v>3278</v>
      </c>
      <c r="C425" s="38">
        <v>45859</v>
      </c>
      <c r="D425" s="1" t="s">
        <v>452</v>
      </c>
      <c r="E425" s="1" t="s">
        <v>3279</v>
      </c>
      <c r="F425" s="1" t="s">
        <v>55</v>
      </c>
      <c r="G425" s="1" t="s">
        <v>3280</v>
      </c>
      <c r="H425" s="1" t="s">
        <v>3281</v>
      </c>
      <c r="I425" s="1" t="s">
        <v>3282</v>
      </c>
      <c r="J425" s="38">
        <v>45965</v>
      </c>
      <c r="K425" s="1" t="s">
        <v>3283</v>
      </c>
      <c r="L425" s="1" t="s">
        <v>3284</v>
      </c>
      <c r="M425" s="1" t="s">
        <v>3285</v>
      </c>
      <c r="N425" s="2">
        <v>202509060224</v>
      </c>
      <c r="O425" s="47">
        <v>45895</v>
      </c>
    </row>
    <row r="426" spans="1:15" x14ac:dyDescent="0.4">
      <c r="A426" s="35">
        <v>1824</v>
      </c>
      <c r="B426" s="1" t="s">
        <v>3286</v>
      </c>
      <c r="C426" s="38">
        <v>45778</v>
      </c>
      <c r="D426" s="1" t="s">
        <v>509</v>
      </c>
      <c r="E426" s="1" t="s">
        <v>3287</v>
      </c>
      <c r="F426" s="1" t="s">
        <v>36</v>
      </c>
      <c r="G426" s="1" t="s">
        <v>3288</v>
      </c>
      <c r="H426" s="1" t="s">
        <v>3289</v>
      </c>
      <c r="I426" s="1" t="s">
        <v>3290</v>
      </c>
      <c r="J426" s="38">
        <v>45965</v>
      </c>
      <c r="K426" s="1" t="s">
        <v>3291</v>
      </c>
      <c r="L426" s="1" t="s">
        <v>3292</v>
      </c>
      <c r="M426" s="1" t="s">
        <v>3293</v>
      </c>
      <c r="N426" s="2">
        <v>202509074502</v>
      </c>
      <c r="O426" s="47">
        <v>45951</v>
      </c>
    </row>
    <row r="427" spans="1:15" x14ac:dyDescent="0.4">
      <c r="A427" s="36">
        <v>1825</v>
      </c>
      <c r="B427" s="1" t="s">
        <v>3294</v>
      </c>
      <c r="C427" s="38">
        <v>45918</v>
      </c>
      <c r="D427" s="1" t="s">
        <v>1931</v>
      </c>
      <c r="E427" s="1" t="s">
        <v>3295</v>
      </c>
      <c r="F427" s="1" t="s">
        <v>36</v>
      </c>
      <c r="G427" s="1" t="s">
        <v>3296</v>
      </c>
      <c r="H427" s="1" t="s">
        <v>3297</v>
      </c>
      <c r="I427" s="1" t="s">
        <v>3298</v>
      </c>
      <c r="J427" s="38">
        <v>45965</v>
      </c>
      <c r="K427" s="1" t="s">
        <v>3299</v>
      </c>
      <c r="L427" s="1" t="s">
        <v>3300</v>
      </c>
      <c r="M427" s="1" t="s">
        <v>3301</v>
      </c>
      <c r="N427" s="2">
        <v>202509073763</v>
      </c>
      <c r="O427" s="47">
        <v>45947</v>
      </c>
    </row>
    <row r="428" spans="1:15" x14ac:dyDescent="0.4">
      <c r="A428" s="35">
        <v>1826</v>
      </c>
      <c r="B428" s="1" t="s">
        <v>3302</v>
      </c>
      <c r="C428" s="38">
        <v>45883</v>
      </c>
      <c r="D428" s="1" t="s">
        <v>2672</v>
      </c>
      <c r="E428" s="1" t="s">
        <v>3303</v>
      </c>
      <c r="F428" s="1" t="s">
        <v>36</v>
      </c>
      <c r="G428" s="1" t="s">
        <v>3304</v>
      </c>
      <c r="H428" s="1" t="s">
        <v>3305</v>
      </c>
      <c r="I428" s="1" t="s">
        <v>3306</v>
      </c>
      <c r="J428" s="38">
        <v>45965</v>
      </c>
      <c r="K428" s="1" t="s">
        <v>3307</v>
      </c>
      <c r="L428" s="1" t="s">
        <v>3308</v>
      </c>
      <c r="M428" s="1" t="s">
        <v>3309</v>
      </c>
      <c r="N428" s="2">
        <v>202509074205</v>
      </c>
      <c r="O428" s="47">
        <v>45949</v>
      </c>
    </row>
    <row r="429" spans="1:15" x14ac:dyDescent="0.4">
      <c r="A429" s="36">
        <v>1827</v>
      </c>
      <c r="B429" s="1" t="s">
        <v>3310</v>
      </c>
      <c r="C429" s="38">
        <v>45841</v>
      </c>
      <c r="D429" s="1" t="s">
        <v>509</v>
      </c>
      <c r="E429" s="1" t="s">
        <v>3311</v>
      </c>
      <c r="F429" s="1" t="s">
        <v>36</v>
      </c>
      <c r="G429" s="1" t="s">
        <v>3312</v>
      </c>
      <c r="H429" s="1" t="s">
        <v>3313</v>
      </c>
      <c r="I429" s="1" t="s">
        <v>3314</v>
      </c>
      <c r="J429" s="38">
        <v>45965</v>
      </c>
      <c r="K429" s="1" t="s">
        <v>3315</v>
      </c>
      <c r="L429" s="1" t="s">
        <v>3316</v>
      </c>
      <c r="M429" s="1" t="s">
        <v>3317</v>
      </c>
      <c r="N429" s="2">
        <v>202509072870</v>
      </c>
      <c r="O429" s="47">
        <v>45944</v>
      </c>
    </row>
    <row r="430" spans="1:15" x14ac:dyDescent="0.4">
      <c r="A430" s="35">
        <v>1828</v>
      </c>
      <c r="B430" s="1" t="s">
        <v>3318</v>
      </c>
      <c r="C430" s="38">
        <v>45927</v>
      </c>
      <c r="D430" s="1" t="s">
        <v>1218</v>
      </c>
      <c r="E430" s="1" t="s">
        <v>3319</v>
      </c>
      <c r="F430" s="1" t="s">
        <v>36</v>
      </c>
      <c r="G430" s="1" t="s">
        <v>3320</v>
      </c>
      <c r="H430" s="1" t="s">
        <v>3321</v>
      </c>
      <c r="I430" s="1" t="s">
        <v>3322</v>
      </c>
      <c r="J430" s="38">
        <v>45965</v>
      </c>
      <c r="K430" s="1" t="s">
        <v>3323</v>
      </c>
      <c r="L430" s="1" t="s">
        <v>3324</v>
      </c>
      <c r="M430" s="1" t="s">
        <v>3325</v>
      </c>
      <c r="N430" s="2">
        <v>202509074602</v>
      </c>
      <c r="O430" s="47">
        <v>45951</v>
      </c>
    </row>
    <row r="431" spans="1:15" x14ac:dyDescent="0.4">
      <c r="A431" s="36">
        <v>1829</v>
      </c>
      <c r="B431" s="1" t="s">
        <v>3326</v>
      </c>
      <c r="C431" s="38">
        <v>45854</v>
      </c>
      <c r="D431" s="1" t="s">
        <v>509</v>
      </c>
      <c r="E431" s="1" t="s">
        <v>3327</v>
      </c>
      <c r="F431" s="1" t="s">
        <v>36</v>
      </c>
      <c r="G431" s="1" t="s">
        <v>3328</v>
      </c>
      <c r="H431" s="1" t="s">
        <v>3329</v>
      </c>
      <c r="I431" s="1" t="s">
        <v>3330</v>
      </c>
      <c r="J431" s="38">
        <v>45965</v>
      </c>
      <c r="K431" s="1" t="s">
        <v>3331</v>
      </c>
      <c r="L431" s="1" t="s">
        <v>3332</v>
      </c>
      <c r="M431" s="1" t="s">
        <v>3333</v>
      </c>
      <c r="N431" s="2">
        <v>202509072517</v>
      </c>
      <c r="O431" s="47">
        <v>45943</v>
      </c>
    </row>
    <row r="432" spans="1:15" x14ac:dyDescent="0.4">
      <c r="A432" s="35">
        <v>1830</v>
      </c>
      <c r="B432" s="1" t="s">
        <v>3334</v>
      </c>
      <c r="C432" s="38">
        <v>45742</v>
      </c>
      <c r="D432" s="1" t="s">
        <v>44</v>
      </c>
      <c r="E432" s="1" t="s">
        <v>3335</v>
      </c>
      <c r="F432" s="1" t="s">
        <v>55</v>
      </c>
      <c r="G432" s="1" t="s">
        <v>3336</v>
      </c>
      <c r="H432" s="1" t="s">
        <v>3337</v>
      </c>
      <c r="I432" s="1" t="s">
        <v>3338</v>
      </c>
      <c r="J432" s="38">
        <v>45965</v>
      </c>
      <c r="K432" s="1" t="s">
        <v>3339</v>
      </c>
      <c r="L432" s="1" t="s">
        <v>3340</v>
      </c>
      <c r="M432" s="1" t="s">
        <v>3341</v>
      </c>
      <c r="N432" s="2">
        <v>202509074703</v>
      </c>
      <c r="O432" s="47">
        <v>45951</v>
      </c>
    </row>
    <row r="433" spans="1:15" x14ac:dyDescent="0.4">
      <c r="A433" s="36">
        <v>1831</v>
      </c>
      <c r="B433" s="1" t="s">
        <v>163</v>
      </c>
      <c r="C433" s="38">
        <v>45881</v>
      </c>
      <c r="D433" s="1" t="s">
        <v>1218</v>
      </c>
      <c r="E433" s="1" t="s">
        <v>3342</v>
      </c>
      <c r="F433" s="1" t="s">
        <v>36</v>
      </c>
      <c r="G433" s="1" t="s">
        <v>3343</v>
      </c>
      <c r="H433" s="1" t="s">
        <v>3344</v>
      </c>
      <c r="I433" s="1" t="s">
        <v>3345</v>
      </c>
      <c r="J433" s="38">
        <v>45965</v>
      </c>
      <c r="K433" s="1" t="s">
        <v>3346</v>
      </c>
      <c r="L433" s="1" t="s">
        <v>3347</v>
      </c>
      <c r="M433" s="1" t="s">
        <v>3348</v>
      </c>
      <c r="N433" s="2">
        <v>202509074841</v>
      </c>
      <c r="O433" s="47">
        <v>45952</v>
      </c>
    </row>
    <row r="434" spans="1:15" x14ac:dyDescent="0.4">
      <c r="A434" s="35">
        <v>1832</v>
      </c>
      <c r="B434" s="1" t="s">
        <v>3349</v>
      </c>
      <c r="C434" s="38">
        <v>45818</v>
      </c>
      <c r="D434" s="1" t="s">
        <v>1931</v>
      </c>
      <c r="E434" s="1" t="s">
        <v>3350</v>
      </c>
      <c r="F434" s="1" t="s">
        <v>36</v>
      </c>
      <c r="G434" s="1" t="s">
        <v>3351</v>
      </c>
      <c r="H434" s="1" t="s">
        <v>3352</v>
      </c>
      <c r="I434" s="1" t="s">
        <v>3353</v>
      </c>
      <c r="J434" s="38">
        <v>45965</v>
      </c>
      <c r="K434" s="1" t="s">
        <v>3354</v>
      </c>
      <c r="L434" s="1" t="s">
        <v>3355</v>
      </c>
      <c r="M434" s="1" t="s">
        <v>3356</v>
      </c>
      <c r="N434" s="2">
        <v>202509059324</v>
      </c>
      <c r="O434" s="47">
        <v>45891</v>
      </c>
    </row>
    <row r="435" spans="1:15" x14ac:dyDescent="0.4">
      <c r="A435" s="36">
        <v>1833</v>
      </c>
      <c r="B435" s="1" t="s">
        <v>3357</v>
      </c>
      <c r="C435" s="38">
        <v>45805</v>
      </c>
      <c r="D435" s="1" t="s">
        <v>737</v>
      </c>
      <c r="E435" s="1" t="s">
        <v>3358</v>
      </c>
      <c r="F435" s="1" t="s">
        <v>55</v>
      </c>
      <c r="G435" s="1" t="s">
        <v>3359</v>
      </c>
      <c r="H435" s="1" t="s">
        <v>963</v>
      </c>
      <c r="I435" s="1" t="s">
        <v>3360</v>
      </c>
      <c r="J435" s="38">
        <v>45967</v>
      </c>
      <c r="K435" s="1" t="s">
        <v>464</v>
      </c>
      <c r="L435" s="1" t="s">
        <v>3361</v>
      </c>
      <c r="M435" s="1" t="s">
        <v>3362</v>
      </c>
      <c r="N435" s="2">
        <v>202509073092</v>
      </c>
      <c r="O435" s="47">
        <v>45945</v>
      </c>
    </row>
    <row r="436" spans="1:15" x14ac:dyDescent="0.4">
      <c r="A436" s="35">
        <v>1834</v>
      </c>
      <c r="B436" s="1" t="s">
        <v>3363</v>
      </c>
      <c r="C436" s="38">
        <v>45722</v>
      </c>
      <c r="D436" s="1" t="s">
        <v>2672</v>
      </c>
      <c r="E436" s="1" t="s">
        <v>3364</v>
      </c>
      <c r="F436" s="1" t="s">
        <v>55</v>
      </c>
      <c r="G436" s="1" t="s">
        <v>3365</v>
      </c>
      <c r="H436" s="1" t="s">
        <v>3366</v>
      </c>
      <c r="I436" s="1" t="s">
        <v>3367</v>
      </c>
      <c r="J436" s="38">
        <v>45967</v>
      </c>
      <c r="K436" s="1" t="s">
        <v>3368</v>
      </c>
      <c r="L436" s="1" t="s">
        <v>3369</v>
      </c>
      <c r="M436" s="1" t="s">
        <v>3370</v>
      </c>
      <c r="N436" s="2">
        <v>202509074245</v>
      </c>
      <c r="O436" s="47">
        <v>45949</v>
      </c>
    </row>
    <row r="437" spans="1:15" x14ac:dyDescent="0.4">
      <c r="A437" s="36">
        <v>1835</v>
      </c>
      <c r="B437" s="1" t="s">
        <v>3371</v>
      </c>
      <c r="C437" s="38">
        <v>45863</v>
      </c>
      <c r="D437" s="1" t="s">
        <v>3372</v>
      </c>
      <c r="E437" s="1" t="s">
        <v>3373</v>
      </c>
      <c r="F437" s="1" t="s">
        <v>36</v>
      </c>
      <c r="G437" s="1" t="s">
        <v>2907</v>
      </c>
      <c r="H437" s="1" t="s">
        <v>3374</v>
      </c>
      <c r="I437" s="1" t="s">
        <v>3375</v>
      </c>
      <c r="J437" s="38">
        <v>45967</v>
      </c>
      <c r="K437" s="1" t="s">
        <v>3376</v>
      </c>
      <c r="L437" s="1" t="s">
        <v>3377</v>
      </c>
      <c r="M437" s="1" t="s">
        <v>3378</v>
      </c>
      <c r="N437" s="2">
        <v>202509073968</v>
      </c>
      <c r="O437" s="47">
        <v>45948</v>
      </c>
    </row>
    <row r="438" spans="1:15" x14ac:dyDescent="0.4">
      <c r="A438" s="35">
        <v>1836</v>
      </c>
      <c r="B438" s="1" t="s">
        <v>3379</v>
      </c>
      <c r="C438" s="38">
        <v>45753</v>
      </c>
      <c r="D438" s="1" t="s">
        <v>1931</v>
      </c>
      <c r="E438" s="1" t="s">
        <v>3380</v>
      </c>
      <c r="F438" s="1" t="s">
        <v>55</v>
      </c>
      <c r="G438" s="1" t="s">
        <v>1428</v>
      </c>
      <c r="H438" s="1" t="s">
        <v>3381</v>
      </c>
      <c r="I438" s="1" t="s">
        <v>3382</v>
      </c>
      <c r="J438" s="38">
        <v>45967</v>
      </c>
      <c r="K438" s="1" t="s">
        <v>3383</v>
      </c>
      <c r="L438" s="1" t="s">
        <v>3384</v>
      </c>
      <c r="M438" s="1" t="s">
        <v>3385</v>
      </c>
      <c r="N438" s="2">
        <v>202509052965</v>
      </c>
      <c r="O438" s="47">
        <v>45867</v>
      </c>
    </row>
    <row r="439" spans="1:15" x14ac:dyDescent="0.4">
      <c r="A439" s="36">
        <v>1837</v>
      </c>
      <c r="B439" s="1" t="s">
        <v>3386</v>
      </c>
      <c r="C439" s="38">
        <v>45918</v>
      </c>
      <c r="D439" s="1" t="s">
        <v>661</v>
      </c>
      <c r="E439" s="1" t="s">
        <v>3387</v>
      </c>
      <c r="F439" s="1" t="s">
        <v>36</v>
      </c>
      <c r="G439" s="1" t="s">
        <v>3388</v>
      </c>
      <c r="H439" s="1" t="s">
        <v>3389</v>
      </c>
      <c r="I439" s="1" t="s">
        <v>3390</v>
      </c>
      <c r="J439" s="38">
        <v>45967</v>
      </c>
      <c r="K439" s="1" t="s">
        <v>3391</v>
      </c>
      <c r="L439" s="1" t="s">
        <v>123</v>
      </c>
      <c r="M439" s="1" t="s">
        <v>3200</v>
      </c>
      <c r="N439" s="2">
        <v>202509073113</v>
      </c>
      <c r="O439" s="47">
        <v>45945</v>
      </c>
    </row>
    <row r="440" spans="1:15" x14ac:dyDescent="0.4">
      <c r="A440" s="35">
        <v>1838</v>
      </c>
      <c r="B440" s="1" t="s">
        <v>3392</v>
      </c>
      <c r="C440" s="38">
        <v>45898</v>
      </c>
      <c r="D440" s="1" t="s">
        <v>411</v>
      </c>
      <c r="E440" s="1" t="s">
        <v>3393</v>
      </c>
      <c r="F440" s="1" t="s">
        <v>36</v>
      </c>
      <c r="G440" s="1" t="s">
        <v>3394</v>
      </c>
      <c r="H440" s="1" t="s">
        <v>3395</v>
      </c>
      <c r="I440" s="1" t="s">
        <v>3396</v>
      </c>
      <c r="J440" s="38">
        <v>45967</v>
      </c>
      <c r="K440" s="1" t="s">
        <v>3397</v>
      </c>
      <c r="L440" s="1" t="s">
        <v>1356</v>
      </c>
      <c r="M440" s="1" t="s">
        <v>3398</v>
      </c>
      <c r="N440" s="2">
        <v>202509073858</v>
      </c>
      <c r="O440" s="47">
        <v>45947</v>
      </c>
    </row>
    <row r="441" spans="1:15" x14ac:dyDescent="0.4">
      <c r="A441" s="36">
        <v>1839</v>
      </c>
      <c r="B441" s="1" t="s">
        <v>3399</v>
      </c>
      <c r="C441" s="38">
        <v>45776</v>
      </c>
      <c r="D441" s="1" t="s">
        <v>1931</v>
      </c>
      <c r="E441" s="1" t="s">
        <v>3400</v>
      </c>
      <c r="F441" s="1" t="s">
        <v>36</v>
      </c>
      <c r="G441" s="1" t="s">
        <v>3401</v>
      </c>
      <c r="H441" s="1" t="s">
        <v>3402</v>
      </c>
      <c r="I441" s="1" t="s">
        <v>3403</v>
      </c>
      <c r="J441" s="38">
        <v>45967</v>
      </c>
      <c r="K441" s="1" t="s">
        <v>3404</v>
      </c>
      <c r="L441" s="1" t="s">
        <v>3405</v>
      </c>
      <c r="M441" s="1" t="s">
        <v>3406</v>
      </c>
      <c r="N441" s="2">
        <v>202509074223</v>
      </c>
      <c r="O441" s="47">
        <v>45949</v>
      </c>
    </row>
    <row r="442" spans="1:15" x14ac:dyDescent="0.4">
      <c r="A442" s="35">
        <v>1840</v>
      </c>
      <c r="B442" s="1" t="s">
        <v>3407</v>
      </c>
      <c r="C442" s="38">
        <v>45901</v>
      </c>
      <c r="D442" s="1" t="s">
        <v>536</v>
      </c>
      <c r="E442" s="1" t="s">
        <v>3408</v>
      </c>
      <c r="F442" s="1" t="s">
        <v>55</v>
      </c>
      <c r="G442" s="1" t="s">
        <v>3409</v>
      </c>
      <c r="H442" s="1" t="s">
        <v>3410</v>
      </c>
      <c r="I442" s="1" t="s">
        <v>3411</v>
      </c>
      <c r="J442" s="38">
        <v>45967</v>
      </c>
      <c r="K442" s="1" t="s">
        <v>3412</v>
      </c>
      <c r="L442" s="1" t="s">
        <v>3413</v>
      </c>
      <c r="M442" s="1" t="s">
        <v>3414</v>
      </c>
      <c r="N442" s="2">
        <v>202509069050</v>
      </c>
      <c r="O442" s="47">
        <v>45929</v>
      </c>
    </row>
    <row r="443" spans="1:15" x14ac:dyDescent="0.4">
      <c r="A443" s="36">
        <v>1841</v>
      </c>
      <c r="B443" s="1" t="s">
        <v>3415</v>
      </c>
      <c r="C443" s="38">
        <v>45925</v>
      </c>
      <c r="D443" s="1" t="s">
        <v>2672</v>
      </c>
      <c r="E443" s="1" t="s">
        <v>3416</v>
      </c>
      <c r="F443" s="1" t="s">
        <v>55</v>
      </c>
      <c r="G443" s="1" t="s">
        <v>3417</v>
      </c>
      <c r="H443" s="1" t="s">
        <v>3418</v>
      </c>
      <c r="I443" s="1" t="s">
        <v>3419</v>
      </c>
      <c r="J443" s="38">
        <v>45967</v>
      </c>
      <c r="K443" s="1" t="s">
        <v>3420</v>
      </c>
      <c r="L443" s="1" t="s">
        <v>3421</v>
      </c>
      <c r="M443" s="1" t="s">
        <v>3422</v>
      </c>
      <c r="N443" s="2">
        <v>202509074347</v>
      </c>
      <c r="O443" s="47">
        <v>45950</v>
      </c>
    </row>
    <row r="444" spans="1:15" x14ac:dyDescent="0.4">
      <c r="A444" s="35">
        <v>1842</v>
      </c>
      <c r="B444" s="1" t="s">
        <v>3423</v>
      </c>
      <c r="C444" s="38">
        <v>45819</v>
      </c>
      <c r="D444" s="1" t="s">
        <v>509</v>
      </c>
      <c r="E444" s="1" t="s">
        <v>3424</v>
      </c>
      <c r="F444" s="1" t="s">
        <v>55</v>
      </c>
      <c r="G444" s="1" t="s">
        <v>3425</v>
      </c>
      <c r="H444" s="1" t="s">
        <v>3426</v>
      </c>
      <c r="I444" s="1" t="s">
        <v>3427</v>
      </c>
      <c r="J444" s="38">
        <v>45967</v>
      </c>
      <c r="K444" s="1" t="s">
        <v>3428</v>
      </c>
      <c r="L444" s="1" t="s">
        <v>3429</v>
      </c>
      <c r="M444" s="1" t="s">
        <v>3430</v>
      </c>
      <c r="N444" s="2">
        <v>202509069799</v>
      </c>
      <c r="O444" s="47">
        <v>45932</v>
      </c>
    </row>
    <row r="445" spans="1:15" x14ac:dyDescent="0.4">
      <c r="A445" s="36">
        <v>1843</v>
      </c>
      <c r="B445" s="1" t="s">
        <v>3431</v>
      </c>
      <c r="C445" s="38">
        <v>45761</v>
      </c>
      <c r="D445" s="1" t="s">
        <v>44</v>
      </c>
      <c r="E445" s="1" t="s">
        <v>3432</v>
      </c>
      <c r="F445" s="1" t="s">
        <v>36</v>
      </c>
      <c r="G445" s="1" t="s">
        <v>3433</v>
      </c>
      <c r="H445" s="1" t="s">
        <v>3434</v>
      </c>
      <c r="I445" s="1" t="s">
        <v>3435</v>
      </c>
      <c r="J445" s="38">
        <v>45967</v>
      </c>
      <c r="K445" s="1" t="s">
        <v>3436</v>
      </c>
      <c r="L445" s="1" t="s">
        <v>3437</v>
      </c>
      <c r="M445" s="1" t="s">
        <v>768</v>
      </c>
      <c r="N445" s="2">
        <v>202509065039</v>
      </c>
      <c r="O445" s="47">
        <v>45914</v>
      </c>
    </row>
    <row r="446" spans="1:15" x14ac:dyDescent="0.4">
      <c r="A446" s="35">
        <v>1844</v>
      </c>
      <c r="B446" s="1" t="s">
        <v>3438</v>
      </c>
      <c r="C446" s="38">
        <v>45777</v>
      </c>
      <c r="D446" s="1" t="s">
        <v>536</v>
      </c>
      <c r="E446" s="1" t="s">
        <v>3439</v>
      </c>
      <c r="F446" s="1" t="s">
        <v>55</v>
      </c>
      <c r="G446" s="1" t="s">
        <v>3440</v>
      </c>
      <c r="H446" s="1" t="s">
        <v>3441</v>
      </c>
      <c r="I446" s="1" t="s">
        <v>3442</v>
      </c>
      <c r="J446" s="38">
        <v>45971</v>
      </c>
      <c r="K446" s="1" t="s">
        <v>158</v>
      </c>
      <c r="L446" s="1" t="s">
        <v>3443</v>
      </c>
      <c r="M446" s="1" t="s">
        <v>3444</v>
      </c>
      <c r="N446" s="2">
        <v>202509060628</v>
      </c>
      <c r="O446" s="47">
        <v>45896</v>
      </c>
    </row>
    <row r="447" spans="1:15" x14ac:dyDescent="0.4">
      <c r="A447" s="36">
        <v>1845</v>
      </c>
      <c r="B447" s="1" t="s">
        <v>3445</v>
      </c>
      <c r="C447" s="38">
        <v>45898</v>
      </c>
      <c r="D447" s="1" t="s">
        <v>536</v>
      </c>
      <c r="E447" s="1" t="s">
        <v>3446</v>
      </c>
      <c r="F447" s="1" t="s">
        <v>55</v>
      </c>
      <c r="G447" s="1" t="s">
        <v>3447</v>
      </c>
      <c r="H447" s="1" t="s">
        <v>3448</v>
      </c>
      <c r="I447" s="1" t="s">
        <v>3449</v>
      </c>
      <c r="J447" s="38">
        <v>45971</v>
      </c>
      <c r="K447" s="1" t="s">
        <v>3450</v>
      </c>
      <c r="L447" s="1" t="s">
        <v>3451</v>
      </c>
      <c r="M447" s="1" t="s">
        <v>3452</v>
      </c>
      <c r="N447" s="2">
        <v>202509068738</v>
      </c>
      <c r="O447" s="47">
        <v>45928</v>
      </c>
    </row>
    <row r="448" spans="1:15" x14ac:dyDescent="0.4">
      <c r="A448" s="35">
        <v>1846</v>
      </c>
      <c r="B448" s="1" t="s">
        <v>3453</v>
      </c>
      <c r="C448" s="38">
        <v>45869</v>
      </c>
      <c r="D448" s="1" t="s">
        <v>737</v>
      </c>
      <c r="E448" s="1" t="s">
        <v>3454</v>
      </c>
      <c r="F448" s="1" t="s">
        <v>36</v>
      </c>
      <c r="G448" s="1" t="s">
        <v>3455</v>
      </c>
      <c r="H448" s="1" t="s">
        <v>414</v>
      </c>
      <c r="I448" s="1" t="s">
        <v>3456</v>
      </c>
      <c r="J448" s="38">
        <v>45971</v>
      </c>
      <c r="K448" s="1" t="s">
        <v>158</v>
      </c>
      <c r="L448" s="1" t="s">
        <v>2263</v>
      </c>
      <c r="M448" s="1" t="s">
        <v>2264</v>
      </c>
      <c r="N448" s="2">
        <v>202509068878</v>
      </c>
      <c r="O448" s="47">
        <v>45929</v>
      </c>
    </row>
    <row r="449" spans="1:15" x14ac:dyDescent="0.4">
      <c r="A449" s="36">
        <v>1847</v>
      </c>
      <c r="B449" s="1" t="s">
        <v>3457</v>
      </c>
      <c r="C449" s="38">
        <v>45790</v>
      </c>
      <c r="D449" s="1" t="s">
        <v>1931</v>
      </c>
      <c r="E449" s="1" t="s">
        <v>3458</v>
      </c>
      <c r="F449" s="1" t="s">
        <v>55</v>
      </c>
      <c r="G449" s="1" t="s">
        <v>3459</v>
      </c>
      <c r="H449" s="1" t="s">
        <v>3460</v>
      </c>
      <c r="I449" s="1" t="s">
        <v>3461</v>
      </c>
      <c r="J449" s="38">
        <v>45971</v>
      </c>
      <c r="K449" s="1" t="s">
        <v>3462</v>
      </c>
      <c r="L449" s="1" t="s">
        <v>3463</v>
      </c>
      <c r="M449" s="1" t="s">
        <v>3464</v>
      </c>
      <c r="N449" s="2">
        <v>202509067332</v>
      </c>
      <c r="O449" s="47">
        <v>45923</v>
      </c>
    </row>
    <row r="450" spans="1:15" x14ac:dyDescent="0.4">
      <c r="A450" s="35">
        <v>1848</v>
      </c>
      <c r="B450" s="1" t="s">
        <v>3465</v>
      </c>
      <c r="C450" s="38">
        <v>45861</v>
      </c>
      <c r="D450" s="1" t="s">
        <v>452</v>
      </c>
      <c r="E450" s="1" t="s">
        <v>3466</v>
      </c>
      <c r="F450" s="1" t="s">
        <v>36</v>
      </c>
      <c r="G450" s="1" t="s">
        <v>3467</v>
      </c>
      <c r="H450" s="1" t="s">
        <v>3468</v>
      </c>
      <c r="I450" s="1" t="s">
        <v>3469</v>
      </c>
      <c r="J450" s="38">
        <v>45971</v>
      </c>
      <c r="K450" s="1" t="s">
        <v>3470</v>
      </c>
      <c r="L450" s="1" t="s">
        <v>3471</v>
      </c>
      <c r="M450" s="1" t="s">
        <v>269</v>
      </c>
      <c r="N450" s="2">
        <v>202509064227</v>
      </c>
      <c r="O450" s="47">
        <v>45911</v>
      </c>
    </row>
    <row r="451" spans="1:15" x14ac:dyDescent="0.4">
      <c r="A451" s="36">
        <v>1849</v>
      </c>
      <c r="B451" s="1" t="s">
        <v>3472</v>
      </c>
      <c r="C451" s="38">
        <v>45911</v>
      </c>
      <c r="D451" s="1" t="s">
        <v>509</v>
      </c>
      <c r="E451" s="1" t="s">
        <v>3473</v>
      </c>
      <c r="F451" s="1" t="s">
        <v>36</v>
      </c>
      <c r="G451" s="1" t="s">
        <v>3474</v>
      </c>
      <c r="H451" s="1" t="s">
        <v>3475</v>
      </c>
      <c r="I451" s="1" t="s">
        <v>3476</v>
      </c>
      <c r="J451" s="38">
        <v>45972</v>
      </c>
      <c r="K451" s="1" t="s">
        <v>3477</v>
      </c>
      <c r="L451" s="1" t="s">
        <v>3478</v>
      </c>
      <c r="M451" s="1" t="s">
        <v>3479</v>
      </c>
      <c r="N451" s="2">
        <v>202509072837</v>
      </c>
      <c r="O451" s="47">
        <v>45944</v>
      </c>
    </row>
    <row r="452" spans="1:15" x14ac:dyDescent="0.4">
      <c r="A452" s="35">
        <v>1850</v>
      </c>
      <c r="B452" s="1" t="s">
        <v>3480</v>
      </c>
      <c r="C452" s="38">
        <v>45627</v>
      </c>
      <c r="D452" s="1" t="s">
        <v>3481</v>
      </c>
      <c r="E452" s="1" t="s">
        <v>3482</v>
      </c>
      <c r="F452" s="1" t="s">
        <v>55</v>
      </c>
      <c r="G452" s="1" t="s">
        <v>128</v>
      </c>
      <c r="H452" s="1" t="s">
        <v>3483</v>
      </c>
      <c r="I452" s="1" t="s">
        <v>3484</v>
      </c>
      <c r="J452" s="38">
        <v>45972</v>
      </c>
      <c r="K452" s="1" t="s">
        <v>158</v>
      </c>
      <c r="L452" s="1" t="s">
        <v>3485</v>
      </c>
      <c r="M452" s="1" t="s">
        <v>3486</v>
      </c>
      <c r="N452" s="2">
        <v>202509075455</v>
      </c>
      <c r="O452" s="47">
        <v>45953</v>
      </c>
    </row>
    <row r="453" spans="1:15" x14ac:dyDescent="0.4">
      <c r="A453" s="36">
        <v>1851</v>
      </c>
      <c r="B453" s="1" t="s">
        <v>3487</v>
      </c>
      <c r="C453" s="38">
        <v>45872</v>
      </c>
      <c r="D453" s="1" t="s">
        <v>509</v>
      </c>
      <c r="E453" s="1" t="s">
        <v>3488</v>
      </c>
      <c r="F453" s="1" t="s">
        <v>36</v>
      </c>
      <c r="G453" s="1" t="s">
        <v>3489</v>
      </c>
      <c r="H453" s="1" t="s">
        <v>3242</v>
      </c>
      <c r="I453" s="1" t="s">
        <v>3490</v>
      </c>
      <c r="J453" s="38">
        <v>45972</v>
      </c>
      <c r="K453" s="1" t="s">
        <v>3491</v>
      </c>
      <c r="L453" s="1" t="s">
        <v>3492</v>
      </c>
      <c r="M453" s="1" t="s">
        <v>3493</v>
      </c>
      <c r="N453" s="2">
        <v>202509070870</v>
      </c>
      <c r="O453" s="47">
        <v>45937</v>
      </c>
    </row>
    <row r="454" spans="1:15" x14ac:dyDescent="0.4">
      <c r="A454" s="35">
        <v>1852</v>
      </c>
      <c r="B454" s="1" t="s">
        <v>3494</v>
      </c>
      <c r="C454" s="38">
        <v>45882</v>
      </c>
      <c r="D454" s="1" t="s">
        <v>44</v>
      </c>
      <c r="E454" s="1" t="s">
        <v>3495</v>
      </c>
      <c r="F454" s="1" t="s">
        <v>55</v>
      </c>
      <c r="G454" s="1" t="s">
        <v>3496</v>
      </c>
      <c r="H454" s="1" t="s">
        <v>3497</v>
      </c>
      <c r="I454" s="1" t="s">
        <v>3498</v>
      </c>
      <c r="J454" s="38">
        <v>45972</v>
      </c>
      <c r="K454" s="1" t="s">
        <v>3499</v>
      </c>
      <c r="L454" s="1" t="s">
        <v>3500</v>
      </c>
      <c r="M454" s="1" t="s">
        <v>3501</v>
      </c>
      <c r="N454" s="2">
        <v>202509065517</v>
      </c>
      <c r="O454" s="47">
        <v>45916</v>
      </c>
    </row>
    <row r="455" spans="1:15" x14ac:dyDescent="0.4">
      <c r="A455" s="36">
        <v>1853</v>
      </c>
      <c r="B455" s="1" t="s">
        <v>3502</v>
      </c>
      <c r="C455" s="38">
        <v>45870</v>
      </c>
      <c r="D455" s="1" t="s">
        <v>411</v>
      </c>
      <c r="E455" s="1" t="s">
        <v>3503</v>
      </c>
      <c r="F455" s="1" t="s">
        <v>55</v>
      </c>
      <c r="G455" s="1" t="s">
        <v>3504</v>
      </c>
      <c r="H455" s="1" t="s">
        <v>3505</v>
      </c>
      <c r="I455" s="1" t="s">
        <v>3506</v>
      </c>
      <c r="J455" s="38">
        <v>45972</v>
      </c>
      <c r="K455" s="1" t="s">
        <v>3507</v>
      </c>
      <c r="L455" s="1" t="s">
        <v>3508</v>
      </c>
      <c r="M455" s="1" t="s">
        <v>3509</v>
      </c>
      <c r="N455" s="2">
        <v>202509070883</v>
      </c>
      <c r="O455" s="47">
        <v>45937</v>
      </c>
    </row>
    <row r="456" spans="1:15" x14ac:dyDescent="0.4">
      <c r="A456" s="35">
        <v>1854</v>
      </c>
      <c r="B456" s="1" t="s">
        <v>3510</v>
      </c>
      <c r="C456" s="38">
        <v>45800</v>
      </c>
      <c r="D456" s="1" t="s">
        <v>509</v>
      </c>
      <c r="E456" s="1" t="s">
        <v>3511</v>
      </c>
      <c r="F456" s="1" t="s">
        <v>36</v>
      </c>
      <c r="G456" s="1" t="s">
        <v>3512</v>
      </c>
      <c r="H456" s="1" t="s">
        <v>849</v>
      </c>
      <c r="I456" s="1" t="s">
        <v>3513</v>
      </c>
      <c r="J456" s="38">
        <v>45972</v>
      </c>
      <c r="K456" s="1" t="s">
        <v>3514</v>
      </c>
      <c r="L456" s="1" t="s">
        <v>3515</v>
      </c>
      <c r="M456" s="1" t="s">
        <v>3516</v>
      </c>
      <c r="N456" s="2">
        <v>202509072323</v>
      </c>
      <c r="O456" s="47">
        <v>45942</v>
      </c>
    </row>
    <row r="457" spans="1:15" x14ac:dyDescent="0.4">
      <c r="A457" s="36">
        <v>1855</v>
      </c>
      <c r="B457" s="1" t="s">
        <v>3517</v>
      </c>
      <c r="C457" s="38">
        <v>45881</v>
      </c>
      <c r="D457" s="1" t="s">
        <v>2116</v>
      </c>
      <c r="E457" s="1" t="s">
        <v>3518</v>
      </c>
      <c r="F457" s="1" t="s">
        <v>55</v>
      </c>
      <c r="G457" s="1" t="s">
        <v>3519</v>
      </c>
      <c r="H457" s="1" t="s">
        <v>3520</v>
      </c>
      <c r="I457" s="1" t="s">
        <v>3521</v>
      </c>
      <c r="J457" s="38">
        <v>45972</v>
      </c>
      <c r="K457" s="1" t="s">
        <v>3522</v>
      </c>
      <c r="L457" s="1" t="s">
        <v>3523</v>
      </c>
      <c r="M457" s="1" t="s">
        <v>3524</v>
      </c>
      <c r="N457" s="2">
        <v>202509071867</v>
      </c>
      <c r="O457" s="47">
        <v>45940</v>
      </c>
    </row>
    <row r="458" spans="1:15" x14ac:dyDescent="0.4">
      <c r="A458" s="35">
        <v>1856</v>
      </c>
      <c r="B458" s="1" t="s">
        <v>3525</v>
      </c>
      <c r="C458" s="38">
        <v>45894</v>
      </c>
      <c r="D458" s="1" t="s">
        <v>411</v>
      </c>
      <c r="E458" s="1" t="s">
        <v>3526</v>
      </c>
      <c r="F458" s="1" t="s">
        <v>36</v>
      </c>
      <c r="G458" s="1" t="s">
        <v>3527</v>
      </c>
      <c r="H458" s="1" t="s">
        <v>3528</v>
      </c>
      <c r="I458" s="1" t="s">
        <v>3529</v>
      </c>
      <c r="J458" s="38">
        <v>45972</v>
      </c>
      <c r="K458" s="1" t="s">
        <v>3530</v>
      </c>
      <c r="L458" s="1" t="s">
        <v>3531</v>
      </c>
      <c r="M458" s="1" t="s">
        <v>3532</v>
      </c>
      <c r="N458" s="2">
        <v>202509067995</v>
      </c>
      <c r="O458" s="47">
        <v>45925</v>
      </c>
    </row>
    <row r="459" spans="1:15" x14ac:dyDescent="0.4">
      <c r="A459" s="36">
        <v>1857</v>
      </c>
      <c r="B459" s="1" t="s">
        <v>3533</v>
      </c>
      <c r="C459" s="38">
        <v>45862</v>
      </c>
      <c r="D459" s="1" t="s">
        <v>536</v>
      </c>
      <c r="E459" s="1" t="s">
        <v>3534</v>
      </c>
      <c r="F459" s="1" t="s">
        <v>36</v>
      </c>
      <c r="G459" s="1" t="s">
        <v>3535</v>
      </c>
      <c r="H459" s="1" t="s">
        <v>3536</v>
      </c>
      <c r="I459" s="1" t="s">
        <v>3537</v>
      </c>
      <c r="J459" s="38">
        <v>45974</v>
      </c>
      <c r="K459" s="1" t="s">
        <v>3538</v>
      </c>
      <c r="L459" s="1" t="s">
        <v>3539</v>
      </c>
      <c r="M459" s="1" t="s">
        <v>3540</v>
      </c>
      <c r="N459" s="2">
        <v>202509074393</v>
      </c>
      <c r="O459" s="47">
        <v>45950</v>
      </c>
    </row>
    <row r="460" spans="1:15" x14ac:dyDescent="0.4">
      <c r="A460" s="35">
        <v>1858</v>
      </c>
      <c r="B460" s="1" t="s">
        <v>3541</v>
      </c>
      <c r="C460" s="38">
        <v>45919</v>
      </c>
      <c r="D460" s="1" t="s">
        <v>1931</v>
      </c>
      <c r="E460" s="1" t="s">
        <v>3542</v>
      </c>
      <c r="F460" s="1" t="s">
        <v>55</v>
      </c>
      <c r="G460" s="1" t="s">
        <v>3543</v>
      </c>
      <c r="H460" s="1" t="s">
        <v>3544</v>
      </c>
      <c r="I460" s="1" t="s">
        <v>3545</v>
      </c>
      <c r="J460" s="38">
        <v>45974</v>
      </c>
      <c r="K460" s="1" t="s">
        <v>3546</v>
      </c>
      <c r="L460" s="1" t="s">
        <v>3547</v>
      </c>
      <c r="M460" s="1" t="s">
        <v>3548</v>
      </c>
      <c r="N460" s="2">
        <v>202509073582</v>
      </c>
      <c r="O460" s="47">
        <v>45946</v>
      </c>
    </row>
    <row r="461" spans="1:15" x14ac:dyDescent="0.4">
      <c r="A461" s="36">
        <v>1859</v>
      </c>
      <c r="B461" s="1" t="s">
        <v>3549</v>
      </c>
      <c r="C461" s="38">
        <v>45869</v>
      </c>
      <c r="D461" s="1" t="s">
        <v>1737</v>
      </c>
      <c r="E461" s="1" t="s">
        <v>3550</v>
      </c>
      <c r="F461" s="1" t="s">
        <v>55</v>
      </c>
      <c r="G461" s="1" t="s">
        <v>3551</v>
      </c>
      <c r="H461" s="1" t="s">
        <v>3552</v>
      </c>
      <c r="I461" s="1" t="s">
        <v>3553</v>
      </c>
      <c r="J461" s="38">
        <v>45974</v>
      </c>
      <c r="K461" s="1" t="s">
        <v>3554</v>
      </c>
      <c r="L461" s="1" t="s">
        <v>3555</v>
      </c>
      <c r="M461" s="1" t="s">
        <v>3556</v>
      </c>
      <c r="N461" s="2">
        <v>202509075219</v>
      </c>
      <c r="O461" s="47">
        <v>45953</v>
      </c>
    </row>
    <row r="462" spans="1:15" x14ac:dyDescent="0.4">
      <c r="A462" s="35">
        <v>1860</v>
      </c>
      <c r="B462" s="1" t="s">
        <v>3557</v>
      </c>
      <c r="C462" s="38">
        <v>45896</v>
      </c>
      <c r="D462" s="1" t="s">
        <v>3558</v>
      </c>
      <c r="E462" s="1" t="s">
        <v>3559</v>
      </c>
      <c r="F462" s="1" t="s">
        <v>36</v>
      </c>
      <c r="G462" s="1" t="s">
        <v>3560</v>
      </c>
      <c r="H462" s="1" t="s">
        <v>3095</v>
      </c>
      <c r="I462" s="1" t="s">
        <v>3561</v>
      </c>
      <c r="J462" s="38">
        <v>45974</v>
      </c>
      <c r="K462" s="1" t="s">
        <v>3562</v>
      </c>
      <c r="L462" s="1" t="s">
        <v>2104</v>
      </c>
      <c r="M462" s="1" t="s">
        <v>3563</v>
      </c>
      <c r="N462" s="2">
        <v>202509065547</v>
      </c>
      <c r="O462" s="47">
        <v>45916</v>
      </c>
    </row>
    <row r="463" spans="1:15" x14ac:dyDescent="0.4">
      <c r="A463" s="36">
        <v>1861</v>
      </c>
      <c r="B463" s="1" t="s">
        <v>3564</v>
      </c>
      <c r="C463" s="38">
        <v>45936</v>
      </c>
      <c r="D463" s="1" t="s">
        <v>527</v>
      </c>
      <c r="E463" s="1" t="s">
        <v>3565</v>
      </c>
      <c r="F463" s="1" t="s">
        <v>36</v>
      </c>
      <c r="G463" s="1" t="s">
        <v>1428</v>
      </c>
      <c r="H463" s="1" t="s">
        <v>3566</v>
      </c>
      <c r="I463" s="1" t="s">
        <v>3567</v>
      </c>
      <c r="J463" s="38">
        <v>45974</v>
      </c>
      <c r="K463" s="1">
        <v>237</v>
      </c>
      <c r="L463" s="1" t="s">
        <v>3568</v>
      </c>
      <c r="M463" s="1" t="s">
        <v>3569</v>
      </c>
      <c r="N463" s="2">
        <v>202509073117</v>
      </c>
      <c r="O463" s="47">
        <v>45945</v>
      </c>
    </row>
    <row r="464" spans="1:15" x14ac:dyDescent="0.4">
      <c r="A464" s="35">
        <v>1862</v>
      </c>
      <c r="B464" s="1" t="s">
        <v>3570</v>
      </c>
      <c r="C464" s="38">
        <v>45870</v>
      </c>
      <c r="D464" s="1" t="s">
        <v>1218</v>
      </c>
      <c r="E464" s="1" t="s">
        <v>3571</v>
      </c>
      <c r="F464" s="1" t="s">
        <v>36</v>
      </c>
      <c r="G464" s="1" t="s">
        <v>3572</v>
      </c>
      <c r="H464" s="1" t="s">
        <v>3573</v>
      </c>
      <c r="I464" s="1" t="s">
        <v>3574</v>
      </c>
      <c r="J464" s="38">
        <v>45974</v>
      </c>
      <c r="K464" s="1" t="s">
        <v>3575</v>
      </c>
      <c r="L464" s="1" t="s">
        <v>3576</v>
      </c>
      <c r="M464" s="1" t="s">
        <v>3577</v>
      </c>
      <c r="N464" s="2">
        <v>202509076189</v>
      </c>
      <c r="O464" s="47">
        <v>45957</v>
      </c>
    </row>
    <row r="465" spans="1:15" x14ac:dyDescent="0.4">
      <c r="A465" s="36">
        <v>1863</v>
      </c>
      <c r="B465" s="1" t="s">
        <v>3578</v>
      </c>
      <c r="C465" s="38">
        <v>45741</v>
      </c>
      <c r="D465" s="1" t="s">
        <v>527</v>
      </c>
      <c r="E465" s="1" t="s">
        <v>3579</v>
      </c>
      <c r="F465" s="1" t="s">
        <v>55</v>
      </c>
      <c r="G465" s="1" t="s">
        <v>3580</v>
      </c>
      <c r="H465" s="1" t="s">
        <v>3581</v>
      </c>
      <c r="I465" s="1" t="s">
        <v>3582</v>
      </c>
      <c r="J465" s="38">
        <v>45974</v>
      </c>
      <c r="K465" s="1" t="s">
        <v>3583</v>
      </c>
      <c r="L465" s="1" t="s">
        <v>3584</v>
      </c>
      <c r="M465" s="1" t="s">
        <v>3585</v>
      </c>
      <c r="N465" s="2">
        <v>202509065611</v>
      </c>
      <c r="O465" s="47">
        <v>45916</v>
      </c>
    </row>
    <row r="466" spans="1:15" x14ac:dyDescent="0.4">
      <c r="A466" s="35">
        <v>1864</v>
      </c>
      <c r="B466" s="1" t="s">
        <v>3586</v>
      </c>
      <c r="C466" s="38">
        <v>45831</v>
      </c>
      <c r="D466" s="1" t="s">
        <v>904</v>
      </c>
      <c r="E466" s="1" t="s">
        <v>3587</v>
      </c>
      <c r="F466" s="1" t="s">
        <v>36</v>
      </c>
      <c r="G466" s="1" t="s">
        <v>3588</v>
      </c>
      <c r="H466" s="1" t="s">
        <v>3589</v>
      </c>
      <c r="I466" s="1" t="s">
        <v>3590</v>
      </c>
      <c r="J466" s="38">
        <v>45974</v>
      </c>
      <c r="K466" s="1" t="s">
        <v>3591</v>
      </c>
      <c r="L466" s="1" t="s">
        <v>3592</v>
      </c>
      <c r="M466" s="1" t="s">
        <v>3593</v>
      </c>
      <c r="N466" s="2">
        <v>202509074845</v>
      </c>
      <c r="O466" s="47">
        <v>45952</v>
      </c>
    </row>
    <row r="467" spans="1:15" x14ac:dyDescent="0.4">
      <c r="A467" s="36">
        <v>1865</v>
      </c>
      <c r="B467" s="1" t="s">
        <v>3594</v>
      </c>
      <c r="C467" s="38">
        <v>45861</v>
      </c>
      <c r="D467" s="1" t="s">
        <v>452</v>
      </c>
      <c r="E467" s="1" t="s">
        <v>3595</v>
      </c>
      <c r="F467" s="1" t="s">
        <v>36</v>
      </c>
      <c r="G467" s="1" t="s">
        <v>3596</v>
      </c>
      <c r="H467" s="1" t="s">
        <v>3597</v>
      </c>
      <c r="I467" s="1" t="s">
        <v>3598</v>
      </c>
      <c r="J467" s="38">
        <v>45974</v>
      </c>
      <c r="K467" s="1" t="s">
        <v>3599</v>
      </c>
      <c r="L467" s="1" t="s">
        <v>2550</v>
      </c>
      <c r="M467" s="1" t="s">
        <v>3600</v>
      </c>
      <c r="N467" s="2">
        <v>202509076187</v>
      </c>
      <c r="O467" s="47">
        <v>45957</v>
      </c>
    </row>
    <row r="468" spans="1:15" x14ac:dyDescent="0.4">
      <c r="A468" s="35">
        <v>1866</v>
      </c>
      <c r="B468" s="1" t="s">
        <v>3601</v>
      </c>
      <c r="C468" s="38">
        <v>45936</v>
      </c>
      <c r="D468" s="1" t="s">
        <v>452</v>
      </c>
      <c r="E468" s="1" t="s">
        <v>3602</v>
      </c>
      <c r="F468" s="1" t="s">
        <v>36</v>
      </c>
      <c r="G468" s="1" t="s">
        <v>3603</v>
      </c>
      <c r="H468" s="1" t="s">
        <v>3604</v>
      </c>
      <c r="I468" s="1" t="s">
        <v>3605</v>
      </c>
      <c r="J468" s="38">
        <v>45974</v>
      </c>
      <c r="K468" s="1" t="s">
        <v>3606</v>
      </c>
      <c r="L468" s="1" t="s">
        <v>2740</v>
      </c>
      <c r="M468" s="1" t="s">
        <v>3607</v>
      </c>
      <c r="N468" s="2">
        <v>202509076905</v>
      </c>
      <c r="O468" s="47">
        <v>45959</v>
      </c>
    </row>
    <row r="469" spans="1:15" x14ac:dyDescent="0.4">
      <c r="A469" s="36">
        <v>1867</v>
      </c>
      <c r="B469" s="1" t="s">
        <v>3608</v>
      </c>
      <c r="C469" s="38">
        <v>45937</v>
      </c>
      <c r="D469" s="1" t="s">
        <v>509</v>
      </c>
      <c r="E469" s="1" t="s">
        <v>3609</v>
      </c>
      <c r="F469" s="1" t="s">
        <v>36</v>
      </c>
      <c r="G469" s="1" t="s">
        <v>3610</v>
      </c>
      <c r="H469" s="1" t="s">
        <v>3611</v>
      </c>
      <c r="I469" s="1" t="s">
        <v>3612</v>
      </c>
      <c r="J469" s="38">
        <v>45974</v>
      </c>
      <c r="K469" s="1" t="s">
        <v>3613</v>
      </c>
      <c r="L469" s="1" t="s">
        <v>3614</v>
      </c>
      <c r="M469" s="1" t="s">
        <v>3563</v>
      </c>
      <c r="N469" s="2">
        <v>202509076543</v>
      </c>
      <c r="O469" s="47">
        <v>45958</v>
      </c>
    </row>
    <row r="470" spans="1:15" x14ac:dyDescent="0.4">
      <c r="A470" s="35">
        <v>1868</v>
      </c>
      <c r="B470" s="1" t="s">
        <v>3615</v>
      </c>
      <c r="C470" s="38">
        <v>45875</v>
      </c>
      <c r="D470" s="1" t="s">
        <v>509</v>
      </c>
      <c r="E470" s="1" t="s">
        <v>3616</v>
      </c>
      <c r="F470" s="1" t="s">
        <v>36</v>
      </c>
      <c r="G470" s="1" t="s">
        <v>3617</v>
      </c>
      <c r="H470" s="1" t="s">
        <v>3618</v>
      </c>
      <c r="I470" s="1" t="s">
        <v>3619</v>
      </c>
      <c r="J470" s="38">
        <v>45974</v>
      </c>
      <c r="K470" s="1" t="s">
        <v>3620</v>
      </c>
      <c r="L470" s="1" t="s">
        <v>3146</v>
      </c>
      <c r="M470" s="1" t="s">
        <v>3341</v>
      </c>
      <c r="N470" s="2">
        <v>202509062251</v>
      </c>
      <c r="O470" s="47">
        <v>45903</v>
      </c>
    </row>
    <row r="471" spans="1:15" x14ac:dyDescent="0.4">
      <c r="A471" s="36">
        <v>1869</v>
      </c>
      <c r="B471" s="1" t="s">
        <v>3621</v>
      </c>
      <c r="C471" s="38">
        <v>45850</v>
      </c>
      <c r="D471" s="1" t="s">
        <v>2672</v>
      </c>
      <c r="E471" s="1" t="s">
        <v>3622</v>
      </c>
      <c r="F471" s="1" t="s">
        <v>55</v>
      </c>
      <c r="G471" s="1" t="s">
        <v>3623</v>
      </c>
      <c r="H471" s="1" t="s">
        <v>3624</v>
      </c>
      <c r="I471" s="1" t="s">
        <v>3625</v>
      </c>
      <c r="K471" s="1" t="s">
        <v>3626</v>
      </c>
      <c r="L471" s="1" t="s">
        <v>3627</v>
      </c>
      <c r="M471" s="1" t="s">
        <v>3628</v>
      </c>
      <c r="N471" s="2">
        <v>202509071275</v>
      </c>
      <c r="O471" s="47">
        <v>45938</v>
      </c>
    </row>
    <row r="472" spans="1:15" x14ac:dyDescent="0.4">
      <c r="A472" s="35">
        <v>1870</v>
      </c>
      <c r="B472" s="1" t="s">
        <v>3629</v>
      </c>
      <c r="C472" s="38">
        <v>45923</v>
      </c>
      <c r="D472" s="1" t="s">
        <v>411</v>
      </c>
      <c r="E472" s="1" t="s">
        <v>3630</v>
      </c>
      <c r="F472" s="1" t="s">
        <v>36</v>
      </c>
      <c r="G472" s="1" t="s">
        <v>3631</v>
      </c>
      <c r="H472" s="1" t="s">
        <v>3632</v>
      </c>
      <c r="I472" s="1" t="s">
        <v>3633</v>
      </c>
      <c r="J472" s="38">
        <v>45974</v>
      </c>
      <c r="K472" s="1" t="s">
        <v>3634</v>
      </c>
      <c r="L472" s="1" t="s">
        <v>3635</v>
      </c>
      <c r="M472" s="1" t="s">
        <v>3636</v>
      </c>
      <c r="N472" s="2">
        <v>202509074853</v>
      </c>
      <c r="O472" s="47">
        <v>45952</v>
      </c>
    </row>
    <row r="473" spans="1:15" x14ac:dyDescent="0.4">
      <c r="A473" s="36">
        <v>1871</v>
      </c>
      <c r="B473" s="1" t="s">
        <v>3637</v>
      </c>
      <c r="C473" s="38">
        <v>45879</v>
      </c>
      <c r="D473" s="1" t="s">
        <v>44</v>
      </c>
      <c r="E473" s="1" t="s">
        <v>3638</v>
      </c>
      <c r="F473" s="1" t="s">
        <v>36</v>
      </c>
      <c r="G473" s="1" t="s">
        <v>1188</v>
      </c>
      <c r="H473" s="1" t="s">
        <v>3639</v>
      </c>
      <c r="I473" s="1" t="s">
        <v>3640</v>
      </c>
      <c r="J473" s="38">
        <v>45974</v>
      </c>
      <c r="K473" s="1" t="s">
        <v>158</v>
      </c>
      <c r="L473" s="1" t="s">
        <v>3641</v>
      </c>
      <c r="M473" s="1" t="s">
        <v>3246</v>
      </c>
      <c r="N473" s="2">
        <v>202509075516</v>
      </c>
      <c r="O473" s="47">
        <v>45954</v>
      </c>
    </row>
    <row r="474" spans="1:15" x14ac:dyDescent="0.4">
      <c r="A474" s="35">
        <v>1872</v>
      </c>
      <c r="B474" s="1" t="s">
        <v>3642</v>
      </c>
      <c r="C474" s="38">
        <v>45894</v>
      </c>
      <c r="D474" s="1" t="s">
        <v>536</v>
      </c>
      <c r="E474" s="1" t="s">
        <v>3643</v>
      </c>
      <c r="F474" s="1" t="s">
        <v>36</v>
      </c>
      <c r="G474" s="1" t="s">
        <v>3644</v>
      </c>
      <c r="H474" s="1" t="s">
        <v>3645</v>
      </c>
      <c r="I474" s="1" t="s">
        <v>3646</v>
      </c>
      <c r="J474" s="38">
        <v>45974</v>
      </c>
      <c r="K474" s="1" t="s">
        <v>3647</v>
      </c>
      <c r="L474" s="1" t="s">
        <v>3648</v>
      </c>
      <c r="M474" s="1" t="s">
        <v>3649</v>
      </c>
      <c r="N474" s="2">
        <v>202509074376</v>
      </c>
      <c r="O474" s="47">
        <v>45950</v>
      </c>
    </row>
    <row r="475" spans="1:15" x14ac:dyDescent="0.4">
      <c r="A475" s="36">
        <v>1873</v>
      </c>
      <c r="B475" s="1" t="s">
        <v>3650</v>
      </c>
      <c r="C475" s="38">
        <v>45854</v>
      </c>
      <c r="D475" s="1" t="s">
        <v>3651</v>
      </c>
      <c r="E475" s="1" t="s">
        <v>3652</v>
      </c>
      <c r="F475" s="1" t="s">
        <v>55</v>
      </c>
      <c r="G475" s="1" t="s">
        <v>3653</v>
      </c>
      <c r="H475" s="1" t="s">
        <v>3103</v>
      </c>
      <c r="I475" s="1" t="s">
        <v>3654</v>
      </c>
      <c r="J475" s="38">
        <v>45974</v>
      </c>
      <c r="K475" s="1" t="s">
        <v>3655</v>
      </c>
      <c r="L475" s="1" t="s">
        <v>3656</v>
      </c>
      <c r="M475" s="1" t="s">
        <v>3657</v>
      </c>
      <c r="N475" s="2">
        <v>202509066255</v>
      </c>
      <c r="O475" s="47">
        <v>45918</v>
      </c>
    </row>
    <row r="476" spans="1:15" x14ac:dyDescent="0.4">
      <c r="A476" s="35">
        <v>1874</v>
      </c>
      <c r="B476" s="1" t="s">
        <v>3658</v>
      </c>
      <c r="C476" s="38">
        <v>45888</v>
      </c>
      <c r="D476" s="1" t="s">
        <v>536</v>
      </c>
      <c r="E476" s="1" t="s">
        <v>3659</v>
      </c>
      <c r="F476" s="1" t="s">
        <v>36</v>
      </c>
      <c r="G476" s="1" t="s">
        <v>3660</v>
      </c>
      <c r="H476" s="1" t="s">
        <v>3661</v>
      </c>
      <c r="I476" s="1" t="s">
        <v>3662</v>
      </c>
      <c r="J476" s="38">
        <v>45974</v>
      </c>
      <c r="K476" s="1" t="s">
        <v>3663</v>
      </c>
      <c r="L476" s="1" t="s">
        <v>3664</v>
      </c>
      <c r="M476" s="1" t="s">
        <v>3665</v>
      </c>
      <c r="N476" s="2">
        <v>202509076538</v>
      </c>
      <c r="O476" s="47">
        <v>45958</v>
      </c>
    </row>
    <row r="477" spans="1:15" x14ac:dyDescent="0.4">
      <c r="A477" s="36">
        <v>1875</v>
      </c>
      <c r="B477" s="1" t="s">
        <v>3666</v>
      </c>
      <c r="C477" s="38">
        <v>45923</v>
      </c>
      <c r="D477" s="1" t="s">
        <v>44</v>
      </c>
      <c r="E477" s="1" t="s">
        <v>3667</v>
      </c>
      <c r="F477" s="1" t="s">
        <v>55</v>
      </c>
      <c r="G477" s="1" t="s">
        <v>3668</v>
      </c>
      <c r="H477" s="1" t="s">
        <v>3669</v>
      </c>
      <c r="I477" s="1" t="s">
        <v>3670</v>
      </c>
      <c r="J477" s="38">
        <v>45975</v>
      </c>
      <c r="K477" s="1" t="s">
        <v>3671</v>
      </c>
      <c r="L477" s="1" t="s">
        <v>3672</v>
      </c>
      <c r="M477" s="1" t="s">
        <v>3673</v>
      </c>
      <c r="N477" s="2">
        <v>202509074726</v>
      </c>
      <c r="O477" s="47">
        <v>45951</v>
      </c>
    </row>
    <row r="478" spans="1:15" x14ac:dyDescent="0.4">
      <c r="A478" s="35">
        <v>1876</v>
      </c>
      <c r="B478" s="1" t="s">
        <v>3674</v>
      </c>
      <c r="C478" s="38">
        <v>45892</v>
      </c>
      <c r="D478" s="1" t="s">
        <v>536</v>
      </c>
      <c r="E478" s="1" t="s">
        <v>3675</v>
      </c>
      <c r="F478" s="1" t="s">
        <v>55</v>
      </c>
      <c r="G478" s="1" t="s">
        <v>3676</v>
      </c>
      <c r="H478" s="1" t="s">
        <v>3677</v>
      </c>
      <c r="I478" s="1" t="s">
        <v>3678</v>
      </c>
      <c r="J478" s="38">
        <v>45975</v>
      </c>
      <c r="K478" s="1" t="s">
        <v>3679</v>
      </c>
      <c r="L478" s="1" t="s">
        <v>3680</v>
      </c>
      <c r="M478" s="1" t="s">
        <v>3681</v>
      </c>
      <c r="N478" s="2">
        <v>202509073496</v>
      </c>
      <c r="O478" s="47">
        <v>45946</v>
      </c>
    </row>
    <row r="479" spans="1:15" x14ac:dyDescent="0.4">
      <c r="A479" s="36">
        <v>1877</v>
      </c>
      <c r="B479" s="1" t="s">
        <v>3682</v>
      </c>
      <c r="C479" s="38">
        <v>45928</v>
      </c>
      <c r="D479" s="1" t="s">
        <v>536</v>
      </c>
      <c r="E479" s="1" t="s">
        <v>3683</v>
      </c>
      <c r="F479" s="1" t="s">
        <v>36</v>
      </c>
      <c r="G479" s="1" t="s">
        <v>3684</v>
      </c>
      <c r="H479" s="1" t="s">
        <v>3685</v>
      </c>
      <c r="I479" s="1" t="s">
        <v>3686</v>
      </c>
      <c r="J479" s="38">
        <v>45975</v>
      </c>
      <c r="K479" s="1" t="s">
        <v>3687</v>
      </c>
      <c r="L479" s="1" t="s">
        <v>3688</v>
      </c>
      <c r="M479" s="1" t="s">
        <v>3689</v>
      </c>
      <c r="N479" s="2">
        <v>202509074961</v>
      </c>
      <c r="O479" s="47">
        <v>45952</v>
      </c>
    </row>
    <row r="480" spans="1:15" x14ac:dyDescent="0.4">
      <c r="A480" s="35">
        <v>1878</v>
      </c>
      <c r="B480" s="1" t="s">
        <v>3690</v>
      </c>
      <c r="C480" s="38">
        <v>45902</v>
      </c>
      <c r="D480" s="1" t="s">
        <v>509</v>
      </c>
      <c r="E480" s="1" t="s">
        <v>3691</v>
      </c>
      <c r="F480" s="1" t="s">
        <v>36</v>
      </c>
      <c r="G480" s="1" t="s">
        <v>3692</v>
      </c>
      <c r="H480" s="1" t="s">
        <v>3693</v>
      </c>
      <c r="I480" s="1" t="s">
        <v>3694</v>
      </c>
      <c r="J480" s="38">
        <v>45975</v>
      </c>
      <c r="K480" s="1" t="s">
        <v>3695</v>
      </c>
      <c r="L480" s="1" t="s">
        <v>2991</v>
      </c>
      <c r="M480" s="1" t="s">
        <v>3696</v>
      </c>
      <c r="N480" s="2">
        <v>202509073045</v>
      </c>
      <c r="O480" s="47">
        <v>45945</v>
      </c>
    </row>
    <row r="481" spans="1:15" x14ac:dyDescent="0.4">
      <c r="A481" s="36">
        <v>1879</v>
      </c>
      <c r="B481" s="1" t="s">
        <v>3697</v>
      </c>
      <c r="C481" s="38">
        <v>45764</v>
      </c>
      <c r="D481" s="1" t="s">
        <v>547</v>
      </c>
      <c r="E481" s="1" t="s">
        <v>3698</v>
      </c>
      <c r="F481" s="1" t="s">
        <v>55</v>
      </c>
      <c r="G481" s="1" t="s">
        <v>3699</v>
      </c>
      <c r="H481" s="1" t="s">
        <v>3700</v>
      </c>
      <c r="I481" s="1" t="s">
        <v>3701</v>
      </c>
      <c r="J481" s="38">
        <v>45978</v>
      </c>
      <c r="K481" s="1" t="s">
        <v>3702</v>
      </c>
      <c r="L481" s="1" t="s">
        <v>234</v>
      </c>
      <c r="M481" s="1" t="s">
        <v>235</v>
      </c>
      <c r="N481" s="2">
        <v>202509042841</v>
      </c>
      <c r="O481" s="47">
        <v>45829</v>
      </c>
    </row>
    <row r="482" spans="1:15" x14ac:dyDescent="0.4">
      <c r="A482" s="35">
        <v>1880</v>
      </c>
      <c r="B482" s="1" t="s">
        <v>3703</v>
      </c>
      <c r="C482" s="38">
        <v>45666</v>
      </c>
      <c r="D482" s="1" t="s">
        <v>547</v>
      </c>
      <c r="E482" s="1" t="s">
        <v>3704</v>
      </c>
      <c r="F482" s="1" t="s">
        <v>55</v>
      </c>
      <c r="G482" s="1" t="s">
        <v>3705</v>
      </c>
      <c r="H482" s="1" t="s">
        <v>3706</v>
      </c>
      <c r="I482" s="1" t="s">
        <v>3707</v>
      </c>
      <c r="J482" s="38">
        <v>45978</v>
      </c>
      <c r="K482" s="1" t="s">
        <v>3708</v>
      </c>
      <c r="L482" s="1" t="s">
        <v>3709</v>
      </c>
      <c r="M482" s="1" t="s">
        <v>310</v>
      </c>
      <c r="N482" s="2">
        <v>202509069201</v>
      </c>
      <c r="O482" s="47">
        <v>45930</v>
      </c>
    </row>
    <row r="483" spans="1:15" x14ac:dyDescent="0.4">
      <c r="A483" s="36">
        <v>1881</v>
      </c>
      <c r="B483" s="1" t="s">
        <v>3710</v>
      </c>
      <c r="C483" s="38">
        <v>45810</v>
      </c>
      <c r="D483" s="1" t="s">
        <v>547</v>
      </c>
      <c r="E483" s="1" t="s">
        <v>3711</v>
      </c>
      <c r="F483" s="1" t="s">
        <v>36</v>
      </c>
      <c r="G483" s="1" t="s">
        <v>3712</v>
      </c>
      <c r="H483" s="1" t="s">
        <v>3713</v>
      </c>
      <c r="I483" s="1" t="s">
        <v>3714</v>
      </c>
      <c r="J483" s="38">
        <v>45978</v>
      </c>
      <c r="K483" s="1" t="s">
        <v>3715</v>
      </c>
      <c r="L483" s="1" t="s">
        <v>3716</v>
      </c>
      <c r="M483" s="1" t="s">
        <v>3717</v>
      </c>
      <c r="N483" s="2">
        <v>202509077634</v>
      </c>
      <c r="O483" s="47">
        <v>45961</v>
      </c>
    </row>
    <row r="484" spans="1:15" x14ac:dyDescent="0.4">
      <c r="A484" s="35">
        <v>1882</v>
      </c>
      <c r="B484" s="1" t="s">
        <v>3718</v>
      </c>
      <c r="C484" s="38">
        <v>45871</v>
      </c>
      <c r="D484" s="1" t="s">
        <v>1218</v>
      </c>
      <c r="E484" s="1" t="s">
        <v>3719</v>
      </c>
      <c r="F484" s="1" t="s">
        <v>36</v>
      </c>
      <c r="G484" s="1" t="s">
        <v>3720</v>
      </c>
      <c r="H484" s="1" t="s">
        <v>3721</v>
      </c>
      <c r="I484" s="1" t="s">
        <v>3722</v>
      </c>
      <c r="J484" s="38">
        <v>45979</v>
      </c>
      <c r="K484" s="1" t="s">
        <v>3723</v>
      </c>
      <c r="L484" s="1" t="s">
        <v>3724</v>
      </c>
      <c r="M484" s="1" t="s">
        <v>3725</v>
      </c>
      <c r="N484" s="2">
        <v>202509069507</v>
      </c>
      <c r="O484" s="47" t="s">
        <v>3726</v>
      </c>
    </row>
    <row r="485" spans="1:15" x14ac:dyDescent="0.4">
      <c r="A485" s="36">
        <v>1883</v>
      </c>
      <c r="B485" s="1" t="s">
        <v>3727</v>
      </c>
      <c r="C485" s="38">
        <v>45868</v>
      </c>
      <c r="D485" s="1" t="s">
        <v>509</v>
      </c>
      <c r="E485" s="1" t="s">
        <v>3728</v>
      </c>
      <c r="F485" s="1" t="s">
        <v>55</v>
      </c>
      <c r="G485" s="1" t="s">
        <v>3180</v>
      </c>
      <c r="H485" s="1" t="s">
        <v>3729</v>
      </c>
      <c r="I485" s="1" t="s">
        <v>3730</v>
      </c>
      <c r="J485" s="38">
        <v>45979</v>
      </c>
      <c r="K485" s="1" t="s">
        <v>3731</v>
      </c>
      <c r="L485" s="1" t="s">
        <v>3732</v>
      </c>
      <c r="M485" s="1" t="s">
        <v>3733</v>
      </c>
      <c r="N485" s="2">
        <v>202509071384</v>
      </c>
      <c r="O485" s="47">
        <v>45938</v>
      </c>
    </row>
    <row r="486" spans="1:15" x14ac:dyDescent="0.4">
      <c r="A486" s="35">
        <v>1884</v>
      </c>
      <c r="B486" s="1" t="s">
        <v>3734</v>
      </c>
      <c r="C486" s="38">
        <v>45925</v>
      </c>
      <c r="D486" s="1" t="s">
        <v>452</v>
      </c>
      <c r="E486" s="1" t="s">
        <v>3735</v>
      </c>
      <c r="F486" s="1" t="s">
        <v>55</v>
      </c>
      <c r="G486" s="1" t="s">
        <v>3736</v>
      </c>
      <c r="H486" s="1" t="s">
        <v>3737</v>
      </c>
      <c r="I486" s="1" t="s">
        <v>3738</v>
      </c>
      <c r="J486" s="38">
        <v>45981</v>
      </c>
      <c r="K486" s="1" t="s">
        <v>3739</v>
      </c>
      <c r="L486" s="1" t="s">
        <v>3740</v>
      </c>
      <c r="M486" s="1" t="s">
        <v>3741</v>
      </c>
      <c r="N486" s="2">
        <v>202509077233</v>
      </c>
      <c r="O486" s="47">
        <v>45960</v>
      </c>
    </row>
    <row r="487" spans="1:15" x14ac:dyDescent="0.4">
      <c r="A487" s="36">
        <v>1885</v>
      </c>
      <c r="B487" s="1" t="s">
        <v>3742</v>
      </c>
      <c r="C487" s="38">
        <v>45929</v>
      </c>
      <c r="D487" s="1" t="s">
        <v>3558</v>
      </c>
      <c r="E487" s="1" t="s">
        <v>3743</v>
      </c>
      <c r="F487" s="1" t="s">
        <v>36</v>
      </c>
      <c r="G487" s="1" t="s">
        <v>3744</v>
      </c>
      <c r="H487" s="1" t="s">
        <v>3745</v>
      </c>
      <c r="I487" s="1" t="s">
        <v>3746</v>
      </c>
      <c r="J487" s="38">
        <v>45981</v>
      </c>
      <c r="K487" s="1" t="s">
        <v>3747</v>
      </c>
      <c r="L487" s="1" t="s">
        <v>3748</v>
      </c>
      <c r="M487" s="1" t="s">
        <v>3749</v>
      </c>
      <c r="N487" s="2">
        <v>202509074917</v>
      </c>
      <c r="O487" s="47">
        <v>45952</v>
      </c>
    </row>
    <row r="488" spans="1:15" x14ac:dyDescent="0.4">
      <c r="A488" s="35">
        <v>1886</v>
      </c>
      <c r="B488" s="1" t="s">
        <v>3750</v>
      </c>
      <c r="C488" s="38">
        <v>45679</v>
      </c>
      <c r="D488" s="1" t="s">
        <v>3751</v>
      </c>
      <c r="E488" s="1" t="s">
        <v>3752</v>
      </c>
      <c r="F488" s="1" t="s">
        <v>36</v>
      </c>
      <c r="G488" s="1" t="s">
        <v>3753</v>
      </c>
      <c r="H488" s="1" t="s">
        <v>963</v>
      </c>
      <c r="I488" s="1" t="s">
        <v>3754</v>
      </c>
      <c r="J488" s="38">
        <v>45981</v>
      </c>
      <c r="K488" s="1" t="s">
        <v>3755</v>
      </c>
      <c r="L488" s="1" t="s">
        <v>1500</v>
      </c>
      <c r="M488" s="1" t="s">
        <v>3756</v>
      </c>
      <c r="N488" s="2">
        <v>202509069505</v>
      </c>
      <c r="O488" s="47">
        <v>45931</v>
      </c>
    </row>
    <row r="489" spans="1:15" x14ac:dyDescent="0.4">
      <c r="A489" s="36">
        <v>1887</v>
      </c>
      <c r="B489" s="1" t="s">
        <v>3757</v>
      </c>
      <c r="C489" s="38">
        <v>45792</v>
      </c>
      <c r="D489" s="1" t="s">
        <v>452</v>
      </c>
      <c r="E489" s="1" t="s">
        <v>3758</v>
      </c>
      <c r="F489" s="1" t="s">
        <v>36</v>
      </c>
      <c r="G489" s="1" t="s">
        <v>3759</v>
      </c>
      <c r="H489" s="1" t="s">
        <v>3760</v>
      </c>
      <c r="I489" s="1" t="s">
        <v>3761</v>
      </c>
      <c r="J489" s="38">
        <v>45981</v>
      </c>
      <c r="K489" s="1" t="s">
        <v>3762</v>
      </c>
      <c r="L489" s="1" t="s">
        <v>3763</v>
      </c>
      <c r="M489" s="1" t="s">
        <v>3764</v>
      </c>
      <c r="N489" s="2">
        <v>202509075769</v>
      </c>
      <c r="O489" s="47">
        <v>45955</v>
      </c>
    </row>
    <row r="490" spans="1:15" x14ac:dyDescent="0.4">
      <c r="A490" s="35">
        <v>1888</v>
      </c>
      <c r="B490" s="1" t="s">
        <v>3765</v>
      </c>
      <c r="C490" s="38">
        <v>45772</v>
      </c>
      <c r="D490" s="1" t="s">
        <v>509</v>
      </c>
      <c r="E490" s="1" t="s">
        <v>3766</v>
      </c>
      <c r="F490" s="1" t="s">
        <v>55</v>
      </c>
      <c r="G490" s="1" t="s">
        <v>3767</v>
      </c>
      <c r="H490" s="1" t="s">
        <v>3768</v>
      </c>
      <c r="I490" s="1" t="s">
        <v>3769</v>
      </c>
      <c r="J490" s="38">
        <v>45981</v>
      </c>
      <c r="K490" s="1" t="s">
        <v>3770</v>
      </c>
      <c r="L490" s="1" t="s">
        <v>3027</v>
      </c>
      <c r="M490" s="1" t="s">
        <v>3771</v>
      </c>
      <c r="N490" s="2">
        <v>202509076972</v>
      </c>
      <c r="O490" s="47">
        <v>45959</v>
      </c>
    </row>
    <row r="491" spans="1:15" x14ac:dyDescent="0.4">
      <c r="A491" s="36">
        <v>1889</v>
      </c>
      <c r="B491" s="1" t="s">
        <v>3772</v>
      </c>
      <c r="C491" s="38">
        <v>45920</v>
      </c>
      <c r="D491" s="1" t="s">
        <v>411</v>
      </c>
      <c r="E491" s="1" t="s">
        <v>3773</v>
      </c>
      <c r="F491" s="1" t="s">
        <v>36</v>
      </c>
      <c r="G491" s="1" t="s">
        <v>3774</v>
      </c>
      <c r="H491" s="1" t="s">
        <v>3775</v>
      </c>
      <c r="I491" s="1" t="s">
        <v>3776</v>
      </c>
      <c r="J491" s="38">
        <v>45981</v>
      </c>
      <c r="K491" s="1" t="s">
        <v>3777</v>
      </c>
      <c r="L491" s="1" t="s">
        <v>3778</v>
      </c>
      <c r="M491" s="1" t="s">
        <v>3779</v>
      </c>
      <c r="N491" s="2">
        <v>202509075751</v>
      </c>
      <c r="O491" s="47">
        <v>45955</v>
      </c>
    </row>
    <row r="492" spans="1:15" x14ac:dyDescent="0.4">
      <c r="A492" s="35">
        <v>1890</v>
      </c>
      <c r="B492" s="1" t="s">
        <v>3780</v>
      </c>
      <c r="C492" s="38">
        <v>45702</v>
      </c>
      <c r="D492" s="1" t="s">
        <v>3781</v>
      </c>
      <c r="E492" s="1" t="s">
        <v>3782</v>
      </c>
      <c r="F492" s="1" t="s">
        <v>36</v>
      </c>
      <c r="G492" s="1" t="s">
        <v>3783</v>
      </c>
      <c r="H492" s="1" t="s">
        <v>3784</v>
      </c>
      <c r="I492" s="1" t="s">
        <v>3785</v>
      </c>
      <c r="J492" s="38">
        <v>45981</v>
      </c>
      <c r="K492" s="1" t="s">
        <v>3786</v>
      </c>
      <c r="L492" s="1" t="s">
        <v>3787</v>
      </c>
      <c r="M492" s="1" t="s">
        <v>3788</v>
      </c>
      <c r="N492" s="2">
        <v>202509077229</v>
      </c>
      <c r="O492" s="47">
        <v>45960</v>
      </c>
    </row>
    <row r="493" spans="1:15" x14ac:dyDescent="0.4">
      <c r="A493" s="36">
        <v>1891</v>
      </c>
      <c r="B493" s="1" t="s">
        <v>3789</v>
      </c>
      <c r="C493" s="38">
        <v>45925</v>
      </c>
      <c r="D493" s="1" t="s">
        <v>44</v>
      </c>
      <c r="E493" s="1" t="s">
        <v>3790</v>
      </c>
      <c r="F493" s="1" t="s">
        <v>36</v>
      </c>
      <c r="G493" s="1" t="s">
        <v>3791</v>
      </c>
      <c r="H493" s="1" t="s">
        <v>3589</v>
      </c>
      <c r="I493" s="1" t="s">
        <v>3792</v>
      </c>
      <c r="J493" s="38">
        <v>45981</v>
      </c>
      <c r="K493" s="1" t="s">
        <v>3793</v>
      </c>
      <c r="L493" s="1" t="s">
        <v>3794</v>
      </c>
      <c r="M493" s="1" t="s">
        <v>3725</v>
      </c>
      <c r="N493" s="2">
        <v>202509073828</v>
      </c>
      <c r="O493" s="47">
        <v>45947</v>
      </c>
    </row>
    <row r="494" spans="1:15" x14ac:dyDescent="0.4">
      <c r="A494" s="35">
        <v>1892</v>
      </c>
      <c r="B494" s="1" t="s">
        <v>3795</v>
      </c>
      <c r="C494" s="38">
        <v>45852</v>
      </c>
      <c r="D494" s="1" t="s">
        <v>411</v>
      </c>
      <c r="E494" s="1" t="s">
        <v>3796</v>
      </c>
      <c r="F494" s="1" t="s">
        <v>55</v>
      </c>
      <c r="G494" s="1" t="s">
        <v>3797</v>
      </c>
      <c r="H494" s="1" t="s">
        <v>3798</v>
      </c>
      <c r="I494" s="1" t="s">
        <v>3799</v>
      </c>
      <c r="J494" s="38">
        <v>45982</v>
      </c>
      <c r="K494" s="1">
        <v>6</v>
      </c>
      <c r="L494" s="1" t="s">
        <v>3800</v>
      </c>
      <c r="M494" s="1" t="s">
        <v>3801</v>
      </c>
      <c r="N494" s="2">
        <v>202509064252</v>
      </c>
      <c r="O494" s="47">
        <v>45911</v>
      </c>
    </row>
    <row r="495" spans="1:15" x14ac:dyDescent="0.4">
      <c r="A495" s="36">
        <v>1893</v>
      </c>
      <c r="B495" s="1" t="s">
        <v>3802</v>
      </c>
      <c r="C495" s="38">
        <v>45870</v>
      </c>
      <c r="D495" s="1" t="s">
        <v>509</v>
      </c>
      <c r="E495" s="1" t="s">
        <v>3803</v>
      </c>
      <c r="F495" s="1" t="s">
        <v>55</v>
      </c>
      <c r="G495" s="1" t="s">
        <v>3804</v>
      </c>
      <c r="H495" s="1" t="s">
        <v>3805</v>
      </c>
      <c r="I495" s="1" t="s">
        <v>3806</v>
      </c>
      <c r="J495" s="38">
        <v>45985</v>
      </c>
      <c r="K495" s="1" t="s">
        <v>3807</v>
      </c>
      <c r="L495" s="1" t="s">
        <v>3808</v>
      </c>
      <c r="M495" s="1" t="s">
        <v>3809</v>
      </c>
      <c r="N495" s="2">
        <v>202509069813</v>
      </c>
      <c r="O495" s="47">
        <v>45932</v>
      </c>
    </row>
    <row r="496" spans="1:15" x14ac:dyDescent="0.4">
      <c r="A496" s="35">
        <v>1894</v>
      </c>
      <c r="B496" s="1" t="s">
        <v>3810</v>
      </c>
      <c r="C496" s="38">
        <v>45932</v>
      </c>
      <c r="D496" s="1" t="s">
        <v>3811</v>
      </c>
      <c r="E496" s="1" t="s">
        <v>3812</v>
      </c>
      <c r="F496" s="1" t="s">
        <v>36</v>
      </c>
      <c r="G496" s="1" t="s">
        <v>3813</v>
      </c>
      <c r="H496" s="1" t="s">
        <v>3814</v>
      </c>
      <c r="I496" s="1" t="s">
        <v>3815</v>
      </c>
      <c r="J496" s="38">
        <v>45985</v>
      </c>
      <c r="K496" s="1" t="s">
        <v>3816</v>
      </c>
      <c r="L496" s="1" t="s">
        <v>3817</v>
      </c>
      <c r="M496" s="1" t="s">
        <v>3788</v>
      </c>
      <c r="N496" s="2">
        <v>202509074634</v>
      </c>
      <c r="O496" s="47">
        <v>45951</v>
      </c>
    </row>
    <row r="497" spans="1:15" x14ac:dyDescent="0.4">
      <c r="A497" s="36">
        <v>1895</v>
      </c>
      <c r="B497" s="1" t="s">
        <v>3818</v>
      </c>
      <c r="C497" s="38">
        <v>45738</v>
      </c>
      <c r="D497" s="1" t="s">
        <v>547</v>
      </c>
      <c r="E497" s="1" t="s">
        <v>3819</v>
      </c>
      <c r="F497" s="1" t="s">
        <v>55</v>
      </c>
      <c r="G497" s="1" t="s">
        <v>3820</v>
      </c>
      <c r="H497" s="1" t="s">
        <v>875</v>
      </c>
      <c r="I497" s="1" t="s">
        <v>3821</v>
      </c>
      <c r="J497" s="38">
        <v>45986</v>
      </c>
      <c r="K497" s="1" t="s">
        <v>3822</v>
      </c>
      <c r="L497" s="1" t="s">
        <v>3823</v>
      </c>
      <c r="M497" s="1" t="s">
        <v>3824</v>
      </c>
      <c r="N497" s="2">
        <v>202509059712</v>
      </c>
      <c r="O497" s="47">
        <v>45893</v>
      </c>
    </row>
    <row r="498" spans="1:15" x14ac:dyDescent="0.4">
      <c r="A498" s="35">
        <v>1896</v>
      </c>
      <c r="B498" s="1" t="s">
        <v>3825</v>
      </c>
      <c r="C498" s="38">
        <v>45841</v>
      </c>
      <c r="D498" s="1" t="s">
        <v>1218</v>
      </c>
      <c r="E498" s="1" t="s">
        <v>3826</v>
      </c>
      <c r="F498" s="1" t="s">
        <v>36</v>
      </c>
      <c r="G498" s="1" t="s">
        <v>3827</v>
      </c>
      <c r="H498" s="1" t="s">
        <v>3828</v>
      </c>
      <c r="I498" s="1" t="s">
        <v>3829</v>
      </c>
      <c r="J498" s="38">
        <v>45986</v>
      </c>
      <c r="K498" s="1" t="s">
        <v>3830</v>
      </c>
      <c r="L498" s="1" t="s">
        <v>3831</v>
      </c>
      <c r="M498" s="1" t="s">
        <v>3832</v>
      </c>
      <c r="N498" s="2">
        <v>202509073124</v>
      </c>
      <c r="O498" s="47">
        <v>45945</v>
      </c>
    </row>
    <row r="499" spans="1:15" x14ac:dyDescent="0.4">
      <c r="A499" s="36">
        <v>1897</v>
      </c>
      <c r="B499" s="1" t="s">
        <v>3833</v>
      </c>
      <c r="C499" s="38">
        <v>45884</v>
      </c>
      <c r="D499" s="1" t="s">
        <v>1931</v>
      </c>
      <c r="E499" s="1" t="s">
        <v>3834</v>
      </c>
      <c r="F499" s="1" t="s">
        <v>55</v>
      </c>
      <c r="G499" s="1" t="s">
        <v>3835</v>
      </c>
      <c r="H499" s="1" t="s">
        <v>3836</v>
      </c>
      <c r="I499" s="1" t="s">
        <v>3837</v>
      </c>
      <c r="J499" s="38">
        <v>45986</v>
      </c>
      <c r="K499" s="1" t="s">
        <v>3838</v>
      </c>
      <c r="L499" s="1" t="s">
        <v>3839</v>
      </c>
      <c r="M499" s="1" t="s">
        <v>3840</v>
      </c>
      <c r="N499" s="2">
        <v>202509074213</v>
      </c>
      <c r="O499" s="47">
        <v>45949</v>
      </c>
    </row>
    <row r="500" spans="1:15" x14ac:dyDescent="0.4">
      <c r="A500" s="35">
        <v>1898</v>
      </c>
      <c r="B500" s="1" t="s">
        <v>3841</v>
      </c>
      <c r="C500" s="38">
        <v>45926</v>
      </c>
      <c r="D500" s="1" t="s">
        <v>509</v>
      </c>
      <c r="E500" s="1" t="s">
        <v>3842</v>
      </c>
      <c r="F500" s="1" t="s">
        <v>36</v>
      </c>
      <c r="G500" s="1" t="s">
        <v>3843</v>
      </c>
      <c r="H500" s="1" t="s">
        <v>3844</v>
      </c>
      <c r="I500" s="1" t="s">
        <v>3845</v>
      </c>
      <c r="J500" s="38">
        <v>45986</v>
      </c>
      <c r="K500" s="1" t="s">
        <v>3846</v>
      </c>
      <c r="L500" s="1" t="s">
        <v>3847</v>
      </c>
      <c r="M500" s="1" t="s">
        <v>3848</v>
      </c>
      <c r="N500" s="2">
        <v>202509076200</v>
      </c>
      <c r="O500" s="47">
        <v>45957</v>
      </c>
    </row>
    <row r="501" spans="1:15" x14ac:dyDescent="0.4">
      <c r="A501" s="36">
        <v>1899</v>
      </c>
      <c r="B501" s="1" t="s">
        <v>3849</v>
      </c>
      <c r="C501" s="38">
        <v>45916</v>
      </c>
      <c r="D501" s="1" t="s">
        <v>452</v>
      </c>
      <c r="E501" s="1" t="s">
        <v>3850</v>
      </c>
      <c r="F501" s="1" t="s">
        <v>36</v>
      </c>
      <c r="G501" s="1" t="s">
        <v>3851</v>
      </c>
      <c r="H501" s="1" t="s">
        <v>3852</v>
      </c>
      <c r="I501" s="1" t="s">
        <v>3853</v>
      </c>
      <c r="J501" s="38">
        <v>45986</v>
      </c>
      <c r="K501" s="1" t="s">
        <v>3854</v>
      </c>
      <c r="L501" s="1" t="s">
        <v>3855</v>
      </c>
      <c r="M501" s="1" t="s">
        <v>3856</v>
      </c>
      <c r="N501" s="2">
        <v>202509072834</v>
      </c>
      <c r="O501" s="47">
        <v>45944</v>
      </c>
    </row>
    <row r="502" spans="1:15" x14ac:dyDescent="0.4">
      <c r="A502" s="35">
        <v>1900</v>
      </c>
      <c r="B502" s="1" t="s">
        <v>2734</v>
      </c>
      <c r="C502" s="38">
        <v>45873</v>
      </c>
      <c r="D502" s="1" t="s">
        <v>509</v>
      </c>
      <c r="E502" s="1" t="s">
        <v>3857</v>
      </c>
      <c r="F502" s="1" t="s">
        <v>36</v>
      </c>
      <c r="G502" s="1" t="s">
        <v>3827</v>
      </c>
      <c r="H502" s="1" t="s">
        <v>875</v>
      </c>
      <c r="I502" s="1" t="s">
        <v>3858</v>
      </c>
      <c r="J502" s="38">
        <v>45986</v>
      </c>
      <c r="K502" s="1" t="s">
        <v>3859</v>
      </c>
      <c r="L502" s="1" t="s">
        <v>3860</v>
      </c>
      <c r="M502" s="1" t="s">
        <v>3861</v>
      </c>
      <c r="N502" s="2">
        <v>202509073405</v>
      </c>
      <c r="O502" s="47">
        <v>45946</v>
      </c>
    </row>
    <row r="503" spans="1:15" x14ac:dyDescent="0.4">
      <c r="A503" s="36">
        <v>1901</v>
      </c>
      <c r="B503" s="1" t="s">
        <v>3862</v>
      </c>
      <c r="C503" s="38">
        <v>45898</v>
      </c>
      <c r="D503" s="1" t="s">
        <v>1768</v>
      </c>
      <c r="E503" s="1" t="s">
        <v>3863</v>
      </c>
      <c r="F503" s="1" t="s">
        <v>55</v>
      </c>
      <c r="G503" s="1" t="s">
        <v>3864</v>
      </c>
      <c r="H503" s="1" t="s">
        <v>3865</v>
      </c>
      <c r="I503" s="1" t="s">
        <v>3866</v>
      </c>
      <c r="J503" s="38">
        <v>45986</v>
      </c>
      <c r="K503" s="1" t="s">
        <v>3867</v>
      </c>
      <c r="L503" s="1" t="s">
        <v>3868</v>
      </c>
      <c r="M503" s="1" t="s">
        <v>3869</v>
      </c>
      <c r="N503" s="2">
        <v>202509077101</v>
      </c>
      <c r="O503" s="47">
        <v>45959</v>
      </c>
    </row>
    <row r="504" spans="1:15" x14ac:dyDescent="0.4">
      <c r="A504" s="35">
        <v>1902</v>
      </c>
      <c r="B504" s="1" t="s">
        <v>3870</v>
      </c>
      <c r="C504" s="38">
        <v>45920</v>
      </c>
      <c r="D504" s="1" t="s">
        <v>3871</v>
      </c>
      <c r="E504" s="1" t="s">
        <v>3872</v>
      </c>
      <c r="F504" s="1" t="s">
        <v>36</v>
      </c>
      <c r="G504" s="1" t="s">
        <v>3873</v>
      </c>
      <c r="H504" s="1" t="s">
        <v>3874</v>
      </c>
      <c r="I504" s="1" t="s">
        <v>3875</v>
      </c>
      <c r="J504" s="38">
        <v>45986</v>
      </c>
      <c r="K504" s="1" t="s">
        <v>3876</v>
      </c>
      <c r="L504" s="1" t="s">
        <v>3877</v>
      </c>
      <c r="M504" s="1" t="s">
        <v>3878</v>
      </c>
      <c r="N504" s="2">
        <v>202509076546</v>
      </c>
      <c r="O504" s="47">
        <v>45958</v>
      </c>
    </row>
    <row r="505" spans="1:15" x14ac:dyDescent="0.4">
      <c r="A505" s="36">
        <v>1903</v>
      </c>
      <c r="B505" s="1" t="s">
        <v>3879</v>
      </c>
      <c r="C505" s="38">
        <v>45938</v>
      </c>
      <c r="D505" s="1" t="s">
        <v>452</v>
      </c>
      <c r="E505" s="1" t="s">
        <v>3880</v>
      </c>
      <c r="F505" s="1" t="s">
        <v>55</v>
      </c>
      <c r="G505" s="1" t="s">
        <v>3881</v>
      </c>
      <c r="H505" s="1" t="s">
        <v>3167</v>
      </c>
      <c r="I505" s="1" t="s">
        <v>3882</v>
      </c>
      <c r="J505" s="38">
        <v>45986</v>
      </c>
      <c r="K505" s="1" t="s">
        <v>2606</v>
      </c>
      <c r="L505" s="1" t="s">
        <v>3883</v>
      </c>
      <c r="M505" s="1" t="s">
        <v>3884</v>
      </c>
      <c r="N505" s="2">
        <v>202509076944</v>
      </c>
      <c r="O505" s="47">
        <v>45959</v>
      </c>
    </row>
    <row r="506" spans="1:15" x14ac:dyDescent="0.4">
      <c r="A506" s="35">
        <v>1904</v>
      </c>
      <c r="B506" s="1" t="s">
        <v>3885</v>
      </c>
      <c r="C506" s="38">
        <v>45885</v>
      </c>
      <c r="D506" s="1" t="s">
        <v>536</v>
      </c>
      <c r="E506" s="1" t="s">
        <v>3886</v>
      </c>
      <c r="F506" s="1" t="s">
        <v>36</v>
      </c>
      <c r="G506" s="1" t="s">
        <v>3887</v>
      </c>
      <c r="H506" s="1" t="s">
        <v>3888</v>
      </c>
      <c r="I506" s="1" t="s">
        <v>3889</v>
      </c>
      <c r="J506" s="38">
        <v>45986</v>
      </c>
      <c r="K506" s="1" t="s">
        <v>3890</v>
      </c>
      <c r="L506" s="1" t="s">
        <v>3891</v>
      </c>
      <c r="M506" s="1" t="s">
        <v>3892</v>
      </c>
      <c r="N506" s="2">
        <v>202509074513</v>
      </c>
      <c r="O506" s="47">
        <v>45951</v>
      </c>
    </row>
    <row r="507" spans="1:15" x14ac:dyDescent="0.4">
      <c r="A507" s="36">
        <v>1905</v>
      </c>
      <c r="B507" s="1" t="s">
        <v>3893</v>
      </c>
      <c r="C507" s="38">
        <v>45903</v>
      </c>
      <c r="D507" s="1" t="s">
        <v>1931</v>
      </c>
      <c r="E507" s="1" t="s">
        <v>3894</v>
      </c>
      <c r="F507" s="1" t="s">
        <v>36</v>
      </c>
      <c r="G507" s="1" t="s">
        <v>3895</v>
      </c>
      <c r="H507" s="1" t="s">
        <v>3896</v>
      </c>
      <c r="I507" s="1" t="s">
        <v>3897</v>
      </c>
      <c r="J507" s="38">
        <v>45986</v>
      </c>
      <c r="K507" s="1" t="s">
        <v>3898</v>
      </c>
      <c r="L507" s="1" t="s">
        <v>743</v>
      </c>
      <c r="M507" s="1" t="s">
        <v>3577</v>
      </c>
      <c r="N507" s="2">
        <v>202509071547</v>
      </c>
      <c r="O507" s="47">
        <v>45939</v>
      </c>
    </row>
    <row r="508" spans="1:15" x14ac:dyDescent="0.4">
      <c r="A508" s="35">
        <v>1906</v>
      </c>
      <c r="B508" s="1" t="s">
        <v>3899</v>
      </c>
      <c r="C508" s="38">
        <v>45744</v>
      </c>
      <c r="D508" s="1" t="s">
        <v>452</v>
      </c>
      <c r="E508" s="1" t="s">
        <v>3900</v>
      </c>
      <c r="F508" s="1" t="s">
        <v>36</v>
      </c>
      <c r="G508" s="1" t="s">
        <v>3901</v>
      </c>
      <c r="H508" s="1" t="s">
        <v>3902</v>
      </c>
      <c r="I508" s="1" t="s">
        <v>3903</v>
      </c>
      <c r="J508" s="38">
        <v>45986</v>
      </c>
      <c r="K508" s="1" t="s">
        <v>3904</v>
      </c>
      <c r="L508" s="1" t="s">
        <v>3905</v>
      </c>
      <c r="M508" s="1" t="s">
        <v>3906</v>
      </c>
      <c r="N508" s="2">
        <v>202509073984</v>
      </c>
      <c r="O508" s="47">
        <v>45948</v>
      </c>
    </row>
    <row r="509" spans="1:15" x14ac:dyDescent="0.4">
      <c r="A509" s="36">
        <v>1907</v>
      </c>
      <c r="B509" s="1" t="s">
        <v>3907</v>
      </c>
      <c r="C509" s="38">
        <v>45943</v>
      </c>
      <c r="D509" s="1" t="s">
        <v>411</v>
      </c>
      <c r="E509" s="1" t="s">
        <v>3908</v>
      </c>
      <c r="F509" s="1" t="s">
        <v>55</v>
      </c>
      <c r="G509" s="1" t="s">
        <v>982</v>
      </c>
      <c r="H509" s="1" t="s">
        <v>3589</v>
      </c>
      <c r="I509" s="1" t="s">
        <v>3909</v>
      </c>
      <c r="J509" s="38">
        <v>45987</v>
      </c>
      <c r="K509" s="1" t="s">
        <v>464</v>
      </c>
      <c r="L509" s="1" t="s">
        <v>3910</v>
      </c>
      <c r="M509" s="1" t="s">
        <v>3385</v>
      </c>
      <c r="N509" s="2">
        <v>202509079866</v>
      </c>
      <c r="O509" s="47">
        <v>45970</v>
      </c>
    </row>
    <row r="510" spans="1:15" x14ac:dyDescent="0.4">
      <c r="A510" s="35">
        <v>1908</v>
      </c>
      <c r="B510" s="1" t="s">
        <v>1736</v>
      </c>
      <c r="C510" s="38">
        <v>45821</v>
      </c>
      <c r="D510" s="1" t="s">
        <v>452</v>
      </c>
      <c r="E510" s="1" t="s">
        <v>3911</v>
      </c>
      <c r="F510" s="1" t="s">
        <v>36</v>
      </c>
      <c r="G510" s="1" t="s">
        <v>3912</v>
      </c>
      <c r="H510" s="1" t="s">
        <v>3381</v>
      </c>
      <c r="I510" s="1" t="s">
        <v>3913</v>
      </c>
      <c r="J510" s="38">
        <v>45987</v>
      </c>
      <c r="K510" s="1" t="s">
        <v>3914</v>
      </c>
      <c r="L510" s="1" t="s">
        <v>234</v>
      </c>
      <c r="M510" s="1" t="s">
        <v>3878</v>
      </c>
      <c r="N510" s="2">
        <v>202509069790</v>
      </c>
      <c r="O510" s="47">
        <v>45932</v>
      </c>
    </row>
    <row r="511" spans="1:15" x14ac:dyDescent="0.4">
      <c r="A511" s="36">
        <v>1909</v>
      </c>
      <c r="B511" s="1" t="s">
        <v>1864</v>
      </c>
      <c r="C511" s="38">
        <v>45345</v>
      </c>
      <c r="D511" s="1" t="s">
        <v>2672</v>
      </c>
      <c r="E511" s="1" t="s">
        <v>3915</v>
      </c>
      <c r="F511" s="1" t="s">
        <v>36</v>
      </c>
      <c r="G511" s="1" t="s">
        <v>3916</v>
      </c>
      <c r="H511" s="1" t="s">
        <v>3917</v>
      </c>
      <c r="I511" s="1" t="s">
        <v>3918</v>
      </c>
      <c r="J511" s="38">
        <v>45987</v>
      </c>
      <c r="K511" s="1" t="s">
        <v>3919</v>
      </c>
      <c r="L511" s="1" t="s">
        <v>1974</v>
      </c>
      <c r="M511" s="1" t="s">
        <v>3920</v>
      </c>
      <c r="N511" s="2">
        <v>202509079523</v>
      </c>
      <c r="O511" s="47">
        <v>45968</v>
      </c>
    </row>
    <row r="512" spans="1:15" x14ac:dyDescent="0.4">
      <c r="A512" s="35">
        <v>1910</v>
      </c>
      <c r="B512" s="1" t="s">
        <v>3921</v>
      </c>
      <c r="C512" s="38">
        <v>45902</v>
      </c>
      <c r="D512" s="1" t="s">
        <v>536</v>
      </c>
      <c r="E512" s="1" t="s">
        <v>3922</v>
      </c>
      <c r="F512" s="1" t="s">
        <v>55</v>
      </c>
      <c r="G512" s="1" t="s">
        <v>3923</v>
      </c>
      <c r="H512" s="1" t="s">
        <v>3924</v>
      </c>
      <c r="I512" s="1" t="s">
        <v>3925</v>
      </c>
      <c r="J512" s="38">
        <v>45987</v>
      </c>
      <c r="K512" s="1" t="s">
        <v>3926</v>
      </c>
      <c r="L512" s="1" t="s">
        <v>3927</v>
      </c>
      <c r="M512" s="1" t="s">
        <v>3928</v>
      </c>
      <c r="N512" s="2">
        <v>202509080028</v>
      </c>
      <c r="O512" s="47">
        <v>45971</v>
      </c>
    </row>
    <row r="513" spans="1:15" x14ac:dyDescent="0.4">
      <c r="A513" s="36">
        <v>1911</v>
      </c>
      <c r="B513" s="1" t="s">
        <v>3929</v>
      </c>
      <c r="C513" s="38">
        <v>45902</v>
      </c>
      <c r="D513" s="1" t="s">
        <v>661</v>
      </c>
      <c r="E513" s="1" t="s">
        <v>3930</v>
      </c>
      <c r="F513" s="1" t="s">
        <v>55</v>
      </c>
      <c r="G513" s="1" t="s">
        <v>3931</v>
      </c>
      <c r="H513" s="1" t="s">
        <v>3932</v>
      </c>
      <c r="I513" s="1" t="s">
        <v>3933</v>
      </c>
      <c r="J513" s="38">
        <v>45987</v>
      </c>
      <c r="K513" s="1" t="s">
        <v>3934</v>
      </c>
      <c r="L513" s="1" t="s">
        <v>1870</v>
      </c>
      <c r="M513" s="1" t="s">
        <v>3878</v>
      </c>
      <c r="N513" s="2">
        <v>202509074350</v>
      </c>
      <c r="O513" s="47">
        <v>45950</v>
      </c>
    </row>
    <row r="514" spans="1:15" x14ac:dyDescent="0.4">
      <c r="A514" s="35">
        <v>1912</v>
      </c>
      <c r="B514" s="1" t="s">
        <v>3935</v>
      </c>
      <c r="C514" s="38">
        <v>45926</v>
      </c>
      <c r="D514" s="1" t="s">
        <v>536</v>
      </c>
      <c r="E514" s="1" t="s">
        <v>3936</v>
      </c>
      <c r="F514" s="1" t="s">
        <v>36</v>
      </c>
      <c r="G514" s="1" t="s">
        <v>3937</v>
      </c>
      <c r="H514" s="1" t="s">
        <v>3938</v>
      </c>
      <c r="I514" s="1" t="s">
        <v>3939</v>
      </c>
      <c r="J514" s="38">
        <v>45987</v>
      </c>
      <c r="K514" s="1" t="s">
        <v>3940</v>
      </c>
      <c r="L514" s="1" t="s">
        <v>3941</v>
      </c>
      <c r="M514" s="1" t="s">
        <v>3942</v>
      </c>
      <c r="N514" s="2">
        <v>202509078884</v>
      </c>
      <c r="O514" s="47">
        <v>45966</v>
      </c>
    </row>
    <row r="515" spans="1:15" x14ac:dyDescent="0.4">
      <c r="A515" s="36">
        <v>1913</v>
      </c>
      <c r="B515" s="1" t="s">
        <v>3943</v>
      </c>
      <c r="C515" s="38">
        <v>45672</v>
      </c>
      <c r="D515" s="1" t="s">
        <v>509</v>
      </c>
      <c r="E515" s="1" t="s">
        <v>3944</v>
      </c>
      <c r="F515" s="1" t="s">
        <v>36</v>
      </c>
      <c r="G515" s="1" t="s">
        <v>3945</v>
      </c>
      <c r="H515" s="1" t="s">
        <v>875</v>
      </c>
      <c r="I515" s="1" t="s">
        <v>3946</v>
      </c>
      <c r="J515" s="38">
        <v>45987</v>
      </c>
      <c r="K515" s="1" t="s">
        <v>3947</v>
      </c>
      <c r="L515" s="1" t="s">
        <v>3948</v>
      </c>
      <c r="M515" s="1" t="s">
        <v>3949</v>
      </c>
      <c r="N515" s="2">
        <v>202509080032</v>
      </c>
      <c r="O515" s="47">
        <v>45971</v>
      </c>
    </row>
    <row r="516" spans="1:15" x14ac:dyDescent="0.4">
      <c r="A516" s="35">
        <v>1914</v>
      </c>
      <c r="B516" s="1" t="s">
        <v>3950</v>
      </c>
      <c r="C516" s="38">
        <v>45944</v>
      </c>
      <c r="D516" s="1" t="s">
        <v>3951</v>
      </c>
      <c r="E516" s="1" t="s">
        <v>3952</v>
      </c>
      <c r="F516" s="1" t="s">
        <v>55</v>
      </c>
      <c r="G516" s="1" t="s">
        <v>3953</v>
      </c>
      <c r="H516" s="1" t="s">
        <v>3954</v>
      </c>
      <c r="I516" s="1" t="s">
        <v>3955</v>
      </c>
      <c r="J516" s="38">
        <v>45987</v>
      </c>
      <c r="K516" s="1" t="s">
        <v>3956</v>
      </c>
      <c r="L516" s="1" t="s">
        <v>3957</v>
      </c>
      <c r="M516" s="1" t="s">
        <v>3958</v>
      </c>
      <c r="N516" s="2">
        <v>202509077502</v>
      </c>
      <c r="O516" s="47">
        <v>45960</v>
      </c>
    </row>
    <row r="517" spans="1:15" x14ac:dyDescent="0.4">
      <c r="A517" s="36">
        <v>1915</v>
      </c>
      <c r="B517" s="1" t="s">
        <v>3959</v>
      </c>
      <c r="C517" s="38">
        <v>45908</v>
      </c>
      <c r="D517" s="1" t="s">
        <v>1768</v>
      </c>
      <c r="E517" s="1" t="s">
        <v>3960</v>
      </c>
      <c r="F517" s="1" t="s">
        <v>55</v>
      </c>
      <c r="G517" s="1" t="s">
        <v>3827</v>
      </c>
      <c r="H517" s="1" t="s">
        <v>3961</v>
      </c>
      <c r="I517" s="1" t="s">
        <v>3962</v>
      </c>
      <c r="J517" s="38">
        <v>45987</v>
      </c>
      <c r="K517" s="1" t="s">
        <v>3963</v>
      </c>
      <c r="L517" s="1" t="s">
        <v>3964</v>
      </c>
      <c r="M517" s="1" t="s">
        <v>3965</v>
      </c>
      <c r="N517" s="2">
        <v>202509079114</v>
      </c>
      <c r="O517" s="47">
        <v>45967</v>
      </c>
    </row>
    <row r="518" spans="1:15" x14ac:dyDescent="0.4">
      <c r="A518" s="35">
        <v>1916</v>
      </c>
      <c r="B518" s="1" t="s">
        <v>3966</v>
      </c>
      <c r="C518" s="38">
        <v>45870</v>
      </c>
      <c r="D518" s="1" t="s">
        <v>536</v>
      </c>
      <c r="E518" s="1" t="s">
        <v>3967</v>
      </c>
      <c r="F518" s="1" t="s">
        <v>36</v>
      </c>
      <c r="G518" s="1" t="s">
        <v>3968</v>
      </c>
      <c r="H518" s="1" t="s">
        <v>3969</v>
      </c>
      <c r="I518" s="1" t="s">
        <v>3970</v>
      </c>
      <c r="J518" s="38">
        <v>45987</v>
      </c>
      <c r="K518" s="1" t="s">
        <v>3971</v>
      </c>
      <c r="L518" s="1" t="s">
        <v>3972</v>
      </c>
      <c r="M518" s="1" t="s">
        <v>3973</v>
      </c>
      <c r="N518" s="2">
        <v>202509079892</v>
      </c>
      <c r="O518" s="47">
        <v>45970</v>
      </c>
    </row>
    <row r="519" spans="1:15" x14ac:dyDescent="0.4">
      <c r="A519" s="36">
        <v>1917</v>
      </c>
      <c r="B519" s="1" t="s">
        <v>3974</v>
      </c>
      <c r="C519" s="38">
        <v>45829</v>
      </c>
      <c r="D519" s="1" t="s">
        <v>44</v>
      </c>
      <c r="E519" s="1" t="s">
        <v>3975</v>
      </c>
      <c r="F519" s="1" t="s">
        <v>36</v>
      </c>
      <c r="G519" s="1" t="s">
        <v>3976</v>
      </c>
      <c r="H519" s="1" t="s">
        <v>3167</v>
      </c>
      <c r="I519" s="1" t="s">
        <v>3977</v>
      </c>
      <c r="J519" s="38">
        <v>45987</v>
      </c>
      <c r="K519" s="1" t="s">
        <v>3978</v>
      </c>
      <c r="L519" s="1" t="s">
        <v>3979</v>
      </c>
      <c r="M519" s="1" t="s">
        <v>3980</v>
      </c>
      <c r="N519" s="2">
        <v>202509077998</v>
      </c>
      <c r="O519" s="47">
        <v>45963</v>
      </c>
    </row>
    <row r="520" spans="1:15" x14ac:dyDescent="0.4">
      <c r="A520" s="35">
        <v>1918</v>
      </c>
      <c r="B520" s="1" t="s">
        <v>3981</v>
      </c>
      <c r="C520" s="38">
        <v>45890</v>
      </c>
      <c r="D520" s="1" t="s">
        <v>1218</v>
      </c>
      <c r="E520" s="1" t="s">
        <v>3982</v>
      </c>
      <c r="F520" s="1" t="s">
        <v>55</v>
      </c>
      <c r="G520" s="1" t="s">
        <v>3983</v>
      </c>
      <c r="H520" s="1" t="s">
        <v>3984</v>
      </c>
      <c r="I520" s="1" t="s">
        <v>3985</v>
      </c>
      <c r="J520" s="38">
        <v>45987</v>
      </c>
      <c r="K520" s="1" t="s">
        <v>3986</v>
      </c>
      <c r="L520" s="1" t="s">
        <v>3987</v>
      </c>
      <c r="M520" s="1" t="s">
        <v>3988</v>
      </c>
      <c r="N520" s="2">
        <v>202509082355</v>
      </c>
      <c r="O520" s="47">
        <v>45979</v>
      </c>
    </row>
    <row r="521" spans="1:15" x14ac:dyDescent="0.4">
      <c r="A521" s="36">
        <v>1919</v>
      </c>
      <c r="B521" s="1" t="s">
        <v>3989</v>
      </c>
      <c r="C521" s="38">
        <v>45886</v>
      </c>
      <c r="D521" s="1" t="s">
        <v>452</v>
      </c>
      <c r="E521" s="1" t="s">
        <v>3990</v>
      </c>
      <c r="F521" s="1" t="s">
        <v>55</v>
      </c>
      <c r="G521" s="1" t="s">
        <v>3991</v>
      </c>
      <c r="H521" s="1" t="s">
        <v>3992</v>
      </c>
      <c r="I521" s="1" t="s">
        <v>3993</v>
      </c>
      <c r="J521" s="38">
        <v>45988</v>
      </c>
      <c r="K521" s="1" t="s">
        <v>3994</v>
      </c>
      <c r="L521" s="1" t="s">
        <v>3995</v>
      </c>
      <c r="M521" s="1" t="s">
        <v>3996</v>
      </c>
      <c r="N521" s="2">
        <v>202509076664</v>
      </c>
      <c r="O521" s="47">
        <v>45958</v>
      </c>
    </row>
    <row r="522" spans="1:15" x14ac:dyDescent="0.4">
      <c r="A522" s="35">
        <v>1920</v>
      </c>
      <c r="B522" s="1" t="s">
        <v>3997</v>
      </c>
      <c r="C522" s="38">
        <v>45917</v>
      </c>
      <c r="D522" s="1" t="s">
        <v>1931</v>
      </c>
      <c r="E522" s="1" t="s">
        <v>3998</v>
      </c>
      <c r="F522" s="1" t="s">
        <v>36</v>
      </c>
      <c r="G522" s="1" t="s">
        <v>2714</v>
      </c>
      <c r="H522" s="1" t="s">
        <v>3167</v>
      </c>
      <c r="I522" s="1" t="s">
        <v>3999</v>
      </c>
      <c r="J522" s="38">
        <v>45988</v>
      </c>
      <c r="K522" s="1" t="s">
        <v>4000</v>
      </c>
      <c r="L522" s="1" t="s">
        <v>4001</v>
      </c>
      <c r="M522" s="1" t="s">
        <v>4002</v>
      </c>
      <c r="N522" s="2">
        <v>202509076693</v>
      </c>
      <c r="O522" s="47">
        <v>45958</v>
      </c>
    </row>
    <row r="523" spans="1:15" x14ac:dyDescent="0.4">
      <c r="A523" s="36">
        <v>1921</v>
      </c>
      <c r="B523" s="1" t="s">
        <v>4003</v>
      </c>
      <c r="C523" s="38">
        <v>45922</v>
      </c>
      <c r="D523" s="1" t="s">
        <v>44</v>
      </c>
      <c r="E523" s="1" t="s">
        <v>4004</v>
      </c>
      <c r="F523" s="1" t="s">
        <v>36</v>
      </c>
      <c r="G523" s="1" t="s">
        <v>4005</v>
      </c>
      <c r="H523" s="1" t="s">
        <v>4006</v>
      </c>
      <c r="I523" s="1" t="s">
        <v>4007</v>
      </c>
      <c r="J523" s="38">
        <v>45988</v>
      </c>
      <c r="K523" s="1" t="s">
        <v>4008</v>
      </c>
      <c r="L523" s="1" t="s">
        <v>4009</v>
      </c>
      <c r="M523" s="1" t="s">
        <v>4010</v>
      </c>
      <c r="N523" s="2">
        <v>202509077062</v>
      </c>
      <c r="O523" s="47">
        <v>45959</v>
      </c>
    </row>
    <row r="524" spans="1:15" x14ac:dyDescent="0.4">
      <c r="A524" s="35">
        <v>1922</v>
      </c>
      <c r="B524" s="1" t="s">
        <v>4011</v>
      </c>
      <c r="C524" s="38">
        <v>45917</v>
      </c>
      <c r="D524" s="1" t="s">
        <v>536</v>
      </c>
      <c r="E524" s="1" t="s">
        <v>4012</v>
      </c>
      <c r="F524" s="1" t="s">
        <v>55</v>
      </c>
      <c r="G524" s="1" t="s">
        <v>4013</v>
      </c>
      <c r="H524" s="1" t="s">
        <v>4014</v>
      </c>
      <c r="I524" s="1" t="s">
        <v>4015</v>
      </c>
      <c r="J524" s="38">
        <v>45988</v>
      </c>
      <c r="K524" s="1" t="s">
        <v>4016</v>
      </c>
      <c r="L524" s="1" t="s">
        <v>4017</v>
      </c>
      <c r="M524" s="1" t="s">
        <v>4018</v>
      </c>
      <c r="N524" s="2">
        <v>202509076000</v>
      </c>
      <c r="O524" s="47">
        <v>45956</v>
      </c>
    </row>
    <row r="525" spans="1:15" x14ac:dyDescent="0.4">
      <c r="A525" s="36">
        <v>1923</v>
      </c>
      <c r="B525" s="1" t="s">
        <v>4019</v>
      </c>
      <c r="C525" s="38">
        <v>45902</v>
      </c>
      <c r="D525" s="1" t="s">
        <v>547</v>
      </c>
      <c r="E525" s="1" t="s">
        <v>4020</v>
      </c>
      <c r="F525" s="1" t="s">
        <v>36</v>
      </c>
      <c r="G525" s="1" t="s">
        <v>4021</v>
      </c>
      <c r="H525" s="1" t="s">
        <v>4022</v>
      </c>
      <c r="I525" s="1" t="s">
        <v>4023</v>
      </c>
      <c r="J525" s="38">
        <v>45988</v>
      </c>
      <c r="K525" s="1" t="s">
        <v>4024</v>
      </c>
      <c r="L525" s="1" t="s">
        <v>4025</v>
      </c>
      <c r="M525" s="1" t="s">
        <v>4026</v>
      </c>
      <c r="N525" s="2">
        <v>202509077013</v>
      </c>
      <c r="O525" s="47">
        <v>45959</v>
      </c>
    </row>
    <row r="526" spans="1:15" x14ac:dyDescent="0.4">
      <c r="A526" s="35">
        <v>1924</v>
      </c>
      <c r="B526" s="1" t="s">
        <v>4027</v>
      </c>
      <c r="C526" s="38">
        <v>45838</v>
      </c>
      <c r="D526" s="1" t="s">
        <v>452</v>
      </c>
      <c r="E526" s="1" t="s">
        <v>4028</v>
      </c>
      <c r="F526" s="1" t="s">
        <v>55</v>
      </c>
      <c r="G526" s="1" t="s">
        <v>4029</v>
      </c>
      <c r="H526" s="1" t="s">
        <v>4030</v>
      </c>
      <c r="I526" s="1" t="s">
        <v>4031</v>
      </c>
      <c r="J526" s="38">
        <v>45988</v>
      </c>
      <c r="K526" s="1" t="s">
        <v>4032</v>
      </c>
      <c r="L526" s="1" t="s">
        <v>4033</v>
      </c>
      <c r="M526" s="1" t="s">
        <v>4034</v>
      </c>
      <c r="N526" s="2">
        <v>202509076624</v>
      </c>
      <c r="O526" s="47">
        <v>45958</v>
      </c>
    </row>
    <row r="527" spans="1:15" x14ac:dyDescent="0.4">
      <c r="A527" s="36">
        <v>1925</v>
      </c>
      <c r="B527" s="1" t="s">
        <v>4035</v>
      </c>
      <c r="C527" s="38">
        <v>45805</v>
      </c>
      <c r="D527" s="1" t="s">
        <v>509</v>
      </c>
      <c r="E527" s="1" t="s">
        <v>4036</v>
      </c>
      <c r="F527" s="1" t="s">
        <v>55</v>
      </c>
      <c r="G527" s="1" t="s">
        <v>4037</v>
      </c>
      <c r="H527" s="1" t="s">
        <v>4038</v>
      </c>
      <c r="I527" s="1" t="s">
        <v>4039</v>
      </c>
      <c r="J527" s="38">
        <v>45988</v>
      </c>
      <c r="K527" s="1" t="s">
        <v>4040</v>
      </c>
      <c r="L527" s="1" t="s">
        <v>4041</v>
      </c>
      <c r="M527" s="1" t="s">
        <v>3075</v>
      </c>
      <c r="N527" s="2">
        <v>202509065699</v>
      </c>
      <c r="O527" s="47">
        <v>45916</v>
      </c>
    </row>
    <row r="528" spans="1:15" x14ac:dyDescent="0.4">
      <c r="A528" s="35">
        <v>1926</v>
      </c>
      <c r="B528" s="1" t="s">
        <v>4042</v>
      </c>
      <c r="C528" s="38">
        <v>45588</v>
      </c>
      <c r="D528" s="1" t="s">
        <v>661</v>
      </c>
      <c r="E528" s="1" t="s">
        <v>4043</v>
      </c>
      <c r="F528" s="1" t="s">
        <v>55</v>
      </c>
      <c r="G528" s="1" t="s">
        <v>4044</v>
      </c>
      <c r="H528" s="1" t="s">
        <v>4045</v>
      </c>
      <c r="I528" s="1" t="s">
        <v>4046</v>
      </c>
      <c r="J528" s="38">
        <v>45988</v>
      </c>
      <c r="K528" s="1" t="s">
        <v>4047</v>
      </c>
      <c r="L528" s="1" t="s">
        <v>4048</v>
      </c>
      <c r="M528" s="1" t="s">
        <v>3949</v>
      </c>
      <c r="N528" s="2">
        <v>202509077781</v>
      </c>
      <c r="O528" s="47">
        <v>45962</v>
      </c>
    </row>
    <row r="529" spans="1:15" x14ac:dyDescent="0.4">
      <c r="A529" s="36">
        <v>1927</v>
      </c>
      <c r="B529" s="1" t="s">
        <v>4049</v>
      </c>
      <c r="C529" s="38">
        <v>45767</v>
      </c>
      <c r="D529" s="1" t="s">
        <v>509</v>
      </c>
      <c r="E529" s="1" t="s">
        <v>4050</v>
      </c>
      <c r="F529" s="1" t="s">
        <v>36</v>
      </c>
      <c r="G529" s="1" t="s">
        <v>4051</v>
      </c>
      <c r="H529" s="1" t="s">
        <v>4052</v>
      </c>
      <c r="I529" s="1" t="s">
        <v>4053</v>
      </c>
      <c r="J529" s="38">
        <v>45988</v>
      </c>
      <c r="K529" s="1" t="s">
        <v>4054</v>
      </c>
      <c r="L529" s="1" t="s">
        <v>4055</v>
      </c>
      <c r="M529" s="1" t="s">
        <v>4056</v>
      </c>
      <c r="N529" s="2">
        <v>202509077558</v>
      </c>
      <c r="O529" s="47">
        <v>45961</v>
      </c>
    </row>
    <row r="530" spans="1:15" x14ac:dyDescent="0.4">
      <c r="A530" s="35">
        <v>1928</v>
      </c>
      <c r="B530" s="1" t="s">
        <v>4057</v>
      </c>
      <c r="C530" s="38">
        <v>45907</v>
      </c>
      <c r="D530" s="1" t="s">
        <v>44</v>
      </c>
      <c r="E530" s="1" t="s">
        <v>4058</v>
      </c>
      <c r="F530" s="1" t="s">
        <v>36</v>
      </c>
      <c r="G530" s="1" t="s">
        <v>4059</v>
      </c>
      <c r="H530" s="1" t="s">
        <v>4060</v>
      </c>
      <c r="I530" s="1" t="s">
        <v>4061</v>
      </c>
      <c r="J530" s="38">
        <v>45988</v>
      </c>
      <c r="K530" s="1" t="s">
        <v>4062</v>
      </c>
      <c r="L530" s="1" t="s">
        <v>4063</v>
      </c>
      <c r="M530" s="1" t="s">
        <v>4064</v>
      </c>
      <c r="N530" s="2">
        <v>202509077981</v>
      </c>
      <c r="O530" s="47">
        <v>45963</v>
      </c>
    </row>
    <row r="531" spans="1:15" x14ac:dyDescent="0.4">
      <c r="A531" s="36">
        <v>1929</v>
      </c>
      <c r="B531" s="1" t="s">
        <v>4065</v>
      </c>
      <c r="C531" s="38">
        <v>45899</v>
      </c>
      <c r="D531" s="1" t="s">
        <v>2672</v>
      </c>
      <c r="E531" s="1" t="s">
        <v>4066</v>
      </c>
      <c r="F531" s="1" t="s">
        <v>55</v>
      </c>
      <c r="G531" s="1" t="s">
        <v>4067</v>
      </c>
      <c r="H531" s="1" t="s">
        <v>4068</v>
      </c>
      <c r="I531" s="1" t="s">
        <v>4069</v>
      </c>
      <c r="J531" s="38">
        <v>45988</v>
      </c>
      <c r="K531" s="1" t="s">
        <v>4070</v>
      </c>
      <c r="L531" s="1" t="s">
        <v>4071</v>
      </c>
      <c r="M531" s="1" t="s">
        <v>4072</v>
      </c>
      <c r="N531" s="2">
        <v>202509075990</v>
      </c>
      <c r="O531" s="47">
        <v>45956</v>
      </c>
    </row>
    <row r="532" spans="1:15" x14ac:dyDescent="0.4">
      <c r="A532" s="35">
        <v>1930</v>
      </c>
      <c r="B532" s="1" t="s">
        <v>4073</v>
      </c>
      <c r="C532" s="38">
        <v>45814</v>
      </c>
      <c r="D532" s="1" t="s">
        <v>509</v>
      </c>
      <c r="E532" s="1" t="s">
        <v>4074</v>
      </c>
      <c r="F532" s="1" t="s">
        <v>55</v>
      </c>
      <c r="G532" s="1" t="s">
        <v>4075</v>
      </c>
      <c r="H532" s="1" t="s">
        <v>4076</v>
      </c>
      <c r="I532" s="1" t="s">
        <v>4077</v>
      </c>
      <c r="J532" s="38">
        <v>45988</v>
      </c>
      <c r="K532" s="1" t="s">
        <v>4078</v>
      </c>
      <c r="L532" s="1" t="s">
        <v>4079</v>
      </c>
      <c r="M532" s="1" t="s">
        <v>3878</v>
      </c>
      <c r="N532" s="2">
        <v>202509073799</v>
      </c>
      <c r="O532" s="47">
        <v>45947</v>
      </c>
    </row>
    <row r="533" spans="1:15" x14ac:dyDescent="0.4">
      <c r="A533" s="36">
        <v>1931</v>
      </c>
      <c r="B533" s="1" t="s">
        <v>4080</v>
      </c>
      <c r="C533" s="38">
        <v>45848</v>
      </c>
      <c r="D533" s="1" t="s">
        <v>411</v>
      </c>
      <c r="E533" s="1" t="s">
        <v>4081</v>
      </c>
      <c r="F533" s="1" t="s">
        <v>55</v>
      </c>
      <c r="G533" s="1" t="s">
        <v>4082</v>
      </c>
      <c r="H533" s="1" t="s">
        <v>4083</v>
      </c>
      <c r="I533" s="1" t="s">
        <v>4084</v>
      </c>
      <c r="J533" s="38">
        <v>45988</v>
      </c>
      <c r="K533" s="1" t="s">
        <v>4085</v>
      </c>
      <c r="L533" s="1" t="s">
        <v>524</v>
      </c>
      <c r="M533" s="1" t="s">
        <v>4086</v>
      </c>
      <c r="N533" s="2">
        <v>202509078273</v>
      </c>
      <c r="O533" s="47">
        <v>45964</v>
      </c>
    </row>
    <row r="534" spans="1:15" x14ac:dyDescent="0.4">
      <c r="A534" s="35">
        <v>1932</v>
      </c>
      <c r="B534" s="1" t="s">
        <v>4087</v>
      </c>
      <c r="C534" s="38">
        <v>45895</v>
      </c>
      <c r="D534" s="1" t="s">
        <v>509</v>
      </c>
      <c r="E534" s="1" t="s">
        <v>4088</v>
      </c>
      <c r="F534" s="1" t="s">
        <v>55</v>
      </c>
      <c r="G534" s="1" t="s">
        <v>4089</v>
      </c>
      <c r="H534" s="1" t="s">
        <v>3589</v>
      </c>
      <c r="I534" s="1" t="s">
        <v>4090</v>
      </c>
      <c r="J534" s="38">
        <v>45988</v>
      </c>
      <c r="K534" s="1" t="s">
        <v>4091</v>
      </c>
      <c r="L534" s="1" t="s">
        <v>4092</v>
      </c>
      <c r="M534" s="1" t="s">
        <v>3362</v>
      </c>
      <c r="N534" s="2">
        <v>202509077564</v>
      </c>
      <c r="O534" s="47">
        <v>45961</v>
      </c>
    </row>
    <row r="535" spans="1:15" x14ac:dyDescent="0.4">
      <c r="A535" s="36">
        <v>1933</v>
      </c>
      <c r="B535" s="1" t="s">
        <v>4093</v>
      </c>
      <c r="C535" s="38">
        <v>45870</v>
      </c>
      <c r="D535" s="1" t="s">
        <v>547</v>
      </c>
      <c r="E535" s="1" t="s">
        <v>4094</v>
      </c>
      <c r="F535" s="1" t="s">
        <v>36</v>
      </c>
      <c r="G535" s="1" t="s">
        <v>4095</v>
      </c>
      <c r="H535" s="1" t="s">
        <v>4096</v>
      </c>
      <c r="I535" s="1" t="s">
        <v>4097</v>
      </c>
      <c r="J535" s="38">
        <v>45988</v>
      </c>
      <c r="K535" s="1" t="s">
        <v>4098</v>
      </c>
      <c r="L535" s="1" t="s">
        <v>3074</v>
      </c>
      <c r="M535" s="1" t="s">
        <v>3075</v>
      </c>
      <c r="N535" s="2">
        <v>202509077010</v>
      </c>
      <c r="O535" s="47">
        <v>45959</v>
      </c>
    </row>
    <row r="536" spans="1:15" x14ac:dyDescent="0.4">
      <c r="A536" s="35">
        <v>1934</v>
      </c>
      <c r="B536" s="1" t="s">
        <v>4099</v>
      </c>
      <c r="C536" s="38">
        <v>45618</v>
      </c>
      <c r="D536" s="1" t="s">
        <v>411</v>
      </c>
      <c r="E536" s="1" t="s">
        <v>4100</v>
      </c>
      <c r="F536" s="1" t="s">
        <v>36</v>
      </c>
      <c r="G536" s="1" t="s">
        <v>4101</v>
      </c>
      <c r="H536" s="1" t="s">
        <v>4102</v>
      </c>
      <c r="I536" s="1" t="s">
        <v>4103</v>
      </c>
      <c r="J536" s="38">
        <v>45988</v>
      </c>
      <c r="K536" s="1" t="s">
        <v>4104</v>
      </c>
      <c r="L536" s="1" t="s">
        <v>2970</v>
      </c>
      <c r="M536" s="1" t="s">
        <v>4105</v>
      </c>
      <c r="N536" s="2">
        <v>202509079119</v>
      </c>
      <c r="O536" s="47">
        <v>45967</v>
      </c>
    </row>
    <row r="537" spans="1:15" x14ac:dyDescent="0.4">
      <c r="A537" s="36">
        <v>1935</v>
      </c>
      <c r="B537" s="1" t="s">
        <v>4106</v>
      </c>
      <c r="C537" s="38">
        <v>45948</v>
      </c>
      <c r="D537" s="1" t="s">
        <v>670</v>
      </c>
      <c r="E537" s="1" t="s">
        <v>4107</v>
      </c>
      <c r="F537" s="1" t="s">
        <v>36</v>
      </c>
      <c r="G537" s="1" t="s">
        <v>4108</v>
      </c>
      <c r="H537" s="1" t="s">
        <v>4109</v>
      </c>
      <c r="I537" s="1" t="s">
        <v>4110</v>
      </c>
      <c r="J537" s="38">
        <v>45988</v>
      </c>
      <c r="K537" s="1" t="s">
        <v>4111</v>
      </c>
      <c r="L537" s="1" t="s">
        <v>4112</v>
      </c>
      <c r="M537" s="1" t="s">
        <v>4113</v>
      </c>
      <c r="N537" s="2">
        <v>202509078533</v>
      </c>
      <c r="O537" s="47">
        <v>45965</v>
      </c>
    </row>
    <row r="538" spans="1:15" x14ac:dyDescent="0.4">
      <c r="A538" s="35">
        <v>1936</v>
      </c>
      <c r="B538" s="1" t="s">
        <v>4114</v>
      </c>
      <c r="C538" s="38">
        <v>45882</v>
      </c>
      <c r="D538" s="1" t="s">
        <v>1768</v>
      </c>
      <c r="E538" s="1" t="s">
        <v>4115</v>
      </c>
      <c r="F538" s="1" t="s">
        <v>55</v>
      </c>
      <c r="G538" s="1" t="s">
        <v>4116</v>
      </c>
      <c r="H538" s="1" t="s">
        <v>4117</v>
      </c>
      <c r="I538" s="1" t="s">
        <v>4118</v>
      </c>
      <c r="J538" s="38">
        <v>45988</v>
      </c>
      <c r="K538" s="1" t="s">
        <v>4119</v>
      </c>
      <c r="L538" s="1" t="s">
        <v>4120</v>
      </c>
      <c r="M538" s="1" t="s">
        <v>4121</v>
      </c>
      <c r="N538" s="2">
        <v>202509078144</v>
      </c>
      <c r="O538" s="47">
        <v>45964</v>
      </c>
    </row>
    <row r="539" spans="1:15" x14ac:dyDescent="0.4">
      <c r="A539" s="36">
        <v>1937</v>
      </c>
      <c r="B539" s="1" t="s">
        <v>4122</v>
      </c>
      <c r="C539" s="38">
        <v>45788</v>
      </c>
      <c r="D539" s="1" t="s">
        <v>509</v>
      </c>
      <c r="E539" s="1" t="s">
        <v>4123</v>
      </c>
      <c r="F539" s="1" t="s">
        <v>36</v>
      </c>
      <c r="G539" s="1" t="s">
        <v>4124</v>
      </c>
      <c r="H539" s="1" t="s">
        <v>4125</v>
      </c>
      <c r="I539" s="1" t="s">
        <v>4126</v>
      </c>
      <c r="J539" s="38">
        <v>45988</v>
      </c>
      <c r="K539" s="1" t="s">
        <v>4127</v>
      </c>
      <c r="L539" s="1" t="s">
        <v>4128</v>
      </c>
      <c r="M539" s="1" t="s">
        <v>4129</v>
      </c>
      <c r="N539" s="2">
        <v>202509070853</v>
      </c>
      <c r="O539" s="47">
        <v>45937</v>
      </c>
    </row>
    <row r="540" spans="1:15" x14ac:dyDescent="0.4">
      <c r="A540" s="35">
        <v>1938</v>
      </c>
      <c r="B540" s="1" t="s">
        <v>4130</v>
      </c>
      <c r="C540" s="38">
        <v>45896</v>
      </c>
      <c r="D540" s="1" t="s">
        <v>536</v>
      </c>
      <c r="E540" s="1" t="s">
        <v>4131</v>
      </c>
      <c r="F540" s="1" t="s">
        <v>36</v>
      </c>
      <c r="G540" s="1" t="s">
        <v>4132</v>
      </c>
      <c r="H540" s="1" t="s">
        <v>4133</v>
      </c>
      <c r="I540" s="1" t="s">
        <v>4134</v>
      </c>
      <c r="J540" s="38">
        <v>45988</v>
      </c>
      <c r="K540" s="1" t="s">
        <v>4135</v>
      </c>
      <c r="L540" s="1" t="s">
        <v>676</v>
      </c>
      <c r="M540" s="1" t="s">
        <v>4136</v>
      </c>
      <c r="N540" s="2">
        <v>202509079211</v>
      </c>
      <c r="O540" s="47">
        <v>45967</v>
      </c>
    </row>
    <row r="541" spans="1:15" x14ac:dyDescent="0.4">
      <c r="A541" s="36">
        <v>1939</v>
      </c>
      <c r="B541" s="1" t="s">
        <v>4137</v>
      </c>
      <c r="C541" s="38">
        <v>45618</v>
      </c>
      <c r="D541" s="1" t="s">
        <v>411</v>
      </c>
      <c r="E541" s="1" t="s">
        <v>4138</v>
      </c>
      <c r="F541" s="1" t="s">
        <v>36</v>
      </c>
      <c r="G541" s="1" t="s">
        <v>4101</v>
      </c>
      <c r="H541" s="1" t="s">
        <v>4102</v>
      </c>
      <c r="I541" s="1" t="s">
        <v>4139</v>
      </c>
      <c r="J541" s="38">
        <v>45988</v>
      </c>
      <c r="K541" s="1" t="s">
        <v>4140</v>
      </c>
      <c r="L541" s="1" t="s">
        <v>2970</v>
      </c>
      <c r="M541" s="1" t="s">
        <v>4105</v>
      </c>
      <c r="N541" s="2">
        <v>202509079122</v>
      </c>
      <c r="O541" s="47">
        <v>45967</v>
      </c>
    </row>
    <row r="542" spans="1:15" x14ac:dyDescent="0.4">
      <c r="A542" s="35">
        <v>1940</v>
      </c>
      <c r="B542" s="1" t="s">
        <v>4141</v>
      </c>
      <c r="C542" s="38">
        <v>45826</v>
      </c>
      <c r="D542" s="1" t="s">
        <v>1931</v>
      </c>
      <c r="E542" s="1" t="s">
        <v>4142</v>
      </c>
      <c r="F542" s="1" t="s">
        <v>36</v>
      </c>
      <c r="G542" s="1" t="s">
        <v>1082</v>
      </c>
      <c r="H542" s="1" t="s">
        <v>787</v>
      </c>
      <c r="I542" s="1" t="s">
        <v>4143</v>
      </c>
      <c r="J542" s="38">
        <v>45988</v>
      </c>
      <c r="K542" s="1" t="s">
        <v>4144</v>
      </c>
      <c r="L542" s="1" t="s">
        <v>4145</v>
      </c>
      <c r="M542" s="1" t="s">
        <v>3779</v>
      </c>
      <c r="N542" s="2">
        <v>202509069622</v>
      </c>
      <c r="O542" s="47">
        <v>45931</v>
      </c>
    </row>
    <row r="543" spans="1:15" x14ac:dyDescent="0.4">
      <c r="A543" s="36">
        <v>1941</v>
      </c>
      <c r="B543" s="1" t="s">
        <v>4146</v>
      </c>
      <c r="C543" s="38">
        <v>45924</v>
      </c>
      <c r="D543" s="1" t="s">
        <v>536</v>
      </c>
      <c r="E543" s="1" t="s">
        <v>4147</v>
      </c>
      <c r="F543" s="1" t="s">
        <v>36</v>
      </c>
      <c r="G543" s="1" t="s">
        <v>4148</v>
      </c>
      <c r="H543" s="1" t="s">
        <v>4149</v>
      </c>
      <c r="I543" s="1" t="s">
        <v>4150</v>
      </c>
      <c r="J543" s="38">
        <v>45988</v>
      </c>
      <c r="K543" s="1" t="s">
        <v>4151</v>
      </c>
      <c r="L543" s="1" t="s">
        <v>4152</v>
      </c>
      <c r="M543" s="1" t="s">
        <v>4153</v>
      </c>
      <c r="N543" s="2">
        <v>202509079108</v>
      </c>
      <c r="O543" s="47">
        <v>45967</v>
      </c>
    </row>
    <row r="544" spans="1:15" x14ac:dyDescent="0.4">
      <c r="A544" s="35">
        <v>1942</v>
      </c>
      <c r="B544" s="1" t="s">
        <v>1293</v>
      </c>
      <c r="C544" s="38">
        <v>45733</v>
      </c>
      <c r="D544" s="1" t="s">
        <v>44</v>
      </c>
      <c r="E544" s="1" t="s">
        <v>4154</v>
      </c>
      <c r="F544" s="1" t="s">
        <v>55</v>
      </c>
      <c r="G544" s="1" t="s">
        <v>4155</v>
      </c>
      <c r="H544" s="1" t="s">
        <v>4156</v>
      </c>
      <c r="I544" s="1" t="s">
        <v>4157</v>
      </c>
      <c r="J544" s="38">
        <v>45988</v>
      </c>
      <c r="K544" s="1" t="s">
        <v>4158</v>
      </c>
      <c r="L544" s="1" t="s">
        <v>4159</v>
      </c>
      <c r="M544" s="1" t="s">
        <v>4160</v>
      </c>
      <c r="N544" s="2">
        <v>202509079430</v>
      </c>
      <c r="O544" s="47">
        <v>45968</v>
      </c>
    </row>
    <row r="545" spans="1:15" x14ac:dyDescent="0.4">
      <c r="A545" s="36">
        <v>1943</v>
      </c>
      <c r="B545" s="1" t="s">
        <v>4161</v>
      </c>
      <c r="C545" s="38">
        <v>45838</v>
      </c>
      <c r="D545" s="1" t="s">
        <v>527</v>
      </c>
      <c r="E545" s="1" t="s">
        <v>4162</v>
      </c>
      <c r="F545" s="1" t="s">
        <v>55</v>
      </c>
      <c r="G545" s="1" t="s">
        <v>4163</v>
      </c>
      <c r="H545" s="1" t="s">
        <v>4164</v>
      </c>
      <c r="I545" s="1" t="s">
        <v>4165</v>
      </c>
      <c r="J545" s="38">
        <v>45988</v>
      </c>
      <c r="K545" s="1" t="s">
        <v>4166</v>
      </c>
      <c r="L545" s="1" t="s">
        <v>4167</v>
      </c>
      <c r="M545" s="1" t="s">
        <v>4168</v>
      </c>
      <c r="N545" s="2">
        <v>202509078202</v>
      </c>
      <c r="O545" s="47">
        <v>45964</v>
      </c>
    </row>
    <row r="546" spans="1:15" x14ac:dyDescent="0.4">
      <c r="A546" s="35">
        <v>1944</v>
      </c>
      <c r="B546" s="1" t="s">
        <v>4169</v>
      </c>
      <c r="C546" s="38">
        <v>45818</v>
      </c>
      <c r="D546" s="1" t="s">
        <v>509</v>
      </c>
      <c r="E546" s="1" t="s">
        <v>4170</v>
      </c>
      <c r="F546" s="1" t="s">
        <v>36</v>
      </c>
      <c r="G546" s="1" t="s">
        <v>4171</v>
      </c>
      <c r="H546" s="1" t="s">
        <v>4172</v>
      </c>
      <c r="I546" s="1" t="s">
        <v>4173</v>
      </c>
      <c r="J546" s="38">
        <v>45988</v>
      </c>
      <c r="K546" s="1" t="s">
        <v>4174</v>
      </c>
      <c r="L546" s="1" t="s">
        <v>2136</v>
      </c>
      <c r="M546" s="1" t="s">
        <v>4175</v>
      </c>
      <c r="N546" s="2">
        <v>202509065042</v>
      </c>
      <c r="O546" s="47">
        <v>45914</v>
      </c>
    </row>
    <row r="547" spans="1:15" x14ac:dyDescent="0.4">
      <c r="A547" s="36">
        <v>1945</v>
      </c>
      <c r="B547" s="1" t="s">
        <v>4176</v>
      </c>
      <c r="C547" s="38">
        <v>45919</v>
      </c>
      <c r="D547" s="1" t="s">
        <v>547</v>
      </c>
      <c r="E547" s="1" t="s">
        <v>4177</v>
      </c>
      <c r="F547" s="1" t="s">
        <v>36</v>
      </c>
      <c r="G547" s="1" t="s">
        <v>4178</v>
      </c>
      <c r="H547" s="1" t="s">
        <v>4179</v>
      </c>
      <c r="I547" s="1" t="s">
        <v>4180</v>
      </c>
      <c r="J547" s="38">
        <v>45988</v>
      </c>
      <c r="K547" s="1" t="s">
        <v>4181</v>
      </c>
      <c r="L547" s="1" t="s">
        <v>4182</v>
      </c>
      <c r="M547" s="1" t="s">
        <v>3563</v>
      </c>
      <c r="N547" s="2">
        <v>202509080133</v>
      </c>
      <c r="O547" s="47">
        <v>45971</v>
      </c>
    </row>
    <row r="548" spans="1:15" x14ac:dyDescent="0.4">
      <c r="A548" s="35">
        <v>1946</v>
      </c>
      <c r="B548" s="1" t="s">
        <v>4183</v>
      </c>
      <c r="C548" s="38">
        <v>45883</v>
      </c>
      <c r="D548" s="1" t="s">
        <v>661</v>
      </c>
      <c r="E548" s="1" t="s">
        <v>4184</v>
      </c>
      <c r="F548" s="1" t="s">
        <v>55</v>
      </c>
      <c r="G548" s="1" t="s">
        <v>4185</v>
      </c>
      <c r="H548" s="1" t="s">
        <v>4186</v>
      </c>
      <c r="I548" s="1" t="s">
        <v>4187</v>
      </c>
      <c r="J548" s="38">
        <v>45988</v>
      </c>
      <c r="K548" s="1" t="s">
        <v>4188</v>
      </c>
      <c r="L548" s="1" t="s">
        <v>4189</v>
      </c>
      <c r="M548" s="1" t="s">
        <v>4190</v>
      </c>
      <c r="N548" s="2">
        <v>202509077235</v>
      </c>
      <c r="O548" s="47">
        <v>45960</v>
      </c>
    </row>
    <row r="549" spans="1:15" x14ac:dyDescent="0.4">
      <c r="A549" s="36">
        <v>1947</v>
      </c>
      <c r="B549" s="1" t="s">
        <v>4191</v>
      </c>
      <c r="C549" s="38">
        <v>45816</v>
      </c>
      <c r="D549" s="1" t="s">
        <v>1218</v>
      </c>
      <c r="E549" s="1" t="s">
        <v>4192</v>
      </c>
      <c r="F549" s="1" t="s">
        <v>36</v>
      </c>
      <c r="G549" s="1" t="s">
        <v>4193</v>
      </c>
      <c r="H549" s="1" t="s">
        <v>4076</v>
      </c>
      <c r="I549" s="1" t="s">
        <v>4194</v>
      </c>
      <c r="J549" s="38">
        <v>45988</v>
      </c>
      <c r="K549" s="1">
        <v>0</v>
      </c>
      <c r="L549" s="1" t="s">
        <v>4195</v>
      </c>
      <c r="M549" s="1" t="s">
        <v>4196</v>
      </c>
      <c r="N549" s="2">
        <v>202509076240</v>
      </c>
      <c r="O549" s="47">
        <v>45957</v>
      </c>
    </row>
    <row r="550" spans="1:15" x14ac:dyDescent="0.4">
      <c r="A550" s="35">
        <v>1948</v>
      </c>
      <c r="B550" s="1" t="s">
        <v>4197</v>
      </c>
      <c r="C550" s="38">
        <v>45813</v>
      </c>
      <c r="D550" s="1" t="s">
        <v>2098</v>
      </c>
      <c r="E550" s="1" t="s">
        <v>4198</v>
      </c>
      <c r="F550" s="1" t="s">
        <v>55</v>
      </c>
      <c r="G550" s="1" t="s">
        <v>4199</v>
      </c>
      <c r="H550" s="1" t="s">
        <v>1971</v>
      </c>
      <c r="I550" s="1" t="s">
        <v>4200</v>
      </c>
      <c r="J550" s="38">
        <v>45988</v>
      </c>
      <c r="K550" s="1" t="s">
        <v>4201</v>
      </c>
      <c r="L550" s="1" t="s">
        <v>4202</v>
      </c>
      <c r="M550" s="1" t="s">
        <v>2437</v>
      </c>
      <c r="N550" s="2">
        <v>202509067986</v>
      </c>
      <c r="O550" s="47">
        <v>45925</v>
      </c>
    </row>
    <row r="551" spans="1:15" x14ac:dyDescent="0.4">
      <c r="A551" s="36">
        <v>1949</v>
      </c>
      <c r="B551" s="1" t="s">
        <v>4203</v>
      </c>
      <c r="C551" s="38">
        <v>45790</v>
      </c>
      <c r="D551" s="1" t="s">
        <v>1931</v>
      </c>
      <c r="E551" s="1" t="s">
        <v>4204</v>
      </c>
      <c r="F551" s="1" t="s">
        <v>55</v>
      </c>
      <c r="G551" s="1" t="s">
        <v>4205</v>
      </c>
      <c r="H551" s="1" t="s">
        <v>4206</v>
      </c>
      <c r="I551" s="1" t="s">
        <v>4207</v>
      </c>
      <c r="J551" s="38">
        <v>45988</v>
      </c>
      <c r="K551" s="1" t="s">
        <v>4208</v>
      </c>
      <c r="L551" s="1" t="s">
        <v>676</v>
      </c>
      <c r="M551" s="1" t="s">
        <v>4136</v>
      </c>
      <c r="N551" s="2">
        <v>202509070213</v>
      </c>
      <c r="O551" s="47">
        <v>45934</v>
      </c>
    </row>
    <row r="552" spans="1:15" x14ac:dyDescent="0.4">
      <c r="A552" s="35">
        <v>1950</v>
      </c>
      <c r="B552" s="1" t="s">
        <v>4209</v>
      </c>
      <c r="C552" s="38">
        <v>45935</v>
      </c>
      <c r="D552" s="1" t="s">
        <v>670</v>
      </c>
      <c r="E552" s="1" t="s">
        <v>4210</v>
      </c>
      <c r="F552" s="1" t="s">
        <v>36</v>
      </c>
      <c r="G552" s="1" t="s">
        <v>617</v>
      </c>
      <c r="H552" s="1" t="s">
        <v>4211</v>
      </c>
      <c r="I552" s="1" t="s">
        <v>4212</v>
      </c>
      <c r="J552" s="38">
        <v>45989</v>
      </c>
      <c r="K552" s="1" t="s">
        <v>4213</v>
      </c>
      <c r="L552" s="1" t="s">
        <v>4214</v>
      </c>
      <c r="M552" s="1" t="s">
        <v>3548</v>
      </c>
      <c r="N552" s="2">
        <v>202509077628</v>
      </c>
      <c r="O552" s="47">
        <v>45961</v>
      </c>
    </row>
    <row r="553" spans="1:15" x14ac:dyDescent="0.4">
      <c r="A553" s="36">
        <v>1951</v>
      </c>
      <c r="B553" s="1" t="s">
        <v>4215</v>
      </c>
      <c r="C553" s="38">
        <v>45880</v>
      </c>
      <c r="D553" s="1" t="s">
        <v>1218</v>
      </c>
      <c r="E553" s="1" t="s">
        <v>4216</v>
      </c>
      <c r="F553" s="1" t="s">
        <v>36</v>
      </c>
      <c r="G553" s="1" t="s">
        <v>4217</v>
      </c>
      <c r="H553" s="1" t="s">
        <v>4096</v>
      </c>
      <c r="I553" s="1" t="s">
        <v>4218</v>
      </c>
      <c r="J553" s="38">
        <v>45989</v>
      </c>
      <c r="K553" s="1" t="s">
        <v>4219</v>
      </c>
      <c r="L553" s="1" t="s">
        <v>2740</v>
      </c>
      <c r="M553" s="1" t="s">
        <v>4220</v>
      </c>
      <c r="N553" s="2">
        <v>202509069643</v>
      </c>
      <c r="O553" s="47">
        <v>45931</v>
      </c>
    </row>
    <row r="554" spans="1:15" x14ac:dyDescent="0.4">
      <c r="A554" s="35">
        <v>1952</v>
      </c>
      <c r="B554" s="1" t="s">
        <v>4221</v>
      </c>
      <c r="C554" s="38">
        <v>45384</v>
      </c>
      <c r="D554" s="1" t="s">
        <v>4222</v>
      </c>
      <c r="E554" s="1" t="s">
        <v>4223</v>
      </c>
      <c r="F554" s="1" t="s">
        <v>55</v>
      </c>
      <c r="G554" s="1" t="s">
        <v>128</v>
      </c>
      <c r="H554" s="1" t="s">
        <v>4224</v>
      </c>
      <c r="I554" s="1" t="s">
        <v>4225</v>
      </c>
      <c r="J554" s="38">
        <v>45989</v>
      </c>
      <c r="K554" s="1" t="s">
        <v>4226</v>
      </c>
      <c r="L554" s="1" t="s">
        <v>4227</v>
      </c>
      <c r="M554" s="1" t="s">
        <v>4228</v>
      </c>
      <c r="N554" s="2">
        <v>202509076886</v>
      </c>
      <c r="O554" s="47">
        <v>45959</v>
      </c>
    </row>
    <row r="555" spans="1:15" x14ac:dyDescent="0.4">
      <c r="A555" s="36">
        <v>1953</v>
      </c>
      <c r="B555" s="1" t="s">
        <v>4229</v>
      </c>
      <c r="C555" s="38">
        <v>45927</v>
      </c>
      <c r="D555" s="1" t="s">
        <v>4230</v>
      </c>
      <c r="E555" s="1" t="s">
        <v>4231</v>
      </c>
      <c r="F555" s="1" t="s">
        <v>55</v>
      </c>
      <c r="G555" s="1" t="s">
        <v>4230</v>
      </c>
      <c r="H555" s="1" t="s">
        <v>4232</v>
      </c>
      <c r="I555" s="1" t="s">
        <v>4233</v>
      </c>
      <c r="J555" s="38">
        <v>45989</v>
      </c>
      <c r="K555" s="1" t="s">
        <v>4234</v>
      </c>
      <c r="L555" s="1" t="s">
        <v>4235</v>
      </c>
      <c r="M555" s="1" t="s">
        <v>4236</v>
      </c>
      <c r="N555" s="2">
        <v>202509078029</v>
      </c>
      <c r="O555" s="47">
        <v>45963</v>
      </c>
    </row>
    <row r="556" spans="1:15" x14ac:dyDescent="0.4">
      <c r="A556" s="35">
        <v>1954</v>
      </c>
      <c r="B556" s="1" t="s">
        <v>4237</v>
      </c>
      <c r="C556" s="38">
        <v>45771</v>
      </c>
      <c r="D556" s="1" t="s">
        <v>536</v>
      </c>
      <c r="E556" s="1" t="s">
        <v>4238</v>
      </c>
      <c r="F556" s="1" t="s">
        <v>36</v>
      </c>
      <c r="G556" s="1" t="s">
        <v>1236</v>
      </c>
      <c r="H556" s="1" t="s">
        <v>4239</v>
      </c>
      <c r="I556" s="1" t="s">
        <v>4240</v>
      </c>
      <c r="J556" s="38">
        <v>45989</v>
      </c>
      <c r="K556" s="1" t="s">
        <v>4241</v>
      </c>
      <c r="L556" s="1" t="s">
        <v>4242</v>
      </c>
      <c r="M556" s="1" t="s">
        <v>3254</v>
      </c>
      <c r="N556" s="2">
        <v>202509077579</v>
      </c>
      <c r="O556" s="47">
        <v>45961</v>
      </c>
    </row>
    <row r="557" spans="1:15" x14ac:dyDescent="0.4">
      <c r="A557" s="36">
        <v>1955</v>
      </c>
      <c r="B557" s="1" t="s">
        <v>4243</v>
      </c>
      <c r="C557" s="38">
        <v>45875</v>
      </c>
      <c r="D557" s="1" t="s">
        <v>536</v>
      </c>
      <c r="E557" s="1" t="s">
        <v>4244</v>
      </c>
      <c r="F557" s="1" t="s">
        <v>55</v>
      </c>
      <c r="G557" s="1" t="s">
        <v>4245</v>
      </c>
      <c r="H557" s="1" t="s">
        <v>4246</v>
      </c>
      <c r="I557" s="1" t="s">
        <v>4247</v>
      </c>
      <c r="J557" s="38">
        <v>45989</v>
      </c>
      <c r="K557" s="1" t="s">
        <v>4248</v>
      </c>
      <c r="L557" s="1" t="s">
        <v>4249</v>
      </c>
      <c r="M557" s="1" t="s">
        <v>4250</v>
      </c>
      <c r="N557" s="2">
        <v>202509080171</v>
      </c>
      <c r="O557" s="47">
        <v>45971</v>
      </c>
    </row>
    <row r="558" spans="1:15" x14ac:dyDescent="0.4">
      <c r="A558" s="35">
        <v>1956</v>
      </c>
      <c r="B558" s="1" t="s">
        <v>4251</v>
      </c>
      <c r="C558" s="38">
        <v>45834</v>
      </c>
      <c r="D558" s="1" t="s">
        <v>509</v>
      </c>
      <c r="E558" s="1" t="s">
        <v>4252</v>
      </c>
      <c r="F558" s="1" t="s">
        <v>55</v>
      </c>
      <c r="G558" s="1" t="s">
        <v>4253</v>
      </c>
      <c r="H558" s="1" t="s">
        <v>4254</v>
      </c>
      <c r="I558" s="1" t="s">
        <v>4255</v>
      </c>
      <c r="J558" s="38">
        <v>45989</v>
      </c>
      <c r="K558" s="1" t="s">
        <v>4256</v>
      </c>
      <c r="L558" s="1" t="s">
        <v>4257</v>
      </c>
      <c r="M558" s="1" t="s">
        <v>4258</v>
      </c>
      <c r="N558" s="2">
        <v>202509080688</v>
      </c>
      <c r="O558" s="47">
        <v>45973</v>
      </c>
    </row>
    <row r="559" spans="1:15" x14ac:dyDescent="0.4">
      <c r="A559" s="36">
        <v>1957</v>
      </c>
      <c r="B559" s="1" t="s">
        <v>4259</v>
      </c>
      <c r="C559" s="38">
        <v>45873</v>
      </c>
      <c r="D559" s="1" t="s">
        <v>536</v>
      </c>
      <c r="E559" s="1" t="s">
        <v>4260</v>
      </c>
      <c r="F559" s="1" t="s">
        <v>36</v>
      </c>
      <c r="G559" s="1" t="s">
        <v>1052</v>
      </c>
      <c r="H559" s="1" t="s">
        <v>3167</v>
      </c>
      <c r="I559" s="1" t="s">
        <v>4261</v>
      </c>
      <c r="J559" s="38">
        <v>45989</v>
      </c>
      <c r="K559" s="1" t="s">
        <v>4262</v>
      </c>
      <c r="L559" s="1" t="s">
        <v>4263</v>
      </c>
      <c r="M559" s="1" t="s">
        <v>4264</v>
      </c>
      <c r="N559" s="2">
        <v>202509070581</v>
      </c>
      <c r="O559" s="47">
        <v>45936</v>
      </c>
    </row>
    <row r="560" spans="1:15" x14ac:dyDescent="0.4">
      <c r="A560" s="35">
        <v>1958</v>
      </c>
      <c r="B560" s="1" t="s">
        <v>4265</v>
      </c>
      <c r="C560" s="38">
        <v>45898</v>
      </c>
      <c r="D560" s="1" t="s">
        <v>670</v>
      </c>
      <c r="E560" s="1" t="s">
        <v>4266</v>
      </c>
      <c r="F560" s="1" t="s">
        <v>55</v>
      </c>
      <c r="G560" s="1" t="s">
        <v>4267</v>
      </c>
      <c r="H560" s="1" t="s">
        <v>4268</v>
      </c>
      <c r="I560" s="1" t="s">
        <v>4269</v>
      </c>
      <c r="J560" s="38">
        <v>45989</v>
      </c>
      <c r="K560" s="1" t="s">
        <v>4270</v>
      </c>
      <c r="L560" s="1" t="s">
        <v>2564</v>
      </c>
      <c r="M560" s="1" t="s">
        <v>4271</v>
      </c>
      <c r="N560" s="2">
        <v>202509079909</v>
      </c>
      <c r="O560" s="47">
        <v>45970</v>
      </c>
    </row>
    <row r="561" spans="1:15" x14ac:dyDescent="0.4">
      <c r="A561" s="36">
        <v>1959</v>
      </c>
      <c r="B561" s="1" t="s">
        <v>4272</v>
      </c>
      <c r="C561" s="38">
        <v>45890</v>
      </c>
      <c r="D561" s="1" t="s">
        <v>1931</v>
      </c>
      <c r="E561" s="1" t="s">
        <v>4273</v>
      </c>
      <c r="F561" s="1" t="s">
        <v>36</v>
      </c>
      <c r="G561" s="1" t="s">
        <v>4274</v>
      </c>
      <c r="H561" s="1" t="s">
        <v>4275</v>
      </c>
      <c r="I561" s="1" t="s">
        <v>4276</v>
      </c>
      <c r="J561" s="38">
        <v>45989</v>
      </c>
      <c r="K561" s="1" t="s">
        <v>4277</v>
      </c>
      <c r="L561" s="1" t="s">
        <v>4278</v>
      </c>
      <c r="M561" s="1" t="s">
        <v>4279</v>
      </c>
      <c r="N561" s="2">
        <v>202509072828</v>
      </c>
      <c r="O561" s="47">
        <v>45944</v>
      </c>
    </row>
    <row r="562" spans="1:15" x14ac:dyDescent="0.4">
      <c r="A562" s="35">
        <v>1960</v>
      </c>
      <c r="B562" s="1" t="s">
        <v>4280</v>
      </c>
      <c r="C562" s="38">
        <v>45612</v>
      </c>
      <c r="D562" s="1" t="s">
        <v>411</v>
      </c>
      <c r="E562" s="1" t="s">
        <v>4281</v>
      </c>
      <c r="F562" s="1" t="s">
        <v>36</v>
      </c>
      <c r="G562" s="1" t="s">
        <v>3895</v>
      </c>
      <c r="H562" s="1" t="s">
        <v>3395</v>
      </c>
      <c r="I562" s="1" t="s">
        <v>4282</v>
      </c>
      <c r="J562" s="38">
        <v>45989</v>
      </c>
      <c r="K562" s="1" t="s">
        <v>4283</v>
      </c>
      <c r="L562" s="1" t="s">
        <v>4284</v>
      </c>
      <c r="M562" s="1" t="s">
        <v>4285</v>
      </c>
      <c r="N562" s="2">
        <v>202509066535</v>
      </c>
      <c r="O562" s="47">
        <v>45919</v>
      </c>
    </row>
    <row r="563" spans="1:15" x14ac:dyDescent="0.4">
      <c r="A563" s="36">
        <v>1961</v>
      </c>
      <c r="B563" s="1" t="s">
        <v>4286</v>
      </c>
      <c r="C563" s="38">
        <v>45773</v>
      </c>
      <c r="D563" s="1" t="s">
        <v>509</v>
      </c>
      <c r="E563" s="1" t="s">
        <v>4287</v>
      </c>
      <c r="F563" s="1" t="s">
        <v>55</v>
      </c>
      <c r="G563" s="1" t="s">
        <v>4253</v>
      </c>
      <c r="H563" s="1" t="s">
        <v>4288</v>
      </c>
      <c r="I563" s="1" t="s">
        <v>4289</v>
      </c>
      <c r="J563" s="38">
        <v>45989</v>
      </c>
      <c r="K563" s="1" t="s">
        <v>4290</v>
      </c>
      <c r="L563" s="1" t="s">
        <v>4291</v>
      </c>
      <c r="M563" s="1" t="s">
        <v>4292</v>
      </c>
      <c r="N563" s="2">
        <v>202509079310</v>
      </c>
      <c r="O563" s="47">
        <v>45967</v>
      </c>
    </row>
    <row r="564" spans="1:15" x14ac:dyDescent="0.4">
      <c r="A564" s="35">
        <v>1962</v>
      </c>
      <c r="B564" s="1" t="s">
        <v>4293</v>
      </c>
      <c r="C564" s="38">
        <v>45809</v>
      </c>
      <c r="D564" s="1" t="s">
        <v>1931</v>
      </c>
      <c r="E564" s="1" t="s">
        <v>4294</v>
      </c>
      <c r="F564" s="1" t="s">
        <v>55</v>
      </c>
      <c r="G564" s="1" t="s">
        <v>4295</v>
      </c>
      <c r="H564" s="1" t="s">
        <v>4296</v>
      </c>
      <c r="I564" s="1" t="s">
        <v>4297</v>
      </c>
      <c r="J564" s="38">
        <v>45989</v>
      </c>
      <c r="K564" s="1" t="s">
        <v>4298</v>
      </c>
      <c r="L564" s="1" t="s">
        <v>4299</v>
      </c>
      <c r="M564" s="1" t="s">
        <v>4300</v>
      </c>
      <c r="N564" s="2">
        <v>202509079095</v>
      </c>
      <c r="O564" s="47">
        <v>45967</v>
      </c>
    </row>
    <row r="565" spans="1:15" x14ac:dyDescent="0.4">
      <c r="A565" s="36">
        <v>1963</v>
      </c>
      <c r="B565" s="1" t="s">
        <v>4301</v>
      </c>
      <c r="C565" s="38">
        <v>45764</v>
      </c>
      <c r="D565" s="1" t="s">
        <v>509</v>
      </c>
      <c r="E565" s="1" t="s">
        <v>4302</v>
      </c>
      <c r="F565" s="1" t="s">
        <v>36</v>
      </c>
      <c r="G565" s="1" t="s">
        <v>832</v>
      </c>
      <c r="H565" s="1" t="s">
        <v>4303</v>
      </c>
      <c r="I565" s="1" t="s">
        <v>4304</v>
      </c>
      <c r="J565" s="38">
        <v>45989</v>
      </c>
      <c r="K565" s="1" t="s">
        <v>4305</v>
      </c>
      <c r="L565" s="1" t="s">
        <v>4306</v>
      </c>
      <c r="M565" s="1" t="s">
        <v>4307</v>
      </c>
      <c r="N565" s="2">
        <v>202509080797</v>
      </c>
      <c r="O565" s="47">
        <v>45973</v>
      </c>
    </row>
    <row r="566" spans="1:15" x14ac:dyDescent="0.4">
      <c r="A566" s="35">
        <v>1964</v>
      </c>
      <c r="B566" s="1" t="s">
        <v>4308</v>
      </c>
      <c r="C566" s="38">
        <v>45902</v>
      </c>
      <c r="D566" s="1" t="s">
        <v>547</v>
      </c>
      <c r="E566" s="1" t="s">
        <v>4309</v>
      </c>
      <c r="F566" s="1" t="s">
        <v>55</v>
      </c>
      <c r="G566" s="1" t="s">
        <v>4310</v>
      </c>
      <c r="H566" s="1" t="s">
        <v>4311</v>
      </c>
      <c r="I566" s="1" t="s">
        <v>4312</v>
      </c>
      <c r="J566" s="38">
        <v>45989</v>
      </c>
      <c r="K566" s="1" t="s">
        <v>4313</v>
      </c>
      <c r="L566" s="1" t="s">
        <v>4314</v>
      </c>
      <c r="M566" s="1" t="s">
        <v>4315</v>
      </c>
      <c r="N566" s="2">
        <v>202509080014</v>
      </c>
      <c r="O566" s="47">
        <v>45971</v>
      </c>
    </row>
    <row r="567" spans="1:15" x14ac:dyDescent="0.4">
      <c r="A567" s="36">
        <v>1965</v>
      </c>
      <c r="B567" s="1" t="s">
        <v>4316</v>
      </c>
      <c r="C567" s="38">
        <v>45900</v>
      </c>
      <c r="D567" s="1" t="s">
        <v>3651</v>
      </c>
      <c r="E567" s="1" t="s">
        <v>4317</v>
      </c>
      <c r="F567" s="1" t="s">
        <v>55</v>
      </c>
      <c r="G567" s="1" t="s">
        <v>4318</v>
      </c>
      <c r="H567" s="1" t="s">
        <v>4319</v>
      </c>
      <c r="I567" s="1" t="s">
        <v>4320</v>
      </c>
      <c r="J567" s="38">
        <v>45989</v>
      </c>
      <c r="K567" s="1" t="s">
        <v>4321</v>
      </c>
      <c r="L567" s="1" t="s">
        <v>4322</v>
      </c>
      <c r="M567" s="1" t="s">
        <v>4323</v>
      </c>
      <c r="N567" s="2">
        <v>202509074063</v>
      </c>
      <c r="O567" s="47">
        <v>45948</v>
      </c>
    </row>
    <row r="568" spans="1:15" x14ac:dyDescent="0.4">
      <c r="A568" s="35">
        <v>1966</v>
      </c>
      <c r="B568" s="1" t="s">
        <v>4324</v>
      </c>
      <c r="C568" s="38">
        <v>45890</v>
      </c>
      <c r="D568" s="1" t="s">
        <v>1503</v>
      </c>
      <c r="E568" s="1" t="s">
        <v>4325</v>
      </c>
      <c r="F568" s="1" t="s">
        <v>55</v>
      </c>
      <c r="G568" s="1" t="s">
        <v>4326</v>
      </c>
      <c r="H568" s="1" t="s">
        <v>4327</v>
      </c>
      <c r="I568" s="1" t="s">
        <v>4328</v>
      </c>
      <c r="J568" s="38">
        <v>45989</v>
      </c>
      <c r="K568" s="1">
        <v>3500</v>
      </c>
      <c r="L568" s="1" t="s">
        <v>4329</v>
      </c>
      <c r="M568" s="1" t="s">
        <v>4330</v>
      </c>
      <c r="N568" s="2">
        <v>202509081033</v>
      </c>
      <c r="O568" s="47">
        <v>45974</v>
      </c>
    </row>
    <row r="569" spans="1:15" x14ac:dyDescent="0.4">
      <c r="A569" s="36">
        <v>1967</v>
      </c>
      <c r="B569" s="1" t="s">
        <v>4331</v>
      </c>
      <c r="C569" s="38">
        <v>45895</v>
      </c>
      <c r="D569" s="1" t="s">
        <v>509</v>
      </c>
      <c r="E569" s="1" t="s">
        <v>4332</v>
      </c>
      <c r="F569" s="1" t="s">
        <v>36</v>
      </c>
      <c r="G569" s="1" t="s">
        <v>197</v>
      </c>
      <c r="H569" s="1" t="s">
        <v>4333</v>
      </c>
      <c r="I569" s="1" t="s">
        <v>4334</v>
      </c>
      <c r="J569" s="38">
        <v>45989</v>
      </c>
      <c r="K569" s="1" t="s">
        <v>4335</v>
      </c>
      <c r="L569" s="1" t="s">
        <v>234</v>
      </c>
      <c r="M569" s="1" t="s">
        <v>4336</v>
      </c>
      <c r="N569" s="2">
        <v>202509077816</v>
      </c>
      <c r="O569" s="47">
        <v>45962</v>
      </c>
    </row>
    <row r="570" spans="1:15" x14ac:dyDescent="0.4">
      <c r="A570" s="35">
        <v>1968</v>
      </c>
      <c r="B570" s="1" t="s">
        <v>4337</v>
      </c>
      <c r="C570" s="38">
        <v>45888</v>
      </c>
      <c r="D570" s="1" t="s">
        <v>854</v>
      </c>
      <c r="E570" s="1" t="s">
        <v>4338</v>
      </c>
      <c r="F570" s="1" t="s">
        <v>36</v>
      </c>
      <c r="G570" s="1" t="s">
        <v>4339</v>
      </c>
      <c r="H570" s="1" t="s">
        <v>4340</v>
      </c>
      <c r="I570" s="1" t="s">
        <v>4341</v>
      </c>
      <c r="J570" s="38">
        <v>45989</v>
      </c>
      <c r="K570" s="1" t="s">
        <v>4342</v>
      </c>
      <c r="L570" s="1" t="s">
        <v>4343</v>
      </c>
      <c r="M570" s="1" t="s">
        <v>4344</v>
      </c>
      <c r="N570" s="2">
        <v>202509069604</v>
      </c>
      <c r="O570" s="47">
        <v>45931</v>
      </c>
    </row>
    <row r="571" spans="1:15" x14ac:dyDescent="0.4">
      <c r="A571" s="36">
        <v>1969</v>
      </c>
      <c r="B571" s="1" t="s">
        <v>4345</v>
      </c>
      <c r="C571" s="38">
        <v>45844</v>
      </c>
      <c r="D571" s="1" t="s">
        <v>509</v>
      </c>
      <c r="E571" s="1" t="s">
        <v>4346</v>
      </c>
      <c r="F571" s="1" t="s">
        <v>55</v>
      </c>
      <c r="G571" s="1" t="s">
        <v>1249</v>
      </c>
      <c r="H571" s="1" t="s">
        <v>4347</v>
      </c>
      <c r="I571" s="1" t="s">
        <v>4348</v>
      </c>
      <c r="J571" s="38">
        <v>45989</v>
      </c>
      <c r="K571" s="1" t="s">
        <v>4349</v>
      </c>
      <c r="L571" s="1" t="s">
        <v>2409</v>
      </c>
      <c r="M571" s="1" t="s">
        <v>4330</v>
      </c>
      <c r="N571" s="2">
        <v>202509077584</v>
      </c>
      <c r="O571" s="47">
        <v>45961</v>
      </c>
    </row>
    <row r="572" spans="1:15" x14ac:dyDescent="0.4">
      <c r="A572" s="35">
        <v>1970</v>
      </c>
      <c r="B572" s="1" t="s">
        <v>4350</v>
      </c>
      <c r="C572" s="38">
        <v>45937</v>
      </c>
      <c r="D572" s="1" t="s">
        <v>547</v>
      </c>
      <c r="E572" s="1" t="s">
        <v>4351</v>
      </c>
      <c r="F572" s="1" t="s">
        <v>36</v>
      </c>
      <c r="G572" s="1" t="s">
        <v>4352</v>
      </c>
      <c r="H572" s="1" t="s">
        <v>4353</v>
      </c>
      <c r="I572" s="1" t="s">
        <v>4354</v>
      </c>
      <c r="J572" s="38">
        <v>45989</v>
      </c>
      <c r="K572" s="1" t="s">
        <v>4355</v>
      </c>
      <c r="L572" s="1" t="s">
        <v>4356</v>
      </c>
      <c r="M572" s="1" t="s">
        <v>4357</v>
      </c>
      <c r="N572" s="2">
        <v>202509080709</v>
      </c>
      <c r="O572" s="47">
        <v>45973</v>
      </c>
    </row>
    <row r="573" spans="1:15" x14ac:dyDescent="0.4">
      <c r="A573" s="36">
        <v>1971</v>
      </c>
      <c r="B573" s="1" t="s">
        <v>4358</v>
      </c>
      <c r="C573" s="38">
        <v>45814</v>
      </c>
      <c r="D573" s="1" t="s">
        <v>411</v>
      </c>
      <c r="E573" s="1" t="s">
        <v>4359</v>
      </c>
      <c r="F573" s="1" t="s">
        <v>36</v>
      </c>
      <c r="G573" s="1" t="s">
        <v>4360</v>
      </c>
      <c r="H573" s="1" t="s">
        <v>4361</v>
      </c>
      <c r="I573" s="1" t="s">
        <v>4362</v>
      </c>
      <c r="J573" s="38">
        <v>45992</v>
      </c>
      <c r="K573" s="1" t="s">
        <v>4363</v>
      </c>
      <c r="L573" s="1" t="s">
        <v>4364</v>
      </c>
      <c r="M573" s="1" t="s">
        <v>3106</v>
      </c>
      <c r="N573" s="2">
        <v>202509070965</v>
      </c>
      <c r="O573" s="47">
        <v>45937</v>
      </c>
    </row>
    <row r="574" spans="1:15" x14ac:dyDescent="0.4">
      <c r="A574" s="35">
        <v>1972</v>
      </c>
      <c r="B574" s="1" t="s">
        <v>4365</v>
      </c>
      <c r="C574" s="38">
        <v>45934</v>
      </c>
      <c r="D574" s="1" t="s">
        <v>737</v>
      </c>
      <c r="E574" s="1" t="s">
        <v>4366</v>
      </c>
      <c r="F574" s="1" t="s">
        <v>36</v>
      </c>
      <c r="G574" s="1" t="s">
        <v>4367</v>
      </c>
      <c r="H574" s="1" t="s">
        <v>4368</v>
      </c>
      <c r="I574" s="1" t="s">
        <v>4369</v>
      </c>
      <c r="J574" s="38">
        <v>45992</v>
      </c>
      <c r="K574" s="1" t="s">
        <v>4370</v>
      </c>
      <c r="L574" s="1" t="s">
        <v>4371</v>
      </c>
      <c r="M574" s="1" t="s">
        <v>4372</v>
      </c>
      <c r="N574" s="2">
        <v>202509081025</v>
      </c>
      <c r="O574" s="47">
        <v>45974</v>
      </c>
    </row>
    <row r="575" spans="1:15" x14ac:dyDescent="0.4">
      <c r="A575" s="36">
        <v>1973</v>
      </c>
      <c r="B575" s="1" t="s">
        <v>4373</v>
      </c>
      <c r="C575" s="38">
        <v>45901</v>
      </c>
      <c r="D575" s="1" t="s">
        <v>4374</v>
      </c>
      <c r="E575" s="1" t="s">
        <v>4375</v>
      </c>
      <c r="F575" s="1" t="s">
        <v>55</v>
      </c>
      <c r="G575" s="1" t="s">
        <v>4376</v>
      </c>
      <c r="H575" s="1" t="s">
        <v>4377</v>
      </c>
      <c r="I575" s="1" t="s">
        <v>4378</v>
      </c>
      <c r="J575" s="38">
        <v>45992</v>
      </c>
      <c r="K575" s="1" t="s">
        <v>4379</v>
      </c>
      <c r="L575" s="1" t="s">
        <v>4380</v>
      </c>
      <c r="M575" s="1" t="s">
        <v>4381</v>
      </c>
      <c r="N575" s="2">
        <v>202509078166</v>
      </c>
      <c r="O575" s="47">
        <v>45964</v>
      </c>
    </row>
    <row r="576" spans="1:15" x14ac:dyDescent="0.4">
      <c r="A576" s="35">
        <v>1974</v>
      </c>
      <c r="B576" s="1" t="s">
        <v>4382</v>
      </c>
      <c r="C576" s="38">
        <v>45917</v>
      </c>
      <c r="D576" s="1" t="s">
        <v>411</v>
      </c>
      <c r="E576" s="1" t="s">
        <v>4383</v>
      </c>
      <c r="F576" s="1" t="s">
        <v>55</v>
      </c>
      <c r="G576" s="1" t="s">
        <v>4384</v>
      </c>
      <c r="H576" s="1" t="s">
        <v>4385</v>
      </c>
      <c r="I576" s="1" t="s">
        <v>4386</v>
      </c>
      <c r="J576" s="38">
        <v>45992</v>
      </c>
      <c r="K576" s="1" t="s">
        <v>4387</v>
      </c>
      <c r="L576" s="1" t="s">
        <v>4388</v>
      </c>
      <c r="M576" s="1" t="s">
        <v>4389</v>
      </c>
      <c r="N576" s="2">
        <v>202509078917</v>
      </c>
      <c r="O576" s="47">
        <v>45966</v>
      </c>
    </row>
    <row r="577" spans="1:15" x14ac:dyDescent="0.4">
      <c r="A577" s="36">
        <v>1975</v>
      </c>
      <c r="B577" s="1" t="s">
        <v>4390</v>
      </c>
      <c r="C577" s="38">
        <v>45835</v>
      </c>
      <c r="D577" s="1" t="s">
        <v>452</v>
      </c>
      <c r="E577" s="1" t="s">
        <v>4391</v>
      </c>
      <c r="F577" s="1" t="s">
        <v>36</v>
      </c>
      <c r="G577" s="1" t="s">
        <v>4392</v>
      </c>
      <c r="H577" s="1" t="s">
        <v>4393</v>
      </c>
      <c r="I577" s="1" t="s">
        <v>4394</v>
      </c>
      <c r="J577" s="38">
        <v>45992</v>
      </c>
      <c r="K577" s="1" t="s">
        <v>4395</v>
      </c>
      <c r="L577" s="1" t="s">
        <v>4396</v>
      </c>
      <c r="M577" s="1" t="s">
        <v>4397</v>
      </c>
      <c r="N577" s="2">
        <v>202509073109</v>
      </c>
      <c r="O577" s="47">
        <v>45945</v>
      </c>
    </row>
    <row r="578" spans="1:15" x14ac:dyDescent="0.4">
      <c r="A578" s="35">
        <v>1976</v>
      </c>
      <c r="B578" s="1" t="s">
        <v>4398</v>
      </c>
      <c r="C578" s="38">
        <v>45785</v>
      </c>
      <c r="D578" s="1" t="s">
        <v>1768</v>
      </c>
      <c r="E578" s="1" t="s">
        <v>4399</v>
      </c>
      <c r="F578" s="1" t="s">
        <v>55</v>
      </c>
      <c r="G578" s="1" t="s">
        <v>1257</v>
      </c>
      <c r="H578" s="1" t="s">
        <v>4400</v>
      </c>
      <c r="I578" s="1" t="s">
        <v>4401</v>
      </c>
      <c r="J578" s="38">
        <v>45992</v>
      </c>
      <c r="K578" s="1" t="s">
        <v>4402</v>
      </c>
      <c r="L578" s="1" t="s">
        <v>4403</v>
      </c>
      <c r="M578" s="1" t="s">
        <v>3593</v>
      </c>
      <c r="N578" s="2">
        <v>202509073499</v>
      </c>
      <c r="O578" s="47">
        <v>45946</v>
      </c>
    </row>
    <row r="579" spans="1:15" x14ac:dyDescent="0.4">
      <c r="A579" s="36">
        <v>1977</v>
      </c>
      <c r="B579" s="1" t="s">
        <v>4404</v>
      </c>
      <c r="C579" s="38">
        <v>45877</v>
      </c>
      <c r="D579" s="1" t="s">
        <v>509</v>
      </c>
      <c r="E579" s="1" t="s">
        <v>4405</v>
      </c>
      <c r="F579" s="1" t="s">
        <v>55</v>
      </c>
      <c r="G579" s="1" t="s">
        <v>4406</v>
      </c>
      <c r="H579" s="1" t="s">
        <v>4407</v>
      </c>
      <c r="I579" s="1" t="s">
        <v>4408</v>
      </c>
      <c r="J579" s="38">
        <v>45992</v>
      </c>
      <c r="K579" s="1" t="s">
        <v>4409</v>
      </c>
      <c r="L579" s="1" t="s">
        <v>4410</v>
      </c>
      <c r="M579" s="1" t="s">
        <v>4411</v>
      </c>
      <c r="N579" s="2">
        <v>202509080012</v>
      </c>
      <c r="O579" s="47">
        <v>45971</v>
      </c>
    </row>
    <row r="580" spans="1:15" x14ac:dyDescent="0.4">
      <c r="A580" s="35">
        <v>1978</v>
      </c>
      <c r="B580" s="1" t="s">
        <v>4412</v>
      </c>
      <c r="C580" s="38">
        <v>45803</v>
      </c>
      <c r="D580" s="1" t="s">
        <v>547</v>
      </c>
      <c r="E580" s="1" t="s">
        <v>4413</v>
      </c>
      <c r="F580" s="1" t="s">
        <v>36</v>
      </c>
      <c r="G580" s="1" t="s">
        <v>4414</v>
      </c>
      <c r="H580" s="1" t="s">
        <v>4415</v>
      </c>
      <c r="I580" s="1" t="s">
        <v>4416</v>
      </c>
      <c r="J580" s="38">
        <v>45993</v>
      </c>
      <c r="K580" s="1" t="s">
        <v>4417</v>
      </c>
      <c r="L580" s="1" t="s">
        <v>4418</v>
      </c>
      <c r="M580" s="1" t="s">
        <v>4419</v>
      </c>
      <c r="N580" s="2">
        <v>202509071900</v>
      </c>
      <c r="O580" s="47">
        <v>45940</v>
      </c>
    </row>
    <row r="581" spans="1:15" x14ac:dyDescent="0.4">
      <c r="A581" s="36">
        <v>1979</v>
      </c>
      <c r="B581" s="1" t="s">
        <v>4420</v>
      </c>
      <c r="C581" s="38">
        <v>45878</v>
      </c>
      <c r="D581" s="1" t="s">
        <v>509</v>
      </c>
      <c r="E581" s="1" t="s">
        <v>4421</v>
      </c>
      <c r="F581" s="1" t="s">
        <v>36</v>
      </c>
      <c r="G581" s="1" t="s">
        <v>4422</v>
      </c>
      <c r="H581" s="1" t="s">
        <v>4423</v>
      </c>
      <c r="I581" s="1" t="s">
        <v>4424</v>
      </c>
      <c r="J581" s="38">
        <v>45993</v>
      </c>
      <c r="K581" s="1" t="s">
        <v>4425</v>
      </c>
      <c r="L581" s="1" t="s">
        <v>4426</v>
      </c>
      <c r="M581" s="1" t="s">
        <v>4427</v>
      </c>
      <c r="N581" s="2">
        <v>202509072800</v>
      </c>
      <c r="O581" s="47">
        <v>45944</v>
      </c>
    </row>
    <row r="582" spans="1:15" x14ac:dyDescent="0.4">
      <c r="A582" s="35">
        <v>1980</v>
      </c>
      <c r="B582" s="1" t="s">
        <v>4428</v>
      </c>
      <c r="C582" s="38">
        <v>45896</v>
      </c>
      <c r="D582" s="1" t="s">
        <v>2116</v>
      </c>
      <c r="E582" s="1" t="s">
        <v>4429</v>
      </c>
      <c r="F582" s="1" t="s">
        <v>55</v>
      </c>
      <c r="G582" s="1" t="s">
        <v>4430</v>
      </c>
      <c r="H582" s="1" t="s">
        <v>4431</v>
      </c>
      <c r="I582" s="1" t="s">
        <v>4432</v>
      </c>
      <c r="J582" s="38">
        <v>45993</v>
      </c>
      <c r="K582" s="1" t="s">
        <v>4433</v>
      </c>
      <c r="L582" s="1" t="s">
        <v>4434</v>
      </c>
      <c r="M582" s="1" t="s">
        <v>4435</v>
      </c>
      <c r="N582" s="2">
        <v>202509072547</v>
      </c>
      <c r="O582" s="47">
        <v>45943</v>
      </c>
    </row>
    <row r="583" spans="1:15" x14ac:dyDescent="0.4">
      <c r="A583" s="36">
        <v>1981</v>
      </c>
      <c r="B583" s="1" t="s">
        <v>4436</v>
      </c>
      <c r="C583" s="38">
        <v>45829</v>
      </c>
      <c r="D583" s="1" t="s">
        <v>1931</v>
      </c>
      <c r="E583" s="1" t="s">
        <v>4437</v>
      </c>
      <c r="F583" s="1" t="s">
        <v>36</v>
      </c>
      <c r="G583" s="1" t="s">
        <v>4438</v>
      </c>
      <c r="H583" s="1" t="s">
        <v>963</v>
      </c>
      <c r="I583" s="1" t="s">
        <v>4439</v>
      </c>
      <c r="J583" s="38">
        <v>45993</v>
      </c>
      <c r="K583" s="1" t="s">
        <v>158</v>
      </c>
      <c r="L583" s="1" t="s">
        <v>4440</v>
      </c>
      <c r="M583" s="1" t="s">
        <v>3949</v>
      </c>
      <c r="N583" s="2">
        <v>202509082103</v>
      </c>
      <c r="O583" s="47">
        <v>45978</v>
      </c>
    </row>
    <row r="584" spans="1:15" x14ac:dyDescent="0.4">
      <c r="A584" s="35">
        <v>1982</v>
      </c>
      <c r="B584" s="1" t="s">
        <v>4441</v>
      </c>
      <c r="C584" s="38">
        <v>45918</v>
      </c>
      <c r="D584" s="1" t="s">
        <v>547</v>
      </c>
      <c r="E584" s="1" t="s">
        <v>4442</v>
      </c>
      <c r="F584" s="1" t="s">
        <v>55</v>
      </c>
      <c r="G584" s="1" t="s">
        <v>2638</v>
      </c>
      <c r="H584" s="1" t="s">
        <v>4443</v>
      </c>
      <c r="I584" s="1" t="s">
        <v>4444</v>
      </c>
      <c r="J584" s="38">
        <v>45993</v>
      </c>
      <c r="K584" s="1" t="s">
        <v>4445</v>
      </c>
      <c r="L584" s="1" t="s">
        <v>4446</v>
      </c>
      <c r="M584" s="1" t="s">
        <v>4447</v>
      </c>
      <c r="N584" s="2">
        <v>202509080534</v>
      </c>
      <c r="O584" s="47">
        <v>45972</v>
      </c>
    </row>
    <row r="585" spans="1:15" x14ac:dyDescent="0.4">
      <c r="A585" s="36">
        <v>1983</v>
      </c>
      <c r="B585" s="1" t="s">
        <v>4448</v>
      </c>
      <c r="C585" s="38">
        <v>45929</v>
      </c>
      <c r="D585" s="1" t="s">
        <v>509</v>
      </c>
      <c r="E585" s="1" t="s">
        <v>4449</v>
      </c>
      <c r="F585" s="1" t="s">
        <v>36</v>
      </c>
      <c r="G585" s="1" t="s">
        <v>4450</v>
      </c>
      <c r="H585" s="1" t="s">
        <v>4451</v>
      </c>
      <c r="I585" s="1" t="s">
        <v>4452</v>
      </c>
      <c r="J585" s="38">
        <v>45993</v>
      </c>
      <c r="K585" s="1" t="s">
        <v>4453</v>
      </c>
      <c r="L585" s="1" t="s">
        <v>4454</v>
      </c>
      <c r="M585" s="1" t="s">
        <v>4455</v>
      </c>
      <c r="N585" s="2">
        <v>202509082201</v>
      </c>
      <c r="O585" s="47">
        <v>45978</v>
      </c>
    </row>
    <row r="586" spans="1:15" x14ac:dyDescent="0.4">
      <c r="A586" s="35">
        <v>1984</v>
      </c>
      <c r="B586" s="1" t="s">
        <v>4456</v>
      </c>
      <c r="C586" s="38">
        <v>45940</v>
      </c>
      <c r="D586" s="1" t="s">
        <v>2672</v>
      </c>
      <c r="E586" s="1" t="s">
        <v>4457</v>
      </c>
      <c r="F586" s="1" t="s">
        <v>36</v>
      </c>
      <c r="G586" s="1" t="s">
        <v>4458</v>
      </c>
      <c r="H586" s="1" t="s">
        <v>4459</v>
      </c>
      <c r="I586" s="1" t="s">
        <v>4460</v>
      </c>
      <c r="J586" s="38">
        <v>45993</v>
      </c>
      <c r="K586" s="1" t="s">
        <v>4461</v>
      </c>
      <c r="L586" s="1" t="s">
        <v>4462</v>
      </c>
      <c r="M586" s="1" t="s">
        <v>4463</v>
      </c>
      <c r="N586" s="2">
        <v>202509081550</v>
      </c>
      <c r="O586" s="47">
        <v>45976</v>
      </c>
    </row>
    <row r="587" spans="1:15" x14ac:dyDescent="0.4">
      <c r="A587" s="36">
        <v>1985</v>
      </c>
      <c r="B587" s="1" t="s">
        <v>4464</v>
      </c>
      <c r="C587" s="38">
        <v>45894</v>
      </c>
      <c r="D587" s="1" t="s">
        <v>536</v>
      </c>
      <c r="E587" s="1" t="s">
        <v>4465</v>
      </c>
      <c r="F587" s="1" t="s">
        <v>36</v>
      </c>
      <c r="G587" s="1" t="s">
        <v>4466</v>
      </c>
      <c r="H587" s="1" t="s">
        <v>4467</v>
      </c>
      <c r="I587" s="1" t="s">
        <v>4468</v>
      </c>
      <c r="J587" s="38">
        <v>45993</v>
      </c>
      <c r="K587" s="1" t="s">
        <v>4469</v>
      </c>
      <c r="L587" s="1" t="s">
        <v>4470</v>
      </c>
      <c r="M587" s="1" t="s">
        <v>3628</v>
      </c>
      <c r="N587" s="2">
        <v>202509081947</v>
      </c>
      <c r="O587" s="47">
        <v>45978</v>
      </c>
    </row>
    <row r="588" spans="1:15" x14ac:dyDescent="0.4">
      <c r="A588" s="35">
        <v>1986</v>
      </c>
      <c r="B588" s="1" t="s">
        <v>4471</v>
      </c>
      <c r="C588" s="38">
        <v>45827</v>
      </c>
      <c r="D588" s="1" t="s">
        <v>509</v>
      </c>
      <c r="E588" s="1" t="s">
        <v>4472</v>
      </c>
      <c r="F588" s="1" t="s">
        <v>36</v>
      </c>
      <c r="G588" s="1" t="s">
        <v>2907</v>
      </c>
      <c r="H588" s="1" t="s">
        <v>3618</v>
      </c>
      <c r="I588" s="1" t="s">
        <v>4473</v>
      </c>
      <c r="J588" s="38">
        <v>45993</v>
      </c>
      <c r="K588" s="1" t="s">
        <v>4474</v>
      </c>
      <c r="L588" s="1" t="s">
        <v>4475</v>
      </c>
      <c r="M588" s="1" t="s">
        <v>4476</v>
      </c>
      <c r="N588" s="2">
        <v>202509074194</v>
      </c>
      <c r="O588" s="47">
        <v>45949</v>
      </c>
    </row>
    <row r="589" spans="1:15" x14ac:dyDescent="0.4">
      <c r="A589" s="36">
        <v>1987</v>
      </c>
      <c r="B589" s="1" t="s">
        <v>4477</v>
      </c>
      <c r="C589" s="38">
        <v>44717</v>
      </c>
      <c r="D589" s="1" t="s">
        <v>904</v>
      </c>
      <c r="E589" s="1" t="s">
        <v>4478</v>
      </c>
      <c r="F589" s="1" t="s">
        <v>55</v>
      </c>
      <c r="G589" s="1" t="s">
        <v>4479</v>
      </c>
      <c r="H589" s="1" t="s">
        <v>4480</v>
      </c>
      <c r="I589" s="1" t="s">
        <v>4481</v>
      </c>
      <c r="J589" s="38">
        <v>45993</v>
      </c>
      <c r="K589" s="1" t="s">
        <v>4482</v>
      </c>
      <c r="L589" s="1" t="s">
        <v>4483</v>
      </c>
      <c r="M589" s="1" t="s">
        <v>4484</v>
      </c>
      <c r="N589" s="2">
        <v>202509076532</v>
      </c>
      <c r="O589" s="47">
        <v>45958</v>
      </c>
    </row>
    <row r="590" spans="1:15" x14ac:dyDescent="0.4">
      <c r="A590" s="35">
        <v>1988</v>
      </c>
      <c r="B590" s="1" t="s">
        <v>4485</v>
      </c>
      <c r="C590" s="38">
        <v>45853</v>
      </c>
      <c r="D590" s="1" t="s">
        <v>509</v>
      </c>
      <c r="E590" s="1" t="s">
        <v>4486</v>
      </c>
      <c r="F590" s="1" t="s">
        <v>55</v>
      </c>
      <c r="G590" s="1" t="s">
        <v>4487</v>
      </c>
      <c r="H590" s="1" t="s">
        <v>4488</v>
      </c>
      <c r="I590" s="1" t="s">
        <v>4489</v>
      </c>
      <c r="J590" s="38">
        <v>45993</v>
      </c>
      <c r="K590" s="1" t="s">
        <v>4490</v>
      </c>
      <c r="L590" s="1" t="s">
        <v>4491</v>
      </c>
      <c r="M590" s="1" t="s">
        <v>4492</v>
      </c>
      <c r="N590" s="2">
        <v>202509078203</v>
      </c>
      <c r="O590" s="47">
        <v>45964</v>
      </c>
    </row>
    <row r="591" spans="1:15" x14ac:dyDescent="0.4">
      <c r="A591" s="36">
        <v>1989</v>
      </c>
      <c r="B591" s="1" t="s">
        <v>4493</v>
      </c>
      <c r="C591" s="38">
        <v>45915</v>
      </c>
      <c r="D591" s="1" t="s">
        <v>2349</v>
      </c>
      <c r="E591" s="1" t="s">
        <v>4494</v>
      </c>
      <c r="F591" s="1" t="s">
        <v>36</v>
      </c>
      <c r="G591" s="1" t="s">
        <v>4495</v>
      </c>
      <c r="H591" s="1" t="s">
        <v>3573</v>
      </c>
      <c r="I591" s="1" t="s">
        <v>4496</v>
      </c>
      <c r="J591" s="38">
        <v>45993</v>
      </c>
      <c r="K591" s="1" t="s">
        <v>4497</v>
      </c>
      <c r="L591" s="1" t="s">
        <v>4498</v>
      </c>
      <c r="M591" s="1" t="s">
        <v>4499</v>
      </c>
      <c r="N591" s="2">
        <v>202509081342</v>
      </c>
      <c r="O591" s="47">
        <v>45975</v>
      </c>
    </row>
    <row r="592" spans="1:15" x14ac:dyDescent="0.4">
      <c r="A592" s="35">
        <v>1990</v>
      </c>
      <c r="B592" s="1" t="s">
        <v>4500</v>
      </c>
      <c r="C592" s="38">
        <v>45856</v>
      </c>
      <c r="D592" s="1" t="s">
        <v>4501</v>
      </c>
      <c r="E592" s="1" t="s">
        <v>4502</v>
      </c>
      <c r="F592" s="1" t="s">
        <v>55</v>
      </c>
      <c r="G592" s="1" t="s">
        <v>4503</v>
      </c>
      <c r="H592" s="1" t="s">
        <v>4504</v>
      </c>
      <c r="I592" s="1" t="s">
        <v>4505</v>
      </c>
      <c r="J592" s="38">
        <v>45993</v>
      </c>
      <c r="K592" s="1" t="s">
        <v>4506</v>
      </c>
      <c r="L592" s="1" t="s">
        <v>4507</v>
      </c>
      <c r="M592" s="1" t="s">
        <v>4508</v>
      </c>
      <c r="N592" s="2">
        <v>202509072295</v>
      </c>
      <c r="O592" s="47">
        <v>45942</v>
      </c>
    </row>
    <row r="593" spans="1:15" x14ac:dyDescent="0.4">
      <c r="A593" s="36">
        <v>1991</v>
      </c>
      <c r="B593" s="1" t="s">
        <v>4509</v>
      </c>
      <c r="C593" s="38">
        <v>45856</v>
      </c>
      <c r="D593" s="1" t="s">
        <v>536</v>
      </c>
      <c r="E593" s="1" t="s">
        <v>4510</v>
      </c>
      <c r="F593" s="1" t="s">
        <v>36</v>
      </c>
      <c r="G593" s="1" t="s">
        <v>4511</v>
      </c>
      <c r="H593" s="1" t="s">
        <v>4512</v>
      </c>
      <c r="I593" s="1" t="s">
        <v>4513</v>
      </c>
      <c r="J593" s="38">
        <v>45993</v>
      </c>
      <c r="K593" s="1" t="s">
        <v>4514</v>
      </c>
      <c r="L593" s="1" t="s">
        <v>4515</v>
      </c>
      <c r="M593" s="1" t="s">
        <v>4516</v>
      </c>
      <c r="N593" s="2">
        <v>202509071264</v>
      </c>
      <c r="O593" s="47">
        <v>45938</v>
      </c>
    </row>
    <row r="594" spans="1:15" x14ac:dyDescent="0.4">
      <c r="A594" s="35">
        <v>1992</v>
      </c>
      <c r="B594" s="1" t="s">
        <v>4517</v>
      </c>
      <c r="C594" s="38">
        <v>45925</v>
      </c>
      <c r="D594" s="1" t="s">
        <v>737</v>
      </c>
      <c r="E594" s="1" t="s">
        <v>4518</v>
      </c>
      <c r="F594" s="1" t="s">
        <v>36</v>
      </c>
      <c r="G594" s="1" t="s">
        <v>4519</v>
      </c>
      <c r="H594" s="1" t="s">
        <v>4520</v>
      </c>
      <c r="I594" s="1" t="s">
        <v>4521</v>
      </c>
      <c r="J594" s="38">
        <v>45993</v>
      </c>
      <c r="K594" s="1" t="s">
        <v>4522</v>
      </c>
      <c r="L594" s="1" t="s">
        <v>4523</v>
      </c>
      <c r="M594" s="1" t="s">
        <v>3246</v>
      </c>
      <c r="N594" s="2">
        <v>202509078846</v>
      </c>
      <c r="O594" s="47">
        <v>45966</v>
      </c>
    </row>
    <row r="595" spans="1:15" x14ac:dyDescent="0.4">
      <c r="A595" s="36">
        <v>1993</v>
      </c>
      <c r="B595" s="1" t="s">
        <v>4524</v>
      </c>
      <c r="C595" s="38">
        <v>45861</v>
      </c>
      <c r="D595" s="1" t="s">
        <v>195</v>
      </c>
      <c r="E595" s="1" t="s">
        <v>4525</v>
      </c>
      <c r="F595" s="1" t="s">
        <v>55</v>
      </c>
      <c r="G595" s="1" t="s">
        <v>4526</v>
      </c>
      <c r="H595" s="1" t="s">
        <v>3167</v>
      </c>
      <c r="I595" s="1" t="s">
        <v>4527</v>
      </c>
      <c r="J595" s="38">
        <v>45993</v>
      </c>
      <c r="K595" s="1" t="s">
        <v>4528</v>
      </c>
      <c r="L595" s="1" t="s">
        <v>4529</v>
      </c>
      <c r="M595" s="1" t="s">
        <v>3106</v>
      </c>
      <c r="N595" s="2">
        <v>202509082574</v>
      </c>
      <c r="O595" s="47">
        <v>45979</v>
      </c>
    </row>
    <row r="596" spans="1:15" x14ac:dyDescent="0.4">
      <c r="A596" s="35">
        <v>1994</v>
      </c>
      <c r="B596" s="1" t="s">
        <v>4530</v>
      </c>
      <c r="C596" s="38">
        <v>45928</v>
      </c>
      <c r="D596" s="1" t="s">
        <v>411</v>
      </c>
      <c r="E596" s="1" t="s">
        <v>4531</v>
      </c>
      <c r="F596" s="1" t="s">
        <v>36</v>
      </c>
      <c r="G596" s="1" t="s">
        <v>4532</v>
      </c>
      <c r="H596" s="1" t="s">
        <v>4533</v>
      </c>
      <c r="I596" s="1" t="s">
        <v>4534</v>
      </c>
      <c r="J596" s="38">
        <v>45993</v>
      </c>
      <c r="K596" s="1" t="s">
        <v>4535</v>
      </c>
      <c r="L596" s="1" t="s">
        <v>4536</v>
      </c>
      <c r="M596" s="1" t="s">
        <v>4537</v>
      </c>
      <c r="N596" s="2">
        <v>202509081157</v>
      </c>
      <c r="O596" s="47">
        <v>45974</v>
      </c>
    </row>
    <row r="597" spans="1:15" x14ac:dyDescent="0.4">
      <c r="A597" s="36">
        <v>1995</v>
      </c>
      <c r="B597" s="1" t="s">
        <v>4538</v>
      </c>
      <c r="C597" s="38">
        <v>45919</v>
      </c>
      <c r="D597" s="1" t="s">
        <v>509</v>
      </c>
      <c r="E597" s="1" t="s">
        <v>4539</v>
      </c>
      <c r="F597" s="1" t="s">
        <v>55</v>
      </c>
      <c r="G597" s="1" t="s">
        <v>4540</v>
      </c>
      <c r="H597" s="1" t="s">
        <v>4541</v>
      </c>
      <c r="I597" s="1" t="s">
        <v>4542</v>
      </c>
      <c r="J597" s="38">
        <v>45993</v>
      </c>
      <c r="K597" s="1" t="s">
        <v>4543</v>
      </c>
      <c r="L597" s="1" t="s">
        <v>1064</v>
      </c>
      <c r="M597" s="1" t="s">
        <v>4544</v>
      </c>
      <c r="N597" s="2">
        <v>202509082738</v>
      </c>
      <c r="O597" s="47">
        <v>45980</v>
      </c>
    </row>
    <row r="598" spans="1:15" x14ac:dyDescent="0.4">
      <c r="A598" s="35">
        <v>1996</v>
      </c>
      <c r="B598" s="1" t="s">
        <v>4545</v>
      </c>
      <c r="C598" s="38">
        <v>45813</v>
      </c>
      <c r="D598" s="1" t="s">
        <v>4546</v>
      </c>
      <c r="E598" s="1" t="s">
        <v>4547</v>
      </c>
      <c r="F598" s="1" t="s">
        <v>36</v>
      </c>
      <c r="G598" s="1" t="s">
        <v>4548</v>
      </c>
      <c r="H598" s="1" t="s">
        <v>4549</v>
      </c>
      <c r="I598" s="1" t="s">
        <v>4550</v>
      </c>
      <c r="J598" s="38">
        <v>45993</v>
      </c>
      <c r="K598" s="1" t="s">
        <v>4551</v>
      </c>
      <c r="L598" s="1" t="s">
        <v>4552</v>
      </c>
      <c r="M598" s="1" t="s">
        <v>4553</v>
      </c>
      <c r="N598" s="2">
        <v>202509082866</v>
      </c>
      <c r="O598" s="47">
        <v>45980</v>
      </c>
    </row>
    <row r="599" spans="1:15" x14ac:dyDescent="0.4">
      <c r="A599" s="36">
        <v>1997</v>
      </c>
      <c r="B599" s="1" t="s">
        <v>4554</v>
      </c>
      <c r="C599" s="38">
        <v>45917</v>
      </c>
      <c r="D599" s="1" t="s">
        <v>536</v>
      </c>
      <c r="E599" s="1" t="s">
        <v>4555</v>
      </c>
      <c r="F599" s="1" t="s">
        <v>55</v>
      </c>
      <c r="G599" s="1" t="s">
        <v>4556</v>
      </c>
      <c r="H599" s="1" t="s">
        <v>4557</v>
      </c>
      <c r="I599" s="1" t="s">
        <v>4558</v>
      </c>
      <c r="J599" s="38">
        <v>45993</v>
      </c>
      <c r="K599" s="1" t="s">
        <v>4559</v>
      </c>
      <c r="L599" s="1" t="s">
        <v>4560</v>
      </c>
      <c r="M599" s="1" t="s">
        <v>4561</v>
      </c>
      <c r="N599" s="2">
        <v>202509072510</v>
      </c>
      <c r="O599" s="47">
        <v>45943</v>
      </c>
    </row>
    <row r="600" spans="1:15" x14ac:dyDescent="0.4">
      <c r="A600" s="35">
        <v>1998</v>
      </c>
      <c r="B600" s="1" t="s">
        <v>4562</v>
      </c>
      <c r="C600" s="38">
        <v>45926</v>
      </c>
      <c r="D600" s="1" t="s">
        <v>670</v>
      </c>
      <c r="E600" s="1" t="s">
        <v>4563</v>
      </c>
      <c r="F600" s="1" t="s">
        <v>55</v>
      </c>
      <c r="G600" s="1" t="s">
        <v>4564</v>
      </c>
      <c r="H600" s="1" t="s">
        <v>4565</v>
      </c>
      <c r="I600" s="1" t="s">
        <v>4566</v>
      </c>
      <c r="J600" s="38">
        <v>45993</v>
      </c>
      <c r="K600" s="1" t="s">
        <v>4567</v>
      </c>
      <c r="L600" s="1" t="s">
        <v>4568</v>
      </c>
      <c r="M600" s="1" t="s">
        <v>4569</v>
      </c>
      <c r="N600" s="2">
        <v>202509082076</v>
      </c>
      <c r="O600" s="47">
        <v>45978</v>
      </c>
    </row>
    <row r="601" spans="1:15" x14ac:dyDescent="0.4">
      <c r="A601" s="36">
        <v>1999</v>
      </c>
      <c r="B601" s="1" t="s">
        <v>4570</v>
      </c>
      <c r="C601" s="38">
        <v>45756</v>
      </c>
      <c r="D601" s="1" t="s">
        <v>452</v>
      </c>
      <c r="E601" s="1" t="s">
        <v>4571</v>
      </c>
      <c r="F601" s="1" t="s">
        <v>55</v>
      </c>
      <c r="G601" s="1" t="s">
        <v>4572</v>
      </c>
      <c r="H601" s="1" t="s">
        <v>4573</v>
      </c>
      <c r="I601" s="1" t="s">
        <v>4574</v>
      </c>
      <c r="J601" s="38">
        <v>45993</v>
      </c>
      <c r="K601" s="1" t="s">
        <v>4575</v>
      </c>
      <c r="L601" s="1" t="s">
        <v>4576</v>
      </c>
      <c r="M601" s="1" t="s">
        <v>4577</v>
      </c>
      <c r="N601" s="2">
        <v>202509081791</v>
      </c>
      <c r="O601" s="47">
        <v>45977</v>
      </c>
    </row>
    <row r="602" spans="1:15" x14ac:dyDescent="0.4">
      <c r="A602" s="35">
        <v>2000</v>
      </c>
      <c r="B602" s="1" t="s">
        <v>4578</v>
      </c>
      <c r="C602" s="38">
        <v>45851</v>
      </c>
      <c r="D602" s="1" t="s">
        <v>411</v>
      </c>
      <c r="E602" s="1" t="s">
        <v>4579</v>
      </c>
      <c r="F602" s="1" t="s">
        <v>36</v>
      </c>
      <c r="G602" s="1" t="s">
        <v>4580</v>
      </c>
      <c r="H602" s="1" t="s">
        <v>4581</v>
      </c>
      <c r="I602" s="1" t="s">
        <v>4582</v>
      </c>
      <c r="J602" s="38">
        <v>45996</v>
      </c>
      <c r="K602" s="1" t="s">
        <v>4583</v>
      </c>
      <c r="L602" s="1" t="s">
        <v>4584</v>
      </c>
      <c r="M602" s="1" t="s">
        <v>4585</v>
      </c>
      <c r="N602" s="2">
        <v>202509071913</v>
      </c>
      <c r="O602" s="47">
        <v>45940</v>
      </c>
    </row>
    <row r="603" spans="1:15" x14ac:dyDescent="0.4">
      <c r="A603" s="36">
        <v>2001</v>
      </c>
      <c r="B603" s="1" t="s">
        <v>4586</v>
      </c>
      <c r="C603" s="38">
        <v>45854</v>
      </c>
      <c r="D603" s="1" t="s">
        <v>670</v>
      </c>
      <c r="E603" s="1" t="s">
        <v>4587</v>
      </c>
      <c r="F603" s="1" t="s">
        <v>36</v>
      </c>
      <c r="G603" s="1" t="s">
        <v>4588</v>
      </c>
      <c r="H603" s="1" t="s">
        <v>4589</v>
      </c>
      <c r="I603" s="1" t="s">
        <v>4590</v>
      </c>
      <c r="J603" s="38">
        <v>45996</v>
      </c>
      <c r="K603" s="1" t="s">
        <v>4591</v>
      </c>
      <c r="L603" s="1" t="s">
        <v>4592</v>
      </c>
      <c r="M603" s="1" t="s">
        <v>4593</v>
      </c>
      <c r="N603" s="2">
        <v>202509083329</v>
      </c>
      <c r="O603" s="47">
        <v>45982</v>
      </c>
    </row>
    <row r="604" spans="1:15" x14ac:dyDescent="0.4">
      <c r="A604" s="35">
        <v>2002</v>
      </c>
      <c r="B604" s="1" t="s">
        <v>4594</v>
      </c>
      <c r="C604" s="38">
        <v>45598</v>
      </c>
      <c r="D604" s="1" t="s">
        <v>44</v>
      </c>
      <c r="E604" s="1" t="s">
        <v>4595</v>
      </c>
      <c r="F604" s="1" t="s">
        <v>36</v>
      </c>
      <c r="G604" s="1" t="s">
        <v>4596</v>
      </c>
      <c r="H604" s="1" t="s">
        <v>963</v>
      </c>
      <c r="I604" s="1" t="s">
        <v>4597</v>
      </c>
      <c r="J604" s="38">
        <v>45996</v>
      </c>
      <c r="K604" s="1" t="s">
        <v>4598</v>
      </c>
      <c r="L604" s="1" t="s">
        <v>4599</v>
      </c>
      <c r="M604" s="1" t="s">
        <v>4600</v>
      </c>
      <c r="N604" s="2">
        <v>202509072082</v>
      </c>
      <c r="O604" s="47">
        <v>45941</v>
      </c>
    </row>
    <row r="605" spans="1:15" x14ac:dyDescent="0.4">
      <c r="A605" s="36">
        <v>2003</v>
      </c>
      <c r="B605" s="1" t="s">
        <v>4601</v>
      </c>
      <c r="C605" s="38">
        <v>45944</v>
      </c>
      <c r="D605" s="1" t="s">
        <v>2098</v>
      </c>
      <c r="E605" s="1" t="s">
        <v>4602</v>
      </c>
      <c r="F605" s="1" t="s">
        <v>55</v>
      </c>
      <c r="G605" s="1" t="s">
        <v>4603</v>
      </c>
      <c r="H605" s="1" t="s">
        <v>3402</v>
      </c>
      <c r="I605" s="1" t="s">
        <v>4604</v>
      </c>
      <c r="J605" s="38">
        <v>45996</v>
      </c>
      <c r="K605" s="1" t="s">
        <v>4605</v>
      </c>
      <c r="L605" s="1" t="s">
        <v>4606</v>
      </c>
      <c r="M605" s="1" t="s">
        <v>4607</v>
      </c>
      <c r="N605" s="2">
        <v>202509079710</v>
      </c>
      <c r="O605" s="47">
        <v>45969</v>
      </c>
    </row>
    <row r="606" spans="1:15" x14ac:dyDescent="0.4">
      <c r="A606" s="35">
        <v>2004</v>
      </c>
      <c r="B606" s="1" t="s">
        <v>4608</v>
      </c>
      <c r="C606" s="38">
        <v>45926</v>
      </c>
      <c r="D606" s="1" t="s">
        <v>536</v>
      </c>
      <c r="E606" s="1" t="s">
        <v>4609</v>
      </c>
      <c r="F606" s="1" t="s">
        <v>55</v>
      </c>
      <c r="G606" s="1" t="s">
        <v>4610</v>
      </c>
      <c r="H606" s="1" t="s">
        <v>4611</v>
      </c>
      <c r="I606" s="1" t="s">
        <v>4612</v>
      </c>
      <c r="J606" s="38">
        <v>45996</v>
      </c>
      <c r="K606" s="1" t="s">
        <v>4613</v>
      </c>
      <c r="L606" s="1" t="s">
        <v>4614</v>
      </c>
      <c r="M606" s="1" t="s">
        <v>4615</v>
      </c>
      <c r="N606" s="2">
        <v>202509076479</v>
      </c>
      <c r="O606" s="47">
        <v>45957</v>
      </c>
    </row>
    <row r="607" spans="1:15" x14ac:dyDescent="0.4">
      <c r="A607" s="36">
        <v>2005</v>
      </c>
      <c r="B607" s="1" t="s">
        <v>4616</v>
      </c>
      <c r="C607" s="38">
        <v>45902</v>
      </c>
      <c r="D607" s="1" t="s">
        <v>737</v>
      </c>
      <c r="E607" s="1" t="s">
        <v>4617</v>
      </c>
      <c r="F607" s="1" t="s">
        <v>36</v>
      </c>
      <c r="G607" s="1" t="s">
        <v>4618</v>
      </c>
      <c r="H607" s="1" t="s">
        <v>4619</v>
      </c>
      <c r="I607" s="1" t="s">
        <v>4620</v>
      </c>
      <c r="J607" s="38">
        <v>45996</v>
      </c>
      <c r="K607" s="1" t="s">
        <v>4621</v>
      </c>
      <c r="L607" s="1" t="s">
        <v>1632</v>
      </c>
      <c r="M607" s="1" t="s">
        <v>4622</v>
      </c>
      <c r="N607" s="2">
        <v>202509079393</v>
      </c>
      <c r="O607" s="47">
        <v>45968</v>
      </c>
    </row>
    <row r="608" spans="1:15" x14ac:dyDescent="0.4">
      <c r="A608" s="35">
        <v>2006</v>
      </c>
      <c r="B608" s="1" t="s">
        <v>4623</v>
      </c>
      <c r="C608" s="38">
        <v>45921</v>
      </c>
      <c r="D608" s="1" t="s">
        <v>509</v>
      </c>
      <c r="E608" s="1" t="s">
        <v>4624</v>
      </c>
      <c r="F608" s="1" t="s">
        <v>55</v>
      </c>
      <c r="G608" s="1" t="s">
        <v>1082</v>
      </c>
      <c r="H608" s="1" t="s">
        <v>4076</v>
      </c>
      <c r="I608" s="1" t="s">
        <v>4625</v>
      </c>
      <c r="J608" s="38">
        <v>45996</v>
      </c>
      <c r="K608" s="1" t="s">
        <v>4626</v>
      </c>
      <c r="L608" s="1" t="s">
        <v>4627</v>
      </c>
      <c r="M608" s="1" t="s">
        <v>4492</v>
      </c>
      <c r="N608" s="2">
        <v>202509080527</v>
      </c>
      <c r="O608" s="47">
        <v>45972</v>
      </c>
    </row>
    <row r="609" spans="1:15" x14ac:dyDescent="0.4">
      <c r="A609" s="36">
        <v>2007</v>
      </c>
      <c r="B609" s="1" t="s">
        <v>4628</v>
      </c>
      <c r="C609" s="38">
        <v>45929</v>
      </c>
      <c r="D609" s="1" t="s">
        <v>904</v>
      </c>
      <c r="E609" s="1" t="s">
        <v>4629</v>
      </c>
      <c r="F609" s="1" t="s">
        <v>55</v>
      </c>
      <c r="G609" s="1" t="s">
        <v>4630</v>
      </c>
      <c r="H609" s="1" t="s">
        <v>4631</v>
      </c>
      <c r="I609" s="1" t="s">
        <v>4632</v>
      </c>
      <c r="J609" s="38">
        <v>45996</v>
      </c>
      <c r="K609" s="1" t="s">
        <v>158</v>
      </c>
      <c r="L609" s="1" t="s">
        <v>4633</v>
      </c>
      <c r="M609" s="1" t="s">
        <v>4634</v>
      </c>
      <c r="N609" s="2">
        <v>202509078180</v>
      </c>
      <c r="O609" s="47">
        <v>45964</v>
      </c>
    </row>
    <row r="610" spans="1:15" x14ac:dyDescent="0.4">
      <c r="A610" s="35">
        <v>2008</v>
      </c>
      <c r="B610" s="1" t="s">
        <v>4635</v>
      </c>
      <c r="C610" s="38">
        <v>45869</v>
      </c>
      <c r="D610" s="1" t="s">
        <v>547</v>
      </c>
      <c r="E610" s="1" t="s">
        <v>4636</v>
      </c>
      <c r="F610" s="1" t="s">
        <v>55</v>
      </c>
      <c r="G610" s="1" t="s">
        <v>4637</v>
      </c>
      <c r="H610" s="1" t="s">
        <v>4638</v>
      </c>
      <c r="I610" s="1" t="s">
        <v>4639</v>
      </c>
      <c r="J610" s="38">
        <v>45996</v>
      </c>
      <c r="K610" s="1" t="s">
        <v>4640</v>
      </c>
      <c r="L610" s="1" t="s">
        <v>4641</v>
      </c>
      <c r="M610" s="1" t="s">
        <v>4642</v>
      </c>
      <c r="N610" s="2">
        <v>202509078704</v>
      </c>
      <c r="O610" s="47">
        <v>45965</v>
      </c>
    </row>
    <row r="611" spans="1:15" x14ac:dyDescent="0.4">
      <c r="A611" s="36">
        <v>2009</v>
      </c>
      <c r="B611" s="1" t="s">
        <v>4643</v>
      </c>
      <c r="C611" s="38">
        <v>45818</v>
      </c>
      <c r="D611" s="1" t="s">
        <v>4374</v>
      </c>
      <c r="E611" s="1" t="s">
        <v>4644</v>
      </c>
      <c r="F611" s="1" t="s">
        <v>36</v>
      </c>
      <c r="G611" s="1" t="s">
        <v>2623</v>
      </c>
      <c r="H611" s="1" t="s">
        <v>4645</v>
      </c>
      <c r="I611" s="1" t="s">
        <v>4646</v>
      </c>
      <c r="J611" s="38">
        <v>45996</v>
      </c>
      <c r="K611" s="1" t="s">
        <v>4647</v>
      </c>
      <c r="L611" s="1" t="s">
        <v>4648</v>
      </c>
      <c r="M611" s="1" t="s">
        <v>3341</v>
      </c>
      <c r="N611" s="2">
        <v>202509076448</v>
      </c>
      <c r="O611" s="47">
        <v>45957</v>
      </c>
    </row>
    <row r="612" spans="1:15" x14ac:dyDescent="0.4">
      <c r="A612" s="35">
        <v>2010</v>
      </c>
      <c r="B612" s="1" t="s">
        <v>4649</v>
      </c>
      <c r="C612" s="38">
        <v>45791</v>
      </c>
      <c r="D612" s="1" t="s">
        <v>536</v>
      </c>
      <c r="E612" s="1" t="s">
        <v>4650</v>
      </c>
      <c r="F612" s="1" t="s">
        <v>55</v>
      </c>
      <c r="G612" s="1" t="s">
        <v>4651</v>
      </c>
      <c r="H612" s="1" t="s">
        <v>4652</v>
      </c>
      <c r="I612" s="1" t="s">
        <v>4653</v>
      </c>
      <c r="J612" s="38">
        <v>45996</v>
      </c>
      <c r="K612" s="1" t="s">
        <v>4654</v>
      </c>
      <c r="L612" s="1" t="s">
        <v>1142</v>
      </c>
      <c r="M612" s="1" t="s">
        <v>4655</v>
      </c>
      <c r="N612" s="2">
        <v>202509083845</v>
      </c>
      <c r="O612" s="47">
        <v>45984</v>
      </c>
    </row>
    <row r="613" spans="1:15" x14ac:dyDescent="0.4">
      <c r="A613" s="36">
        <v>2011</v>
      </c>
      <c r="B613" s="1" t="s">
        <v>4656</v>
      </c>
      <c r="C613" s="38">
        <v>45952</v>
      </c>
      <c r="D613" s="1" t="s">
        <v>509</v>
      </c>
      <c r="E613" s="1" t="s">
        <v>4657</v>
      </c>
      <c r="F613" s="1" t="s">
        <v>55</v>
      </c>
      <c r="G613" s="1" t="s">
        <v>2973</v>
      </c>
      <c r="H613" s="1" t="s">
        <v>4658</v>
      </c>
      <c r="I613" s="1" t="s">
        <v>4659</v>
      </c>
      <c r="J613" s="38">
        <v>45996</v>
      </c>
      <c r="K613" s="1" t="s">
        <v>4660</v>
      </c>
      <c r="L613" s="1" t="s">
        <v>2641</v>
      </c>
      <c r="M613" s="1" t="s">
        <v>3878</v>
      </c>
      <c r="N613" s="2">
        <v>202509082292</v>
      </c>
      <c r="O613" s="47">
        <v>45979</v>
      </c>
    </row>
    <row r="614" spans="1:15" x14ac:dyDescent="0.4">
      <c r="A614" s="35">
        <v>2012</v>
      </c>
      <c r="B614" s="1" t="s">
        <v>4661</v>
      </c>
      <c r="C614" s="38">
        <v>45940</v>
      </c>
      <c r="D614" s="1" t="s">
        <v>527</v>
      </c>
      <c r="E614" s="1" t="s">
        <v>4662</v>
      </c>
      <c r="F614" s="1" t="s">
        <v>55</v>
      </c>
      <c r="G614" s="1" t="s">
        <v>4663</v>
      </c>
      <c r="H614" s="1" t="s">
        <v>4664</v>
      </c>
      <c r="I614" s="1" t="s">
        <v>4665</v>
      </c>
      <c r="J614" s="38">
        <v>45996</v>
      </c>
      <c r="K614" s="1" t="s">
        <v>4666</v>
      </c>
      <c r="L614" s="1" t="s">
        <v>4667</v>
      </c>
      <c r="M614" s="1" t="s">
        <v>4668</v>
      </c>
      <c r="N614" s="2">
        <v>202509079439</v>
      </c>
      <c r="O614" s="47">
        <v>45968</v>
      </c>
    </row>
    <row r="615" spans="1:15" x14ac:dyDescent="0.4">
      <c r="A615" s="36">
        <v>2013</v>
      </c>
      <c r="B615" s="1" t="s">
        <v>4669</v>
      </c>
      <c r="C615" s="38">
        <v>45952</v>
      </c>
      <c r="D615" s="1" t="s">
        <v>509</v>
      </c>
      <c r="E615" s="1" t="s">
        <v>4670</v>
      </c>
      <c r="F615" s="1" t="s">
        <v>36</v>
      </c>
      <c r="G615" s="1" t="s">
        <v>2973</v>
      </c>
      <c r="H615" s="1" t="s">
        <v>4658</v>
      </c>
      <c r="I615" s="1" t="s">
        <v>4659</v>
      </c>
      <c r="J615" s="38">
        <v>45996</v>
      </c>
      <c r="K615" s="1" t="s">
        <v>4660</v>
      </c>
      <c r="L615" s="1" t="s">
        <v>2641</v>
      </c>
      <c r="M615" s="1" t="s">
        <v>3878</v>
      </c>
      <c r="N615" s="2">
        <v>202509082289</v>
      </c>
      <c r="O615" s="47">
        <v>45979</v>
      </c>
    </row>
    <row r="616" spans="1:15" x14ac:dyDescent="0.4">
      <c r="A616" s="35">
        <v>2014</v>
      </c>
      <c r="B616" s="1" t="s">
        <v>4671</v>
      </c>
      <c r="C616" s="38">
        <v>45869</v>
      </c>
      <c r="D616" s="1" t="s">
        <v>4672</v>
      </c>
      <c r="E616" s="1" t="s">
        <v>4673</v>
      </c>
      <c r="F616" s="1" t="s">
        <v>55</v>
      </c>
      <c r="G616" s="1" t="s">
        <v>4674</v>
      </c>
      <c r="H616" s="1" t="s">
        <v>4675</v>
      </c>
      <c r="I616" s="1" t="s">
        <v>4676</v>
      </c>
      <c r="J616" s="38">
        <v>45996</v>
      </c>
      <c r="K616" s="1" t="s">
        <v>4677</v>
      </c>
      <c r="L616" s="1" t="s">
        <v>4678</v>
      </c>
      <c r="M616" s="1" t="s">
        <v>4679</v>
      </c>
      <c r="N616" s="2">
        <v>202509082864</v>
      </c>
      <c r="O616" s="47">
        <v>45980</v>
      </c>
    </row>
    <row r="617" spans="1:15" x14ac:dyDescent="0.4">
      <c r="A617" s="36">
        <v>2015</v>
      </c>
      <c r="B617" s="1" t="s">
        <v>4680</v>
      </c>
      <c r="C617" s="38">
        <v>45932</v>
      </c>
      <c r="D617" s="1" t="s">
        <v>411</v>
      </c>
      <c r="E617" s="1" t="s">
        <v>4681</v>
      </c>
      <c r="F617" s="1" t="s">
        <v>36</v>
      </c>
      <c r="G617" s="1" t="s">
        <v>4682</v>
      </c>
      <c r="H617" s="1" t="s">
        <v>4683</v>
      </c>
      <c r="I617" s="1" t="s">
        <v>4684</v>
      </c>
      <c r="J617" s="38">
        <v>45996</v>
      </c>
      <c r="K617" s="1" t="s">
        <v>4685</v>
      </c>
      <c r="L617" s="1" t="s">
        <v>4686</v>
      </c>
      <c r="M617" s="1" t="s">
        <v>4687</v>
      </c>
      <c r="N617" s="2">
        <v>202509081191</v>
      </c>
      <c r="O617" s="47">
        <v>45974</v>
      </c>
    </row>
    <row r="618" spans="1:15" x14ac:dyDescent="0.4">
      <c r="A618" s="35">
        <v>2016</v>
      </c>
      <c r="B618" s="1" t="s">
        <v>4688</v>
      </c>
      <c r="C618" s="38">
        <v>45748</v>
      </c>
      <c r="D618" s="1" t="s">
        <v>509</v>
      </c>
      <c r="E618" s="1" t="s">
        <v>4689</v>
      </c>
      <c r="F618" s="1" t="s">
        <v>36</v>
      </c>
      <c r="G618" s="1" t="s">
        <v>4690</v>
      </c>
      <c r="H618" s="1" t="s">
        <v>4691</v>
      </c>
      <c r="I618" s="1" t="s">
        <v>4692</v>
      </c>
      <c r="J618" s="38">
        <v>45996</v>
      </c>
      <c r="K618" s="1" t="s">
        <v>4693</v>
      </c>
      <c r="L618" s="1" t="s">
        <v>4694</v>
      </c>
      <c r="M618" s="1" t="s">
        <v>3878</v>
      </c>
      <c r="N618" s="2">
        <v>202509083426</v>
      </c>
      <c r="O618" s="47">
        <v>45982</v>
      </c>
    </row>
    <row r="619" spans="1:15" x14ac:dyDescent="0.4">
      <c r="A619" s="36">
        <v>2017</v>
      </c>
      <c r="B619" s="1" t="s">
        <v>4695</v>
      </c>
      <c r="C619" s="38">
        <v>45924</v>
      </c>
      <c r="D619" s="1" t="s">
        <v>547</v>
      </c>
      <c r="E619" s="1" t="s">
        <v>4696</v>
      </c>
      <c r="F619" s="1" t="s">
        <v>36</v>
      </c>
      <c r="G619" s="1" t="s">
        <v>4697</v>
      </c>
      <c r="H619" s="1" t="s">
        <v>4698</v>
      </c>
      <c r="I619" s="1" t="s">
        <v>4699</v>
      </c>
      <c r="J619" s="38">
        <v>45996</v>
      </c>
      <c r="K619" s="1" t="s">
        <v>4700</v>
      </c>
      <c r="L619" s="1" t="s">
        <v>4701</v>
      </c>
      <c r="M619" s="1" t="s">
        <v>4702</v>
      </c>
      <c r="N619" s="2">
        <v>202509083409</v>
      </c>
      <c r="O619" s="47">
        <v>45982</v>
      </c>
    </row>
    <row r="620" spans="1:15" x14ac:dyDescent="0.4">
      <c r="A620" s="35">
        <v>2018</v>
      </c>
      <c r="B620" s="1" t="s">
        <v>3750</v>
      </c>
      <c r="C620" s="38">
        <v>45909</v>
      </c>
      <c r="D620" s="1" t="s">
        <v>509</v>
      </c>
      <c r="E620" s="1" t="s">
        <v>4703</v>
      </c>
      <c r="F620" s="1" t="s">
        <v>36</v>
      </c>
      <c r="G620" s="1" t="s">
        <v>712</v>
      </c>
      <c r="H620" s="1" t="s">
        <v>4076</v>
      </c>
      <c r="I620" s="1" t="s">
        <v>4704</v>
      </c>
      <c r="J620" s="38">
        <v>45996</v>
      </c>
      <c r="K620" s="1" t="s">
        <v>4705</v>
      </c>
      <c r="L620" s="1" t="s">
        <v>4706</v>
      </c>
      <c r="M620" s="1" t="s">
        <v>4064</v>
      </c>
      <c r="N620" s="2">
        <v>202509082072</v>
      </c>
      <c r="O620" s="47">
        <v>45978</v>
      </c>
    </row>
    <row r="621" spans="1:15" x14ac:dyDescent="0.4">
      <c r="A621" s="36">
        <v>2019</v>
      </c>
      <c r="B621" s="1" t="s">
        <v>4707</v>
      </c>
      <c r="C621" s="38">
        <v>45953</v>
      </c>
      <c r="D621" s="1" t="s">
        <v>411</v>
      </c>
      <c r="E621" s="1" t="s">
        <v>4708</v>
      </c>
      <c r="F621" s="1" t="s">
        <v>55</v>
      </c>
      <c r="G621" s="1" t="s">
        <v>4709</v>
      </c>
      <c r="H621" s="1" t="s">
        <v>4710</v>
      </c>
      <c r="I621" s="1" t="s">
        <v>4711</v>
      </c>
      <c r="J621" s="38">
        <v>45996</v>
      </c>
      <c r="K621" s="1" t="s">
        <v>4712</v>
      </c>
      <c r="L621" s="1" t="s">
        <v>4713</v>
      </c>
      <c r="M621" s="1" t="s">
        <v>4714</v>
      </c>
      <c r="N621" s="2">
        <v>202509083711</v>
      </c>
      <c r="O621" s="47">
        <v>45983</v>
      </c>
    </row>
    <row r="622" spans="1:15" x14ac:dyDescent="0.4">
      <c r="A622" s="35">
        <v>2020</v>
      </c>
      <c r="B622" s="1" t="s">
        <v>4715</v>
      </c>
      <c r="C622" s="38">
        <v>45910</v>
      </c>
      <c r="D622" s="1" t="s">
        <v>509</v>
      </c>
      <c r="E622" s="1" t="s">
        <v>4716</v>
      </c>
      <c r="F622" s="1" t="s">
        <v>36</v>
      </c>
      <c r="G622" s="1" t="s">
        <v>1052</v>
      </c>
      <c r="H622" s="1" t="s">
        <v>4717</v>
      </c>
      <c r="I622" s="1" t="s">
        <v>4718</v>
      </c>
      <c r="J622" s="38">
        <v>45999</v>
      </c>
      <c r="K622" s="1" t="s">
        <v>4719</v>
      </c>
      <c r="L622" s="1" t="s">
        <v>2740</v>
      </c>
      <c r="M622" s="1" t="s">
        <v>4720</v>
      </c>
      <c r="N622" s="2">
        <v>202509084300</v>
      </c>
      <c r="O622" s="47">
        <v>45986</v>
      </c>
    </row>
    <row r="623" spans="1:15" x14ac:dyDescent="0.4">
      <c r="A623" s="36">
        <v>2021</v>
      </c>
      <c r="B623" s="1" t="s">
        <v>4721</v>
      </c>
      <c r="C623" s="38">
        <v>45942</v>
      </c>
      <c r="D623" s="1" t="s">
        <v>1914</v>
      </c>
      <c r="E623" s="1" t="s">
        <v>4722</v>
      </c>
      <c r="F623" s="1" t="s">
        <v>36</v>
      </c>
      <c r="G623" s="1" t="s">
        <v>3843</v>
      </c>
      <c r="H623" s="1" t="s">
        <v>4723</v>
      </c>
      <c r="I623" s="1" t="s">
        <v>4724</v>
      </c>
      <c r="J623" s="38">
        <v>45999</v>
      </c>
      <c r="K623" s="1" t="s">
        <v>4725</v>
      </c>
      <c r="L623" s="1" t="s">
        <v>1572</v>
      </c>
      <c r="M623" s="1" t="s">
        <v>4726</v>
      </c>
      <c r="N623" s="2">
        <v>202509084026</v>
      </c>
      <c r="O623" s="47">
        <v>45985</v>
      </c>
    </row>
    <row r="624" spans="1:15" x14ac:dyDescent="0.4">
      <c r="A624" s="35">
        <v>2022</v>
      </c>
      <c r="B624" s="1" t="s">
        <v>4727</v>
      </c>
      <c r="C624" s="38">
        <v>45918</v>
      </c>
      <c r="D624" s="1" t="s">
        <v>411</v>
      </c>
      <c r="E624" s="1" t="s">
        <v>4728</v>
      </c>
      <c r="F624" s="1" t="s">
        <v>36</v>
      </c>
      <c r="G624" s="1" t="s">
        <v>4729</v>
      </c>
      <c r="H624" s="1" t="s">
        <v>4730</v>
      </c>
      <c r="I624" s="1" t="s">
        <v>4731</v>
      </c>
      <c r="J624" s="38">
        <v>45999</v>
      </c>
      <c r="K624" s="1" t="s">
        <v>4732</v>
      </c>
      <c r="L624" s="1" t="s">
        <v>4733</v>
      </c>
      <c r="M624" s="1" t="s">
        <v>4734</v>
      </c>
      <c r="N624" s="2">
        <v>202509084589</v>
      </c>
      <c r="O624" s="47">
        <v>45987</v>
      </c>
    </row>
    <row r="625" spans="1:15" x14ac:dyDescent="0.4">
      <c r="A625" s="36">
        <v>2023</v>
      </c>
      <c r="B625" s="1" t="s">
        <v>4735</v>
      </c>
      <c r="C625" s="38">
        <v>45940</v>
      </c>
      <c r="D625" s="1" t="s">
        <v>1218</v>
      </c>
      <c r="E625" s="1" t="s">
        <v>4736</v>
      </c>
      <c r="F625" s="1" t="s">
        <v>55</v>
      </c>
      <c r="G625" s="1" t="s">
        <v>4737</v>
      </c>
      <c r="H625" s="1" t="s">
        <v>4246</v>
      </c>
      <c r="I625" s="1" t="s">
        <v>4738</v>
      </c>
      <c r="J625" s="38">
        <v>45999</v>
      </c>
      <c r="K625" s="1" t="s">
        <v>4739</v>
      </c>
      <c r="L625" s="1" t="s">
        <v>2401</v>
      </c>
      <c r="M625" s="1" t="s">
        <v>4228</v>
      </c>
      <c r="N625" s="2">
        <v>202509083609</v>
      </c>
      <c r="O625" s="47">
        <v>45983</v>
      </c>
    </row>
    <row r="626" spans="1:15" x14ac:dyDescent="0.4">
      <c r="A626" s="35">
        <v>2024</v>
      </c>
      <c r="B626" s="1" t="s">
        <v>4740</v>
      </c>
      <c r="C626" s="38">
        <v>45756</v>
      </c>
      <c r="D626" s="1" t="s">
        <v>1931</v>
      </c>
      <c r="E626" s="1" t="s">
        <v>4741</v>
      </c>
      <c r="F626" s="1" t="s">
        <v>36</v>
      </c>
      <c r="G626" s="1" t="s">
        <v>4742</v>
      </c>
      <c r="H626" s="1" t="s">
        <v>4743</v>
      </c>
      <c r="I626" s="1" t="s">
        <v>4744</v>
      </c>
      <c r="J626" s="38">
        <v>45999</v>
      </c>
      <c r="K626" s="1" t="s">
        <v>4745</v>
      </c>
      <c r="L626" s="1" t="s">
        <v>4746</v>
      </c>
      <c r="M626" s="1" t="s">
        <v>4747</v>
      </c>
      <c r="N626" s="2">
        <v>202509041627</v>
      </c>
      <c r="O626" s="47">
        <v>45825</v>
      </c>
    </row>
    <row r="627" spans="1:15" x14ac:dyDescent="0.4">
      <c r="A627" s="36">
        <v>2025</v>
      </c>
      <c r="B627" s="1" t="s">
        <v>4748</v>
      </c>
      <c r="C627" s="38">
        <v>45911</v>
      </c>
      <c r="D627" s="1" t="s">
        <v>1931</v>
      </c>
      <c r="E627" s="1" t="s">
        <v>4749</v>
      </c>
      <c r="F627" s="1" t="s">
        <v>55</v>
      </c>
      <c r="G627" s="1" t="s">
        <v>4750</v>
      </c>
      <c r="H627" s="1" t="s">
        <v>740</v>
      </c>
      <c r="I627" s="1" t="s">
        <v>4751</v>
      </c>
      <c r="J627" s="38">
        <v>45999</v>
      </c>
      <c r="K627" s="1" t="s">
        <v>4752</v>
      </c>
      <c r="L627" s="1" t="s">
        <v>4753</v>
      </c>
      <c r="M627" s="1" t="s">
        <v>3147</v>
      </c>
      <c r="N627" s="2">
        <v>202509079867</v>
      </c>
      <c r="O627" s="47">
        <v>45970</v>
      </c>
    </row>
    <row r="628" spans="1:15" x14ac:dyDescent="0.4">
      <c r="A628" s="35">
        <v>2026</v>
      </c>
      <c r="B628" s="1" t="s">
        <v>4754</v>
      </c>
      <c r="C628" s="38">
        <v>45866</v>
      </c>
      <c r="D628" s="1" t="s">
        <v>509</v>
      </c>
      <c r="E628" s="1" t="s">
        <v>4755</v>
      </c>
      <c r="F628" s="1" t="s">
        <v>36</v>
      </c>
      <c r="G628" s="1" t="s">
        <v>4756</v>
      </c>
      <c r="H628" s="1" t="s">
        <v>4757</v>
      </c>
      <c r="I628" s="1" t="s">
        <v>4758</v>
      </c>
      <c r="J628" s="38">
        <v>45999</v>
      </c>
      <c r="K628" s="1" t="s">
        <v>4759</v>
      </c>
      <c r="L628" s="1" t="s">
        <v>4760</v>
      </c>
      <c r="M628" s="1" t="s">
        <v>4761</v>
      </c>
      <c r="N628" s="2">
        <v>202509081956</v>
      </c>
      <c r="O628" s="47">
        <v>45978</v>
      </c>
    </row>
    <row r="629" spans="1:15" x14ac:dyDescent="0.4">
      <c r="A629" s="36">
        <v>2027</v>
      </c>
      <c r="B629" s="1" t="s">
        <v>4762</v>
      </c>
      <c r="C629" s="38">
        <v>45962</v>
      </c>
      <c r="D629" s="1" t="s">
        <v>195</v>
      </c>
      <c r="E629" s="1" t="s">
        <v>4763</v>
      </c>
      <c r="F629" s="1" t="s">
        <v>36</v>
      </c>
      <c r="G629" s="1" t="s">
        <v>4764</v>
      </c>
      <c r="H629" s="1" t="s">
        <v>4765</v>
      </c>
      <c r="I629" s="1" t="s">
        <v>4766</v>
      </c>
      <c r="J629" s="38">
        <v>45999</v>
      </c>
      <c r="K629" s="1" t="s">
        <v>4767</v>
      </c>
      <c r="L629" s="1" t="s">
        <v>4768</v>
      </c>
      <c r="M629" s="1" t="s">
        <v>3832</v>
      </c>
      <c r="N629" s="2">
        <v>202509082342</v>
      </c>
      <c r="O629" s="47">
        <v>45979</v>
      </c>
    </row>
    <row r="630" spans="1:15" x14ac:dyDescent="0.4">
      <c r="A630" s="35">
        <v>2028</v>
      </c>
      <c r="B630" s="1" t="s">
        <v>4769</v>
      </c>
      <c r="C630" s="38">
        <v>45810</v>
      </c>
      <c r="D630" s="1" t="s">
        <v>509</v>
      </c>
      <c r="E630" s="1" t="s">
        <v>4770</v>
      </c>
      <c r="F630" s="1" t="s">
        <v>55</v>
      </c>
      <c r="G630" s="1" t="s">
        <v>4771</v>
      </c>
      <c r="H630" s="1" t="s">
        <v>4772</v>
      </c>
      <c r="I630" s="1" t="s">
        <v>4773</v>
      </c>
      <c r="J630" s="38">
        <v>45999</v>
      </c>
      <c r="K630" s="1" t="s">
        <v>4774</v>
      </c>
      <c r="L630" s="1" t="s">
        <v>4775</v>
      </c>
      <c r="M630" s="1" t="s">
        <v>4776</v>
      </c>
      <c r="N630" s="2">
        <v>202509079147</v>
      </c>
      <c r="O630" s="47">
        <v>45967</v>
      </c>
    </row>
    <row r="631" spans="1:15" x14ac:dyDescent="0.4">
      <c r="A631" s="36">
        <v>2029</v>
      </c>
      <c r="B631" s="1" t="s">
        <v>4777</v>
      </c>
      <c r="C631" s="38">
        <v>45843</v>
      </c>
      <c r="D631" s="1" t="s">
        <v>452</v>
      </c>
      <c r="E631" s="1" t="s">
        <v>4778</v>
      </c>
      <c r="F631" s="1" t="s">
        <v>36</v>
      </c>
      <c r="G631" s="1" t="s">
        <v>4779</v>
      </c>
      <c r="H631" s="1" t="s">
        <v>3242</v>
      </c>
      <c r="I631" s="1" t="s">
        <v>4780</v>
      </c>
      <c r="J631" s="38">
        <v>45999</v>
      </c>
      <c r="K631" s="1" t="s">
        <v>4781</v>
      </c>
      <c r="L631" s="1" t="s">
        <v>4782</v>
      </c>
      <c r="M631" s="1" t="s">
        <v>4783</v>
      </c>
      <c r="N631" s="2">
        <v>202509081129</v>
      </c>
      <c r="O631" s="47">
        <v>45974</v>
      </c>
    </row>
    <row r="632" spans="1:15" x14ac:dyDescent="0.4">
      <c r="A632" s="35">
        <v>2030</v>
      </c>
      <c r="B632" s="1" t="s">
        <v>4784</v>
      </c>
      <c r="C632" s="38">
        <v>45742</v>
      </c>
      <c r="D632" s="1" t="s">
        <v>1218</v>
      </c>
      <c r="E632" s="1" t="s">
        <v>4785</v>
      </c>
      <c r="F632" s="1" t="s">
        <v>36</v>
      </c>
      <c r="G632" s="1" t="s">
        <v>4786</v>
      </c>
      <c r="H632" s="1" t="s">
        <v>4787</v>
      </c>
      <c r="I632" s="1" t="s">
        <v>4788</v>
      </c>
      <c r="J632" s="38">
        <v>46001</v>
      </c>
      <c r="K632" s="1" t="s">
        <v>4789</v>
      </c>
      <c r="L632" s="1" t="s">
        <v>4790</v>
      </c>
      <c r="M632" s="1" t="s">
        <v>4791</v>
      </c>
      <c r="N632" s="2">
        <v>202509084045</v>
      </c>
      <c r="O632" s="47">
        <v>45985</v>
      </c>
    </row>
    <row r="633" spans="1:15" x14ac:dyDescent="0.4">
      <c r="A633" s="36">
        <v>2031</v>
      </c>
      <c r="B633" s="1" t="s">
        <v>4792</v>
      </c>
      <c r="C633" s="38">
        <v>45937</v>
      </c>
      <c r="D633" s="1" t="s">
        <v>536</v>
      </c>
      <c r="E633" s="1" t="s">
        <v>4793</v>
      </c>
      <c r="F633" s="1" t="s">
        <v>36</v>
      </c>
      <c r="G633" s="1" t="s">
        <v>4794</v>
      </c>
      <c r="H633" s="1" t="s">
        <v>4795</v>
      </c>
      <c r="I633" s="1" t="s">
        <v>4796</v>
      </c>
      <c r="J633" s="38">
        <v>46002</v>
      </c>
      <c r="K633" s="1" t="s">
        <v>4797</v>
      </c>
      <c r="L633" s="1" t="s">
        <v>4798</v>
      </c>
      <c r="M633" s="1" t="s">
        <v>4799</v>
      </c>
      <c r="N633" s="2">
        <v>202509081338</v>
      </c>
      <c r="O633" s="47">
        <v>45975</v>
      </c>
    </row>
    <row r="634" spans="1:15" x14ac:dyDescent="0.4">
      <c r="A634" s="35">
        <v>2032</v>
      </c>
      <c r="B634" s="1" t="s">
        <v>4800</v>
      </c>
      <c r="C634" s="38">
        <v>45709</v>
      </c>
      <c r="D634" s="1" t="s">
        <v>737</v>
      </c>
      <c r="E634" s="1" t="s">
        <v>4801</v>
      </c>
      <c r="F634" s="1" t="s">
        <v>55</v>
      </c>
      <c r="G634" s="1" t="s">
        <v>4802</v>
      </c>
      <c r="H634" s="1" t="s">
        <v>963</v>
      </c>
      <c r="I634" s="1" t="s">
        <v>4803</v>
      </c>
      <c r="J634" s="38">
        <v>46002</v>
      </c>
      <c r="K634" s="1" t="s">
        <v>4804</v>
      </c>
      <c r="L634" s="1" t="s">
        <v>4805</v>
      </c>
      <c r="M634" s="1" t="s">
        <v>4806</v>
      </c>
      <c r="N634" s="2">
        <v>202509081789</v>
      </c>
      <c r="O634" s="47">
        <v>45977</v>
      </c>
    </row>
    <row r="635" spans="1:15" x14ac:dyDescent="0.4">
      <c r="A635" s="36">
        <v>2033</v>
      </c>
      <c r="B635" s="1" t="s">
        <v>4807</v>
      </c>
      <c r="C635" s="38">
        <v>45891</v>
      </c>
      <c r="D635" s="1" t="s">
        <v>547</v>
      </c>
      <c r="E635" s="1" t="s">
        <v>4808</v>
      </c>
      <c r="F635" s="1" t="s">
        <v>55</v>
      </c>
      <c r="G635" s="1" t="s">
        <v>4809</v>
      </c>
      <c r="H635" s="1" t="s">
        <v>4810</v>
      </c>
      <c r="I635" s="1" t="s">
        <v>4811</v>
      </c>
      <c r="J635" s="38">
        <v>46002</v>
      </c>
      <c r="K635" s="1" t="s">
        <v>4812</v>
      </c>
      <c r="L635" s="1" t="s">
        <v>4813</v>
      </c>
      <c r="M635" s="1" t="s">
        <v>4814</v>
      </c>
      <c r="N635" s="2">
        <v>202509071727</v>
      </c>
      <c r="O635" s="47">
        <v>45939</v>
      </c>
    </row>
    <row r="636" spans="1:15" x14ac:dyDescent="0.4">
      <c r="A636" s="35">
        <v>2034</v>
      </c>
      <c r="B636" s="1" t="s">
        <v>4815</v>
      </c>
      <c r="C636" s="38">
        <v>45910</v>
      </c>
      <c r="D636" s="1" t="s">
        <v>452</v>
      </c>
      <c r="E636" s="1" t="s">
        <v>4816</v>
      </c>
      <c r="F636" s="1" t="s">
        <v>36</v>
      </c>
      <c r="G636" s="1" t="s">
        <v>4817</v>
      </c>
      <c r="H636" s="1" t="s">
        <v>4818</v>
      </c>
      <c r="I636" s="1" t="s">
        <v>4819</v>
      </c>
      <c r="J636" s="38">
        <v>46002</v>
      </c>
      <c r="K636" s="1" t="s">
        <v>4820</v>
      </c>
      <c r="L636" s="1" t="s">
        <v>4821</v>
      </c>
      <c r="M636" s="1" t="s">
        <v>4822</v>
      </c>
      <c r="N636" s="2">
        <v>202509084607</v>
      </c>
      <c r="O636" s="47">
        <v>45987</v>
      </c>
    </row>
    <row r="637" spans="1:15" x14ac:dyDescent="0.4">
      <c r="A637" s="36">
        <v>2035</v>
      </c>
      <c r="B637" s="1" t="s">
        <v>4823</v>
      </c>
      <c r="C637" s="38">
        <v>45932</v>
      </c>
      <c r="D637" s="1" t="s">
        <v>4672</v>
      </c>
      <c r="E637" s="1" t="s">
        <v>4824</v>
      </c>
      <c r="F637" s="1" t="s">
        <v>36</v>
      </c>
      <c r="G637" s="1" t="s">
        <v>4825</v>
      </c>
      <c r="H637" s="1" t="s">
        <v>4826</v>
      </c>
      <c r="I637" s="1" t="s">
        <v>4827</v>
      </c>
      <c r="J637" s="38">
        <v>46002</v>
      </c>
      <c r="K637" s="1" t="s">
        <v>4828</v>
      </c>
      <c r="L637" s="1" t="s">
        <v>4483</v>
      </c>
      <c r="M637" s="1" t="s">
        <v>4829</v>
      </c>
      <c r="N637" s="2">
        <v>202509083157</v>
      </c>
      <c r="O637" s="47">
        <v>45981</v>
      </c>
    </row>
    <row r="638" spans="1:15" x14ac:dyDescent="0.4">
      <c r="A638" s="35">
        <v>2036</v>
      </c>
      <c r="B638" s="1" t="s">
        <v>1180</v>
      </c>
      <c r="C638" s="38">
        <v>45941</v>
      </c>
      <c r="D638" s="1" t="s">
        <v>509</v>
      </c>
      <c r="E638" s="1" t="s">
        <v>4830</v>
      </c>
      <c r="F638" s="1" t="s">
        <v>55</v>
      </c>
      <c r="G638" s="1" t="s">
        <v>4831</v>
      </c>
      <c r="H638" s="1" t="s">
        <v>3589</v>
      </c>
      <c r="I638" s="1" t="s">
        <v>4832</v>
      </c>
      <c r="J638" s="38">
        <v>46002</v>
      </c>
      <c r="K638" s="1" t="s">
        <v>4833</v>
      </c>
      <c r="L638" s="1" t="s">
        <v>4189</v>
      </c>
      <c r="M638" s="1" t="s">
        <v>4834</v>
      </c>
      <c r="N638" s="2">
        <v>202509079855</v>
      </c>
      <c r="O638" s="47">
        <v>45970</v>
      </c>
    </row>
    <row r="639" spans="1:15" x14ac:dyDescent="0.4">
      <c r="A639" s="36">
        <v>2037</v>
      </c>
      <c r="B639" s="1" t="s">
        <v>4835</v>
      </c>
      <c r="C639" s="38">
        <v>45930</v>
      </c>
      <c r="D639" s="1" t="s">
        <v>854</v>
      </c>
      <c r="E639" s="1" t="s">
        <v>4836</v>
      </c>
      <c r="F639" s="1" t="s">
        <v>55</v>
      </c>
      <c r="G639" s="1" t="s">
        <v>4837</v>
      </c>
      <c r="H639" s="1" t="s">
        <v>4838</v>
      </c>
      <c r="I639" s="1" t="s">
        <v>4839</v>
      </c>
      <c r="J639" s="38">
        <v>46002</v>
      </c>
      <c r="K639" s="1" t="s">
        <v>4840</v>
      </c>
      <c r="L639" s="1" t="s">
        <v>4841</v>
      </c>
      <c r="M639" s="1" t="s">
        <v>3824</v>
      </c>
      <c r="N639" s="2">
        <v>202509084581</v>
      </c>
      <c r="O639" s="47">
        <v>45987</v>
      </c>
    </row>
    <row r="640" spans="1:15" x14ac:dyDescent="0.4">
      <c r="A640" s="35">
        <v>2038</v>
      </c>
      <c r="B640" s="1" t="s">
        <v>4842</v>
      </c>
      <c r="C640" s="38">
        <v>45927</v>
      </c>
      <c r="D640" s="1" t="s">
        <v>509</v>
      </c>
      <c r="E640" s="1" t="s">
        <v>4843</v>
      </c>
      <c r="F640" s="1" t="s">
        <v>36</v>
      </c>
      <c r="G640" s="1" t="s">
        <v>4844</v>
      </c>
      <c r="H640" s="1" t="s">
        <v>4845</v>
      </c>
      <c r="I640" s="1" t="s">
        <v>4846</v>
      </c>
      <c r="J640" s="38">
        <v>46002</v>
      </c>
      <c r="K640" s="1" t="s">
        <v>4847</v>
      </c>
      <c r="L640" s="1" t="s">
        <v>4848</v>
      </c>
      <c r="M640" s="1" t="s">
        <v>4849</v>
      </c>
      <c r="N640" s="2">
        <v>202509082426</v>
      </c>
      <c r="O640" s="47">
        <v>45979</v>
      </c>
    </row>
    <row r="641" spans="1:15" x14ac:dyDescent="0.4">
      <c r="A641" s="36">
        <v>2039</v>
      </c>
      <c r="B641" s="1" t="s">
        <v>4850</v>
      </c>
      <c r="C641" s="38">
        <v>45831</v>
      </c>
      <c r="D641" s="1" t="s">
        <v>411</v>
      </c>
      <c r="E641" s="1" t="s">
        <v>4851</v>
      </c>
      <c r="F641" s="1" t="s">
        <v>55</v>
      </c>
      <c r="G641" s="1" t="s">
        <v>4852</v>
      </c>
      <c r="H641" s="1" t="s">
        <v>4853</v>
      </c>
      <c r="I641" s="1" t="s">
        <v>4854</v>
      </c>
      <c r="J641" s="38">
        <v>46002</v>
      </c>
      <c r="K641" s="1" t="s">
        <v>4855</v>
      </c>
      <c r="L641" s="1" t="s">
        <v>4856</v>
      </c>
      <c r="M641" s="1" t="s">
        <v>4857</v>
      </c>
      <c r="N641" s="2">
        <v>202509083604</v>
      </c>
      <c r="O641" s="47">
        <v>45983</v>
      </c>
    </row>
    <row r="642" spans="1:15" x14ac:dyDescent="0.4">
      <c r="A642" s="35">
        <v>2040</v>
      </c>
      <c r="B642" s="1" t="s">
        <v>4858</v>
      </c>
      <c r="C642" s="38">
        <v>45634</v>
      </c>
      <c r="D642" s="1" t="s">
        <v>1218</v>
      </c>
      <c r="E642" s="1" t="s">
        <v>4859</v>
      </c>
      <c r="F642" s="1" t="s">
        <v>55</v>
      </c>
      <c r="G642" s="1" t="s">
        <v>4860</v>
      </c>
      <c r="H642" s="1" t="s">
        <v>4861</v>
      </c>
      <c r="I642" s="1" t="s">
        <v>4862</v>
      </c>
      <c r="J642" s="38">
        <v>46002</v>
      </c>
      <c r="K642" s="1" t="s">
        <v>4863</v>
      </c>
      <c r="L642" s="1" t="s">
        <v>4864</v>
      </c>
      <c r="M642" s="1" t="s">
        <v>3788</v>
      </c>
      <c r="N642" s="2">
        <v>202509081334</v>
      </c>
      <c r="O642" s="47">
        <v>45975</v>
      </c>
    </row>
    <row r="643" spans="1:15" x14ac:dyDescent="0.4">
      <c r="A643" s="36">
        <v>2041</v>
      </c>
      <c r="B643" s="1" t="s">
        <v>4865</v>
      </c>
      <c r="C643" s="38">
        <v>45891</v>
      </c>
      <c r="D643" s="1" t="s">
        <v>1931</v>
      </c>
      <c r="E643" s="1" t="s">
        <v>4866</v>
      </c>
      <c r="F643" s="1" t="s">
        <v>55</v>
      </c>
      <c r="G643" s="1" t="s">
        <v>4867</v>
      </c>
      <c r="H643" s="1" t="s">
        <v>4868</v>
      </c>
      <c r="I643" s="1" t="s">
        <v>4869</v>
      </c>
      <c r="J643" s="38">
        <v>46002</v>
      </c>
      <c r="K643" s="1" t="s">
        <v>158</v>
      </c>
      <c r="L643" s="1" t="s">
        <v>4870</v>
      </c>
      <c r="M643" s="1" t="s">
        <v>4105</v>
      </c>
      <c r="N643" s="2">
        <v>202509072081</v>
      </c>
      <c r="O643" s="47">
        <v>45941</v>
      </c>
    </row>
    <row r="644" spans="1:15" x14ac:dyDescent="0.4">
      <c r="A644" s="35">
        <v>2042</v>
      </c>
      <c r="B644" s="1" t="s">
        <v>4871</v>
      </c>
      <c r="C644" s="38">
        <v>45892</v>
      </c>
      <c r="D644" s="1" t="s">
        <v>2672</v>
      </c>
      <c r="E644" s="1" t="s">
        <v>4872</v>
      </c>
      <c r="F644" s="1" t="s">
        <v>36</v>
      </c>
      <c r="G644" s="1" t="s">
        <v>4873</v>
      </c>
      <c r="H644" s="1" t="s">
        <v>4874</v>
      </c>
      <c r="I644" s="1" t="s">
        <v>4875</v>
      </c>
      <c r="J644" s="38">
        <v>46003</v>
      </c>
      <c r="K644" s="1" t="s">
        <v>4876</v>
      </c>
      <c r="L644" s="1" t="s">
        <v>4877</v>
      </c>
      <c r="M644" s="1" t="s">
        <v>4878</v>
      </c>
      <c r="N644" s="2">
        <v>202509078342</v>
      </c>
      <c r="O644" s="47">
        <v>45964</v>
      </c>
    </row>
    <row r="645" spans="1:15" x14ac:dyDescent="0.4">
      <c r="A645" s="36">
        <v>2043</v>
      </c>
      <c r="B645" s="1" t="s">
        <v>4879</v>
      </c>
      <c r="C645" s="38">
        <v>45943</v>
      </c>
      <c r="D645" s="1" t="s">
        <v>737</v>
      </c>
      <c r="E645" s="1" t="s">
        <v>4880</v>
      </c>
      <c r="F645" s="1" t="s">
        <v>55</v>
      </c>
      <c r="G645" s="1" t="s">
        <v>4881</v>
      </c>
      <c r="H645" s="1" t="s">
        <v>4882</v>
      </c>
      <c r="I645" s="1" t="s">
        <v>4883</v>
      </c>
      <c r="J645" s="38">
        <v>46003</v>
      </c>
      <c r="K645" s="1" t="s">
        <v>4884</v>
      </c>
      <c r="L645" s="1" t="s">
        <v>4885</v>
      </c>
      <c r="M645" s="1" t="s">
        <v>4886</v>
      </c>
      <c r="N645" s="2">
        <v>202509081005</v>
      </c>
      <c r="O645" s="47">
        <v>45974</v>
      </c>
    </row>
    <row r="646" spans="1:15" x14ac:dyDescent="0.4">
      <c r="A646" s="35">
        <v>2044</v>
      </c>
      <c r="B646" s="1" t="s">
        <v>4887</v>
      </c>
      <c r="C646" s="38">
        <v>45899</v>
      </c>
      <c r="D646" s="1" t="s">
        <v>90</v>
      </c>
      <c r="E646" s="1" t="s">
        <v>4888</v>
      </c>
      <c r="F646" s="1" t="s">
        <v>36</v>
      </c>
      <c r="G646" s="1" t="s">
        <v>4889</v>
      </c>
      <c r="H646" s="1" t="s">
        <v>4890</v>
      </c>
      <c r="I646" s="1" t="s">
        <v>4891</v>
      </c>
      <c r="J646" s="38">
        <v>46003</v>
      </c>
      <c r="K646" s="1" t="s">
        <v>4892</v>
      </c>
      <c r="L646" s="1" t="s">
        <v>1200</v>
      </c>
      <c r="M646" s="1" t="s">
        <v>4160</v>
      </c>
      <c r="N646" s="2">
        <v>202509082833</v>
      </c>
      <c r="O646" s="47">
        <v>45980</v>
      </c>
    </row>
    <row r="647" spans="1:15" x14ac:dyDescent="0.4">
      <c r="A647" s="36">
        <v>2045</v>
      </c>
      <c r="B647" s="1" t="s">
        <v>4893</v>
      </c>
      <c r="C647" s="38">
        <v>45903</v>
      </c>
      <c r="D647" s="1" t="s">
        <v>904</v>
      </c>
      <c r="E647" s="1" t="s">
        <v>4894</v>
      </c>
      <c r="F647" s="1" t="s">
        <v>36</v>
      </c>
      <c r="G647" s="1" t="s">
        <v>4895</v>
      </c>
      <c r="H647" s="1" t="s">
        <v>963</v>
      </c>
      <c r="I647" s="1" t="s">
        <v>4896</v>
      </c>
      <c r="J647" s="38">
        <v>46003</v>
      </c>
      <c r="K647" s="1" t="s">
        <v>4897</v>
      </c>
      <c r="L647" s="1" t="s">
        <v>4898</v>
      </c>
      <c r="M647" s="1" t="s">
        <v>3075</v>
      </c>
      <c r="N647" s="2">
        <v>202509084630</v>
      </c>
      <c r="O647" s="47">
        <v>45987</v>
      </c>
    </row>
    <row r="648" spans="1:15" x14ac:dyDescent="0.4">
      <c r="A648" s="35">
        <v>2046</v>
      </c>
      <c r="B648" s="1" t="s">
        <v>4899</v>
      </c>
      <c r="C648" s="38">
        <v>45952</v>
      </c>
      <c r="D648" s="1" t="s">
        <v>536</v>
      </c>
      <c r="E648" s="1" t="s">
        <v>4900</v>
      </c>
      <c r="F648" s="1" t="s">
        <v>36</v>
      </c>
      <c r="G648" s="1" t="s">
        <v>4901</v>
      </c>
      <c r="H648" s="1" t="s">
        <v>4902</v>
      </c>
      <c r="I648" s="1" t="s">
        <v>4903</v>
      </c>
      <c r="J648" s="38">
        <v>46003</v>
      </c>
      <c r="K648" s="1" t="s">
        <v>4904</v>
      </c>
      <c r="L648" s="1" t="s">
        <v>4905</v>
      </c>
      <c r="M648" s="1" t="s">
        <v>4702</v>
      </c>
      <c r="N648" s="2">
        <v>202509081988</v>
      </c>
      <c r="O648" s="47">
        <v>45978</v>
      </c>
    </row>
    <row r="649" spans="1:15" x14ac:dyDescent="0.4">
      <c r="A649" s="36">
        <v>2047</v>
      </c>
      <c r="B649" s="1" t="s">
        <v>4906</v>
      </c>
      <c r="C649" s="38">
        <v>45924</v>
      </c>
      <c r="D649" s="1" t="s">
        <v>509</v>
      </c>
      <c r="E649" s="1" t="s">
        <v>4907</v>
      </c>
      <c r="F649" s="1" t="s">
        <v>55</v>
      </c>
      <c r="G649" s="1" t="s">
        <v>4908</v>
      </c>
      <c r="H649" s="1" t="s">
        <v>4909</v>
      </c>
      <c r="I649" s="1" t="s">
        <v>4910</v>
      </c>
      <c r="J649" s="38">
        <v>46003</v>
      </c>
      <c r="K649" s="1" t="s">
        <v>4911</v>
      </c>
      <c r="L649" s="1" t="s">
        <v>309</v>
      </c>
      <c r="M649" s="1" t="s">
        <v>4912</v>
      </c>
      <c r="N649" s="2">
        <v>202509078881</v>
      </c>
      <c r="O649" s="47">
        <v>45966</v>
      </c>
    </row>
    <row r="650" spans="1:15" x14ac:dyDescent="0.4">
      <c r="A650" s="35">
        <v>2048</v>
      </c>
      <c r="B650" s="1" t="s">
        <v>4913</v>
      </c>
      <c r="C650" s="38">
        <v>45928</v>
      </c>
      <c r="D650" s="1" t="s">
        <v>904</v>
      </c>
      <c r="E650" s="1" t="s">
        <v>4914</v>
      </c>
      <c r="F650" s="1" t="s">
        <v>55</v>
      </c>
      <c r="G650" s="1" t="s">
        <v>4915</v>
      </c>
      <c r="H650" s="1" t="s">
        <v>4916</v>
      </c>
      <c r="I650" s="1" t="s">
        <v>4917</v>
      </c>
      <c r="J650" s="38">
        <v>46003</v>
      </c>
      <c r="K650" s="1" t="s">
        <v>4918</v>
      </c>
      <c r="L650" s="1" t="s">
        <v>4919</v>
      </c>
      <c r="M650" s="1" t="s">
        <v>4920</v>
      </c>
      <c r="N650" s="2">
        <v>202509075222</v>
      </c>
      <c r="O650" s="47">
        <v>45953</v>
      </c>
    </row>
    <row r="651" spans="1:15" x14ac:dyDescent="0.4">
      <c r="A651" s="36">
        <v>2049</v>
      </c>
      <c r="B651" s="1" t="s">
        <v>4921</v>
      </c>
      <c r="C651" s="38">
        <v>45916</v>
      </c>
      <c r="D651" s="1" t="s">
        <v>536</v>
      </c>
      <c r="E651" s="1" t="s">
        <v>4922</v>
      </c>
      <c r="F651" s="1" t="s">
        <v>36</v>
      </c>
      <c r="G651" s="1" t="s">
        <v>4923</v>
      </c>
      <c r="H651" s="1" t="s">
        <v>4924</v>
      </c>
      <c r="I651" s="1" t="s">
        <v>4925</v>
      </c>
      <c r="J651" s="38">
        <v>46003</v>
      </c>
      <c r="K651" s="1" t="s">
        <v>4926</v>
      </c>
      <c r="L651" s="1" t="s">
        <v>4927</v>
      </c>
      <c r="M651" s="1" t="s">
        <v>4928</v>
      </c>
      <c r="N651" s="2">
        <v>202509081799</v>
      </c>
      <c r="O651" s="47">
        <v>45977</v>
      </c>
    </row>
    <row r="652" spans="1:15" x14ac:dyDescent="0.4">
      <c r="A652" s="35">
        <v>2050</v>
      </c>
      <c r="B652" s="1" t="s">
        <v>4929</v>
      </c>
      <c r="C652" s="38">
        <v>45905</v>
      </c>
      <c r="D652" s="1" t="s">
        <v>547</v>
      </c>
      <c r="E652" s="1" t="s">
        <v>4930</v>
      </c>
      <c r="F652" s="1" t="s">
        <v>55</v>
      </c>
      <c r="G652" s="1" t="s">
        <v>635</v>
      </c>
      <c r="H652" s="1" t="s">
        <v>4931</v>
      </c>
      <c r="I652" s="1" t="s">
        <v>4932</v>
      </c>
      <c r="J652" s="38">
        <v>46003</v>
      </c>
      <c r="K652" s="1" t="s">
        <v>4933</v>
      </c>
      <c r="L652" s="1" t="s">
        <v>716</v>
      </c>
      <c r="M652" s="1" t="s">
        <v>4934</v>
      </c>
      <c r="N652" s="2">
        <v>202509085631</v>
      </c>
      <c r="O652" s="47">
        <v>45990</v>
      </c>
    </row>
    <row r="653" spans="1:15" x14ac:dyDescent="0.4">
      <c r="A653" s="36">
        <v>2051</v>
      </c>
      <c r="B653" s="1" t="s">
        <v>4935</v>
      </c>
      <c r="C653" s="38">
        <v>45892</v>
      </c>
      <c r="D653" s="1" t="s">
        <v>2098</v>
      </c>
      <c r="E653" s="1" t="s">
        <v>4936</v>
      </c>
      <c r="F653" s="1" t="s">
        <v>36</v>
      </c>
      <c r="G653" s="1" t="s">
        <v>4466</v>
      </c>
      <c r="H653" s="1" t="s">
        <v>875</v>
      </c>
      <c r="I653" s="1" t="s">
        <v>4937</v>
      </c>
      <c r="J653" s="38">
        <v>46003</v>
      </c>
      <c r="K653" s="1" t="s">
        <v>4938</v>
      </c>
      <c r="L653" s="1" t="s">
        <v>4939</v>
      </c>
      <c r="M653" s="1" t="s">
        <v>4940</v>
      </c>
      <c r="N653" s="2">
        <v>202509070583</v>
      </c>
      <c r="O653" s="47">
        <v>45936</v>
      </c>
    </row>
    <row r="654" spans="1:15" x14ac:dyDescent="0.4">
      <c r="A654" s="35">
        <v>2052</v>
      </c>
      <c r="B654" s="1" t="s">
        <v>1417</v>
      </c>
      <c r="C654" s="38">
        <v>45711</v>
      </c>
      <c r="D654" s="1" t="s">
        <v>536</v>
      </c>
      <c r="E654" s="1" t="s">
        <v>4941</v>
      </c>
      <c r="F654" s="1" t="s">
        <v>55</v>
      </c>
      <c r="G654" s="1" t="s">
        <v>4942</v>
      </c>
      <c r="H654" s="1" t="s">
        <v>4943</v>
      </c>
      <c r="I654" s="1" t="s">
        <v>4944</v>
      </c>
      <c r="J654" s="38">
        <v>46003</v>
      </c>
      <c r="K654" s="1" t="s">
        <v>4945</v>
      </c>
      <c r="L654" s="1" t="s">
        <v>4946</v>
      </c>
      <c r="M654" s="1" t="s">
        <v>4947</v>
      </c>
      <c r="N654" s="2">
        <v>202509081917</v>
      </c>
      <c r="O654" s="47">
        <v>45978</v>
      </c>
    </row>
    <row r="655" spans="1:15" x14ac:dyDescent="0.4">
      <c r="A655" s="36">
        <v>2053</v>
      </c>
      <c r="B655" s="1" t="s">
        <v>4948</v>
      </c>
      <c r="C655" s="38">
        <v>45872</v>
      </c>
      <c r="D655" s="1" t="s">
        <v>2098</v>
      </c>
      <c r="E655" s="1" t="s">
        <v>4949</v>
      </c>
      <c r="F655" s="1" t="s">
        <v>55</v>
      </c>
      <c r="G655" s="1" t="s">
        <v>4950</v>
      </c>
      <c r="H655" s="1" t="s">
        <v>4951</v>
      </c>
      <c r="I655" s="1" t="s">
        <v>4952</v>
      </c>
      <c r="J655" s="38">
        <v>46003</v>
      </c>
      <c r="K655" s="1" t="s">
        <v>4953</v>
      </c>
      <c r="L655" s="1" t="s">
        <v>4954</v>
      </c>
      <c r="M655" s="1" t="s">
        <v>3848</v>
      </c>
      <c r="N655" s="2">
        <v>202509067369</v>
      </c>
      <c r="O655" s="47">
        <v>45923</v>
      </c>
    </row>
    <row r="656" spans="1:15" x14ac:dyDescent="0.4">
      <c r="A656" s="35">
        <v>2054</v>
      </c>
      <c r="B656" s="1" t="s">
        <v>4955</v>
      </c>
      <c r="C656" s="38">
        <v>45905</v>
      </c>
      <c r="D656" s="1" t="s">
        <v>509</v>
      </c>
      <c r="E656" s="1" t="s">
        <v>4956</v>
      </c>
      <c r="F656" s="1" t="s">
        <v>55</v>
      </c>
      <c r="G656" s="1" t="s">
        <v>4957</v>
      </c>
      <c r="H656" s="1" t="s">
        <v>4958</v>
      </c>
      <c r="I656" s="1" t="s">
        <v>4959</v>
      </c>
      <c r="J656" s="38">
        <v>46006</v>
      </c>
      <c r="K656" s="1" t="s">
        <v>4960</v>
      </c>
      <c r="L656" s="1" t="s">
        <v>4961</v>
      </c>
      <c r="M656" s="1" t="s">
        <v>4962</v>
      </c>
      <c r="N656" s="2">
        <v>202509086312</v>
      </c>
      <c r="O656" s="47">
        <v>45993</v>
      </c>
    </row>
    <row r="657" spans="1:15" x14ac:dyDescent="0.4">
      <c r="A657" s="36">
        <v>2055</v>
      </c>
      <c r="B657" s="1" t="s">
        <v>4963</v>
      </c>
      <c r="C657" s="38">
        <v>45877</v>
      </c>
      <c r="D657" s="1" t="s">
        <v>2098</v>
      </c>
      <c r="E657" s="1" t="s">
        <v>4964</v>
      </c>
      <c r="F657" s="1" t="s">
        <v>55</v>
      </c>
      <c r="G657" s="1" t="s">
        <v>3912</v>
      </c>
      <c r="H657" s="1" t="s">
        <v>4965</v>
      </c>
      <c r="I657" s="1" t="s">
        <v>4966</v>
      </c>
      <c r="J657" s="38">
        <v>46006</v>
      </c>
      <c r="K657" s="1" t="s">
        <v>4967</v>
      </c>
      <c r="L657" s="1" t="s">
        <v>4968</v>
      </c>
      <c r="M657" s="1" t="s">
        <v>4969</v>
      </c>
      <c r="N657" s="2">
        <v>202509080038</v>
      </c>
      <c r="O657" s="47">
        <v>45971</v>
      </c>
    </row>
    <row r="658" spans="1:15" x14ac:dyDescent="0.4">
      <c r="A658" s="35">
        <v>2056</v>
      </c>
      <c r="B658" s="1" t="s">
        <v>4970</v>
      </c>
      <c r="C658" s="38">
        <v>45789</v>
      </c>
      <c r="D658" s="1" t="s">
        <v>536</v>
      </c>
      <c r="E658" s="1" t="s">
        <v>4971</v>
      </c>
      <c r="F658" s="1" t="s">
        <v>55</v>
      </c>
      <c r="G658" s="1" t="s">
        <v>4972</v>
      </c>
      <c r="H658" s="1" t="s">
        <v>4973</v>
      </c>
      <c r="I658" s="1" t="s">
        <v>4974</v>
      </c>
      <c r="J658" s="38">
        <v>46006</v>
      </c>
      <c r="K658" s="1" t="s">
        <v>4975</v>
      </c>
      <c r="L658" s="1" t="s">
        <v>2788</v>
      </c>
      <c r="M658" s="1" t="s">
        <v>4976</v>
      </c>
      <c r="N658" s="2">
        <v>202509067898</v>
      </c>
      <c r="O658" s="47">
        <v>45924</v>
      </c>
    </row>
    <row r="659" spans="1:15" x14ac:dyDescent="0.4">
      <c r="A659" s="36">
        <v>2057</v>
      </c>
      <c r="B659" s="1" t="s">
        <v>1426</v>
      </c>
      <c r="C659" s="38">
        <v>45703</v>
      </c>
      <c r="D659" s="1" t="s">
        <v>509</v>
      </c>
      <c r="E659" s="1" t="s">
        <v>4977</v>
      </c>
      <c r="F659" s="1" t="s">
        <v>55</v>
      </c>
      <c r="G659" s="1" t="s">
        <v>4978</v>
      </c>
      <c r="H659" s="1" t="s">
        <v>3589</v>
      </c>
      <c r="I659" s="1" t="s">
        <v>4979</v>
      </c>
      <c r="J659" s="38">
        <v>46006</v>
      </c>
      <c r="K659" s="1" t="s">
        <v>4980</v>
      </c>
      <c r="L659" s="1" t="s">
        <v>4981</v>
      </c>
      <c r="M659" s="1" t="s">
        <v>4982</v>
      </c>
      <c r="N659" s="2">
        <v>202509083042</v>
      </c>
      <c r="O659" s="47">
        <v>45981</v>
      </c>
    </row>
    <row r="660" spans="1:15" x14ac:dyDescent="0.4">
      <c r="A660" s="35">
        <v>2058</v>
      </c>
      <c r="B660" s="1" t="s">
        <v>4983</v>
      </c>
      <c r="C660" s="38">
        <v>45922</v>
      </c>
      <c r="D660" s="1" t="s">
        <v>1737</v>
      </c>
      <c r="E660" s="1" t="s">
        <v>4984</v>
      </c>
      <c r="F660" s="1" t="s">
        <v>36</v>
      </c>
      <c r="G660" s="1" t="s">
        <v>4985</v>
      </c>
      <c r="H660" s="1" t="s">
        <v>4986</v>
      </c>
      <c r="I660" s="1" t="s">
        <v>4987</v>
      </c>
      <c r="J660" s="38">
        <v>46006</v>
      </c>
      <c r="K660" s="1" t="s">
        <v>4988</v>
      </c>
      <c r="L660" s="1" t="s">
        <v>4989</v>
      </c>
      <c r="M660" s="1" t="s">
        <v>4990</v>
      </c>
      <c r="N660" s="2">
        <v>202509081970</v>
      </c>
      <c r="O660" s="47">
        <v>45978</v>
      </c>
    </row>
    <row r="661" spans="1:15" x14ac:dyDescent="0.4">
      <c r="A661" s="36">
        <v>2059</v>
      </c>
      <c r="B661" s="1" t="s">
        <v>4991</v>
      </c>
      <c r="C661" s="38">
        <v>45882</v>
      </c>
      <c r="D661" s="1" t="s">
        <v>509</v>
      </c>
      <c r="E661" s="1" t="s">
        <v>4992</v>
      </c>
      <c r="F661" s="1" t="s">
        <v>55</v>
      </c>
      <c r="G661" s="1" t="s">
        <v>4993</v>
      </c>
      <c r="H661" s="1" t="s">
        <v>4994</v>
      </c>
      <c r="I661" s="1" t="s">
        <v>4995</v>
      </c>
      <c r="J661" s="38">
        <v>46006</v>
      </c>
      <c r="K661" s="1" t="s">
        <v>4996</v>
      </c>
      <c r="L661" s="1" t="s">
        <v>4997</v>
      </c>
      <c r="M661" s="1" t="s">
        <v>4998</v>
      </c>
      <c r="N661" s="2">
        <v>202509086117</v>
      </c>
      <c r="O661" s="47">
        <v>45992</v>
      </c>
    </row>
    <row r="662" spans="1:15" x14ac:dyDescent="0.4">
      <c r="A662" s="35">
        <v>2060</v>
      </c>
      <c r="B662" s="1" t="s">
        <v>4999</v>
      </c>
      <c r="C662" s="38">
        <v>45798</v>
      </c>
      <c r="D662" s="1" t="s">
        <v>5000</v>
      </c>
      <c r="E662" s="1" t="s">
        <v>5001</v>
      </c>
      <c r="F662" s="1" t="s">
        <v>55</v>
      </c>
      <c r="G662" s="1" t="s">
        <v>5002</v>
      </c>
      <c r="H662" s="1" t="s">
        <v>5003</v>
      </c>
      <c r="I662" s="1" t="s">
        <v>5004</v>
      </c>
      <c r="J662" s="38">
        <v>46006</v>
      </c>
      <c r="K662" s="1" t="s">
        <v>5005</v>
      </c>
      <c r="L662" s="1" t="s">
        <v>2702</v>
      </c>
      <c r="M662" s="1" t="s">
        <v>5006</v>
      </c>
      <c r="N662" s="2">
        <v>202509083154</v>
      </c>
      <c r="O662" s="47">
        <v>45981</v>
      </c>
    </row>
    <row r="663" spans="1:15" x14ac:dyDescent="0.4">
      <c r="A663" s="36">
        <v>2061</v>
      </c>
      <c r="B663" s="1" t="s">
        <v>5007</v>
      </c>
      <c r="C663" s="38">
        <v>45944</v>
      </c>
      <c r="D663" s="1" t="s">
        <v>536</v>
      </c>
      <c r="E663" s="1" t="s">
        <v>5008</v>
      </c>
      <c r="F663" s="1" t="s">
        <v>36</v>
      </c>
      <c r="G663" s="1" t="s">
        <v>5009</v>
      </c>
      <c r="H663" s="1" t="s">
        <v>5010</v>
      </c>
      <c r="I663" s="1" t="s">
        <v>5011</v>
      </c>
      <c r="J663" s="38">
        <v>46006</v>
      </c>
      <c r="K663" s="1" t="s">
        <v>5012</v>
      </c>
      <c r="L663" s="1" t="s">
        <v>5013</v>
      </c>
      <c r="M663" s="1" t="s">
        <v>5014</v>
      </c>
      <c r="N663" s="2">
        <v>202509082703</v>
      </c>
      <c r="O663" s="47">
        <v>45980</v>
      </c>
    </row>
    <row r="664" spans="1:15" x14ac:dyDescent="0.4">
      <c r="A664" s="35">
        <v>2062</v>
      </c>
      <c r="B664" s="1" t="s">
        <v>5015</v>
      </c>
      <c r="C664" s="38">
        <v>45829</v>
      </c>
      <c r="D664" s="1" t="s">
        <v>527</v>
      </c>
      <c r="E664" s="1" t="s">
        <v>5016</v>
      </c>
      <c r="F664" s="1" t="s">
        <v>36</v>
      </c>
      <c r="G664" s="1" t="s">
        <v>5017</v>
      </c>
      <c r="H664" s="1" t="s">
        <v>3242</v>
      </c>
      <c r="I664" s="1" t="s">
        <v>5018</v>
      </c>
      <c r="J664" s="38">
        <v>46006</v>
      </c>
      <c r="K664" s="1" t="s">
        <v>5019</v>
      </c>
      <c r="L664" s="1" t="s">
        <v>5020</v>
      </c>
      <c r="M664" s="1" t="s">
        <v>5021</v>
      </c>
      <c r="N664" s="2">
        <v>202509068544</v>
      </c>
      <c r="O664" s="47">
        <v>45927</v>
      </c>
    </row>
    <row r="665" spans="1:15" x14ac:dyDescent="0.4">
      <c r="A665" s="36">
        <v>2063</v>
      </c>
      <c r="B665" s="1" t="s">
        <v>5022</v>
      </c>
      <c r="C665" s="38">
        <v>45951</v>
      </c>
      <c r="D665" s="1" t="s">
        <v>670</v>
      </c>
      <c r="E665" s="1" t="s">
        <v>5023</v>
      </c>
      <c r="F665" s="1" t="s">
        <v>55</v>
      </c>
      <c r="G665" s="1" t="s">
        <v>5024</v>
      </c>
      <c r="H665" s="1" t="s">
        <v>592</v>
      </c>
      <c r="I665" s="1" t="s">
        <v>5025</v>
      </c>
      <c r="J665" s="38">
        <v>46006</v>
      </c>
      <c r="K665" s="1" t="s">
        <v>5026</v>
      </c>
      <c r="L665" s="1" t="s">
        <v>5027</v>
      </c>
      <c r="M665" s="1" t="s">
        <v>5028</v>
      </c>
      <c r="N665" s="2">
        <v>202509082702</v>
      </c>
      <c r="O665" s="47">
        <v>45980</v>
      </c>
    </row>
    <row r="666" spans="1:15" x14ac:dyDescent="0.4">
      <c r="A666" s="35">
        <v>2064</v>
      </c>
      <c r="B666" s="1" t="s">
        <v>5029</v>
      </c>
      <c r="C666" s="38">
        <v>45789</v>
      </c>
      <c r="D666" s="1" t="s">
        <v>509</v>
      </c>
      <c r="E666" s="1" t="s">
        <v>5030</v>
      </c>
      <c r="F666" s="1" t="s">
        <v>36</v>
      </c>
      <c r="G666" s="1" t="s">
        <v>5031</v>
      </c>
      <c r="H666" s="1" t="s">
        <v>3984</v>
      </c>
      <c r="I666" s="1" t="s">
        <v>5032</v>
      </c>
      <c r="J666" s="38">
        <v>46006</v>
      </c>
      <c r="K666" s="1" t="s">
        <v>5033</v>
      </c>
      <c r="L666" s="1" t="s">
        <v>3215</v>
      </c>
      <c r="M666" s="1" t="s">
        <v>3200</v>
      </c>
      <c r="N666" s="2">
        <v>202509080023</v>
      </c>
      <c r="O666" s="47">
        <v>45971</v>
      </c>
    </row>
    <row r="667" spans="1:15" x14ac:dyDescent="0.4">
      <c r="A667" s="36">
        <v>2065</v>
      </c>
      <c r="B667" s="1" t="s">
        <v>5034</v>
      </c>
      <c r="C667" s="38">
        <v>45851</v>
      </c>
      <c r="D667" s="1" t="s">
        <v>904</v>
      </c>
      <c r="E667" s="1" t="s">
        <v>5035</v>
      </c>
      <c r="F667" s="1" t="s">
        <v>55</v>
      </c>
      <c r="G667" s="1" t="s">
        <v>3054</v>
      </c>
      <c r="H667" s="1" t="s">
        <v>5036</v>
      </c>
      <c r="I667" s="1" t="s">
        <v>5037</v>
      </c>
      <c r="J667" s="38">
        <v>46006</v>
      </c>
      <c r="K667" s="1" t="s">
        <v>5038</v>
      </c>
      <c r="L667" s="1" t="s">
        <v>5039</v>
      </c>
      <c r="M667" s="1" t="s">
        <v>5040</v>
      </c>
      <c r="N667" s="2">
        <v>202509078866</v>
      </c>
      <c r="O667" s="47">
        <v>45966</v>
      </c>
    </row>
    <row r="668" spans="1:15" x14ac:dyDescent="0.4">
      <c r="A668" s="35">
        <v>2066</v>
      </c>
      <c r="B668" s="1" t="s">
        <v>5041</v>
      </c>
      <c r="C668" s="38">
        <v>45872</v>
      </c>
      <c r="D668" s="1" t="s">
        <v>44</v>
      </c>
      <c r="E668" s="1" t="s">
        <v>5042</v>
      </c>
      <c r="F668" s="1" t="s">
        <v>55</v>
      </c>
      <c r="G668" s="1" t="s">
        <v>5043</v>
      </c>
      <c r="H668" s="1" t="s">
        <v>5044</v>
      </c>
      <c r="I668" s="1" t="s">
        <v>5045</v>
      </c>
      <c r="J668" s="38">
        <v>46006</v>
      </c>
      <c r="K668" s="1" t="s">
        <v>5046</v>
      </c>
      <c r="L668" s="1" t="s">
        <v>5047</v>
      </c>
      <c r="M668" s="1" t="s">
        <v>3540</v>
      </c>
      <c r="N668" s="2">
        <v>202509077796</v>
      </c>
      <c r="O668" s="47">
        <v>45962</v>
      </c>
    </row>
    <row r="669" spans="1:15" x14ac:dyDescent="0.4">
      <c r="A669" s="36">
        <v>2067</v>
      </c>
      <c r="B669" s="1" t="s">
        <v>5048</v>
      </c>
      <c r="C669" s="38">
        <v>45885</v>
      </c>
      <c r="D669" s="1" t="s">
        <v>547</v>
      </c>
      <c r="E669" s="1" t="s">
        <v>5049</v>
      </c>
      <c r="F669" s="1" t="s">
        <v>36</v>
      </c>
      <c r="G669" s="1" t="s">
        <v>5050</v>
      </c>
      <c r="H669" s="1" t="s">
        <v>5051</v>
      </c>
      <c r="I669" s="1" t="s">
        <v>5052</v>
      </c>
      <c r="J669" s="38">
        <v>46006</v>
      </c>
      <c r="K669" s="1" t="s">
        <v>5053</v>
      </c>
      <c r="L669" s="1" t="s">
        <v>5054</v>
      </c>
      <c r="M669" s="1" t="s">
        <v>5055</v>
      </c>
      <c r="N669" s="2">
        <v>202509067128</v>
      </c>
      <c r="O669" s="47">
        <v>45922</v>
      </c>
    </row>
    <row r="670" spans="1:15" x14ac:dyDescent="0.4">
      <c r="A670" s="35">
        <v>2068</v>
      </c>
      <c r="B670" s="1" t="s">
        <v>5056</v>
      </c>
      <c r="C670" s="38">
        <v>45457</v>
      </c>
      <c r="D670" s="1" t="s">
        <v>3481</v>
      </c>
      <c r="E670" s="1" t="s">
        <v>5057</v>
      </c>
      <c r="F670" s="1" t="s">
        <v>36</v>
      </c>
      <c r="G670" s="1" t="s">
        <v>5058</v>
      </c>
      <c r="H670" s="1" t="s">
        <v>5059</v>
      </c>
      <c r="I670" s="1" t="s">
        <v>5060</v>
      </c>
      <c r="J670" s="38">
        <v>46006</v>
      </c>
      <c r="K670" s="1" t="s">
        <v>5061</v>
      </c>
      <c r="L670" s="1" t="s">
        <v>5062</v>
      </c>
      <c r="M670" s="1" t="s">
        <v>5063</v>
      </c>
      <c r="N670" s="2">
        <v>202509086948</v>
      </c>
      <c r="O670" s="47">
        <v>45995</v>
      </c>
    </row>
    <row r="671" spans="1:15" x14ac:dyDescent="0.4">
      <c r="A671" s="36">
        <v>2069</v>
      </c>
      <c r="B671" s="1" t="s">
        <v>5064</v>
      </c>
      <c r="C671" s="38">
        <v>45960</v>
      </c>
      <c r="D671" s="1" t="s">
        <v>452</v>
      </c>
      <c r="E671" s="1" t="s">
        <v>5065</v>
      </c>
      <c r="F671" s="1" t="s">
        <v>36</v>
      </c>
      <c r="G671" s="1" t="s">
        <v>712</v>
      </c>
      <c r="H671" s="1" t="s">
        <v>5066</v>
      </c>
      <c r="I671" s="1" t="s">
        <v>5067</v>
      </c>
      <c r="J671" s="38">
        <v>46006</v>
      </c>
      <c r="K671" s="1" t="s">
        <v>5068</v>
      </c>
      <c r="L671" s="1" t="s">
        <v>5069</v>
      </c>
      <c r="M671" s="1" t="s">
        <v>5070</v>
      </c>
      <c r="N671" s="2">
        <v>202509085991</v>
      </c>
      <c r="O671" s="47">
        <v>45992</v>
      </c>
    </row>
    <row r="672" spans="1:15" x14ac:dyDescent="0.4">
      <c r="A672" s="35">
        <v>2070</v>
      </c>
      <c r="B672" s="1" t="s">
        <v>5071</v>
      </c>
      <c r="C672" s="38">
        <v>45920</v>
      </c>
      <c r="D672" s="1" t="s">
        <v>3558</v>
      </c>
      <c r="E672" s="1" t="s">
        <v>5072</v>
      </c>
      <c r="F672" s="1" t="s">
        <v>36</v>
      </c>
      <c r="G672" s="1" t="s">
        <v>5073</v>
      </c>
      <c r="H672" s="1" t="s">
        <v>5074</v>
      </c>
      <c r="I672" s="1" t="s">
        <v>5075</v>
      </c>
      <c r="J672" s="38">
        <v>46006</v>
      </c>
      <c r="K672" s="1" t="s">
        <v>5076</v>
      </c>
      <c r="L672" s="1" t="s">
        <v>5077</v>
      </c>
      <c r="M672" s="1" t="s">
        <v>5078</v>
      </c>
      <c r="N672" s="2">
        <v>202509083823</v>
      </c>
      <c r="O672" s="47">
        <v>45984</v>
      </c>
    </row>
    <row r="673" spans="1:15" x14ac:dyDescent="0.4">
      <c r="A673" s="36">
        <v>2071</v>
      </c>
      <c r="B673" s="1" t="s">
        <v>5079</v>
      </c>
      <c r="C673" s="38">
        <v>45818</v>
      </c>
      <c r="D673" s="1" t="s">
        <v>1294</v>
      </c>
      <c r="E673" s="1" t="s">
        <v>5080</v>
      </c>
      <c r="F673" s="1" t="s">
        <v>55</v>
      </c>
      <c r="G673" s="1" t="s">
        <v>5081</v>
      </c>
      <c r="H673" s="1" t="s">
        <v>609</v>
      </c>
      <c r="I673" s="1" t="s">
        <v>5082</v>
      </c>
      <c r="J673" s="38">
        <v>46006</v>
      </c>
      <c r="K673" s="1" t="s">
        <v>5083</v>
      </c>
      <c r="L673" s="1" t="s">
        <v>5084</v>
      </c>
      <c r="M673" s="1" t="s">
        <v>3184</v>
      </c>
      <c r="N673" s="2">
        <v>202509073814</v>
      </c>
      <c r="O673" s="47">
        <v>45947</v>
      </c>
    </row>
    <row r="674" spans="1:15" x14ac:dyDescent="0.4">
      <c r="A674" s="35">
        <v>2072</v>
      </c>
      <c r="B674" s="1" t="s">
        <v>5085</v>
      </c>
      <c r="C674" s="38">
        <v>45807</v>
      </c>
      <c r="D674" s="1" t="s">
        <v>5086</v>
      </c>
      <c r="E674" s="1" t="s">
        <v>5087</v>
      </c>
      <c r="F674" s="1" t="s">
        <v>36</v>
      </c>
      <c r="G674" s="1" t="s">
        <v>5088</v>
      </c>
      <c r="H674" s="1" t="s">
        <v>5089</v>
      </c>
      <c r="I674" s="1" t="s">
        <v>5090</v>
      </c>
      <c r="J674" s="38">
        <v>46006</v>
      </c>
      <c r="K674" s="1" t="s">
        <v>5091</v>
      </c>
      <c r="L674" s="1" t="s">
        <v>5092</v>
      </c>
      <c r="M674" s="1" t="s">
        <v>5093</v>
      </c>
      <c r="N674" s="2">
        <v>202509086048</v>
      </c>
      <c r="O674" s="47">
        <v>45992</v>
      </c>
    </row>
    <row r="675" spans="1:15" x14ac:dyDescent="0.4">
      <c r="A675" s="36">
        <v>2073</v>
      </c>
      <c r="B675" s="1" t="s">
        <v>5094</v>
      </c>
      <c r="C675" s="38">
        <v>45812</v>
      </c>
      <c r="D675" s="1" t="s">
        <v>536</v>
      </c>
      <c r="E675" s="1" t="s">
        <v>5095</v>
      </c>
      <c r="F675" s="1" t="s">
        <v>55</v>
      </c>
      <c r="G675" s="1" t="s">
        <v>5096</v>
      </c>
      <c r="H675" s="1" t="s">
        <v>5097</v>
      </c>
      <c r="I675" s="1" t="s">
        <v>5098</v>
      </c>
      <c r="J675" s="38">
        <v>46007</v>
      </c>
      <c r="K675" s="1" t="s">
        <v>5099</v>
      </c>
      <c r="L675" s="1" t="s">
        <v>5100</v>
      </c>
      <c r="M675" s="1" t="s">
        <v>3385</v>
      </c>
      <c r="N675" s="2">
        <v>202509058004</v>
      </c>
      <c r="O675" s="47">
        <v>45887</v>
      </c>
    </row>
    <row r="676" spans="1:15" x14ac:dyDescent="0.4">
      <c r="A676" s="35">
        <v>2074</v>
      </c>
      <c r="B676" s="1" t="s">
        <v>5101</v>
      </c>
      <c r="C676" s="38">
        <v>45927</v>
      </c>
      <c r="D676" s="1" t="s">
        <v>2116</v>
      </c>
      <c r="E676" s="1" t="s">
        <v>5102</v>
      </c>
      <c r="F676" s="1" t="s">
        <v>36</v>
      </c>
      <c r="G676" s="1" t="s">
        <v>5103</v>
      </c>
      <c r="H676" s="1" t="s">
        <v>5104</v>
      </c>
      <c r="I676" s="1" t="s">
        <v>5105</v>
      </c>
      <c r="J676" s="38">
        <v>46007</v>
      </c>
      <c r="K676" s="1" t="s">
        <v>5106</v>
      </c>
      <c r="L676" s="1" t="s">
        <v>5107</v>
      </c>
      <c r="M676" s="1" t="s">
        <v>5108</v>
      </c>
      <c r="N676" s="2">
        <v>202509077567</v>
      </c>
      <c r="O676" s="47">
        <v>45961</v>
      </c>
    </row>
    <row r="677" spans="1:15" x14ac:dyDescent="0.4">
      <c r="A677" s="36">
        <v>2075</v>
      </c>
      <c r="B677" s="1" t="s">
        <v>5109</v>
      </c>
      <c r="C677" s="38">
        <v>45939</v>
      </c>
      <c r="D677" s="1" t="s">
        <v>509</v>
      </c>
      <c r="E677" s="1" t="s">
        <v>5110</v>
      </c>
      <c r="F677" s="1" t="s">
        <v>55</v>
      </c>
      <c r="G677" s="1" t="s">
        <v>5111</v>
      </c>
      <c r="H677" s="1" t="s">
        <v>5112</v>
      </c>
      <c r="I677" s="1" t="s">
        <v>5113</v>
      </c>
      <c r="J677" s="38">
        <v>46007</v>
      </c>
      <c r="K677" s="1" t="s">
        <v>5114</v>
      </c>
      <c r="L677" s="1" t="s">
        <v>5115</v>
      </c>
      <c r="M677" s="1" t="s">
        <v>5116</v>
      </c>
      <c r="N677" s="2">
        <v>202509084359</v>
      </c>
      <c r="O677" s="47">
        <v>45986</v>
      </c>
    </row>
    <row r="678" spans="1:15" x14ac:dyDescent="0.4">
      <c r="A678" s="35">
        <v>2076</v>
      </c>
      <c r="B678" s="1" t="s">
        <v>5117</v>
      </c>
      <c r="C678" s="38">
        <v>45866</v>
      </c>
      <c r="D678" s="1" t="s">
        <v>2116</v>
      </c>
      <c r="E678" s="1" t="s">
        <v>5118</v>
      </c>
      <c r="F678" s="1" t="s">
        <v>36</v>
      </c>
      <c r="G678" s="1" t="s">
        <v>5119</v>
      </c>
      <c r="H678" s="1" t="s">
        <v>5120</v>
      </c>
      <c r="I678" s="1" t="s">
        <v>5121</v>
      </c>
      <c r="J678" s="38">
        <v>46007</v>
      </c>
      <c r="K678" s="1" t="s">
        <v>5122</v>
      </c>
      <c r="L678" s="1" t="s">
        <v>5123</v>
      </c>
      <c r="M678" s="1" t="s">
        <v>5124</v>
      </c>
      <c r="N678" s="2">
        <v>202509087350</v>
      </c>
      <c r="O678" s="47">
        <v>45996</v>
      </c>
    </row>
    <row r="679" spans="1:15" x14ac:dyDescent="0.4">
      <c r="A679" s="36">
        <v>2077</v>
      </c>
      <c r="B679" s="1" t="s">
        <v>5125</v>
      </c>
      <c r="C679" s="38">
        <v>45865</v>
      </c>
      <c r="D679" s="1" t="s">
        <v>509</v>
      </c>
      <c r="E679" s="1" t="s">
        <v>5126</v>
      </c>
      <c r="F679" s="1" t="s">
        <v>55</v>
      </c>
      <c r="G679" s="1" t="s">
        <v>5127</v>
      </c>
      <c r="H679" s="1" t="s">
        <v>5128</v>
      </c>
      <c r="I679" s="1" t="s">
        <v>5129</v>
      </c>
      <c r="J679" s="38">
        <v>46007</v>
      </c>
      <c r="K679" s="1" t="s">
        <v>5130</v>
      </c>
      <c r="L679" s="1" t="s">
        <v>5131</v>
      </c>
      <c r="M679" s="1" t="s">
        <v>5132</v>
      </c>
      <c r="N679" s="2">
        <v>202509081787</v>
      </c>
      <c r="O679" s="47">
        <v>45977</v>
      </c>
    </row>
    <row r="680" spans="1:15" x14ac:dyDescent="0.4">
      <c r="A680" s="35">
        <v>2078</v>
      </c>
      <c r="B680" s="1" t="s">
        <v>5133</v>
      </c>
      <c r="C680" s="38">
        <v>45954</v>
      </c>
      <c r="D680" s="1" t="s">
        <v>1218</v>
      </c>
      <c r="E680" s="1" t="s">
        <v>5134</v>
      </c>
      <c r="F680" s="1" t="s">
        <v>36</v>
      </c>
      <c r="G680" s="1" t="s">
        <v>5135</v>
      </c>
      <c r="H680" s="1" t="s">
        <v>5136</v>
      </c>
      <c r="I680" s="1" t="s">
        <v>5137</v>
      </c>
      <c r="J680" s="38">
        <v>46007</v>
      </c>
      <c r="K680" s="1" t="s">
        <v>5138</v>
      </c>
      <c r="L680" s="1" t="s">
        <v>5139</v>
      </c>
      <c r="M680" s="1" t="s">
        <v>5140</v>
      </c>
      <c r="N680" s="2">
        <v>202509086171</v>
      </c>
      <c r="O680" s="47">
        <v>45992</v>
      </c>
    </row>
    <row r="681" spans="1:15" x14ac:dyDescent="0.4">
      <c r="A681" s="36">
        <v>2079</v>
      </c>
      <c r="B681" s="1" t="s">
        <v>5141</v>
      </c>
      <c r="C681" s="38">
        <v>45916</v>
      </c>
      <c r="D681" s="1" t="s">
        <v>547</v>
      </c>
      <c r="E681" s="1" t="s">
        <v>5142</v>
      </c>
      <c r="F681" s="1" t="s">
        <v>36</v>
      </c>
      <c r="G681" s="1" t="s">
        <v>5143</v>
      </c>
      <c r="H681" s="1" t="s">
        <v>5144</v>
      </c>
      <c r="I681" s="1" t="s">
        <v>5145</v>
      </c>
      <c r="J681" s="38">
        <v>46007</v>
      </c>
      <c r="K681" s="1" t="s">
        <v>5146</v>
      </c>
      <c r="L681" s="1" t="s">
        <v>5147</v>
      </c>
      <c r="M681" s="1" t="s">
        <v>4086</v>
      </c>
      <c r="N681" s="2">
        <v>202509077024</v>
      </c>
      <c r="O681" s="47">
        <v>45959</v>
      </c>
    </row>
    <row r="682" spans="1:15" x14ac:dyDescent="0.4">
      <c r="A682" s="35">
        <v>2080</v>
      </c>
      <c r="B682" s="1" t="s">
        <v>5148</v>
      </c>
      <c r="C682" s="38">
        <v>45939</v>
      </c>
      <c r="D682" s="1" t="s">
        <v>509</v>
      </c>
      <c r="E682" s="1" t="s">
        <v>5149</v>
      </c>
      <c r="F682" s="1" t="s">
        <v>55</v>
      </c>
      <c r="G682" s="1" t="s">
        <v>5111</v>
      </c>
      <c r="H682" s="1" t="s">
        <v>5112</v>
      </c>
      <c r="I682" s="1" t="s">
        <v>5150</v>
      </c>
      <c r="J682" s="38">
        <v>46007</v>
      </c>
      <c r="K682" s="1" t="s">
        <v>5114</v>
      </c>
      <c r="L682" s="1" t="s">
        <v>5115</v>
      </c>
      <c r="M682" s="1" t="s">
        <v>5116</v>
      </c>
      <c r="N682" s="2">
        <v>202509084375</v>
      </c>
      <c r="O682" s="47">
        <v>45986</v>
      </c>
    </row>
    <row r="683" spans="1:15" x14ac:dyDescent="0.4">
      <c r="A683" s="36">
        <v>2081</v>
      </c>
      <c r="B683" s="1" t="s">
        <v>5151</v>
      </c>
      <c r="C683" s="38">
        <v>45891</v>
      </c>
      <c r="D683" s="1" t="s">
        <v>44</v>
      </c>
      <c r="E683" s="1" t="s">
        <v>5152</v>
      </c>
      <c r="F683" s="1" t="s">
        <v>55</v>
      </c>
      <c r="G683" s="1" t="s">
        <v>5153</v>
      </c>
      <c r="H683" s="1" t="s">
        <v>5154</v>
      </c>
      <c r="I683" s="1" t="s">
        <v>5155</v>
      </c>
      <c r="J683" s="38">
        <v>46007</v>
      </c>
      <c r="K683" s="1" t="s">
        <v>5156</v>
      </c>
      <c r="L683" s="1" t="s">
        <v>5157</v>
      </c>
      <c r="M683" s="1" t="s">
        <v>4702</v>
      </c>
      <c r="N683" s="2">
        <v>202509083192</v>
      </c>
      <c r="O683" s="47">
        <v>45981</v>
      </c>
    </row>
    <row r="684" spans="1:15" x14ac:dyDescent="0.4">
      <c r="A684" s="35">
        <v>2082</v>
      </c>
      <c r="B684" s="1" t="s">
        <v>5158</v>
      </c>
      <c r="C684" s="38">
        <v>45680</v>
      </c>
      <c r="D684" s="1" t="s">
        <v>661</v>
      </c>
      <c r="E684" s="1" t="s">
        <v>5159</v>
      </c>
      <c r="F684" s="1" t="s">
        <v>55</v>
      </c>
      <c r="G684" s="1" t="s">
        <v>4802</v>
      </c>
      <c r="H684" s="1" t="s">
        <v>3589</v>
      </c>
      <c r="I684" s="1" t="s">
        <v>5160</v>
      </c>
      <c r="J684" s="38">
        <v>46007</v>
      </c>
      <c r="K684" s="1" t="s">
        <v>5161</v>
      </c>
      <c r="L684" s="1" t="s">
        <v>458</v>
      </c>
      <c r="M684" s="1" t="s">
        <v>3696</v>
      </c>
      <c r="N684" s="2">
        <v>202509086333</v>
      </c>
      <c r="O684" s="47">
        <v>45993</v>
      </c>
    </row>
    <row r="685" spans="1:15" x14ac:dyDescent="0.4">
      <c r="A685" s="36">
        <v>2083</v>
      </c>
      <c r="B685" s="1" t="s">
        <v>5162</v>
      </c>
      <c r="C685" s="38">
        <v>45563</v>
      </c>
      <c r="D685" s="1" t="s">
        <v>44</v>
      </c>
      <c r="E685" s="1" t="s">
        <v>5163</v>
      </c>
      <c r="F685" s="1" t="s">
        <v>36</v>
      </c>
      <c r="G685" s="1" t="s">
        <v>1082</v>
      </c>
      <c r="H685" s="1" t="s">
        <v>3395</v>
      </c>
      <c r="I685" s="1" t="s">
        <v>5164</v>
      </c>
      <c r="J685" s="38">
        <v>46007</v>
      </c>
      <c r="K685" s="1" t="s">
        <v>5165</v>
      </c>
      <c r="L685" s="1" t="s">
        <v>684</v>
      </c>
      <c r="M685" s="1" t="s">
        <v>3147</v>
      </c>
      <c r="N685" s="2">
        <v>202509084062</v>
      </c>
      <c r="O685" s="47">
        <v>45985</v>
      </c>
    </row>
    <row r="686" spans="1:15" x14ac:dyDescent="0.4">
      <c r="A686" s="35">
        <v>2084</v>
      </c>
      <c r="B686" s="1" t="s">
        <v>5166</v>
      </c>
      <c r="C686" s="38">
        <v>45922</v>
      </c>
      <c r="D686" s="1" t="s">
        <v>3871</v>
      </c>
      <c r="E686" s="1" t="s">
        <v>5167</v>
      </c>
      <c r="F686" s="1" t="s">
        <v>55</v>
      </c>
      <c r="G686" s="1" t="s">
        <v>5168</v>
      </c>
      <c r="H686" s="1" t="s">
        <v>5169</v>
      </c>
      <c r="I686" s="1" t="s">
        <v>5170</v>
      </c>
      <c r="J686" s="38">
        <v>46007</v>
      </c>
      <c r="K686" s="1" t="s">
        <v>5171</v>
      </c>
      <c r="L686" s="1" t="s">
        <v>5172</v>
      </c>
      <c r="M686" s="1" t="s">
        <v>4026</v>
      </c>
      <c r="N686" s="2">
        <v>202509086938</v>
      </c>
      <c r="O686" s="47">
        <v>45995</v>
      </c>
    </row>
    <row r="687" spans="1:15" x14ac:dyDescent="0.4">
      <c r="A687" s="36">
        <v>2085</v>
      </c>
      <c r="B687" s="1" t="s">
        <v>5173</v>
      </c>
      <c r="C687" s="38">
        <v>45221</v>
      </c>
      <c r="D687" s="1" t="s">
        <v>536</v>
      </c>
      <c r="E687" s="1" t="s">
        <v>5174</v>
      </c>
      <c r="F687" s="1" t="s">
        <v>55</v>
      </c>
      <c r="G687" s="1" t="s">
        <v>5175</v>
      </c>
      <c r="H687" s="1" t="s">
        <v>5176</v>
      </c>
      <c r="I687" s="1" t="s">
        <v>5177</v>
      </c>
      <c r="J687" s="38">
        <v>46007</v>
      </c>
      <c r="K687" s="1" t="s">
        <v>5178</v>
      </c>
      <c r="L687" s="1" t="s">
        <v>5179</v>
      </c>
      <c r="M687" s="1" t="s">
        <v>5180</v>
      </c>
      <c r="N687" s="2">
        <v>202509069861</v>
      </c>
      <c r="O687" s="47">
        <v>45932</v>
      </c>
    </row>
    <row r="688" spans="1:15" x14ac:dyDescent="0.4">
      <c r="A688" s="35">
        <v>2086</v>
      </c>
      <c r="B688" s="1" t="s">
        <v>5181</v>
      </c>
      <c r="C688" s="38">
        <v>45960</v>
      </c>
      <c r="D688" s="1" t="s">
        <v>452</v>
      </c>
      <c r="E688" s="1" t="s">
        <v>5182</v>
      </c>
      <c r="F688" s="1" t="s">
        <v>36</v>
      </c>
      <c r="G688" s="1" t="s">
        <v>5183</v>
      </c>
      <c r="H688" s="1" t="s">
        <v>5184</v>
      </c>
      <c r="I688" s="1" t="s">
        <v>5185</v>
      </c>
      <c r="J688" s="38">
        <v>46007</v>
      </c>
      <c r="K688" s="1" t="s">
        <v>5186</v>
      </c>
      <c r="L688" s="1" t="s">
        <v>5187</v>
      </c>
      <c r="M688" s="1" t="s">
        <v>5188</v>
      </c>
      <c r="N688" s="2">
        <v>202509086013</v>
      </c>
      <c r="O688" s="47">
        <v>45992</v>
      </c>
    </row>
    <row r="689" spans="1:15" x14ac:dyDescent="0.4">
      <c r="A689" s="36">
        <v>2087</v>
      </c>
      <c r="B689" s="1" t="s">
        <v>5189</v>
      </c>
      <c r="C689" s="38">
        <v>45913</v>
      </c>
      <c r="D689" s="1" t="s">
        <v>44</v>
      </c>
      <c r="E689" s="1" t="s">
        <v>5190</v>
      </c>
      <c r="F689" s="1" t="s">
        <v>55</v>
      </c>
      <c r="G689" s="1" t="s">
        <v>5191</v>
      </c>
      <c r="H689" s="1" t="s">
        <v>5192</v>
      </c>
      <c r="I689" s="1" t="s">
        <v>5193</v>
      </c>
      <c r="J689" s="38">
        <v>46007</v>
      </c>
      <c r="K689" s="1" t="s">
        <v>5194</v>
      </c>
      <c r="L689" s="1" t="s">
        <v>5195</v>
      </c>
      <c r="M689" s="1" t="s">
        <v>5196</v>
      </c>
      <c r="N689" s="2">
        <v>202509084013</v>
      </c>
      <c r="O689" s="47">
        <v>45985</v>
      </c>
    </row>
    <row r="690" spans="1:15" x14ac:dyDescent="0.4">
      <c r="A690" s="35">
        <v>2088</v>
      </c>
      <c r="B690" s="1" t="s">
        <v>5197</v>
      </c>
      <c r="C690" s="38">
        <v>45828</v>
      </c>
      <c r="D690" s="1" t="s">
        <v>44</v>
      </c>
      <c r="E690" s="1" t="s">
        <v>5198</v>
      </c>
      <c r="F690" s="1" t="s">
        <v>36</v>
      </c>
      <c r="G690" s="1" t="s">
        <v>5199</v>
      </c>
      <c r="H690" s="1" t="s">
        <v>5200</v>
      </c>
      <c r="I690" s="1" t="s">
        <v>5201</v>
      </c>
      <c r="J690" s="38">
        <v>46013</v>
      </c>
      <c r="K690" s="1" t="s">
        <v>5202</v>
      </c>
      <c r="L690" s="1" t="s">
        <v>105</v>
      </c>
      <c r="M690" s="1" t="s">
        <v>5203</v>
      </c>
      <c r="N690" s="2">
        <v>202509085472</v>
      </c>
      <c r="O690" s="47">
        <v>45989</v>
      </c>
    </row>
    <row r="691" spans="1:15" x14ac:dyDescent="0.4">
      <c r="A691" s="36">
        <v>2089</v>
      </c>
      <c r="B691" s="1" t="s">
        <v>5204</v>
      </c>
      <c r="C691" s="38">
        <v>45870</v>
      </c>
      <c r="D691" s="1" t="s">
        <v>3951</v>
      </c>
      <c r="E691" s="1" t="s">
        <v>5205</v>
      </c>
      <c r="F691" s="1" t="s">
        <v>36</v>
      </c>
      <c r="G691" s="1" t="s">
        <v>5206</v>
      </c>
      <c r="H691" s="1" t="s">
        <v>5207</v>
      </c>
      <c r="I691" s="1" t="s">
        <v>5208</v>
      </c>
      <c r="J691" s="38">
        <v>46013</v>
      </c>
      <c r="K691" s="1" t="s">
        <v>5209</v>
      </c>
      <c r="L691" s="1" t="s">
        <v>5210</v>
      </c>
      <c r="M691" s="1" t="s">
        <v>4175</v>
      </c>
      <c r="N691" s="2">
        <v>202509082078</v>
      </c>
      <c r="O691" s="47">
        <v>45978</v>
      </c>
    </row>
    <row r="692" spans="1:15" x14ac:dyDescent="0.4">
      <c r="A692" s="35">
        <v>2090</v>
      </c>
      <c r="B692" s="1" t="s">
        <v>5211</v>
      </c>
      <c r="C692" s="38">
        <v>45930</v>
      </c>
      <c r="D692" s="1" t="s">
        <v>5212</v>
      </c>
      <c r="E692" s="1" t="s">
        <v>5213</v>
      </c>
      <c r="F692" s="1" t="s">
        <v>36</v>
      </c>
      <c r="G692" s="1" t="s">
        <v>5214</v>
      </c>
      <c r="H692" s="1" t="s">
        <v>5215</v>
      </c>
      <c r="I692" s="1" t="s">
        <v>5216</v>
      </c>
      <c r="J692" s="38">
        <v>46013</v>
      </c>
      <c r="K692" s="1" t="s">
        <v>5217</v>
      </c>
      <c r="L692" s="1" t="s">
        <v>5218</v>
      </c>
      <c r="M692" s="1" t="s">
        <v>5219</v>
      </c>
      <c r="N692" s="2">
        <v>202509084987</v>
      </c>
      <c r="O692" s="47">
        <v>45988</v>
      </c>
    </row>
    <row r="693" spans="1:15" x14ac:dyDescent="0.4">
      <c r="A693" s="36">
        <v>2091</v>
      </c>
      <c r="B693" s="1" t="s">
        <v>5220</v>
      </c>
      <c r="C693" s="38">
        <v>45763</v>
      </c>
      <c r="D693" s="1" t="s">
        <v>536</v>
      </c>
      <c r="E693" s="1" t="s">
        <v>5221</v>
      </c>
      <c r="F693" s="1" t="s">
        <v>55</v>
      </c>
      <c r="G693" s="1" t="s">
        <v>3489</v>
      </c>
      <c r="H693" s="1" t="s">
        <v>5222</v>
      </c>
      <c r="I693" s="1" t="s">
        <v>5223</v>
      </c>
      <c r="J693" s="38">
        <v>46013</v>
      </c>
      <c r="K693" s="1" t="s">
        <v>5224</v>
      </c>
      <c r="L693" s="1" t="s">
        <v>5225</v>
      </c>
      <c r="M693" s="1" t="s">
        <v>3949</v>
      </c>
      <c r="N693" s="2">
        <v>202509088158</v>
      </c>
      <c r="O693" s="47">
        <v>45999</v>
      </c>
    </row>
    <row r="694" spans="1:15" x14ac:dyDescent="0.4">
      <c r="A694" s="35">
        <v>2092</v>
      </c>
      <c r="B694" s="1" t="s">
        <v>5226</v>
      </c>
      <c r="C694" s="38">
        <v>45744</v>
      </c>
      <c r="D694" s="1" t="s">
        <v>670</v>
      </c>
      <c r="E694" s="1" t="s">
        <v>5227</v>
      </c>
      <c r="F694" s="1" t="s">
        <v>36</v>
      </c>
      <c r="G694" s="1" t="s">
        <v>5228</v>
      </c>
      <c r="H694" s="1" t="s">
        <v>5229</v>
      </c>
      <c r="I694" s="1" t="s">
        <v>5230</v>
      </c>
      <c r="J694" s="38">
        <v>46013</v>
      </c>
      <c r="K694" s="1" t="s">
        <v>5231</v>
      </c>
      <c r="L694" s="1" t="s">
        <v>5232</v>
      </c>
      <c r="M694" s="1" t="s">
        <v>3106</v>
      </c>
      <c r="N694" s="2">
        <v>202509084010</v>
      </c>
      <c r="O694" s="47">
        <v>45985</v>
      </c>
    </row>
    <row r="695" spans="1:15" x14ac:dyDescent="0.4">
      <c r="A695" s="36">
        <v>2093</v>
      </c>
      <c r="B695" s="1" t="s">
        <v>5233</v>
      </c>
      <c r="C695" s="38">
        <v>45767</v>
      </c>
      <c r="D695" s="1" t="s">
        <v>509</v>
      </c>
      <c r="E695" s="1" t="s">
        <v>5234</v>
      </c>
      <c r="F695" s="1" t="s">
        <v>55</v>
      </c>
      <c r="G695" s="1" t="s">
        <v>3166</v>
      </c>
      <c r="H695" s="1" t="s">
        <v>5235</v>
      </c>
      <c r="I695" s="1" t="s">
        <v>5236</v>
      </c>
      <c r="J695" s="38">
        <v>46013</v>
      </c>
      <c r="K695" s="1" t="s">
        <v>5237</v>
      </c>
      <c r="L695" s="1" t="s">
        <v>3199</v>
      </c>
      <c r="M695" s="1" t="s">
        <v>4776</v>
      </c>
      <c r="N695" s="2">
        <v>202509081554</v>
      </c>
      <c r="O695" s="47">
        <v>45976</v>
      </c>
    </row>
    <row r="696" spans="1:15" x14ac:dyDescent="0.4">
      <c r="A696" s="35">
        <v>2094</v>
      </c>
      <c r="B696" s="1" t="s">
        <v>5238</v>
      </c>
      <c r="C696" s="38">
        <v>45967</v>
      </c>
      <c r="D696" s="1" t="s">
        <v>44</v>
      </c>
      <c r="E696" s="1" t="s">
        <v>5239</v>
      </c>
      <c r="F696" s="1" t="s">
        <v>55</v>
      </c>
      <c r="G696" s="1" t="s">
        <v>5240</v>
      </c>
      <c r="H696" s="1" t="s">
        <v>5241</v>
      </c>
      <c r="I696" s="1" t="s">
        <v>5242</v>
      </c>
      <c r="J696" s="38">
        <v>46013</v>
      </c>
      <c r="K696" s="1" t="s">
        <v>5243</v>
      </c>
      <c r="L696" s="1" t="s">
        <v>2095</v>
      </c>
      <c r="M696" s="1" t="s">
        <v>5244</v>
      </c>
      <c r="N696" s="2">
        <v>202509087950</v>
      </c>
      <c r="O696" s="47">
        <v>45999</v>
      </c>
    </row>
    <row r="697" spans="1:15" x14ac:dyDescent="0.4">
      <c r="A697" s="36">
        <v>2095</v>
      </c>
      <c r="B697" s="1" t="s">
        <v>5245</v>
      </c>
      <c r="C697" s="38">
        <v>45933</v>
      </c>
      <c r="D697" s="1" t="s">
        <v>509</v>
      </c>
      <c r="E697" s="1" t="s">
        <v>5246</v>
      </c>
      <c r="F697" s="1" t="s">
        <v>36</v>
      </c>
      <c r="G697" s="1" t="s">
        <v>1013</v>
      </c>
      <c r="H697" s="1" t="s">
        <v>4480</v>
      </c>
      <c r="I697" s="1" t="s">
        <v>5247</v>
      </c>
      <c r="J697" s="38">
        <v>46013</v>
      </c>
      <c r="K697" s="1" t="s">
        <v>158</v>
      </c>
      <c r="L697" s="1" t="s">
        <v>5248</v>
      </c>
      <c r="M697" s="1" t="s">
        <v>5249</v>
      </c>
      <c r="N697" s="2">
        <v>202509087249</v>
      </c>
      <c r="O697" s="47">
        <v>45996</v>
      </c>
    </row>
    <row r="698" spans="1:15" x14ac:dyDescent="0.4">
      <c r="A698" s="35">
        <v>2096</v>
      </c>
      <c r="B698" s="1" t="s">
        <v>5250</v>
      </c>
      <c r="C698" s="38">
        <v>45942</v>
      </c>
      <c r="D698" s="1" t="s">
        <v>509</v>
      </c>
      <c r="E698" s="1" t="s">
        <v>5251</v>
      </c>
      <c r="F698" s="1" t="s">
        <v>55</v>
      </c>
      <c r="G698" s="1" t="s">
        <v>5252</v>
      </c>
      <c r="H698" s="1" t="s">
        <v>5253</v>
      </c>
      <c r="I698" s="1" t="s">
        <v>5254</v>
      </c>
      <c r="J698" s="38">
        <v>46013</v>
      </c>
      <c r="K698" s="1" t="s">
        <v>5255</v>
      </c>
      <c r="L698" s="1" t="s">
        <v>5256</v>
      </c>
      <c r="M698" s="1" t="s">
        <v>5257</v>
      </c>
      <c r="N698" s="2">
        <v>202509085027</v>
      </c>
      <c r="O698" s="47">
        <v>45988</v>
      </c>
    </row>
    <row r="699" spans="1:15" x14ac:dyDescent="0.4">
      <c r="A699" s="36">
        <v>2097</v>
      </c>
      <c r="B699" s="1" t="s">
        <v>5258</v>
      </c>
      <c r="C699" s="38">
        <v>45828</v>
      </c>
      <c r="D699" s="1" t="s">
        <v>452</v>
      </c>
      <c r="E699" s="1" t="s">
        <v>5259</v>
      </c>
      <c r="F699" s="1" t="s">
        <v>55</v>
      </c>
      <c r="G699" s="1" t="s">
        <v>5260</v>
      </c>
      <c r="H699" s="1" t="s">
        <v>5261</v>
      </c>
      <c r="I699" s="1" t="s">
        <v>5262</v>
      </c>
      <c r="J699" s="38">
        <v>46013</v>
      </c>
      <c r="K699" s="1" t="s">
        <v>5263</v>
      </c>
      <c r="L699" s="1" t="s">
        <v>5264</v>
      </c>
      <c r="M699" s="1" t="s">
        <v>4228</v>
      </c>
      <c r="N699" s="2">
        <v>202509086369</v>
      </c>
      <c r="O699" s="47">
        <v>45993</v>
      </c>
    </row>
    <row r="700" spans="1:15" x14ac:dyDescent="0.4">
      <c r="A700" s="35">
        <v>2098</v>
      </c>
      <c r="B700" s="1" t="s">
        <v>5265</v>
      </c>
      <c r="C700" s="38">
        <v>45747</v>
      </c>
      <c r="D700" s="1" t="s">
        <v>2098</v>
      </c>
      <c r="E700" s="1" t="s">
        <v>5266</v>
      </c>
      <c r="F700" s="1" t="s">
        <v>55</v>
      </c>
      <c r="G700" s="1" t="s">
        <v>5267</v>
      </c>
      <c r="H700" s="1" t="s">
        <v>4931</v>
      </c>
      <c r="I700" s="1" t="s">
        <v>5268</v>
      </c>
      <c r="J700" s="38">
        <v>46013</v>
      </c>
      <c r="K700" s="1" t="s">
        <v>5269</v>
      </c>
      <c r="L700" s="1" t="s">
        <v>5270</v>
      </c>
      <c r="M700" s="1" t="s">
        <v>4064</v>
      </c>
      <c r="N700" s="2">
        <v>202509085312</v>
      </c>
      <c r="O700" s="47">
        <v>45989</v>
      </c>
    </row>
    <row r="701" spans="1:15" x14ac:dyDescent="0.4">
      <c r="A701" s="36">
        <v>2099</v>
      </c>
      <c r="B701" s="1" t="s">
        <v>5271</v>
      </c>
      <c r="C701" s="38">
        <v>45785</v>
      </c>
      <c r="D701" s="1" t="s">
        <v>509</v>
      </c>
      <c r="E701" s="1" t="s">
        <v>5272</v>
      </c>
      <c r="F701" s="1" t="s">
        <v>55</v>
      </c>
      <c r="G701" s="1" t="s">
        <v>5273</v>
      </c>
      <c r="H701" s="1" t="s">
        <v>5274</v>
      </c>
      <c r="I701" s="1" t="s">
        <v>5275</v>
      </c>
      <c r="J701" s="38">
        <v>46014</v>
      </c>
      <c r="K701" s="1" t="s">
        <v>5276</v>
      </c>
      <c r="L701" s="1" t="s">
        <v>5264</v>
      </c>
      <c r="M701" s="1" t="s">
        <v>4228</v>
      </c>
      <c r="N701" s="2">
        <v>202509090730</v>
      </c>
      <c r="O701" s="47">
        <v>46008</v>
      </c>
    </row>
    <row r="702" spans="1:15" x14ac:dyDescent="0.4">
      <c r="A702" s="35">
        <v>2100</v>
      </c>
      <c r="B702" s="1" t="s">
        <v>5277</v>
      </c>
      <c r="C702" s="38">
        <v>45849</v>
      </c>
      <c r="D702" s="1" t="s">
        <v>536</v>
      </c>
      <c r="E702" s="1" t="s">
        <v>5278</v>
      </c>
      <c r="F702" s="1" t="s">
        <v>36</v>
      </c>
      <c r="G702" s="1" t="s">
        <v>5279</v>
      </c>
      <c r="H702" s="1" t="s">
        <v>5280</v>
      </c>
      <c r="I702" s="1" t="s">
        <v>5281</v>
      </c>
      <c r="J702" s="38">
        <v>46015</v>
      </c>
      <c r="K702" s="1" t="s">
        <v>5282</v>
      </c>
      <c r="L702" s="1" t="s">
        <v>5283</v>
      </c>
      <c r="M702" s="1" t="s">
        <v>5284</v>
      </c>
      <c r="N702" s="2">
        <v>202509067652</v>
      </c>
      <c r="O702" s="47">
        <v>45924</v>
      </c>
    </row>
    <row r="703" spans="1:15" x14ac:dyDescent="0.4">
      <c r="A703" s="36">
        <v>2101</v>
      </c>
      <c r="B703" s="1" t="s">
        <v>5285</v>
      </c>
      <c r="C703" s="38">
        <v>45925</v>
      </c>
      <c r="D703" s="1" t="s">
        <v>536</v>
      </c>
      <c r="E703" s="1" t="s">
        <v>5286</v>
      </c>
      <c r="F703" s="1" t="s">
        <v>55</v>
      </c>
      <c r="G703" s="1" t="s">
        <v>5287</v>
      </c>
      <c r="H703" s="1" t="s">
        <v>5288</v>
      </c>
      <c r="I703" s="1" t="s">
        <v>5289</v>
      </c>
      <c r="J703" s="38">
        <v>46015</v>
      </c>
      <c r="K703" s="1" t="s">
        <v>5290</v>
      </c>
      <c r="L703" s="1" t="s">
        <v>3316</v>
      </c>
      <c r="M703" s="1" t="s">
        <v>5291</v>
      </c>
      <c r="N703" s="2">
        <v>202509086628</v>
      </c>
      <c r="O703" s="47">
        <v>45994</v>
      </c>
    </row>
    <row r="704" spans="1:15" x14ac:dyDescent="0.4">
      <c r="A704" s="35">
        <v>2102</v>
      </c>
      <c r="B704" s="1" t="s">
        <v>5292</v>
      </c>
      <c r="C704" s="38">
        <v>45878</v>
      </c>
      <c r="D704" s="1" t="s">
        <v>536</v>
      </c>
      <c r="E704" s="1" t="s">
        <v>5293</v>
      </c>
      <c r="F704" s="1" t="s">
        <v>36</v>
      </c>
      <c r="G704" s="1" t="s">
        <v>5294</v>
      </c>
      <c r="H704" s="1" t="s">
        <v>5295</v>
      </c>
      <c r="I704" s="1" t="s">
        <v>5296</v>
      </c>
      <c r="J704" s="38">
        <v>46015</v>
      </c>
      <c r="K704" s="1" t="s">
        <v>5297</v>
      </c>
      <c r="L704" s="1" t="s">
        <v>5298</v>
      </c>
      <c r="M704" s="1" t="s">
        <v>5299</v>
      </c>
      <c r="N704" s="2">
        <v>202509086523</v>
      </c>
      <c r="O704" s="47">
        <v>45993</v>
      </c>
    </row>
    <row r="705" spans="1:15" x14ac:dyDescent="0.4">
      <c r="A705" s="36">
        <v>2103</v>
      </c>
      <c r="B705" s="1" t="s">
        <v>5300</v>
      </c>
      <c r="C705" s="38">
        <v>45952</v>
      </c>
      <c r="D705" s="1" t="s">
        <v>509</v>
      </c>
      <c r="E705" s="1" t="s">
        <v>5301</v>
      </c>
      <c r="F705" s="1" t="s">
        <v>36</v>
      </c>
      <c r="G705" s="1" t="s">
        <v>5302</v>
      </c>
      <c r="H705" s="1" t="s">
        <v>5303</v>
      </c>
      <c r="I705" s="1" t="s">
        <v>5304</v>
      </c>
      <c r="J705" s="38">
        <v>46015</v>
      </c>
      <c r="K705" s="1" t="s">
        <v>5305</v>
      </c>
      <c r="L705" s="1" t="s">
        <v>5306</v>
      </c>
      <c r="M705" s="1" t="s">
        <v>5307</v>
      </c>
      <c r="N705" s="2">
        <v>202509088068</v>
      </c>
      <c r="O705" s="47">
        <v>45999</v>
      </c>
    </row>
    <row r="706" spans="1:15" x14ac:dyDescent="0.4">
      <c r="A706" s="35">
        <v>2104</v>
      </c>
      <c r="B706" s="1" t="s">
        <v>5308</v>
      </c>
      <c r="C706" s="38">
        <v>45913</v>
      </c>
      <c r="D706" s="1" t="s">
        <v>509</v>
      </c>
      <c r="E706" s="1" t="s">
        <v>5309</v>
      </c>
      <c r="F706" s="1" t="s">
        <v>36</v>
      </c>
      <c r="G706" s="1" t="s">
        <v>825</v>
      </c>
      <c r="H706" s="1" t="s">
        <v>875</v>
      </c>
      <c r="I706" s="1" t="s">
        <v>5310</v>
      </c>
      <c r="J706" s="38">
        <v>46015</v>
      </c>
      <c r="K706" s="1" t="s">
        <v>5311</v>
      </c>
      <c r="L706" s="1" t="s">
        <v>5312</v>
      </c>
      <c r="M706" s="1" t="s">
        <v>5313</v>
      </c>
      <c r="N706" s="2">
        <v>202509086296</v>
      </c>
      <c r="O706" s="47">
        <v>45993</v>
      </c>
    </row>
    <row r="707" spans="1:15" x14ac:dyDescent="0.4">
      <c r="A707" s="36">
        <v>2105</v>
      </c>
      <c r="B707" s="1" t="s">
        <v>5314</v>
      </c>
      <c r="C707" s="38">
        <v>45974</v>
      </c>
      <c r="D707" s="1" t="s">
        <v>452</v>
      </c>
      <c r="E707" s="1" t="s">
        <v>5315</v>
      </c>
      <c r="F707" s="1" t="s">
        <v>55</v>
      </c>
      <c r="G707" s="1" t="s">
        <v>5316</v>
      </c>
      <c r="H707" s="1" t="s">
        <v>5317</v>
      </c>
      <c r="I707" s="1" t="s">
        <v>5318</v>
      </c>
      <c r="J707" s="38">
        <v>46015</v>
      </c>
      <c r="K707" s="1" t="s">
        <v>5319</v>
      </c>
      <c r="L707" s="1" t="s">
        <v>2788</v>
      </c>
      <c r="M707" s="1" t="s">
        <v>4976</v>
      </c>
      <c r="N707" s="2">
        <v>202509089119</v>
      </c>
      <c r="O707" s="47">
        <v>46002</v>
      </c>
    </row>
    <row r="708" spans="1:15" x14ac:dyDescent="0.4">
      <c r="A708" s="35">
        <v>2106</v>
      </c>
      <c r="B708" s="1" t="s">
        <v>5320</v>
      </c>
      <c r="C708" s="38">
        <v>45947</v>
      </c>
      <c r="D708" s="1" t="s">
        <v>536</v>
      </c>
      <c r="E708" s="1" t="s">
        <v>5321</v>
      </c>
      <c r="F708" s="1" t="s">
        <v>55</v>
      </c>
      <c r="G708" s="1" t="s">
        <v>5322</v>
      </c>
      <c r="H708" s="1" t="s">
        <v>5323</v>
      </c>
      <c r="I708" s="1" t="s">
        <v>5324</v>
      </c>
      <c r="J708" s="38">
        <v>46015</v>
      </c>
      <c r="K708" s="1" t="s">
        <v>5325</v>
      </c>
      <c r="L708" s="1" t="s">
        <v>5326</v>
      </c>
      <c r="M708" s="1" t="s">
        <v>5327</v>
      </c>
      <c r="N708" s="2">
        <v>202509089556</v>
      </c>
      <c r="O708" s="47">
        <v>46004</v>
      </c>
    </row>
    <row r="709" spans="1:15" x14ac:dyDescent="0.4">
      <c r="A709" s="36">
        <v>2107</v>
      </c>
      <c r="B709" s="1" t="s">
        <v>5328</v>
      </c>
      <c r="C709" s="38">
        <v>45890</v>
      </c>
      <c r="D709" s="1" t="s">
        <v>509</v>
      </c>
      <c r="E709" s="1" t="s">
        <v>5329</v>
      </c>
      <c r="F709" s="1" t="s">
        <v>55</v>
      </c>
      <c r="G709" s="1" t="s">
        <v>5330</v>
      </c>
      <c r="H709" s="1" t="s">
        <v>5331</v>
      </c>
      <c r="I709" s="1" t="s">
        <v>5332</v>
      </c>
      <c r="J709" s="38">
        <v>46015</v>
      </c>
      <c r="K709" s="1" t="s">
        <v>5333</v>
      </c>
      <c r="L709" s="1" t="s">
        <v>5334</v>
      </c>
      <c r="M709" s="1" t="s">
        <v>5335</v>
      </c>
      <c r="N709" s="2">
        <v>202509088099</v>
      </c>
      <c r="O709" s="47">
        <v>45999</v>
      </c>
    </row>
    <row r="710" spans="1:15" x14ac:dyDescent="0.4">
      <c r="A710" s="35">
        <v>2108</v>
      </c>
      <c r="B710" s="1" t="s">
        <v>5336</v>
      </c>
      <c r="C710" s="38">
        <v>45909</v>
      </c>
      <c r="D710" s="1" t="s">
        <v>2672</v>
      </c>
      <c r="E710" s="1" t="s">
        <v>5337</v>
      </c>
      <c r="F710" s="1" t="s">
        <v>36</v>
      </c>
      <c r="G710" s="1" t="s">
        <v>5338</v>
      </c>
      <c r="H710" s="1" t="s">
        <v>5339</v>
      </c>
      <c r="I710" s="1" t="s">
        <v>5340</v>
      </c>
      <c r="J710" s="38">
        <v>46015</v>
      </c>
      <c r="K710" s="1" t="s">
        <v>5341</v>
      </c>
      <c r="L710" s="1" t="s">
        <v>942</v>
      </c>
      <c r="M710" s="1" t="s">
        <v>5342</v>
      </c>
      <c r="N710" s="2">
        <v>202509087581</v>
      </c>
      <c r="O710" s="47">
        <v>45997</v>
      </c>
    </row>
    <row r="711" spans="1:15" x14ac:dyDescent="0.4">
      <c r="A711" s="36">
        <v>2109</v>
      </c>
      <c r="B711" s="1" t="s">
        <v>5343</v>
      </c>
      <c r="C711" s="38">
        <v>45790</v>
      </c>
      <c r="D711" s="1" t="s">
        <v>509</v>
      </c>
      <c r="E711" s="1" t="s">
        <v>5344</v>
      </c>
      <c r="F711" s="1" t="s">
        <v>55</v>
      </c>
      <c r="G711" s="1" t="s">
        <v>5345</v>
      </c>
      <c r="H711" s="1" t="s">
        <v>3167</v>
      </c>
      <c r="I711" s="1" t="s">
        <v>5346</v>
      </c>
      <c r="J711" s="38">
        <v>46015</v>
      </c>
      <c r="K711" s="1">
        <v>97</v>
      </c>
      <c r="L711" s="1" t="s">
        <v>5347</v>
      </c>
      <c r="M711" s="1" t="s">
        <v>3878</v>
      </c>
      <c r="N711" s="2">
        <v>202509071874</v>
      </c>
      <c r="O711" s="47">
        <v>45940</v>
      </c>
    </row>
    <row r="712" spans="1:15" x14ac:dyDescent="0.4">
      <c r="A712" s="35">
        <v>2110</v>
      </c>
      <c r="B712" s="1" t="s">
        <v>5348</v>
      </c>
      <c r="C712" s="38">
        <v>45939</v>
      </c>
      <c r="D712" s="1" t="s">
        <v>5349</v>
      </c>
      <c r="E712" s="1" t="s">
        <v>5350</v>
      </c>
      <c r="F712" s="1" t="s">
        <v>36</v>
      </c>
      <c r="G712" s="1" t="s">
        <v>5351</v>
      </c>
      <c r="H712" s="1" t="s">
        <v>5352</v>
      </c>
      <c r="I712" s="1" t="s">
        <v>5353</v>
      </c>
      <c r="J712" s="38">
        <v>46015</v>
      </c>
      <c r="K712" s="1" t="s">
        <v>5354</v>
      </c>
      <c r="L712" s="1" t="s">
        <v>5355</v>
      </c>
      <c r="M712" s="1" t="s">
        <v>5356</v>
      </c>
      <c r="N712" s="2">
        <v>202509087360</v>
      </c>
      <c r="O712" s="47">
        <v>45996</v>
      </c>
    </row>
    <row r="713" spans="1:15" x14ac:dyDescent="0.4">
      <c r="A713" s="36">
        <v>2111</v>
      </c>
      <c r="B713" s="1" t="s">
        <v>5357</v>
      </c>
      <c r="C713" s="38">
        <v>45949</v>
      </c>
      <c r="D713" s="1" t="s">
        <v>509</v>
      </c>
      <c r="E713" s="1" t="s">
        <v>5358</v>
      </c>
      <c r="F713" s="1" t="s">
        <v>55</v>
      </c>
      <c r="G713" s="1" t="s">
        <v>5359</v>
      </c>
      <c r="H713" s="1" t="s">
        <v>5360</v>
      </c>
      <c r="I713" s="1" t="s">
        <v>5361</v>
      </c>
      <c r="J713" s="38">
        <v>46020</v>
      </c>
      <c r="K713" s="1" t="s">
        <v>5362</v>
      </c>
      <c r="L713" s="1" t="s">
        <v>971</v>
      </c>
      <c r="M713" s="1" t="s">
        <v>5363</v>
      </c>
      <c r="N713" s="2">
        <v>202509089291</v>
      </c>
      <c r="O713" s="47">
        <v>46003</v>
      </c>
    </row>
    <row r="714" spans="1:15" x14ac:dyDescent="0.4">
      <c r="A714" s="35">
        <v>2112</v>
      </c>
      <c r="B714" s="1" t="s">
        <v>5364</v>
      </c>
      <c r="C714" s="38">
        <v>45906</v>
      </c>
      <c r="D714" s="1" t="s">
        <v>452</v>
      </c>
      <c r="E714" s="1" t="s">
        <v>5365</v>
      </c>
      <c r="F714" s="1" t="s">
        <v>36</v>
      </c>
      <c r="G714" s="1" t="s">
        <v>5366</v>
      </c>
      <c r="H714" s="1" t="s">
        <v>5367</v>
      </c>
      <c r="I714" s="1" t="s">
        <v>5368</v>
      </c>
      <c r="J714" s="38">
        <v>46020</v>
      </c>
      <c r="K714" s="1" t="s">
        <v>5369</v>
      </c>
      <c r="L714" s="1" t="s">
        <v>234</v>
      </c>
      <c r="M714" s="1" t="s">
        <v>3878</v>
      </c>
      <c r="N714" s="2">
        <v>202509086384</v>
      </c>
      <c r="O714" s="47">
        <v>45993</v>
      </c>
    </row>
    <row r="715" spans="1:15" x14ac:dyDescent="0.4">
      <c r="A715" s="36">
        <v>2113</v>
      </c>
      <c r="B715" s="1" t="s">
        <v>5370</v>
      </c>
      <c r="C715" s="38">
        <v>45771</v>
      </c>
      <c r="D715" s="1" t="s">
        <v>2672</v>
      </c>
      <c r="E715" s="1" t="s">
        <v>5371</v>
      </c>
      <c r="F715" s="1" t="s">
        <v>36</v>
      </c>
      <c r="G715" s="1" t="s">
        <v>5372</v>
      </c>
      <c r="H715" s="1" t="s">
        <v>5373</v>
      </c>
      <c r="I715" s="1" t="s">
        <v>5374</v>
      </c>
      <c r="J715" s="38">
        <v>46020</v>
      </c>
      <c r="K715" s="1" t="s">
        <v>5375</v>
      </c>
      <c r="L715" s="1" t="s">
        <v>5376</v>
      </c>
      <c r="M715" s="1" t="s">
        <v>5377</v>
      </c>
      <c r="N715" s="2">
        <v>202509089300</v>
      </c>
      <c r="O715" s="47">
        <v>46003</v>
      </c>
    </row>
    <row r="716" spans="1:15" x14ac:dyDescent="0.4">
      <c r="A716" s="35">
        <v>2114</v>
      </c>
      <c r="B716" s="1" t="s">
        <v>5378</v>
      </c>
      <c r="C716" s="38">
        <v>45950</v>
      </c>
      <c r="D716" s="1" t="s">
        <v>1218</v>
      </c>
      <c r="E716" s="1" t="s">
        <v>5379</v>
      </c>
      <c r="F716" s="1" t="s">
        <v>36</v>
      </c>
      <c r="G716" s="1" t="s">
        <v>5380</v>
      </c>
      <c r="H716" s="1" t="s">
        <v>5381</v>
      </c>
      <c r="I716" s="1" t="s">
        <v>5382</v>
      </c>
      <c r="J716" s="38">
        <v>46020</v>
      </c>
      <c r="K716" s="1" t="s">
        <v>5383</v>
      </c>
      <c r="L716" s="1" t="s">
        <v>5384</v>
      </c>
      <c r="M716" s="1" t="s">
        <v>5385</v>
      </c>
      <c r="N716" s="2">
        <v>202509088708</v>
      </c>
      <c r="O716" s="47">
        <v>46001</v>
      </c>
    </row>
    <row r="717" spans="1:15" x14ac:dyDescent="0.4">
      <c r="A717" s="36">
        <v>2115</v>
      </c>
      <c r="B717" s="1" t="s">
        <v>5386</v>
      </c>
      <c r="C717" s="38">
        <v>45375</v>
      </c>
      <c r="D717" s="1" t="s">
        <v>1931</v>
      </c>
      <c r="E717" s="1" t="s">
        <v>5387</v>
      </c>
      <c r="F717" s="1" t="s">
        <v>36</v>
      </c>
      <c r="G717" s="1" t="s">
        <v>5388</v>
      </c>
      <c r="H717" s="1" t="s">
        <v>5389</v>
      </c>
      <c r="I717" s="1" t="s">
        <v>5390</v>
      </c>
      <c r="J717" s="38">
        <v>46020</v>
      </c>
      <c r="K717" s="1" t="s">
        <v>158</v>
      </c>
      <c r="L717" s="1" t="s">
        <v>5391</v>
      </c>
      <c r="M717" s="1" t="s">
        <v>5299</v>
      </c>
      <c r="N717" s="2">
        <v>202509069800</v>
      </c>
      <c r="O717" s="47">
        <v>45932</v>
      </c>
    </row>
    <row r="718" spans="1:15" x14ac:dyDescent="0.4">
      <c r="A718" s="35">
        <v>2116</v>
      </c>
      <c r="B718" s="1" t="s">
        <v>1417</v>
      </c>
      <c r="C718" s="38">
        <v>45872</v>
      </c>
      <c r="D718" s="1" t="s">
        <v>1931</v>
      </c>
      <c r="E718" s="1" t="s">
        <v>5392</v>
      </c>
      <c r="F718" s="1" t="s">
        <v>55</v>
      </c>
      <c r="G718" s="1" t="s">
        <v>5393</v>
      </c>
      <c r="H718" s="1" t="s">
        <v>5394</v>
      </c>
      <c r="I718" s="1" t="s">
        <v>5395</v>
      </c>
      <c r="J718" s="38">
        <v>46020</v>
      </c>
      <c r="K718" s="1" t="s">
        <v>5396</v>
      </c>
      <c r="L718" s="1" t="s">
        <v>4491</v>
      </c>
      <c r="M718" s="1" t="s">
        <v>4492</v>
      </c>
      <c r="N718" s="2">
        <v>202509086035</v>
      </c>
      <c r="O718" s="47">
        <v>45992</v>
      </c>
    </row>
    <row r="719" spans="1:15" x14ac:dyDescent="0.4">
      <c r="A719" s="36">
        <v>2117</v>
      </c>
      <c r="B719" s="1" t="s">
        <v>5397</v>
      </c>
      <c r="C719" s="38">
        <v>45911</v>
      </c>
      <c r="D719" s="1" t="s">
        <v>670</v>
      </c>
      <c r="E719" s="1" t="s">
        <v>5398</v>
      </c>
      <c r="F719" s="1" t="s">
        <v>36</v>
      </c>
      <c r="G719" s="1" t="s">
        <v>5399</v>
      </c>
      <c r="H719" s="1" t="s">
        <v>5400</v>
      </c>
      <c r="I719" s="1" t="s">
        <v>5401</v>
      </c>
      <c r="J719" s="38">
        <v>46020</v>
      </c>
      <c r="K719" s="1" t="s">
        <v>5402</v>
      </c>
      <c r="L719" s="1" t="s">
        <v>5403</v>
      </c>
      <c r="M719" s="1" t="s">
        <v>3628</v>
      </c>
      <c r="N719" s="2">
        <v>202509085034</v>
      </c>
      <c r="O719" s="47">
        <v>45988</v>
      </c>
    </row>
    <row r="720" spans="1:15" x14ac:dyDescent="0.4">
      <c r="A720" s="35">
        <v>2118</v>
      </c>
      <c r="B720" s="1" t="s">
        <v>5265</v>
      </c>
      <c r="C720" s="38">
        <v>45747</v>
      </c>
      <c r="D720" s="1" t="s">
        <v>2098</v>
      </c>
      <c r="E720" s="1" t="s">
        <v>5404</v>
      </c>
      <c r="F720" s="1" t="s">
        <v>55</v>
      </c>
      <c r="G720" s="1" t="s">
        <v>5267</v>
      </c>
      <c r="H720" s="1" t="s">
        <v>4931</v>
      </c>
      <c r="I720" s="1" t="s">
        <v>5268</v>
      </c>
      <c r="J720" s="38">
        <v>46020</v>
      </c>
      <c r="K720" s="1" t="s">
        <v>5269</v>
      </c>
      <c r="L720" s="1" t="s">
        <v>5270</v>
      </c>
      <c r="M720" s="1" t="s">
        <v>4064</v>
      </c>
      <c r="N720" s="2">
        <v>202509085312</v>
      </c>
      <c r="O720" s="47">
        <v>45989</v>
      </c>
    </row>
    <row r="721" spans="1:15" x14ac:dyDescent="0.4">
      <c r="A721" s="36">
        <v>2119</v>
      </c>
      <c r="B721" s="1" t="s">
        <v>5405</v>
      </c>
      <c r="C721" s="38">
        <v>45927</v>
      </c>
      <c r="D721" s="1" t="s">
        <v>1218</v>
      </c>
      <c r="E721" s="1" t="s">
        <v>5406</v>
      </c>
      <c r="F721" s="1" t="s">
        <v>55</v>
      </c>
      <c r="G721" s="1" t="s">
        <v>5407</v>
      </c>
      <c r="H721" s="1" t="s">
        <v>3924</v>
      </c>
      <c r="I721" s="1" t="s">
        <v>5408</v>
      </c>
      <c r="J721" s="38">
        <v>46020</v>
      </c>
      <c r="K721" s="1" t="s">
        <v>5409</v>
      </c>
      <c r="L721" s="1" t="s">
        <v>5410</v>
      </c>
      <c r="M721" s="1" t="s">
        <v>4105</v>
      </c>
      <c r="N721" s="2">
        <v>202509090010</v>
      </c>
      <c r="O721" s="47">
        <v>46006</v>
      </c>
    </row>
    <row r="722" spans="1:15" x14ac:dyDescent="0.4">
      <c r="A722" s="35">
        <v>2120</v>
      </c>
      <c r="B722" s="1" t="s">
        <v>5411</v>
      </c>
      <c r="C722" s="38">
        <v>45957</v>
      </c>
      <c r="D722" s="1" t="s">
        <v>452</v>
      </c>
      <c r="E722" s="1" t="s">
        <v>5412</v>
      </c>
      <c r="F722" s="1" t="s">
        <v>55</v>
      </c>
      <c r="G722" s="1" t="s">
        <v>5413</v>
      </c>
      <c r="H722" s="1" t="s">
        <v>5414</v>
      </c>
      <c r="I722" s="1" t="s">
        <v>5415</v>
      </c>
      <c r="J722" s="38">
        <v>46020</v>
      </c>
      <c r="K722" s="1" t="s">
        <v>5416</v>
      </c>
      <c r="L722" s="1" t="s">
        <v>5417</v>
      </c>
      <c r="M722" s="1" t="s">
        <v>5418</v>
      </c>
      <c r="N722" s="2">
        <v>202509087758</v>
      </c>
      <c r="O722" s="47">
        <v>45998</v>
      </c>
    </row>
    <row r="723" spans="1:15" x14ac:dyDescent="0.4">
      <c r="A723" s="36">
        <v>2121</v>
      </c>
      <c r="B723" s="1" t="s">
        <v>5419</v>
      </c>
      <c r="C723" s="38">
        <v>45981</v>
      </c>
      <c r="D723" s="1" t="s">
        <v>44</v>
      </c>
      <c r="E723" s="1" t="s">
        <v>5420</v>
      </c>
      <c r="F723" s="1" t="s">
        <v>36</v>
      </c>
      <c r="G723" s="1" t="s">
        <v>5421</v>
      </c>
      <c r="H723" s="1" t="s">
        <v>5422</v>
      </c>
      <c r="I723" s="1" t="s">
        <v>5423</v>
      </c>
      <c r="J723" s="38">
        <v>46020</v>
      </c>
      <c r="K723" s="1" t="s">
        <v>5424</v>
      </c>
      <c r="L723" s="1" t="s">
        <v>5425</v>
      </c>
      <c r="M723" s="1" t="s">
        <v>5426</v>
      </c>
      <c r="N723" s="2">
        <v>202509090615</v>
      </c>
      <c r="O723" s="47">
        <v>46007</v>
      </c>
    </row>
    <row r="724" spans="1:15" x14ac:dyDescent="0.4">
      <c r="A724" s="35">
        <v>2122</v>
      </c>
      <c r="B724" s="1" t="s">
        <v>5427</v>
      </c>
      <c r="C724" s="38">
        <v>45924</v>
      </c>
      <c r="D724" s="1" t="s">
        <v>2098</v>
      </c>
      <c r="E724" s="1" t="s">
        <v>5428</v>
      </c>
      <c r="F724" s="1" t="s">
        <v>36</v>
      </c>
      <c r="G724" s="1" t="s">
        <v>5429</v>
      </c>
      <c r="H724" s="1" t="s">
        <v>5430</v>
      </c>
      <c r="I724" s="1" t="s">
        <v>5431</v>
      </c>
      <c r="J724" s="38">
        <v>46020</v>
      </c>
      <c r="K724" s="1" t="s">
        <v>5099</v>
      </c>
      <c r="L724" s="1" t="s">
        <v>5432</v>
      </c>
      <c r="M724" s="1" t="s">
        <v>5433</v>
      </c>
      <c r="N724" s="2">
        <v>202509073899</v>
      </c>
      <c r="O724" s="47">
        <v>45947</v>
      </c>
    </row>
    <row r="725" spans="1:15" x14ac:dyDescent="0.4">
      <c r="A725" s="36">
        <v>2123</v>
      </c>
      <c r="B725" s="1" t="s">
        <v>5434</v>
      </c>
      <c r="C725" s="38">
        <v>45770</v>
      </c>
      <c r="D725" s="1" t="s">
        <v>452</v>
      </c>
      <c r="E725" s="1" t="s">
        <v>5435</v>
      </c>
      <c r="F725" s="1" t="s">
        <v>55</v>
      </c>
      <c r="G725" s="1" t="s">
        <v>5436</v>
      </c>
      <c r="H725" s="1" t="s">
        <v>5437</v>
      </c>
      <c r="I725" s="1" t="s">
        <v>5438</v>
      </c>
      <c r="J725" s="38">
        <v>46020</v>
      </c>
      <c r="K725" s="1" t="s">
        <v>5439</v>
      </c>
      <c r="L725" s="1" t="s">
        <v>5440</v>
      </c>
      <c r="M725" s="1" t="s">
        <v>5441</v>
      </c>
      <c r="N725" s="2">
        <v>202509065038</v>
      </c>
      <c r="O725" s="47">
        <v>45914</v>
      </c>
    </row>
    <row r="726" spans="1:15" x14ac:dyDescent="0.4">
      <c r="A726" s="35">
        <v>2124</v>
      </c>
      <c r="B726" s="1" t="s">
        <v>5442</v>
      </c>
      <c r="C726" s="38">
        <v>45960</v>
      </c>
      <c r="D726" s="1" t="s">
        <v>3951</v>
      </c>
      <c r="E726" s="1" t="s">
        <v>5443</v>
      </c>
      <c r="F726" s="1" t="s">
        <v>36</v>
      </c>
      <c r="G726" s="1" t="s">
        <v>5444</v>
      </c>
      <c r="H726" s="1" t="s">
        <v>5445</v>
      </c>
      <c r="I726" s="1" t="s">
        <v>5446</v>
      </c>
      <c r="J726" s="38">
        <v>46020</v>
      </c>
      <c r="K726" s="1" t="s">
        <v>5447</v>
      </c>
      <c r="L726" s="1" t="s">
        <v>1261</v>
      </c>
      <c r="M726" s="1" t="s">
        <v>4537</v>
      </c>
      <c r="N726" s="2">
        <v>202509090518</v>
      </c>
      <c r="O726" s="47">
        <v>46007</v>
      </c>
    </row>
    <row r="727" spans="1:15" x14ac:dyDescent="0.4">
      <c r="A727" s="36">
        <v>2125</v>
      </c>
      <c r="B727" s="1" t="s">
        <v>5448</v>
      </c>
      <c r="C727" s="38">
        <v>45872</v>
      </c>
      <c r="D727" s="1" t="s">
        <v>452</v>
      </c>
      <c r="E727" s="1" t="s">
        <v>5449</v>
      </c>
      <c r="F727" s="1" t="s">
        <v>55</v>
      </c>
      <c r="G727" s="1" t="s">
        <v>5450</v>
      </c>
      <c r="H727" s="1" t="s">
        <v>5451</v>
      </c>
      <c r="I727" s="1" t="s">
        <v>5452</v>
      </c>
      <c r="J727" s="38">
        <v>46020</v>
      </c>
      <c r="K727" s="1" t="s">
        <v>5453</v>
      </c>
      <c r="L727" s="1" t="s">
        <v>5454</v>
      </c>
      <c r="M727" s="1" t="s">
        <v>5455</v>
      </c>
      <c r="N727" s="2">
        <v>202509092266</v>
      </c>
      <c r="O727" s="47">
        <v>46014</v>
      </c>
    </row>
    <row r="728" spans="1:15" x14ac:dyDescent="0.4">
      <c r="A728" s="35">
        <v>2126</v>
      </c>
      <c r="B728" s="1" t="s">
        <v>5456</v>
      </c>
      <c r="C728" s="38">
        <v>45894</v>
      </c>
      <c r="D728" s="1" t="s">
        <v>670</v>
      </c>
      <c r="E728" s="1" t="s">
        <v>5457</v>
      </c>
      <c r="F728" s="1" t="s">
        <v>55</v>
      </c>
      <c r="G728" s="1" t="s">
        <v>5458</v>
      </c>
      <c r="H728" s="1" t="s">
        <v>5459</v>
      </c>
      <c r="I728" s="1" t="s">
        <v>5460</v>
      </c>
      <c r="J728" s="38">
        <v>46020</v>
      </c>
      <c r="K728" s="1" t="s">
        <v>5461</v>
      </c>
      <c r="L728" s="1" t="s">
        <v>5462</v>
      </c>
      <c r="M728" s="1" t="s">
        <v>5463</v>
      </c>
      <c r="N728" s="2">
        <v>202509070860</v>
      </c>
      <c r="O728" s="47">
        <v>45937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117" r:id="rId66" xr:uid="{00000000-0004-0000-0000-000041000000}"/>
    <hyperlink ref="E118" r:id="rId67" xr:uid="{00000000-0004-0000-0000-000042000000}"/>
    <hyperlink ref="E119" r:id="rId68" xr:uid="{00000000-0004-0000-0000-000043000000}"/>
    <hyperlink ref="E120" r:id="rId69" xr:uid="{00000000-0004-0000-0000-000044000000}"/>
    <hyperlink ref="E121" r:id="rId70" xr:uid="{00000000-0004-0000-0000-000045000000}"/>
    <hyperlink ref="E122" r:id="rId71" xr:uid="{00000000-0004-0000-0000-000046000000}"/>
    <hyperlink ref="E123" r:id="rId72" xr:uid="{00000000-0004-0000-0000-000047000000}"/>
    <hyperlink ref="E125" r:id="rId73" xr:uid="{00000000-0004-0000-0000-000048000000}"/>
    <hyperlink ref="E126" r:id="rId74" xr:uid="{00000000-0004-0000-0000-000049000000}"/>
    <hyperlink ref="E127" r:id="rId75" xr:uid="{00000000-0004-0000-0000-00004A000000}"/>
    <hyperlink ref="E128" r:id="rId76" xr:uid="{00000000-0004-0000-0000-00004B000000}"/>
    <hyperlink ref="E129" r:id="rId77" xr:uid="{00000000-0004-0000-0000-00004C000000}"/>
    <hyperlink ref="E130" r:id="rId78" xr:uid="{00000000-0004-0000-0000-00004D000000}"/>
    <hyperlink ref="E131" r:id="rId79" xr:uid="{00000000-0004-0000-0000-00004E000000}"/>
    <hyperlink ref="E132" r:id="rId80" xr:uid="{00000000-0004-0000-0000-00004F000000}"/>
    <hyperlink ref="E133" r:id="rId81" xr:uid="{00000000-0004-0000-0000-000050000000}"/>
    <hyperlink ref="E134" r:id="rId82" xr:uid="{00000000-0004-0000-0000-000051000000}"/>
    <hyperlink ref="E135" r:id="rId83" xr:uid="{00000000-0004-0000-0000-000052000000}"/>
    <hyperlink ref="E136" r:id="rId84" xr:uid="{00000000-0004-0000-0000-000053000000}"/>
    <hyperlink ref="E137" r:id="rId85" xr:uid="{00000000-0004-0000-0000-000054000000}"/>
    <hyperlink ref="E138" r:id="rId86" xr:uid="{00000000-0004-0000-0000-000055000000}"/>
    <hyperlink ref="E139" r:id="rId87" xr:uid="{00000000-0004-0000-0000-000056000000}"/>
    <hyperlink ref="E140" r:id="rId88" xr:uid="{00000000-0004-0000-0000-000057000000}"/>
    <hyperlink ref="E141" r:id="rId89" xr:uid="{00000000-0004-0000-0000-000058000000}"/>
    <hyperlink ref="E142" r:id="rId90" xr:uid="{00000000-0004-0000-0000-000059000000}"/>
    <hyperlink ref="E143" r:id="rId91" xr:uid="{00000000-0004-0000-0000-00005A000000}"/>
    <hyperlink ref="E144" r:id="rId92" xr:uid="{00000000-0004-0000-0000-00005B000000}"/>
    <hyperlink ref="E145" r:id="rId93" xr:uid="{00000000-0004-0000-0000-00005C000000}"/>
    <hyperlink ref="E146" r:id="rId94" xr:uid="{00000000-0004-0000-0000-00005D000000}"/>
    <hyperlink ref="E147" r:id="rId95" xr:uid="{00000000-0004-0000-0000-00005E000000}"/>
    <hyperlink ref="E148" r:id="rId96" xr:uid="{00000000-0004-0000-0000-00005F000000}"/>
    <hyperlink ref="E149" r:id="rId97" xr:uid="{00000000-0004-0000-0000-000060000000}"/>
    <hyperlink ref="E150" r:id="rId98" xr:uid="{00000000-0004-0000-0000-000061000000}"/>
    <hyperlink ref="E151" r:id="rId99" xr:uid="{00000000-0004-0000-0000-000062000000}"/>
    <hyperlink ref="E152" r:id="rId100" xr:uid="{00000000-0004-0000-0000-000063000000}"/>
    <hyperlink ref="E153" r:id="rId101" xr:uid="{00000000-0004-0000-0000-000064000000}"/>
    <hyperlink ref="E154" r:id="rId102" xr:uid="{00000000-0004-0000-0000-000065000000}"/>
    <hyperlink ref="E155" r:id="rId103" xr:uid="{00000000-0004-0000-0000-000066000000}"/>
    <hyperlink ref="E156" r:id="rId104" xr:uid="{00000000-0004-0000-0000-000067000000}"/>
    <hyperlink ref="E157" r:id="rId105" xr:uid="{00000000-0004-0000-0000-000068000000}"/>
    <hyperlink ref="E158" r:id="rId106" xr:uid="{00000000-0004-0000-0000-000069000000}"/>
    <hyperlink ref="E159" r:id="rId107" xr:uid="{00000000-0004-0000-0000-00006A000000}"/>
    <hyperlink ref="E162" r:id="rId108" xr:uid="{00000000-0004-0000-0000-00006B000000}"/>
    <hyperlink ref="E163" r:id="rId109" xr:uid="{00000000-0004-0000-0000-00006C000000}"/>
    <hyperlink ref="E164" r:id="rId110" xr:uid="{00000000-0004-0000-0000-00006D000000}"/>
    <hyperlink ref="E165" r:id="rId111" xr:uid="{00000000-0004-0000-0000-00006E000000}"/>
    <hyperlink ref="E166" r:id="rId112" xr:uid="{00000000-0004-0000-0000-00006F000000}"/>
    <hyperlink ref="E167" r:id="rId113" xr:uid="{00000000-0004-0000-0000-000070000000}"/>
    <hyperlink ref="E168" r:id="rId114" xr:uid="{00000000-0004-0000-0000-000071000000}"/>
    <hyperlink ref="E169" r:id="rId115" xr:uid="{00000000-0004-0000-0000-000072000000}"/>
    <hyperlink ref="E170" r:id="rId116" xr:uid="{00000000-0004-0000-0000-000073000000}"/>
    <hyperlink ref="E171" r:id="rId117" xr:uid="{00000000-0004-0000-0000-000074000000}"/>
    <hyperlink ref="E172" r:id="rId118" xr:uid="{00000000-0004-0000-0000-000075000000}"/>
    <hyperlink ref="E173" r:id="rId119" xr:uid="{00000000-0004-0000-0000-000076000000}"/>
    <hyperlink ref="E174" r:id="rId120" xr:uid="{00000000-0004-0000-0000-000077000000}"/>
    <hyperlink ref="E175" r:id="rId121" xr:uid="{00000000-0004-0000-0000-000078000000}"/>
    <hyperlink ref="E176" r:id="rId122" xr:uid="{00000000-0004-0000-0000-000079000000}"/>
    <hyperlink ref="E177" r:id="rId123" xr:uid="{00000000-0004-0000-0000-00007A000000}"/>
    <hyperlink ref="E178" r:id="rId124" xr:uid="{00000000-0004-0000-0000-00007B000000}"/>
    <hyperlink ref="E179" r:id="rId125" xr:uid="{00000000-0004-0000-0000-00007C000000}"/>
    <hyperlink ref="E180" r:id="rId126" xr:uid="{00000000-0004-0000-0000-00007D000000}"/>
    <hyperlink ref="E181" r:id="rId127" xr:uid="{00000000-0004-0000-0000-00007E000000}"/>
    <hyperlink ref="E182" r:id="rId128" xr:uid="{00000000-0004-0000-0000-00007F000000}"/>
    <hyperlink ref="E183" r:id="rId129" xr:uid="{00000000-0004-0000-0000-000080000000}"/>
    <hyperlink ref="E184" r:id="rId130" xr:uid="{00000000-0004-0000-0000-000081000000}"/>
    <hyperlink ref="E185" r:id="rId131" xr:uid="{00000000-0004-0000-0000-000082000000}"/>
    <hyperlink ref="E186" r:id="rId132" xr:uid="{00000000-0004-0000-0000-000083000000}"/>
    <hyperlink ref="E187" r:id="rId133" xr:uid="{00000000-0004-0000-0000-000084000000}"/>
    <hyperlink ref="E188" r:id="rId134" xr:uid="{00000000-0004-0000-0000-000085000000}"/>
    <hyperlink ref="E189" r:id="rId135" xr:uid="{00000000-0004-0000-0000-000086000000}"/>
    <hyperlink ref="E190" r:id="rId136" xr:uid="{00000000-0004-0000-0000-000087000000}"/>
    <hyperlink ref="E191" r:id="rId137" xr:uid="{00000000-0004-0000-0000-000088000000}"/>
    <hyperlink ref="E192" r:id="rId138" xr:uid="{00000000-0004-0000-0000-000089000000}"/>
    <hyperlink ref="E193" r:id="rId139" xr:uid="{00000000-0004-0000-0000-00008A000000}"/>
    <hyperlink ref="E194" r:id="rId140" xr:uid="{00000000-0004-0000-0000-00008B000000}"/>
    <hyperlink ref="E195" r:id="rId141" xr:uid="{00000000-0004-0000-0000-00008C000000}"/>
    <hyperlink ref="E196" r:id="rId142" xr:uid="{00000000-0004-0000-0000-00008D000000}"/>
    <hyperlink ref="E197" r:id="rId143" xr:uid="{00000000-0004-0000-0000-00008E000000}"/>
    <hyperlink ref="E198" r:id="rId144" xr:uid="{00000000-0004-0000-0000-00008F000000}"/>
    <hyperlink ref="E199" r:id="rId145" xr:uid="{00000000-0004-0000-0000-000090000000}"/>
    <hyperlink ref="E200" r:id="rId146" xr:uid="{00000000-0004-0000-0000-000091000000}"/>
    <hyperlink ref="E201" r:id="rId147" xr:uid="{00000000-0004-0000-0000-000092000000}"/>
    <hyperlink ref="E202" r:id="rId148" xr:uid="{00000000-0004-0000-0000-000093000000}"/>
    <hyperlink ref="E203" r:id="rId149" xr:uid="{00000000-0004-0000-0000-000094000000}"/>
    <hyperlink ref="E204" r:id="rId150" xr:uid="{00000000-0004-0000-0000-000095000000}"/>
    <hyperlink ref="E205" r:id="rId151" xr:uid="{00000000-0004-0000-0000-000096000000}"/>
    <hyperlink ref="E206" r:id="rId152" xr:uid="{00000000-0004-0000-0000-000097000000}"/>
    <hyperlink ref="E207" r:id="rId153" xr:uid="{00000000-0004-0000-0000-000098000000}"/>
    <hyperlink ref="E208" r:id="rId154" xr:uid="{00000000-0004-0000-0000-000099000000}"/>
    <hyperlink ref="E209" r:id="rId155" xr:uid="{00000000-0004-0000-0000-00009A000000}"/>
    <hyperlink ref="E210" r:id="rId156" xr:uid="{00000000-0004-0000-0000-00009B000000}"/>
    <hyperlink ref="E211" r:id="rId157" xr:uid="{00000000-0004-0000-0000-00009C000000}"/>
    <hyperlink ref="E212" r:id="rId158" xr:uid="{00000000-0004-0000-0000-00009D000000}"/>
    <hyperlink ref="E213" r:id="rId159" xr:uid="{00000000-0004-0000-0000-00009E000000}"/>
    <hyperlink ref="E214" r:id="rId160" xr:uid="{00000000-0004-0000-0000-00009F000000}"/>
    <hyperlink ref="E215" r:id="rId161" xr:uid="{00000000-0004-0000-0000-0000A0000000}"/>
    <hyperlink ref="E216" r:id="rId162" xr:uid="{00000000-0004-0000-0000-0000A1000000}"/>
    <hyperlink ref="E217" r:id="rId163" xr:uid="{00000000-0004-0000-0000-0000A2000000}"/>
    <hyperlink ref="E218" r:id="rId164" xr:uid="{00000000-0004-0000-0000-0000A3000000}"/>
    <hyperlink ref="E219" r:id="rId165" xr:uid="{00000000-0004-0000-0000-0000A4000000}"/>
    <hyperlink ref="E220" r:id="rId166" xr:uid="{00000000-0004-0000-0000-0000A5000000}"/>
    <hyperlink ref="E221" r:id="rId167" xr:uid="{00000000-0004-0000-0000-0000A6000000}"/>
    <hyperlink ref="E222" r:id="rId168" xr:uid="{00000000-0004-0000-0000-0000A7000000}"/>
    <hyperlink ref="E223" r:id="rId169" xr:uid="{00000000-0004-0000-0000-0000A8000000}"/>
    <hyperlink ref="E224" r:id="rId170" xr:uid="{00000000-0004-0000-0000-0000A9000000}"/>
    <hyperlink ref="E225" r:id="rId171" xr:uid="{00000000-0004-0000-0000-0000AA000000}"/>
    <hyperlink ref="E226" r:id="rId172" xr:uid="{00000000-0004-0000-0000-0000AB000000}"/>
    <hyperlink ref="E227" r:id="rId173" xr:uid="{00000000-0004-0000-0000-0000AC000000}"/>
    <hyperlink ref="E228" r:id="rId174" xr:uid="{00000000-0004-0000-0000-0000AD000000}"/>
    <hyperlink ref="E229" r:id="rId175" xr:uid="{00000000-0004-0000-0000-0000AE000000}"/>
    <hyperlink ref="E230" r:id="rId176" xr:uid="{00000000-0004-0000-0000-0000AF000000}"/>
    <hyperlink ref="E231" r:id="rId177" xr:uid="{00000000-0004-0000-0000-0000B0000000}"/>
    <hyperlink ref="E232" r:id="rId178" xr:uid="{00000000-0004-0000-0000-0000B1000000}"/>
    <hyperlink ref="E233" r:id="rId179" xr:uid="{00000000-0004-0000-0000-0000B2000000}"/>
    <hyperlink ref="E234" r:id="rId180" xr:uid="{00000000-0004-0000-0000-0000B3000000}"/>
    <hyperlink ref="E235" r:id="rId181" xr:uid="{00000000-0004-0000-0000-0000B4000000}"/>
    <hyperlink ref="E236" r:id="rId182" xr:uid="{00000000-0004-0000-0000-0000B5000000}"/>
    <hyperlink ref="E237" r:id="rId183" xr:uid="{00000000-0004-0000-0000-0000B6000000}"/>
    <hyperlink ref="E238" r:id="rId184" xr:uid="{00000000-0004-0000-0000-0000B7000000}"/>
    <hyperlink ref="E239" r:id="rId185" xr:uid="{00000000-0004-0000-0000-0000B8000000}"/>
    <hyperlink ref="E240" r:id="rId186" xr:uid="{00000000-0004-0000-0000-0000B9000000}"/>
    <hyperlink ref="E241" r:id="rId187" xr:uid="{00000000-0004-0000-0000-0000BA000000}"/>
    <hyperlink ref="E242" r:id="rId188" xr:uid="{00000000-0004-0000-0000-0000BB000000}"/>
    <hyperlink ref="E243" r:id="rId189" xr:uid="{00000000-0004-0000-0000-0000BC000000}"/>
    <hyperlink ref="E244" r:id="rId190" xr:uid="{00000000-0004-0000-0000-0000BD000000}"/>
    <hyperlink ref="E245" r:id="rId191" xr:uid="{00000000-0004-0000-0000-0000BE000000}"/>
    <hyperlink ref="E246" r:id="rId192" xr:uid="{00000000-0004-0000-0000-0000BF000000}"/>
    <hyperlink ref="E247" r:id="rId193" xr:uid="{00000000-0004-0000-0000-0000C0000000}"/>
    <hyperlink ref="E248" r:id="rId194" xr:uid="{00000000-0004-0000-0000-0000C1000000}"/>
    <hyperlink ref="E249" r:id="rId195" xr:uid="{00000000-0004-0000-0000-0000C2000000}"/>
    <hyperlink ref="E250" r:id="rId196" xr:uid="{00000000-0004-0000-0000-0000C3000000}"/>
    <hyperlink ref="E251" r:id="rId197" xr:uid="{00000000-0004-0000-0000-0000C4000000}"/>
    <hyperlink ref="E252" r:id="rId198" xr:uid="{00000000-0004-0000-0000-0000C5000000}"/>
    <hyperlink ref="E253" r:id="rId199" xr:uid="{00000000-0004-0000-0000-0000C6000000}"/>
    <hyperlink ref="E254" r:id="rId200" xr:uid="{00000000-0004-0000-0000-0000C7000000}"/>
    <hyperlink ref="E255" r:id="rId201" xr:uid="{00000000-0004-0000-0000-0000C8000000}"/>
    <hyperlink ref="E256" r:id="rId202" xr:uid="{00000000-0004-0000-0000-0000C9000000}"/>
    <hyperlink ref="E257" r:id="rId203" xr:uid="{00000000-0004-0000-0000-0000CA000000}"/>
    <hyperlink ref="E258" r:id="rId204" xr:uid="{00000000-0004-0000-0000-0000CB000000}"/>
    <hyperlink ref="E259" r:id="rId205" xr:uid="{00000000-0004-0000-0000-0000CC000000}"/>
    <hyperlink ref="E260" r:id="rId206" xr:uid="{00000000-0004-0000-0000-0000CD000000}"/>
    <hyperlink ref="E261" r:id="rId207" xr:uid="{00000000-0004-0000-0000-0000CE000000}"/>
    <hyperlink ref="E262" r:id="rId208" xr:uid="{00000000-0004-0000-0000-0000CF000000}"/>
    <hyperlink ref="E263" r:id="rId209" xr:uid="{00000000-0004-0000-0000-0000D0000000}"/>
    <hyperlink ref="E264" r:id="rId210" xr:uid="{00000000-0004-0000-0000-0000D1000000}"/>
    <hyperlink ref="E265" r:id="rId211" xr:uid="{00000000-0004-0000-0000-0000D2000000}"/>
    <hyperlink ref="E266" r:id="rId212" xr:uid="{00000000-0004-0000-0000-0000D3000000}"/>
    <hyperlink ref="E267" r:id="rId213" xr:uid="{00000000-0004-0000-0000-0000D4000000}"/>
    <hyperlink ref="E268" r:id="rId214" xr:uid="{00000000-0004-0000-0000-0000D5000000}"/>
    <hyperlink ref="E269" r:id="rId215" xr:uid="{00000000-0004-0000-0000-0000D6000000}"/>
    <hyperlink ref="E270" r:id="rId216" xr:uid="{00000000-0004-0000-0000-0000D7000000}"/>
    <hyperlink ref="E272" r:id="rId217" xr:uid="{00000000-0004-0000-0000-0000D8000000}"/>
    <hyperlink ref="E273" r:id="rId218" xr:uid="{00000000-0004-0000-0000-0000D9000000}"/>
    <hyperlink ref="E274" r:id="rId219" xr:uid="{00000000-0004-0000-0000-0000DA000000}"/>
    <hyperlink ref="E275" r:id="rId220" xr:uid="{00000000-0004-0000-0000-0000DB000000}"/>
    <hyperlink ref="E276" r:id="rId221" xr:uid="{00000000-0004-0000-0000-0000DC000000}"/>
    <hyperlink ref="E277" r:id="rId222" xr:uid="{00000000-0004-0000-0000-0000DD000000}"/>
    <hyperlink ref="E278" r:id="rId223" xr:uid="{00000000-0004-0000-0000-0000DE000000}"/>
    <hyperlink ref="E279" r:id="rId224" xr:uid="{00000000-0004-0000-0000-0000DF000000}"/>
    <hyperlink ref="E280" r:id="rId225" xr:uid="{00000000-0004-0000-0000-0000E0000000}"/>
    <hyperlink ref="E281" r:id="rId226" xr:uid="{00000000-0004-0000-0000-0000E1000000}"/>
    <hyperlink ref="E282" r:id="rId227" xr:uid="{00000000-0004-0000-0000-0000E2000000}"/>
    <hyperlink ref="E283" r:id="rId228" xr:uid="{00000000-0004-0000-0000-0000E3000000}"/>
    <hyperlink ref="E284" r:id="rId229" xr:uid="{00000000-0004-0000-0000-0000E4000000}"/>
    <hyperlink ref="E285" r:id="rId230" xr:uid="{00000000-0004-0000-0000-0000E5000000}"/>
    <hyperlink ref="E286" r:id="rId231" xr:uid="{00000000-0004-0000-0000-0000E6000000}"/>
    <hyperlink ref="E287" r:id="rId232" xr:uid="{00000000-0004-0000-0000-0000E7000000}"/>
    <hyperlink ref="E288" r:id="rId233" xr:uid="{00000000-0004-0000-0000-0000E8000000}"/>
    <hyperlink ref="E289" r:id="rId234" xr:uid="{00000000-0004-0000-0000-0000E9000000}"/>
    <hyperlink ref="E290" r:id="rId235" xr:uid="{00000000-0004-0000-0000-0000EA000000}"/>
    <hyperlink ref="E291" r:id="rId236" xr:uid="{00000000-0004-0000-0000-0000EB000000}"/>
    <hyperlink ref="E292" r:id="rId237" xr:uid="{00000000-0004-0000-0000-0000EC000000}"/>
    <hyperlink ref="E293" r:id="rId238" xr:uid="{00000000-0004-0000-0000-0000ED000000}"/>
    <hyperlink ref="E294" r:id="rId239" xr:uid="{00000000-0004-0000-0000-0000EE000000}"/>
    <hyperlink ref="E295" r:id="rId240" xr:uid="{00000000-0004-0000-0000-0000EF000000}"/>
    <hyperlink ref="E296" r:id="rId241" xr:uid="{00000000-0004-0000-0000-0000F0000000}"/>
    <hyperlink ref="E297" r:id="rId242" xr:uid="{00000000-0004-0000-0000-0000F1000000}"/>
    <hyperlink ref="E298" r:id="rId243" xr:uid="{00000000-0004-0000-0000-0000F2000000}"/>
    <hyperlink ref="E299" r:id="rId244" xr:uid="{00000000-0004-0000-0000-0000F3000000}"/>
    <hyperlink ref="E300" r:id="rId245" xr:uid="{00000000-0004-0000-0000-0000F4000000}"/>
    <hyperlink ref="E301" r:id="rId246" xr:uid="{00000000-0004-0000-0000-0000F5000000}"/>
    <hyperlink ref="E302" r:id="rId247" xr:uid="{00000000-0004-0000-0000-0000F6000000}"/>
    <hyperlink ref="E303" r:id="rId248" xr:uid="{00000000-0004-0000-0000-0000F7000000}"/>
    <hyperlink ref="E304" r:id="rId249" xr:uid="{00000000-0004-0000-0000-0000F8000000}"/>
    <hyperlink ref="E305" r:id="rId250" xr:uid="{00000000-0004-0000-0000-0000F9000000}"/>
    <hyperlink ref="E306" r:id="rId251" xr:uid="{00000000-0004-0000-0000-0000FA000000}"/>
    <hyperlink ref="E307" r:id="rId252" xr:uid="{00000000-0004-0000-0000-0000FB000000}"/>
    <hyperlink ref="E308" r:id="rId253" xr:uid="{00000000-0004-0000-0000-0000FC000000}"/>
    <hyperlink ref="E309" r:id="rId254" xr:uid="{00000000-0004-0000-0000-0000FD000000}"/>
    <hyperlink ref="E311" r:id="rId255" xr:uid="{00000000-0004-0000-0000-0000FE000000}"/>
    <hyperlink ref="E312" r:id="rId256" xr:uid="{00000000-0004-0000-0000-0000FF000000}"/>
    <hyperlink ref="E313" r:id="rId257" xr:uid="{00000000-0004-0000-0000-000000010000}"/>
    <hyperlink ref="E314" r:id="rId258" xr:uid="{00000000-0004-0000-0000-000001010000}"/>
    <hyperlink ref="E315" r:id="rId259" xr:uid="{00000000-0004-0000-0000-000002010000}"/>
    <hyperlink ref="E316" r:id="rId260" xr:uid="{00000000-0004-0000-0000-000003010000}"/>
    <hyperlink ref="E317" r:id="rId261" xr:uid="{00000000-0004-0000-0000-000004010000}"/>
    <hyperlink ref="E318" r:id="rId262" xr:uid="{00000000-0004-0000-0000-000005010000}"/>
    <hyperlink ref="E319" r:id="rId263" xr:uid="{00000000-0004-0000-0000-000006010000}"/>
    <hyperlink ref="E320" r:id="rId264" xr:uid="{00000000-0004-0000-0000-000007010000}"/>
    <hyperlink ref="E321" r:id="rId265" xr:uid="{00000000-0004-0000-0000-000008010000}"/>
    <hyperlink ref="E322" r:id="rId266" xr:uid="{00000000-0004-0000-0000-000009010000}"/>
    <hyperlink ref="E323" r:id="rId267" xr:uid="{00000000-0004-0000-0000-00000A010000}"/>
    <hyperlink ref="E324" r:id="rId268" xr:uid="{00000000-0004-0000-0000-00000B010000}"/>
    <hyperlink ref="E325" r:id="rId269" xr:uid="{00000000-0004-0000-0000-00000C010000}"/>
    <hyperlink ref="E326" r:id="rId270" xr:uid="{00000000-0004-0000-0000-00000D010000}"/>
    <hyperlink ref="E327" r:id="rId271" xr:uid="{00000000-0004-0000-0000-00000E010000}"/>
    <hyperlink ref="E328" r:id="rId272" xr:uid="{00000000-0004-0000-0000-00000F010000}"/>
    <hyperlink ref="E329" r:id="rId273" xr:uid="{00000000-0004-0000-0000-000010010000}"/>
    <hyperlink ref="E330" r:id="rId274" xr:uid="{00000000-0004-0000-0000-000011010000}"/>
    <hyperlink ref="E331" r:id="rId275" xr:uid="{00000000-0004-0000-0000-000012010000}"/>
    <hyperlink ref="E332" r:id="rId276" xr:uid="{00000000-0004-0000-0000-000013010000}"/>
    <hyperlink ref="E333" r:id="rId277" xr:uid="{00000000-0004-0000-0000-000014010000}"/>
    <hyperlink ref="E334" r:id="rId278" xr:uid="{00000000-0004-0000-0000-000015010000}"/>
    <hyperlink ref="E335" r:id="rId279" xr:uid="{00000000-0004-0000-0000-000016010000}"/>
    <hyperlink ref="E336" r:id="rId280" xr:uid="{00000000-0004-0000-0000-000017010000}"/>
    <hyperlink ref="E337" r:id="rId281" xr:uid="{00000000-0004-0000-0000-000018010000}"/>
    <hyperlink ref="E338" r:id="rId282" xr:uid="{00000000-0004-0000-0000-000019010000}"/>
    <hyperlink ref="E339" r:id="rId283" xr:uid="{00000000-0004-0000-0000-00001A010000}"/>
    <hyperlink ref="E340" r:id="rId284" xr:uid="{00000000-0004-0000-0000-00001B010000}"/>
    <hyperlink ref="E341" r:id="rId285" xr:uid="{00000000-0004-0000-0000-00001C010000}"/>
    <hyperlink ref="E342" r:id="rId286" xr:uid="{00000000-0004-0000-0000-00001D010000}"/>
    <hyperlink ref="E343" r:id="rId287" xr:uid="{00000000-0004-0000-0000-00001E010000}"/>
    <hyperlink ref="E344" r:id="rId288" xr:uid="{00000000-0004-0000-0000-00001F010000}"/>
    <hyperlink ref="E346" r:id="rId289" xr:uid="{00000000-0004-0000-0000-000020010000}"/>
    <hyperlink ref="E347" r:id="rId290" xr:uid="{00000000-0004-0000-0000-000021010000}"/>
    <hyperlink ref="E348" r:id="rId291" xr:uid="{00000000-0004-0000-0000-000022010000}"/>
    <hyperlink ref="E349" r:id="rId292" xr:uid="{00000000-0004-0000-0000-000023010000}"/>
    <hyperlink ref="E350" r:id="rId293" xr:uid="{00000000-0004-0000-0000-000024010000}"/>
    <hyperlink ref="E351" r:id="rId294" xr:uid="{00000000-0004-0000-0000-000025010000}"/>
    <hyperlink ref="E352" r:id="rId295" xr:uid="{00000000-0004-0000-0000-000026010000}"/>
    <hyperlink ref="E353" r:id="rId296" xr:uid="{00000000-0004-0000-0000-000027010000}"/>
    <hyperlink ref="E354" r:id="rId297" xr:uid="{00000000-0004-0000-0000-000028010000}"/>
    <hyperlink ref="E355" r:id="rId298" xr:uid="{00000000-0004-0000-0000-000029010000}"/>
    <hyperlink ref="E356" r:id="rId299" xr:uid="{00000000-0004-0000-0000-00002A010000}"/>
    <hyperlink ref="E357" r:id="rId300" xr:uid="{00000000-0004-0000-0000-00002B010000}"/>
    <hyperlink ref="E358" r:id="rId301" xr:uid="{00000000-0004-0000-0000-00002C010000}"/>
    <hyperlink ref="E359" r:id="rId302" xr:uid="{00000000-0004-0000-0000-00002D010000}"/>
    <hyperlink ref="E360" r:id="rId303" xr:uid="{00000000-0004-0000-0000-00002E010000}"/>
    <hyperlink ref="E361" r:id="rId304" xr:uid="{00000000-0004-0000-0000-00002F010000}"/>
    <hyperlink ref="E362" r:id="rId305" xr:uid="{00000000-0004-0000-0000-000030010000}"/>
    <hyperlink ref="E363" r:id="rId306" xr:uid="{00000000-0004-0000-0000-000031010000}"/>
    <hyperlink ref="E364" r:id="rId307" xr:uid="{00000000-0004-0000-0000-000032010000}"/>
    <hyperlink ref="E365" r:id="rId308" xr:uid="{00000000-0004-0000-0000-000033010000}"/>
    <hyperlink ref="E366" r:id="rId309" xr:uid="{00000000-0004-0000-0000-000034010000}"/>
    <hyperlink ref="E367" r:id="rId310" xr:uid="{00000000-0004-0000-0000-000035010000}"/>
    <hyperlink ref="E368" r:id="rId311" xr:uid="{00000000-0004-0000-0000-000036010000}"/>
    <hyperlink ref="E369" r:id="rId312" xr:uid="{00000000-0004-0000-0000-000037010000}"/>
    <hyperlink ref="E370" r:id="rId313" xr:uid="{00000000-0004-0000-0000-000038010000}"/>
    <hyperlink ref="E371" r:id="rId314" xr:uid="{00000000-0004-0000-0000-000039010000}"/>
    <hyperlink ref="E372" r:id="rId315" xr:uid="{00000000-0004-0000-0000-00003A010000}"/>
    <hyperlink ref="E373" r:id="rId316" xr:uid="{00000000-0004-0000-0000-00003B010000}"/>
    <hyperlink ref="E374" r:id="rId317" xr:uid="{00000000-0004-0000-0000-00003C010000}"/>
    <hyperlink ref="E375" r:id="rId318" xr:uid="{00000000-0004-0000-0000-00003D010000}"/>
    <hyperlink ref="E376" r:id="rId319" xr:uid="{00000000-0004-0000-0000-00003E010000}"/>
    <hyperlink ref="E377" r:id="rId320" xr:uid="{00000000-0004-0000-0000-00003F010000}"/>
    <hyperlink ref="E378" r:id="rId321" xr:uid="{00000000-0004-0000-0000-000040010000}"/>
    <hyperlink ref="E380" r:id="rId322" xr:uid="{00000000-0004-0000-0000-000041010000}"/>
    <hyperlink ref="E381" r:id="rId323" xr:uid="{00000000-0004-0000-0000-000042010000}"/>
    <hyperlink ref="E382" r:id="rId324" xr:uid="{00000000-0004-0000-0000-000043010000}"/>
    <hyperlink ref="E383" r:id="rId325" xr:uid="{00000000-0004-0000-0000-000044010000}"/>
    <hyperlink ref="E384" r:id="rId326" xr:uid="{00000000-0004-0000-0000-000045010000}"/>
    <hyperlink ref="E385" r:id="rId327" xr:uid="{00000000-0004-0000-0000-000046010000}"/>
    <hyperlink ref="E386" r:id="rId328" xr:uid="{00000000-0004-0000-0000-000047010000}"/>
    <hyperlink ref="E387" r:id="rId329" xr:uid="{00000000-0004-0000-0000-000048010000}"/>
    <hyperlink ref="E388" r:id="rId330" xr:uid="{00000000-0004-0000-0000-000049010000}"/>
    <hyperlink ref="E389" r:id="rId331" xr:uid="{00000000-0004-0000-0000-00004A010000}"/>
    <hyperlink ref="E390" r:id="rId332" xr:uid="{00000000-0004-0000-0000-00004B010000}"/>
    <hyperlink ref="E391" r:id="rId333" xr:uid="{00000000-0004-0000-0000-00004C010000}"/>
    <hyperlink ref="E392" r:id="rId334" xr:uid="{00000000-0004-0000-0000-00004D010000}"/>
    <hyperlink ref="E393" r:id="rId335" xr:uid="{00000000-0004-0000-0000-00004E010000}"/>
    <hyperlink ref="E394" r:id="rId336" xr:uid="{00000000-0004-0000-0000-00004F01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28"/>
  <sheetViews>
    <sheetView tabSelected="1" topLeftCell="H138" workbookViewId="0">
      <selection activeCell="K146" sqref="K146"/>
    </sheetView>
  </sheetViews>
  <sheetFormatPr defaultRowHeight="14.5" x14ac:dyDescent="0.35"/>
  <cols>
    <col min="1" max="1" width="11" style="1" bestFit="1" customWidth="1"/>
    <col min="2" max="2" width="19.7265625" style="5" bestFit="1" customWidth="1"/>
    <col min="3" max="3" width="34.1796875" style="1" bestFit="1" customWidth="1"/>
    <col min="4" max="4" width="8.453125" style="1" bestFit="1" customWidth="1"/>
    <col min="5" max="5" width="46.26953125" style="1" bestFit="1" customWidth="1"/>
    <col min="6" max="6" width="45.81640625" style="1" bestFit="1" customWidth="1"/>
    <col min="7" max="7" width="55.7265625" style="1" bestFit="1" customWidth="1"/>
    <col min="8" max="8" width="134.7265625" style="1" bestFit="1" customWidth="1"/>
    <col min="9" max="9" width="19.26953125" style="1" bestFit="1" customWidth="1"/>
    <col min="10" max="10" width="24.26953125" style="1" bestFit="1" customWidth="1"/>
    <col min="11" max="11" width="12.7265625" style="1" bestFit="1" customWidth="1"/>
    <col min="12" max="12" width="15" style="38" bestFit="1" customWidth="1"/>
    <col min="13" max="13" width="14.453125" style="58" bestFit="1" customWidth="1"/>
    <col min="14" max="14" width="31" style="38" bestFit="1" customWidth="1"/>
    <col min="18" max="18" width="50" style="1" bestFit="1" customWidth="1"/>
    <col min="19" max="19" width="134.7265625" style="1" bestFit="1" customWidth="1"/>
  </cols>
  <sheetData>
    <row r="1" spans="1:14" x14ac:dyDescent="0.3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38" t="s">
        <v>11</v>
      </c>
      <c r="M1" s="38" t="s">
        <v>12</v>
      </c>
      <c r="N1" s="38" t="s">
        <v>13</v>
      </c>
    </row>
    <row r="2" spans="1:14" x14ac:dyDescent="0.35">
      <c r="A2" s="4" t="str">
        <f>Sheet1!A2 &amp; "/" &amp; "2025"</f>
        <v>1400/2025</v>
      </c>
      <c r="B2" s="5" t="str">
        <f>Sheet1!E2</f>
        <v>AU2065646519525</v>
      </c>
      <c r="C2" s="6" t="str">
        <f>UPPER(Sheet1!B2)</f>
        <v>SHRIJEET SARANG HINGASPURE</v>
      </c>
      <c r="D2" s="7" t="str">
        <f>IF(Sheet1!F2="F","FEMALE","MALE")</f>
        <v>MALE</v>
      </c>
      <c r="E2" s="6" t="str">
        <f>UPPER(Sheet1!G2)</f>
        <v>SARANG SANJAY HINGASPURE</v>
      </c>
      <c r="F2" s="6" t="str">
        <f>UPPER(Sheet1!H2)</f>
        <v>PAYAL ARUN  GULHANE</v>
      </c>
      <c r="G2" s="5" t="str">
        <f>TEXT(Sheet1!C2,"dd/mm/yyyy") &amp; "," &amp; Sheet1!D2</f>
        <v xml:space="preserve">13/07/2025,PARKVILLE, AUSTRALIA  </v>
      </c>
      <c r="H2" s="57" t="str">
        <f>UPPER(Sheet1!K2 &amp; "," &amp; Sheet1!L2 &amp; "," &amp; Sheet1!M2)</f>
        <v>PLOT NO 41 VIVEKANAND COLONY,RUKHMINI NAGAR,AMRAVATI,AMRAVATI CITY,PIN:444606,MAHARASHTRA,INDIA</v>
      </c>
      <c r="I2" s="8">
        <f>Sheet1!J2</f>
        <v>45880</v>
      </c>
      <c r="J2" s="5" t="str">
        <f>Sheet1!N2 &amp; "," &amp; TEXT(Sheet1!O2,"dd/mm/yy")</f>
        <v>202509055366,06/08/25</v>
      </c>
      <c r="K2" s="5" t="s">
        <v>5474</v>
      </c>
      <c r="L2" s="38" t="s">
        <v>15</v>
      </c>
      <c r="M2" s="38">
        <v>45925</v>
      </c>
      <c r="N2" s="38" t="s">
        <v>16</v>
      </c>
    </row>
    <row r="3" spans="1:14" x14ac:dyDescent="0.35">
      <c r="A3" s="4" t="str">
        <f>Sheet1!A3 &amp; "/" &amp; "2025"</f>
        <v>1401/2025</v>
      </c>
      <c r="B3" s="5" t="str">
        <f>Sheet1!E3</f>
        <v>AU206564652032</v>
      </c>
      <c r="C3" s="6" t="str">
        <f>UPPER(Sheet1!B3)</f>
        <v>IZHAAN MOHAMMED SHAIK</v>
      </c>
      <c r="D3" s="7" t="str">
        <f>IF(Sheet1!F3="F","FEMALE","MALE")</f>
        <v>MALE</v>
      </c>
      <c r="E3" s="6" t="str">
        <f>UPPER(Sheet1!G3)</f>
        <v>ABDUL ASIF</v>
      </c>
      <c r="F3" s="6" t="str">
        <f>UPPER(Sheet1!H3)</f>
        <v>SANIA ANJUM  SHAIK</v>
      </c>
      <c r="G3" s="5" t="str">
        <f>TEXT(Sheet1!C3,"dd/mm/yyyy") &amp; "," &amp; Sheet1!D3</f>
        <v xml:space="preserve">12/06/2025,WERIBEE, AUSTRALIA </v>
      </c>
      <c r="H3" s="57" t="str">
        <f>UPPER(Sheet1!K3 &amp; "," &amp; Sheet1!L3 &amp; "," &amp; Sheet1!M3)</f>
        <v>9-60-60,SUBBARAO STREET,ISLAMPET,VIJAYAWADA,NTR DISTRICT,PIN:520001,ANDHRA PRADESH,INDIA</v>
      </c>
      <c r="I3" s="8">
        <f>Sheet1!J3</f>
        <v>45880</v>
      </c>
      <c r="J3" s="5" t="str">
        <f>Sheet1!N3 &amp; "," &amp; TEXT(Sheet1!O3,"dd/mm/yy")</f>
        <v>202509053616,31/07/25</v>
      </c>
      <c r="K3" s="5" t="s">
        <v>5474</v>
      </c>
      <c r="L3" s="38" t="s">
        <v>15</v>
      </c>
      <c r="M3" s="38">
        <v>45925</v>
      </c>
      <c r="N3" s="38" t="s">
        <v>16</v>
      </c>
    </row>
    <row r="4" spans="1:14" x14ac:dyDescent="0.35">
      <c r="A4" s="4" t="str">
        <f>Sheet1!A4 &amp; "/" &amp; "2025"</f>
        <v>1402/2025</v>
      </c>
      <c r="B4" s="5" t="str">
        <f>Sheet1!E4</f>
        <v>AU2065646520525</v>
      </c>
      <c r="C4" s="6" t="str">
        <f>UPPER(Sheet1!B4)</f>
        <v>MEHAR DAMANI</v>
      </c>
      <c r="D4" s="7" t="str">
        <f>IF(Sheet1!F4="F","FEMALE","MALE")</f>
        <v>FEMALE</v>
      </c>
      <c r="E4" s="6" t="str">
        <f>UPPER(Sheet1!G4)</f>
        <v>JAI KISHAN</v>
      </c>
      <c r="F4" s="6" t="str">
        <f>UPPER(Sheet1!H4)</f>
        <v>JYOTI </v>
      </c>
      <c r="G4" s="5" t="str">
        <f>TEXT(Sheet1!C4,"dd/mm/yyyy") &amp; "," &amp; Sheet1!D4</f>
        <v xml:space="preserve">14/03/2025,ST ALBANS, AUSTRALIA  </v>
      </c>
      <c r="H4" s="57" t="str">
        <f>UPPER(Sheet1!K4 &amp; "," &amp; Sheet1!L4 &amp; "," &amp; Sheet1!M4)</f>
        <v>WARD NO.5,PADAMPUR,SRI GANGANAGAR,PIN:335041,RAJASTHAN,INDIA</v>
      </c>
      <c r="I4" s="8">
        <f>Sheet1!J4</f>
        <v>45880</v>
      </c>
      <c r="J4" s="5" t="str">
        <f>Sheet1!N4 &amp; "," &amp; TEXT(Sheet1!O4,"dd/mm/yy")</f>
        <v>202509051511,23/07/25</v>
      </c>
      <c r="K4" s="5" t="s">
        <v>5474</v>
      </c>
      <c r="L4" s="38" t="s">
        <v>15</v>
      </c>
      <c r="M4" s="38">
        <v>45925</v>
      </c>
      <c r="N4" s="38" t="s">
        <v>16</v>
      </c>
    </row>
    <row r="5" spans="1:14" x14ac:dyDescent="0.35">
      <c r="A5" s="4" t="str">
        <f>Sheet1!A5 &amp; "/" &amp; "2025"</f>
        <v>1403/2025</v>
      </c>
      <c r="B5" s="5" t="str">
        <f>Sheet1!E5</f>
        <v>AU2065646520925</v>
      </c>
      <c r="C5" s="6" t="str">
        <f>UPPER(Sheet1!B5)</f>
        <v>ZOHAN VANIB MANSURI</v>
      </c>
      <c r="D5" s="7" t="str">
        <f>IF(Sheet1!F5="F","FEMALE","MALE")</f>
        <v>MALE</v>
      </c>
      <c r="E5" s="6" t="str">
        <f>UPPER(Sheet1!G5)</f>
        <v>VANIB MOHMEDHARUN MANSURI</v>
      </c>
      <c r="F5" s="6" t="str">
        <f>UPPER(Sheet1!H5)</f>
        <v>RIZA VANIB  MANSURI</v>
      </c>
      <c r="G5" s="5" t="str">
        <f>TEXT(Sheet1!C5,"dd/mm/yyyy") &amp; "," &amp; Sheet1!D5</f>
        <v xml:space="preserve">17/07/2025,HOBART, AUSTRALIA  </v>
      </c>
      <c r="H5" s="57" t="str">
        <f>UPPER(Sheet1!K5 &amp; "," &amp; Sheet1!L5 &amp; "," &amp; Sheet1!M5)</f>
        <v>74 MAULANA AZAD PARK SOC.,OPP AEGRO PETROL PUMP,SARKHEJ ROAD,JUHAPURA,AHMEDABAD,PIN:380055,GUJARAT,INDIA</v>
      </c>
      <c r="I5" s="8">
        <f>Sheet1!J5</f>
        <v>45880</v>
      </c>
      <c r="J5" s="5" t="str">
        <f>Sheet1!N5 &amp; "," &amp; TEXT(Sheet1!O5,"dd/mm/yy")</f>
        <v>202509053619,31/07/25</v>
      </c>
      <c r="K5" s="5" t="s">
        <v>5474</v>
      </c>
      <c r="L5" s="38" t="s">
        <v>15</v>
      </c>
      <c r="M5" s="38">
        <v>45925</v>
      </c>
      <c r="N5" s="38" t="s">
        <v>16</v>
      </c>
    </row>
    <row r="6" spans="1:14" x14ac:dyDescent="0.35">
      <c r="A6" s="4" t="str">
        <f>Sheet1!A6 &amp; "/" &amp; "2025"</f>
        <v>1404/2025</v>
      </c>
      <c r="B6" s="5" t="str">
        <f>Sheet1!E6</f>
        <v>AU2065646521325</v>
      </c>
      <c r="C6" s="6" t="str">
        <f>UPPER(Sheet1!B6)</f>
        <v>ARJAN SINGH SEKHON</v>
      </c>
      <c r="D6" s="7" t="str">
        <f>IF(Sheet1!F6="F","FEMALE","MALE")</f>
        <v>MALE</v>
      </c>
      <c r="E6" s="6" t="str">
        <f>UPPER(Sheet1!G6)</f>
        <v>HARKAMALPREET SINGH</v>
      </c>
      <c r="F6" s="6" t="str">
        <f>UPPER(Sheet1!H6)</f>
        <v>ARSHPREET  KAUR</v>
      </c>
      <c r="G6" s="5" t="str">
        <f>TEXT(Sheet1!C6,"dd/mm/yyyy") &amp; "," &amp; Sheet1!D6</f>
        <v xml:space="preserve">23/04/2025,WERRIBEE, AUSTRALIA </v>
      </c>
      <c r="H6" s="57" t="str">
        <f>UPPER(Sheet1!K6 &amp; "," &amp; Sheet1!L6 &amp; "," &amp; Sheet1!M6)</f>
        <v>VILLAGE DHENTHAL,TEHSIL SAMANA,PATIALA,PIN:147101,PUNJAB,INDIA</v>
      </c>
      <c r="I6" s="8">
        <f>Sheet1!J6</f>
        <v>45880</v>
      </c>
      <c r="J6" s="5" t="str">
        <f>Sheet1!N6 &amp; "," &amp; TEXT(Sheet1!O6,"dd/mm/yy")</f>
        <v>202509041249,16/06/25</v>
      </c>
      <c r="K6" s="5" t="s">
        <v>5474</v>
      </c>
      <c r="L6" s="38" t="s">
        <v>15</v>
      </c>
      <c r="M6" s="38">
        <v>45925</v>
      </c>
      <c r="N6" s="38" t="s">
        <v>16</v>
      </c>
    </row>
    <row r="7" spans="1:14" ht="30" customHeight="1" x14ac:dyDescent="0.35">
      <c r="A7" s="4" t="str">
        <f>Sheet1!A7 &amp; "/" &amp; "2025"</f>
        <v>1405/2025</v>
      </c>
      <c r="B7" s="5" t="str">
        <f>Sheet1!E7</f>
        <v>AU2065646521525</v>
      </c>
      <c r="C7" s="6" t="str">
        <f>UPPER(Sheet1!B7)</f>
        <v>LOKESH CHOWDARY JAMMIGUMPULA</v>
      </c>
      <c r="D7" s="7" t="str">
        <f>IF(Sheet1!F7="F","FEMALE","MALE")</f>
        <v>MALE</v>
      </c>
      <c r="E7" s="6" t="str">
        <f>UPPER(Sheet1!G7)</f>
        <v>HARIKRISHNA JAMMIGUMPULA</v>
      </c>
      <c r="F7" s="6" t="str">
        <f>UPPER(Sheet1!H7)</f>
        <v>NAVYA VADLAMUDI </v>
      </c>
      <c r="G7" s="5" t="str">
        <f>TEXT(Sheet1!C7,"dd/mm/yyyy") &amp; "," &amp; Sheet1!D7</f>
        <v xml:space="preserve">26/05/2025,BACCHUS MARSH, AUSTRALIA  </v>
      </c>
      <c r="H7" s="57" t="str">
        <f>UPPER(Sheet1!K7 &amp; "," &amp; Sheet1!L7 &amp; "," &amp; Sheet1!M7)</f>
        <v>H.NO: 3-54,KOTHAPALEM VILLAGE,MACHAVARAM MD,PALNADU,PIN:522435,ANDHRA PRADESH,INDIA</v>
      </c>
      <c r="I7" s="8">
        <f>Sheet1!J7</f>
        <v>45880</v>
      </c>
      <c r="J7" s="5" t="str">
        <f>Sheet1!N7 &amp; "," &amp; TEXT(Sheet1!O7,"dd/mm/yy")</f>
        <v>202509055812,08/08/25</v>
      </c>
      <c r="K7" s="5" t="s">
        <v>5474</v>
      </c>
      <c r="L7" s="38" t="s">
        <v>15</v>
      </c>
      <c r="M7" s="38">
        <v>45925</v>
      </c>
      <c r="N7" s="38" t="s">
        <v>16</v>
      </c>
    </row>
    <row r="8" spans="1:14" x14ac:dyDescent="0.35">
      <c r="A8" s="4" t="str">
        <f>Sheet1!A8 &amp; "/" &amp; "2025"</f>
        <v>1406/2025</v>
      </c>
      <c r="B8" s="5" t="str">
        <f>Sheet1!E8</f>
        <v>AU2065649408125</v>
      </c>
      <c r="C8" s="6" t="str">
        <f>UPPER(Sheet1!B8)</f>
        <v>AAYRA VERMA</v>
      </c>
      <c r="D8" s="7" t="str">
        <f>IF(Sheet1!F8="F","FEMALE","MALE")</f>
        <v>FEMALE</v>
      </c>
      <c r="E8" s="6" t="str">
        <f>UPPER(Sheet1!G8)</f>
        <v>PARAMJIT SINGH</v>
      </c>
      <c r="F8" s="6" t="str">
        <f>UPPER(Sheet1!H8)</f>
        <v>ARTI </v>
      </c>
      <c r="G8" s="5" t="str">
        <f>TEXT(Sheet1!C8,"dd/mm/yyyy") &amp; "," &amp; Sheet1!D8</f>
        <v xml:space="preserve">05/02/2025,EPPING, AUSTRALIA </v>
      </c>
      <c r="H8" s="57" t="str">
        <f>UPPER(Sheet1!K8 &amp; "," &amp; Sheet1!L8 &amp; "," &amp; Sheet1!M8)</f>
        <v>H NO 20,UKSI JATTAN TEH RAJPURA,PATIALA,PIN:140401,PUNJAB,INDIA</v>
      </c>
      <c r="I8" s="8">
        <f>Sheet1!J8</f>
        <v>45883</v>
      </c>
      <c r="J8" s="5" t="str">
        <f>Sheet1!N8 &amp; "," &amp; TEXT(Sheet1!O8,"dd/mm/yy")</f>
        <v>202509042789,21/06/25</v>
      </c>
      <c r="K8" s="5" t="s">
        <v>5474</v>
      </c>
      <c r="L8" s="38" t="s">
        <v>15</v>
      </c>
      <c r="M8" s="38">
        <v>45925</v>
      </c>
      <c r="N8" s="38" t="s">
        <v>16</v>
      </c>
    </row>
    <row r="9" spans="1:14" x14ac:dyDescent="0.35">
      <c r="A9" s="4" t="str">
        <f>Sheet1!A9 &amp; "/" &amp; "2025"</f>
        <v>1407/2025</v>
      </c>
      <c r="B9" s="5" t="str">
        <f>Sheet1!E9</f>
        <v>AU2065649408725</v>
      </c>
      <c r="C9" s="6" t="str">
        <f>UPPER(Sheet1!B9)</f>
        <v>VANDAN MIHIRKUMAR PAREKH</v>
      </c>
      <c r="D9" s="7" t="str">
        <f>IF(Sheet1!F9="F","FEMALE","MALE")</f>
        <v>MALE</v>
      </c>
      <c r="E9" s="6" t="str">
        <f>UPPER(Sheet1!G9)</f>
        <v>MIHIRKUMAR NIRANJANKUMAR PAREKH</v>
      </c>
      <c r="F9" s="6" t="str">
        <f>UPPER(Sheet1!H9)</f>
        <v>URVISHABEN MIHIRKUMAR  PAREKH</v>
      </c>
      <c r="G9" s="5" t="str">
        <f>TEXT(Sheet1!C9,"dd/mm/yyyy") &amp; "," &amp; Sheet1!D9</f>
        <v xml:space="preserve">14/12/2024,CLAYTON, AUSTRALIA </v>
      </c>
      <c r="H9" s="57" t="str">
        <f>UPPER(Sheet1!K9 &amp; "," &amp; Sheet1!L9 &amp; "," &amp; Sheet1!M9)</f>
        <v>B/9 SATKARPARK SOCIETY RAMTALAWADI ROAD,NADIAD,KHEDA,PIN:387002,GUJARAT,INDIA</v>
      </c>
      <c r="I9" s="8">
        <f>Sheet1!J9</f>
        <v>45883</v>
      </c>
      <c r="J9" s="5" t="str">
        <f>Sheet1!N9 &amp; "," &amp; TEXT(Sheet1!O9,"dd/mm/yy")</f>
        <v>202509055846,08/08/25</v>
      </c>
      <c r="K9" s="5" t="s">
        <v>5474</v>
      </c>
      <c r="L9" s="38" t="s">
        <v>15</v>
      </c>
      <c r="M9" s="38">
        <v>45925</v>
      </c>
      <c r="N9" s="38" t="s">
        <v>16</v>
      </c>
    </row>
    <row r="10" spans="1:14" x14ac:dyDescent="0.35">
      <c r="A10" s="4" t="str">
        <f>Sheet1!A10 &amp; "/" &amp; "2025"</f>
        <v>1408/2025</v>
      </c>
      <c r="B10" s="5" t="str">
        <f>Sheet1!E10</f>
        <v>AU2065649409125</v>
      </c>
      <c r="C10" s="6" t="str">
        <f>UPPER(Sheet1!B10)</f>
        <v>PRABHDOOR SINGH KHALSA</v>
      </c>
      <c r="D10" s="7" t="str">
        <f>IF(Sheet1!F10="F","FEMALE","MALE")</f>
        <v>MALE</v>
      </c>
      <c r="E10" s="6" t="str">
        <f>UPPER(Sheet1!G10)</f>
        <v>GURSEWAK SINGH</v>
      </c>
      <c r="F10" s="6" t="str">
        <f>UPPER(Sheet1!H10)</f>
        <v>RAMANJIT KAUR </v>
      </c>
      <c r="G10" s="5" t="str">
        <f>TEXT(Sheet1!C10,"dd/mm/yyyy") &amp; "," &amp; Sheet1!D10</f>
        <v xml:space="preserve">10/06/2025,HOBART, AUSTRALIA </v>
      </c>
      <c r="H10" s="57" t="str">
        <f>UPPER(Sheet1!K10 &amp; "," &amp; Sheet1!L10 &amp; "," &amp; Sheet1!M10)</f>
        <v>V.P.O,NANDA CHAUR,HOSHIARPUR,PIN:146114,PUNJAB,INDIA</v>
      </c>
      <c r="I10" s="8">
        <f>Sheet1!J10</f>
        <v>45883</v>
      </c>
      <c r="J10" s="5" t="str">
        <f>Sheet1!N10 &amp; "," &amp; TEXT(Sheet1!O10,"dd/mm/yy")</f>
        <v>202509053355,30/07/25</v>
      </c>
      <c r="K10" s="5" t="s">
        <v>5474</v>
      </c>
      <c r="L10" s="38" t="s">
        <v>15</v>
      </c>
      <c r="M10" s="38">
        <v>45925</v>
      </c>
      <c r="N10" s="38" t="s">
        <v>16</v>
      </c>
    </row>
    <row r="11" spans="1:14" x14ac:dyDescent="0.35">
      <c r="A11" s="4" t="str">
        <f>Sheet1!A11 &amp; "/" &amp; "2025"</f>
        <v>1409/2025</v>
      </c>
      <c r="B11" s="5" t="str">
        <f>Sheet1!E11</f>
        <v>AU2065649409725</v>
      </c>
      <c r="C11" s="6" t="str">
        <f>UPPER(Sheet1!B11)</f>
        <v>AJIT SINGH SIDHU</v>
      </c>
      <c r="D11" s="7" t="str">
        <f>IF(Sheet1!F11="F","FEMALE","MALE")</f>
        <v>MALE</v>
      </c>
      <c r="E11" s="6" t="str">
        <f>UPPER(Sheet1!G11)</f>
        <v>SHAGANDEEP SINGH SIDHU</v>
      </c>
      <c r="F11" s="6" t="str">
        <f>UPPER(Sheet1!H11)</f>
        <v>BAVANPREET KAUR </v>
      </c>
      <c r="G11" s="5" t="str">
        <f>TEXT(Sheet1!C11,"dd/mm/yyyy") &amp; "," &amp; Sheet1!D11</f>
        <v xml:space="preserve">18/11/2024,ST SLBANS, AUSTRALIA </v>
      </c>
      <c r="H11" s="57" t="str">
        <f>UPPER(Sheet1!K11 &amp; "," &amp; Sheet1!L11 &amp; "," &amp; Sheet1!M11)</f>
        <v>V.P.O QILA HAKIMA,DHURI,SANGRUR,PIN:148034,PUNJAB,INDIA</v>
      </c>
      <c r="I11" s="8">
        <f>Sheet1!J11</f>
        <v>45883</v>
      </c>
      <c r="J11" s="5" t="str">
        <f>Sheet1!N11 &amp; "," &amp; TEXT(Sheet1!O11,"dd/mm/yy")</f>
        <v>202509044804,28/06/25</v>
      </c>
      <c r="K11" s="5" t="s">
        <v>5474</v>
      </c>
      <c r="L11" s="38" t="s">
        <v>15</v>
      </c>
      <c r="M11" s="38">
        <v>45925</v>
      </c>
      <c r="N11" s="38" t="s">
        <v>16</v>
      </c>
    </row>
    <row r="12" spans="1:14" x14ac:dyDescent="0.35">
      <c r="A12" s="4" t="str">
        <f>Sheet1!A12 &amp; "/" &amp; "2025"</f>
        <v>1410/2025</v>
      </c>
      <c r="B12" s="5" t="str">
        <f>Sheet1!E12</f>
        <v>AU2065649409925</v>
      </c>
      <c r="C12" s="6" t="str">
        <f>UPPER(Sheet1!B12)</f>
        <v>SEHBAZ SINGH</v>
      </c>
      <c r="D12" s="7" t="str">
        <f>IF(Sheet1!F12="F","FEMALE","MALE")</f>
        <v>MALE</v>
      </c>
      <c r="E12" s="6" t="str">
        <f>UPPER(Sheet1!G12)</f>
        <v>HARPREET SINGH</v>
      </c>
      <c r="F12" s="6" t="str">
        <f>UPPER(Sheet1!H12)</f>
        <v>REENA  TALWAR</v>
      </c>
      <c r="G12" s="5" t="str">
        <f>TEXT(Sheet1!C12,"dd/mm/yyyy") &amp; "," &amp; Sheet1!D12</f>
        <v xml:space="preserve">10/05/2025,ST ALBANS, AUSTRALIA </v>
      </c>
      <c r="H12" s="57" t="str">
        <f>UPPER(Sheet1!K12 &amp; "," &amp; Sheet1!L12 &amp; "," &amp; Sheet1!M12)</f>
        <v>VPO JANDIALA ,PATTI RAM KI,TEH. PHILLAUR,JALANDHAR,PIN:144033,PUNJAB,INDIA</v>
      </c>
      <c r="I12" s="8">
        <f>Sheet1!J12</f>
        <v>45883</v>
      </c>
      <c r="J12" s="5" t="str">
        <f>Sheet1!N12 &amp; "," &amp; TEXT(Sheet1!O12,"dd/mm/yy")</f>
        <v>202509052252,26/07/25</v>
      </c>
      <c r="K12" s="5" t="s">
        <v>5474</v>
      </c>
      <c r="L12" s="38" t="s">
        <v>15</v>
      </c>
      <c r="M12" s="38">
        <v>45925</v>
      </c>
      <c r="N12" s="38" t="s">
        <v>16</v>
      </c>
    </row>
    <row r="13" spans="1:14" x14ac:dyDescent="0.35">
      <c r="A13" s="4" t="str">
        <f>Sheet1!A13 &amp; "/" &amp; "2025"</f>
        <v>1411/2025</v>
      </c>
      <c r="B13" s="5" t="str">
        <f>Sheet1!E13</f>
        <v>AU2065649410725</v>
      </c>
      <c r="C13" s="6" t="str">
        <f>UPPER(Sheet1!B13)</f>
        <v>SHAIVI JAGLAN</v>
      </c>
      <c r="D13" s="7" t="str">
        <f>IF(Sheet1!F13="F","FEMALE","MALE")</f>
        <v>FEMALE</v>
      </c>
      <c r="E13" s="6" t="str">
        <f>UPPER(Sheet1!G13)</f>
        <v>SUMIT KUMAR</v>
      </c>
      <c r="F13" s="6" t="str">
        <f>UPPER(Sheet1!H13)</f>
        <v>VEENITA  RAJ</v>
      </c>
      <c r="G13" s="5" t="str">
        <f>TEXT(Sheet1!C13,"dd/mm/yyyy") &amp; "," &amp; Sheet1!D13</f>
        <v xml:space="preserve">20/01/2025,EPPING, AUSTRALIA  </v>
      </c>
      <c r="H13" s="57" t="str">
        <f>UPPER(Sheet1!K13 &amp; "," &amp; Sheet1!L13 &amp; "," &amp; Sheet1!M13)</f>
        <v>VPO KURANA(54),ISRANA,PANIPAT,PIN:132107,HARYANA,INDIA</v>
      </c>
      <c r="I13" s="8">
        <f>Sheet1!J13</f>
        <v>45883</v>
      </c>
      <c r="J13" s="5" t="str">
        <f>Sheet1!N13 &amp; "," &amp; TEXT(Sheet1!O13,"dd/mm/yy")</f>
        <v>202509041529,17/06/25</v>
      </c>
      <c r="K13" s="5" t="s">
        <v>5474</v>
      </c>
      <c r="L13" s="38" t="s">
        <v>15</v>
      </c>
      <c r="M13" s="38">
        <v>45925</v>
      </c>
      <c r="N13" s="38" t="s">
        <v>16</v>
      </c>
    </row>
    <row r="14" spans="1:14" x14ac:dyDescent="0.35">
      <c r="A14" s="4" t="str">
        <f>Sheet1!A14 &amp; "/" &amp; "2025"</f>
        <v>1412/2025</v>
      </c>
      <c r="B14" s="5" t="str">
        <f>Sheet1!E14</f>
        <v>AU2065649411125</v>
      </c>
      <c r="C14" s="6" t="str">
        <f>UPPER(Sheet1!B14)</f>
        <v>AVREEN KAUR TOOR</v>
      </c>
      <c r="D14" s="7" t="str">
        <f>IF(Sheet1!F14="F","FEMALE","MALE")</f>
        <v>FEMALE</v>
      </c>
      <c r="E14" s="6" t="str">
        <f>UPPER(Sheet1!G14)</f>
        <v>SATVINDER SINGH TOOR</v>
      </c>
      <c r="F14" s="6" t="str">
        <f>UPPER(Sheet1!H14)</f>
        <v>GURPREET KAUR </v>
      </c>
      <c r="G14" s="5" t="str">
        <f>TEXT(Sheet1!C14,"dd/mm/yyyy") &amp; "," &amp; Sheet1!D14</f>
        <v xml:space="preserve">01/06/2025,BERWICK, AUSTRALIA  </v>
      </c>
      <c r="H14" s="57" t="str">
        <f>UPPER(Sheet1!K14 &amp; "," &amp; Sheet1!L14 &amp; "," &amp; Sheet1!M14)</f>
        <v>PATTI PADARTH KI,VPO BHINDER KALAN,MOGA,PIN:142001,PUNJAB,INDIA</v>
      </c>
      <c r="I14" s="8">
        <f>Sheet1!J14</f>
        <v>45883</v>
      </c>
      <c r="J14" s="5" t="str">
        <f>Sheet1!N14 &amp; "," &amp; TEXT(Sheet1!O14,"dd/mm/yy")</f>
        <v>202509055813,08/08/25</v>
      </c>
      <c r="K14" s="5" t="s">
        <v>5474</v>
      </c>
      <c r="L14" s="38" t="s">
        <v>15</v>
      </c>
      <c r="M14" s="38">
        <v>45925</v>
      </c>
      <c r="N14" s="38" t="s">
        <v>16</v>
      </c>
    </row>
    <row r="15" spans="1:14" x14ac:dyDescent="0.35">
      <c r="A15" s="4" t="str">
        <f>Sheet1!A15 &amp; "/" &amp; "2025"</f>
        <v>1413/2025</v>
      </c>
      <c r="B15" s="5" t="str">
        <f>Sheet1!E15</f>
        <v>AU2065650583325</v>
      </c>
      <c r="C15" s="6" t="str">
        <f>UPPER(Sheet1!B15)</f>
        <v>SHIVIK DHANYAN</v>
      </c>
      <c r="D15" s="7" t="str">
        <f>IF(Sheet1!F15="F","FEMALE","MALE")</f>
        <v>MALE</v>
      </c>
      <c r="E15" s="6" t="str">
        <f>UPPER(Sheet1!G15)</f>
        <v>RAJIV KUMAR</v>
      </c>
      <c r="F15" s="6" t="str">
        <f>UPPER(Sheet1!H15)</f>
        <v>ANJALI </v>
      </c>
      <c r="G15" s="5" t="str">
        <f>TEXT(Sheet1!C15,"dd/mm/yyyy") &amp; "," &amp; Sheet1!D15</f>
        <v xml:space="preserve">21/06/2025,CLAYTON, AUSTRALIA  </v>
      </c>
      <c r="H15" s="57" t="str">
        <f>UPPER(Sheet1!K15 &amp; "," &amp; Sheet1!L15 &amp; "," &amp; Sheet1!M15)</f>
        <v>VPO,PEONT,KARNAL,PIN:132001,HARYANA,INDIA</v>
      </c>
      <c r="I15" s="8">
        <f>Sheet1!J15</f>
        <v>45881</v>
      </c>
      <c r="J15" s="5" t="str">
        <f>Sheet1!N15 &amp; "," &amp; TEXT(Sheet1!O15,"dd/mm/yy")</f>
        <v>202509046841,05/07/25</v>
      </c>
      <c r="K15" s="5" t="s">
        <v>5474</v>
      </c>
      <c r="L15" s="38" t="s">
        <v>15</v>
      </c>
      <c r="M15" s="38">
        <v>45925</v>
      </c>
      <c r="N15" s="38" t="s">
        <v>16</v>
      </c>
    </row>
    <row r="16" spans="1:14" x14ac:dyDescent="0.35">
      <c r="A16" s="4" t="str">
        <f>Sheet1!A16 &amp; "/" &amp; "2025"</f>
        <v>1414/2025</v>
      </c>
      <c r="B16" s="5" t="str">
        <f>Sheet1!E16</f>
        <v>AU2065650583525</v>
      </c>
      <c r="C16" s="6" t="str">
        <f>UPPER(Sheet1!B16)</f>
        <v>TEJVEER SINGH</v>
      </c>
      <c r="D16" s="7" t="str">
        <f>IF(Sheet1!F16="F","FEMALE","MALE")</f>
        <v>MALE</v>
      </c>
      <c r="E16" s="6" t="str">
        <f>UPPER(Sheet1!G16)</f>
        <v>JASWANT SINGH</v>
      </c>
      <c r="F16" s="6" t="str">
        <f>UPPER(Sheet1!H16)</f>
        <v>MANDEEP KOUR </v>
      </c>
      <c r="G16" s="5" t="str">
        <f>TEXT(Sheet1!C16,"dd/mm/yyyy") &amp; "," &amp; Sheet1!D16</f>
        <v xml:space="preserve">20/10/2024,ST ALBANS, AUSTRALIA  </v>
      </c>
      <c r="H16" s="57" t="str">
        <f>UPPER(Sheet1!K16 &amp; "," &amp; Sheet1!L16 &amp; "," &amp; Sheet1!M16)</f>
        <v>VPO,KOULPUR,SAMBA,PIN:184120,JAMMU AND KASHMIR,INDIA</v>
      </c>
      <c r="I16" s="8">
        <f>Sheet1!J16</f>
        <v>45884</v>
      </c>
      <c r="J16" s="5" t="str">
        <f>Sheet1!N16 &amp; "," &amp; TEXT(Sheet1!O16,"dd/mm/yy")</f>
        <v>202509055219,06/08/25</v>
      </c>
      <c r="K16" s="5" t="s">
        <v>5474</v>
      </c>
      <c r="L16" s="38" t="s">
        <v>15</v>
      </c>
      <c r="M16" s="38">
        <v>45925</v>
      </c>
      <c r="N16" s="38" t="s">
        <v>16</v>
      </c>
    </row>
    <row r="17" spans="1:14" x14ac:dyDescent="0.35">
      <c r="A17" s="4" t="str">
        <f>Sheet1!A17 &amp; "/" &amp; "2025"</f>
        <v>1415/2025</v>
      </c>
      <c r="B17" s="5" t="str">
        <f>Sheet1!E17</f>
        <v>AU2065650583725</v>
      </c>
      <c r="C17" s="6" t="str">
        <f>UPPER(Sheet1!B17)</f>
        <v>AGAMVEER SINGH</v>
      </c>
      <c r="D17" s="7" t="str">
        <f>IF(Sheet1!F17="F","FEMALE","MALE")</f>
        <v>MALE</v>
      </c>
      <c r="E17" s="6" t="str">
        <f>UPPER(Sheet1!G17)</f>
        <v>JASWANT SINGH</v>
      </c>
      <c r="F17" s="6" t="str">
        <f>UPPER(Sheet1!H17)</f>
        <v>MANDEEP KOUR </v>
      </c>
      <c r="G17" s="5" t="str">
        <f>TEXT(Sheet1!C17,"dd/mm/yyyy") &amp; "," &amp; Sheet1!D17</f>
        <v xml:space="preserve">20/10/2024,ST ALBANS, AUSTRALIA  </v>
      </c>
      <c r="H17" s="57" t="str">
        <f>UPPER(Sheet1!K17 &amp; "," &amp; Sheet1!L17 &amp; "," &amp; Sheet1!M17)</f>
        <v>VPO,KOULPUR,SAMBA,PIN:184120,JAMMU AND KASHMIR,INDIA</v>
      </c>
      <c r="I17" s="8">
        <f>Sheet1!J17</f>
        <v>45884</v>
      </c>
      <c r="J17" s="5" t="str">
        <f>Sheet1!N17 &amp; "," &amp; TEXT(Sheet1!O17,"dd/mm/yy")</f>
        <v>202509055215,06/08/25</v>
      </c>
      <c r="K17" s="5" t="s">
        <v>5474</v>
      </c>
      <c r="L17" s="38" t="s">
        <v>15</v>
      </c>
      <c r="M17" s="38">
        <v>45925</v>
      </c>
      <c r="N17" s="38" t="s">
        <v>16</v>
      </c>
    </row>
    <row r="18" spans="1:14" x14ac:dyDescent="0.35">
      <c r="A18" s="4" t="str">
        <f>Sheet1!A18 &amp; "/" &amp; "2025"</f>
        <v>1416/2025</v>
      </c>
      <c r="B18" s="5" t="str">
        <f>Sheet1!E18</f>
        <v>AU2065650583925</v>
      </c>
      <c r="C18" s="6" t="str">
        <f>UPPER(Sheet1!B18)</f>
        <v>HANVI SHARMA</v>
      </c>
      <c r="D18" s="7" t="str">
        <f>IF(Sheet1!F18="F","FEMALE","MALE")</f>
        <v>FEMALE</v>
      </c>
      <c r="E18" s="6" t="str">
        <f>UPPER(Sheet1!G18)</f>
        <v>RAJAT SHARMA</v>
      </c>
      <c r="F18" s="6" t="str">
        <f>UPPER(Sheet1!H18)</f>
        <v>PALAK SHARMA </v>
      </c>
      <c r="G18" s="5" t="str">
        <f>TEXT(Sheet1!C18,"dd/mm/yyyy") &amp; "," &amp; Sheet1!D18</f>
        <v xml:space="preserve">17/12/2024,ST ALBANS, AUSTRALIA  </v>
      </c>
      <c r="H18" s="57" t="str">
        <f>UPPER(Sheet1!K18 &amp; "," &amp; Sheet1!L18 &amp; "," &amp; Sheet1!M18)</f>
        <v>HARMILAPI MOHALLA,MACHHIWARA,KHANNA (LUDHIANA),PIN:141115,PUNJAB,INDIA</v>
      </c>
      <c r="I18" s="8">
        <f>Sheet1!J18</f>
        <v>45884</v>
      </c>
      <c r="J18" s="5" t="str">
        <f>Sheet1!N18 &amp; "," &amp; TEXT(Sheet1!O18,"dd/mm/yy")</f>
        <v>202509054578,04/08/25</v>
      </c>
      <c r="K18" s="5" t="s">
        <v>5474</v>
      </c>
      <c r="L18" s="38" t="s">
        <v>15</v>
      </c>
      <c r="M18" s="38">
        <v>45925</v>
      </c>
      <c r="N18" s="38" t="s">
        <v>16</v>
      </c>
    </row>
    <row r="19" spans="1:14" x14ac:dyDescent="0.35">
      <c r="A19" s="4" t="str">
        <f>Sheet1!A19 &amp; "/" &amp; "2025"</f>
        <v>1417/2025</v>
      </c>
      <c r="B19" s="5" t="str">
        <f>Sheet1!E19</f>
        <v>AU2065650584125</v>
      </c>
      <c r="C19" s="6" t="str">
        <f>UPPER(Sheet1!B19)</f>
        <v>ABDULLAH ALI SYED</v>
      </c>
      <c r="D19" s="7" t="str">
        <f>IF(Sheet1!F19="F","FEMALE","MALE")</f>
        <v>MALE</v>
      </c>
      <c r="E19" s="6" t="str">
        <f>UPPER(Sheet1!G19)</f>
        <v>ABRAR ALI SYED</v>
      </c>
      <c r="F19" s="6" t="str">
        <f>UPPER(Sheet1!H19)</f>
        <v>SABIHA SULTANA </v>
      </c>
      <c r="G19" s="5" t="str">
        <f>TEXT(Sheet1!C19,"dd/mm/yyyy") &amp; "," &amp; Sheet1!D19</f>
        <v xml:space="preserve">09/05/2025,EPPING, AUSTRALIA  </v>
      </c>
      <c r="H19" s="57" t="str">
        <f>UPPER(Sheet1!K19 &amp; "," &amp; Sheet1!L19 &amp; "," &amp; Sheet1!M19)</f>
        <v>20-7-429/5 INSIDE KAMAN MD SHUKOOR,FATHE DARWAZA,HYDERABAD,PIN:500065,TELANGANA,INDIA</v>
      </c>
      <c r="I19" s="8">
        <f>Sheet1!J19</f>
        <v>45884</v>
      </c>
      <c r="J19" s="5" t="str">
        <f>Sheet1!N19 &amp; "," &amp; TEXT(Sheet1!O19,"dd/mm/yy")</f>
        <v>202509050857,21/07/25</v>
      </c>
      <c r="K19" s="5" t="s">
        <v>5474</v>
      </c>
      <c r="L19" s="38" t="s">
        <v>15</v>
      </c>
      <c r="M19" s="38">
        <v>45925</v>
      </c>
      <c r="N19" s="38" t="s">
        <v>16</v>
      </c>
    </row>
    <row r="20" spans="1:14" x14ac:dyDescent="0.35">
      <c r="A20" s="4" t="str">
        <f>Sheet1!A20 &amp; "/" &amp; "2025"</f>
        <v>1418/2025</v>
      </c>
      <c r="B20" s="5" t="str">
        <f>Sheet1!E20</f>
        <v>AU2065650584325</v>
      </c>
      <c r="C20" s="6" t="str">
        <f>UPPER(Sheet1!B20)</f>
        <v>SHIVIN VIGNESH RAJA</v>
      </c>
      <c r="D20" s="7" t="str">
        <f>IF(Sheet1!F20="F","FEMALE","MALE")</f>
        <v>MALE</v>
      </c>
      <c r="E20" s="6" t="str">
        <f>UPPER(Sheet1!G20)</f>
        <v>VIGNESH RAJA MOORTHI</v>
      </c>
      <c r="F20" s="6" t="str">
        <f>UPPER(Sheet1!H20)</f>
        <v>SUSHMAA  RAJARAM PRABAKARAN</v>
      </c>
      <c r="G20" s="5" t="str">
        <f>TEXT(Sheet1!C20,"dd/mm/yyyy") &amp; "," &amp; Sheet1!D20</f>
        <v xml:space="preserve">15/07/2025,ST ALBANS, AUSTRALIA  </v>
      </c>
      <c r="H20" s="57" t="str">
        <f>UPPER(Sheet1!K20 &amp; "," &amp; Sheet1!L20 &amp; "," &amp; Sheet1!M20)</f>
        <v>32B,MANICKA NAGAR,THIRUNAGAR,MADURAI CITY,PIN:625006,TAMIL NADU,INDIA</v>
      </c>
      <c r="I20" s="8">
        <f>Sheet1!J20</f>
        <v>45884</v>
      </c>
      <c r="J20" s="5" t="str">
        <f>Sheet1!N20 &amp; "," &amp; TEXT(Sheet1!O20,"dd/mm/yy")</f>
        <v>202509056279,10/08/25</v>
      </c>
      <c r="K20" s="5" t="s">
        <v>5474</v>
      </c>
      <c r="L20" s="38" t="s">
        <v>15</v>
      </c>
      <c r="M20" s="38">
        <v>45925</v>
      </c>
      <c r="N20" s="38" t="s">
        <v>16</v>
      </c>
    </row>
    <row r="21" spans="1:14" x14ac:dyDescent="0.35">
      <c r="A21" s="4" t="str">
        <f>Sheet1!A21 &amp; "/" &amp; "2025"</f>
        <v>1419/2025</v>
      </c>
      <c r="B21" s="5" t="str">
        <f>Sheet1!E21</f>
        <v>AU2065650584525</v>
      </c>
      <c r="C21" s="6" t="str">
        <f>UPPER(Sheet1!B21)</f>
        <v>GURNIWAZ KAUR</v>
      </c>
      <c r="D21" s="7" t="str">
        <f>IF(Sheet1!F21="F","FEMALE","MALE")</f>
        <v>FEMALE</v>
      </c>
      <c r="E21" s="6" t="str">
        <f>UPPER(Sheet1!G21)</f>
        <v>JAGJIT SINGH</v>
      </c>
      <c r="F21" s="6" t="str">
        <f>UPPER(Sheet1!H21)</f>
        <v>AMANDEEP  KAUR</v>
      </c>
      <c r="G21" s="5" t="str">
        <f>TEXT(Sheet1!C21,"dd/mm/yyyy") &amp; "," &amp; Sheet1!D21</f>
        <v xml:space="preserve">12/03/2025,BOX HILL, AUSTRALIA </v>
      </c>
      <c r="H21" s="57" t="str">
        <f>UPPER(Sheet1!K21 &amp; "," &amp; Sheet1!L21 &amp; "," &amp; Sheet1!M21)</f>
        <v>VILL. KALAS KHURD,DISTT.,LUDHIANA,PIN:141126,PUNJAB,INDIA</v>
      </c>
      <c r="I21" s="8">
        <f>Sheet1!J21</f>
        <v>45884</v>
      </c>
      <c r="J21" s="5" t="str">
        <f>Sheet1!N21 &amp; "," &amp; TEXT(Sheet1!O21,"dd/mm/yy")</f>
        <v>202509052640,28/07/25</v>
      </c>
      <c r="K21" s="5" t="s">
        <v>5474</v>
      </c>
      <c r="L21" s="38" t="s">
        <v>15</v>
      </c>
      <c r="M21" s="38">
        <v>45925</v>
      </c>
      <c r="N21" s="38" t="s">
        <v>16</v>
      </c>
    </row>
    <row r="22" spans="1:14" x14ac:dyDescent="0.35">
      <c r="A22" s="4" t="str">
        <f>Sheet1!A22 &amp; "/" &amp; "2025"</f>
        <v>1420/2025</v>
      </c>
      <c r="B22" s="5" t="str">
        <f>Sheet1!E22</f>
        <v>AU2065650584725</v>
      </c>
      <c r="C22" s="6" t="str">
        <f>UPPER(Sheet1!B22)</f>
        <v>JIVANSH GRAK</v>
      </c>
      <c r="D22" s="7" t="str">
        <f>IF(Sheet1!F22="F","FEMALE","MALE")</f>
        <v>MALE</v>
      </c>
      <c r="E22" s="6" t="str">
        <f>UPPER(Sheet1!G22)</f>
        <v>KULDEEP SINGH</v>
      </c>
      <c r="F22" s="6" t="str">
        <f>UPPER(Sheet1!H22)</f>
        <v>PRERNA </v>
      </c>
      <c r="G22" s="5" t="str">
        <f>TEXT(Sheet1!C22,"dd/mm/yyyy") &amp; "," &amp; Sheet1!D22</f>
        <v xml:space="preserve">19/05/2025,CLAYTON, AUSTRALIA </v>
      </c>
      <c r="H22" s="57" t="str">
        <f>UPPER(Sheet1!K22 &amp; "," &amp; Sheet1!L22 &amp; "," &amp; Sheet1!M22)</f>
        <v>VILLAGE PREM KHERA,PO BRASS,KARNAL,PIN:132024,HARYANA,INDIA</v>
      </c>
      <c r="I22" s="8">
        <f>Sheet1!J22</f>
        <v>45884</v>
      </c>
      <c r="J22" s="5" t="str">
        <f>Sheet1!N22 &amp; "," &amp; TEXT(Sheet1!O22,"dd/mm/yy")</f>
        <v>202509046727,05/07/25</v>
      </c>
      <c r="K22" s="5" t="s">
        <v>5474</v>
      </c>
      <c r="L22" s="38" t="s">
        <v>15</v>
      </c>
      <c r="M22" s="38">
        <v>45925</v>
      </c>
      <c r="N22" s="38" t="s">
        <v>16</v>
      </c>
    </row>
    <row r="23" spans="1:14" x14ac:dyDescent="0.35">
      <c r="A23" s="4" t="str">
        <f>Sheet1!A23 &amp; "/" &amp; "2025"</f>
        <v>1421/2025</v>
      </c>
      <c r="B23" s="5" t="str">
        <f>Sheet1!E23</f>
        <v>AU2065650584925</v>
      </c>
      <c r="C23" s="6" t="str">
        <f>UPPER(Sheet1!B23)</f>
        <v>YUMNA ALI KHAN</v>
      </c>
      <c r="D23" s="7" t="str">
        <f>IF(Sheet1!F23="F","FEMALE","MALE")</f>
        <v>FEMALE</v>
      </c>
      <c r="E23" s="6" t="str">
        <f>UPPER(Sheet1!G23)</f>
        <v>MIR AZHERUDDIN ALI KHAN</v>
      </c>
      <c r="F23" s="6" t="str">
        <f>UPPER(Sheet1!H23)</f>
        <v>MARYAM BEGUM </v>
      </c>
      <c r="G23" s="5" t="str">
        <f>TEXT(Sheet1!C23,"dd/mm/yyyy") &amp; "," &amp; Sheet1!D23</f>
        <v xml:space="preserve">06/02/2025,GEELONG, AUSTRALIA  </v>
      </c>
      <c r="H23" s="57" t="str">
        <f>UPPER(Sheet1!K23 &amp; "," &amp; Sheet1!L23 &amp; "," &amp; Sheet1!M23)</f>
        <v>9-4-86/169/1,FLAT NO. 403,SALARJUNG COLONY,TOLICHOWKI,HYDERABAD,PIN:500008,TELANGANA,INDIA</v>
      </c>
      <c r="I23" s="8">
        <f>Sheet1!J23</f>
        <v>45884</v>
      </c>
      <c r="J23" s="5" t="str">
        <f>Sheet1!N23 &amp; "," &amp; TEXT(Sheet1!O23,"dd/mm/yy")</f>
        <v>202509039374,07/06/25</v>
      </c>
      <c r="K23" s="5" t="s">
        <v>5474</v>
      </c>
      <c r="L23" s="38" t="s">
        <v>15</v>
      </c>
      <c r="M23" s="38">
        <v>45925</v>
      </c>
      <c r="N23" s="38" t="s">
        <v>16</v>
      </c>
    </row>
    <row r="24" spans="1:14" x14ac:dyDescent="0.35">
      <c r="A24" s="4" t="str">
        <f>Sheet1!A24 &amp; "/" &amp; "2025"</f>
        <v>1422/2025</v>
      </c>
      <c r="B24" s="5" t="str">
        <f>Sheet1!E24</f>
        <v>AU2065650585125</v>
      </c>
      <c r="C24" s="6" t="str">
        <f>UPPER(Sheet1!B24)</f>
        <v>GURSANJH KAUR DHANJU</v>
      </c>
      <c r="D24" s="7" t="str">
        <f>IF(Sheet1!F24="F","FEMALE","MALE")</f>
        <v>FEMALE</v>
      </c>
      <c r="E24" s="6" t="str">
        <f>UPPER(Sheet1!G24)</f>
        <v>GURINDER JEET SINGH DHANJU</v>
      </c>
      <c r="F24" s="6" t="str">
        <f>UPPER(Sheet1!H24)</f>
        <v>KOMAL PREET KAUR  THIND</v>
      </c>
      <c r="G24" s="5" t="str">
        <f>TEXT(Sheet1!C24,"dd/mm/yyyy") &amp; "," &amp; Sheet1!D24</f>
        <v xml:space="preserve">19/10/2024,ST ALBANS, AUSTRALIA  </v>
      </c>
      <c r="H24" s="57" t="str">
        <f>UPPER(Sheet1!K24 &amp; "," &amp; Sheet1!L24 &amp; "," &amp; Sheet1!M24)</f>
        <v>VILL-1-Z PO SADHUWALI,SRIGANGANAGAR - DIST,SRI GANGANAGAR,PIN:335001,RAJASTHAN,INDIA</v>
      </c>
      <c r="I24" s="8">
        <f>Sheet1!J24</f>
        <v>45884</v>
      </c>
      <c r="J24" s="5" t="str">
        <f>Sheet1!N24 &amp; "," &amp; TEXT(Sheet1!O24,"dd/mm/yy")</f>
        <v>202509055531,07/08/25</v>
      </c>
      <c r="K24" s="5" t="s">
        <v>5474</v>
      </c>
      <c r="L24" s="38" t="s">
        <v>15</v>
      </c>
      <c r="M24" s="38">
        <v>45925</v>
      </c>
      <c r="N24" s="38" t="s">
        <v>16</v>
      </c>
    </row>
    <row r="25" spans="1:14" x14ac:dyDescent="0.35">
      <c r="A25" s="4" t="str">
        <f>Sheet1!A25 &amp; "/" &amp; "2025"</f>
        <v>1423/2025</v>
      </c>
      <c r="B25" s="5" t="str">
        <f>Sheet1!E25</f>
        <v>AU2065650585325</v>
      </c>
      <c r="C25" s="6" t="str">
        <f>UPPER(Sheet1!B25)</f>
        <v>NITYA THAKUR</v>
      </c>
      <c r="D25" s="7" t="str">
        <f>IF(Sheet1!F25="F","FEMALE","MALE")</f>
        <v>FEMALE</v>
      </c>
      <c r="E25" s="6" t="str">
        <f>UPPER(Sheet1!G25)</f>
        <v>HITESH THAKUR</v>
      </c>
      <c r="F25" s="6" t="str">
        <f>UPPER(Sheet1!H25)</f>
        <v>SWATI </v>
      </c>
      <c r="G25" s="5" t="str">
        <f>TEXT(Sheet1!C25,"dd/mm/yyyy") &amp; "," &amp; Sheet1!D25</f>
        <v xml:space="preserve">13/05/2025,HOBART, AUSTRALIA </v>
      </c>
      <c r="H25" s="57" t="str">
        <f>UPPER(Sheet1!K25 &amp; "," &amp; Sheet1!L25 &amp; "," &amp; Sheet1!M25)</f>
        <v>T-14/765 KUCHA SONIA GALI LAMBA WALI,AMRITSAR,AMRITSAR,PIN:143001,PUNJAB,INDIA</v>
      </c>
      <c r="I25" s="8">
        <f>Sheet1!J25</f>
        <v>45884</v>
      </c>
      <c r="J25" s="5" t="str">
        <f>Sheet1!N25 &amp; "," &amp; TEXT(Sheet1!O25,"dd/mm/yy")</f>
        <v>202509044420,26/06/25</v>
      </c>
      <c r="K25" s="5" t="s">
        <v>5474</v>
      </c>
      <c r="L25" s="38" t="s">
        <v>15</v>
      </c>
      <c r="M25" s="38">
        <v>45925</v>
      </c>
      <c r="N25" s="38" t="s">
        <v>16</v>
      </c>
    </row>
    <row r="26" spans="1:14" x14ac:dyDescent="0.35">
      <c r="A26" s="4" t="str">
        <f>Sheet1!A26 &amp; "/" &amp; "2025"</f>
        <v>1424/2025</v>
      </c>
      <c r="B26" s="5" t="str">
        <f>Sheet1!E26</f>
        <v>AU2065652692325</v>
      </c>
      <c r="C26" s="6" t="str">
        <f>UPPER(Sheet1!B26)</f>
        <v>SAFA FATIMA KHAN</v>
      </c>
      <c r="D26" s="7" t="str">
        <f>IF(Sheet1!F26="F","FEMALE","MALE")</f>
        <v>FEMALE</v>
      </c>
      <c r="E26" s="6" t="str">
        <f>UPPER(Sheet1!G26)</f>
        <v>GULAM GHOUSE KHAN</v>
      </c>
      <c r="F26" s="6" t="str">
        <f>UPPER(Sheet1!H26)</f>
        <v>HEENA  GULRAIZ</v>
      </c>
      <c r="G26" s="5" t="str">
        <f>TEXT(Sheet1!C26,"dd/mm/yyyy") &amp; "," &amp; Sheet1!D26</f>
        <v xml:space="preserve">13/07/2025,PARKVILLE MELBOURNE, AUSTRALIA  </v>
      </c>
      <c r="H26" s="57" t="str">
        <f>UPPER(Sheet1!K26 &amp; "," &amp; Sheet1!L26 &amp; "," &amp; Sheet1!M26)</f>
        <v>19-4-8/362/A,HASHAMABAD,CHANDRAYANGUTTA,BANDLAGUDA,HYDERABAD,PIN:500005,TELANGANA,INDIA</v>
      </c>
      <c r="I26" s="8">
        <f>Sheet1!J26</f>
        <v>45888</v>
      </c>
      <c r="J26" s="5" t="str">
        <f>Sheet1!N26 &amp; "," &amp; TEXT(Sheet1!O26,"dd/mm/yy")</f>
        <v>202509056458,11/08/25</v>
      </c>
      <c r="K26" s="5" t="s">
        <v>5474</v>
      </c>
      <c r="L26" s="38" t="s">
        <v>15</v>
      </c>
      <c r="M26" s="38">
        <v>45925</v>
      </c>
      <c r="N26" s="38" t="s">
        <v>16</v>
      </c>
    </row>
    <row r="27" spans="1:14" x14ac:dyDescent="0.35">
      <c r="A27" s="4" t="str">
        <f>Sheet1!A27 &amp; "/" &amp; "2025"</f>
        <v>1425/2025</v>
      </c>
      <c r="B27" s="5" t="str">
        <f>Sheet1!E27</f>
        <v>AU2065652693125</v>
      </c>
      <c r="C27" s="6" t="str">
        <f>UPPER(Sheet1!B27)</f>
        <v>ARAVDEEP SINGH VARTIA</v>
      </c>
      <c r="D27" s="7" t="str">
        <f>IF(Sheet1!F27="F","FEMALE","MALE")</f>
        <v>MALE</v>
      </c>
      <c r="E27" s="6" t="str">
        <f>UPPER(Sheet1!G27)</f>
        <v>SANDEEP SINGH</v>
      </c>
      <c r="F27" s="6" t="str">
        <f>UPPER(Sheet1!H27)</f>
        <v>BALJEET KAUR </v>
      </c>
      <c r="G27" s="5" t="str">
        <f>TEXT(Sheet1!C27,"dd/mm/yyyy") &amp; "," &amp; Sheet1!D27</f>
        <v xml:space="preserve">12/02/2024,BALLARAT CENTRAL, AUSTRALIA  </v>
      </c>
      <c r="H27" s="57" t="str">
        <f>UPPER(Sheet1!K27 &amp; "," &amp; Sheet1!L27 &amp; "," &amp; Sheet1!M27)</f>
        <v>5304,GOPAL NAGAR,VEROWAL ROAD,JANDIALA GURU,AMRITSAR,PIN:143115,PUNJAB,INDIA</v>
      </c>
      <c r="I27" s="8">
        <f>Sheet1!J27</f>
        <v>45888</v>
      </c>
      <c r="J27" s="5" t="str">
        <f>Sheet1!N27 &amp; "," &amp; TEXT(Sheet1!O27,"dd/mm/yy")</f>
        <v>202509056357,10/08/25</v>
      </c>
      <c r="K27" s="5" t="s">
        <v>5474</v>
      </c>
      <c r="L27" s="38" t="s">
        <v>15</v>
      </c>
      <c r="M27" s="38">
        <v>45925</v>
      </c>
      <c r="N27" s="38" t="s">
        <v>16</v>
      </c>
    </row>
    <row r="28" spans="1:14" x14ac:dyDescent="0.35">
      <c r="A28" s="4" t="str">
        <f>Sheet1!A28 &amp; "/" &amp; "2025"</f>
        <v>1426/2025</v>
      </c>
      <c r="B28" s="5" t="str">
        <f>Sheet1!E28</f>
        <v>AU2065652693525</v>
      </c>
      <c r="C28" s="6" t="str">
        <f>UPPER(Sheet1!B28)</f>
        <v>DHRITI YARAM</v>
      </c>
      <c r="D28" s="7" t="str">
        <f>IF(Sheet1!F28="F","FEMALE","MALE")</f>
        <v>FEMALE</v>
      </c>
      <c r="E28" s="6" t="str">
        <f>UPPER(Sheet1!G28)</f>
        <v>KULADEEP KUMAR YARAM</v>
      </c>
      <c r="F28" s="6" t="str">
        <f>UPPER(Sheet1!H28)</f>
        <v>MANASA  ALLENKI</v>
      </c>
      <c r="G28" s="5" t="str">
        <f>TEXT(Sheet1!C28,"dd/mm/yyyy") &amp; "," &amp; Sheet1!D28</f>
        <v xml:space="preserve">28/06/2025,PARKVILLE, AUSTRALIA  </v>
      </c>
      <c r="H28" s="57" t="str">
        <f>UPPER(Sheet1!K28 &amp; "," &amp; Sheet1!L28 &amp; "," &amp; Sheet1!M28)</f>
        <v>H NO 1-43 GUNTURPALLI,SANGEM,WARANGAL,PIN:506005,TELANGANA,INDIA</v>
      </c>
      <c r="I28" s="8">
        <f>Sheet1!J28</f>
        <v>45888</v>
      </c>
      <c r="J28" s="5" t="str">
        <f>Sheet1!N28 &amp; "," &amp; TEXT(Sheet1!O28,"dd/mm/yy")</f>
        <v>202509053120,29/07/25</v>
      </c>
      <c r="K28" s="5" t="s">
        <v>5474</v>
      </c>
      <c r="L28" s="38" t="s">
        <v>15</v>
      </c>
      <c r="M28" s="38">
        <v>45925</v>
      </c>
      <c r="N28" s="38" t="s">
        <v>16</v>
      </c>
    </row>
    <row r="29" spans="1:14" x14ac:dyDescent="0.35">
      <c r="A29" s="4" t="str">
        <f>Sheet1!A29 &amp; "/" &amp; "2025"</f>
        <v>1427/2025</v>
      </c>
      <c r="B29" s="5" t="str">
        <f>Sheet1!E29</f>
        <v>AU2065652694125</v>
      </c>
      <c r="C29" s="6" t="str">
        <f>UPPER(Sheet1!B29)</f>
        <v>REHMAT KAUR</v>
      </c>
      <c r="D29" s="7" t="str">
        <f>IF(Sheet1!F29="F","FEMALE","MALE")</f>
        <v>FEMALE</v>
      </c>
      <c r="E29" s="6" t="str">
        <f>UPPER(Sheet1!G29)</f>
        <v>JAGPREET SINGH</v>
      </c>
      <c r="F29" s="6" t="str">
        <f>UPPER(Sheet1!H29)</f>
        <v>MANJOT KAUR </v>
      </c>
      <c r="G29" s="5" t="str">
        <f>TEXT(Sheet1!C29,"dd/mm/yyyy") &amp; "," &amp; Sheet1!D29</f>
        <v xml:space="preserve">16/04/2025,ST ALBANS, AUSTRALIA  </v>
      </c>
      <c r="H29" s="57" t="str">
        <f>UPPER(Sheet1!K29 &amp; "," &amp; Sheet1!L29 &amp; "," &amp; Sheet1!M29)</f>
        <v>VILL KOT KARAM CHAND PO JAURA SINGHA,TEH BATALA DISTT,GURDASPUR,PIN:143505,PUNJAB,INDIA</v>
      </c>
      <c r="I29" s="8">
        <f>Sheet1!J29</f>
        <v>45888</v>
      </c>
      <c r="J29" s="5" t="str">
        <f>Sheet1!N29 &amp; "," &amp; TEXT(Sheet1!O29,"dd/mm/yy")</f>
        <v>202509051257,22/07/25</v>
      </c>
      <c r="K29" s="5" t="s">
        <v>5474</v>
      </c>
      <c r="L29" s="38" t="s">
        <v>15</v>
      </c>
      <c r="M29" s="38">
        <v>45925</v>
      </c>
      <c r="N29" s="38" t="s">
        <v>16</v>
      </c>
    </row>
    <row r="30" spans="1:14" x14ac:dyDescent="0.35">
      <c r="A30" s="4" t="str">
        <f>Sheet1!A30 &amp; "/" &amp; "2025"</f>
        <v>1428/2025</v>
      </c>
      <c r="B30" s="5" t="str">
        <f>Sheet1!E30</f>
        <v>AU2065652694725</v>
      </c>
      <c r="C30" s="6" t="str">
        <f>UPPER(Sheet1!B30)</f>
        <v>AHAAN MARWAH</v>
      </c>
      <c r="D30" s="7" t="str">
        <f>IF(Sheet1!F30="F","FEMALE","MALE")</f>
        <v>MALE</v>
      </c>
      <c r="E30" s="6" t="str">
        <f>UPPER(Sheet1!G30)</f>
        <v>PRABHNEET MARWAH</v>
      </c>
      <c r="F30" s="6" t="str">
        <f>UPPER(Sheet1!H30)</f>
        <v>MANPREET  KAUR</v>
      </c>
      <c r="G30" s="5" t="str">
        <f>TEXT(Sheet1!C30,"dd/mm/yyyy") &amp; "," &amp; Sheet1!D30</f>
        <v xml:space="preserve">05/03/2025,BALLARAT CENTRAL, AUSTRALIA </v>
      </c>
      <c r="H30" s="57" t="str">
        <f>UPPER(Sheet1!K30 &amp; "," &amp; Sheet1!L30 &amp; "," &amp; Sheet1!M30)</f>
        <v>B 54 TARANG APARTMENTS PLOT-19 MOTHER DAIRY MARG,I P EXTENSION,DELHI,PIN:110092,DELHI,INDIA</v>
      </c>
      <c r="I30" s="8">
        <f>Sheet1!J30</f>
        <v>45888</v>
      </c>
      <c r="J30" s="5" t="str">
        <f>Sheet1!N30 &amp; "," &amp; TEXT(Sheet1!O30,"dd/mm/yy")</f>
        <v>202509055279,06/08/25</v>
      </c>
      <c r="K30" s="5" t="s">
        <v>5474</v>
      </c>
      <c r="L30" s="38" t="s">
        <v>15</v>
      </c>
      <c r="M30" s="38">
        <v>45925</v>
      </c>
      <c r="N30" s="38" t="s">
        <v>16</v>
      </c>
    </row>
    <row r="31" spans="1:14" x14ac:dyDescent="0.35">
      <c r="A31" s="4" t="str">
        <f>Sheet1!A31 &amp; "/" &amp; "2025"</f>
        <v>1429/2025</v>
      </c>
      <c r="B31" s="5" t="str">
        <f>Sheet1!E31</f>
        <v>AU2065652907125</v>
      </c>
      <c r="C31" s="6" t="str">
        <f>UPPER(Sheet1!B31)</f>
        <v>VEDANTH VAITLA</v>
      </c>
      <c r="D31" s="7" t="str">
        <f>IF(Sheet1!F31="F","FEMALE","MALE")</f>
        <v>MALE</v>
      </c>
      <c r="E31" s="6" t="str">
        <f>UPPER(Sheet1!G31)</f>
        <v>VIJAYKUMAR VAITLA</v>
      </c>
      <c r="F31" s="6" t="str">
        <f>UPPER(Sheet1!H31)</f>
        <v>VAMSHEE PRIYA  PAMU</v>
      </c>
      <c r="G31" s="5" t="str">
        <f>TEXT(Sheet1!C31,"dd/mm/yyyy") &amp; "," &amp; Sheet1!D31</f>
        <v xml:space="preserve">14/05/2025,EPPING, AUSTRALIA  </v>
      </c>
      <c r="H31" s="57" t="str">
        <f>UPPER(Sheet1!K31 &amp; "," &amp; Sheet1!L31 &amp; "," &amp; Sheet1!M31)</f>
        <v>5-7 RAJIV CHOWRASTHA,PALAKURTHY,JANGOAN,PIN:506252,TELANGANA,INDIA</v>
      </c>
      <c r="I31" s="8">
        <f>Sheet1!J31</f>
        <v>45888</v>
      </c>
      <c r="J31" s="5" t="str">
        <f>Sheet1!N31 &amp; "," &amp; TEXT(Sheet1!O31,"dd/mm/yy")</f>
        <v>202509055302,06/08/25</v>
      </c>
      <c r="K31" s="5" t="s">
        <v>5474</v>
      </c>
      <c r="L31" s="38" t="s">
        <v>15</v>
      </c>
      <c r="M31" s="38">
        <v>45925</v>
      </c>
      <c r="N31" s="38" t="s">
        <v>16</v>
      </c>
    </row>
    <row r="32" spans="1:14" x14ac:dyDescent="0.35">
      <c r="A32" s="4" t="str">
        <f>Sheet1!A32 &amp; "/" &amp; "2025"</f>
        <v>1430/2025</v>
      </c>
      <c r="B32" s="5" t="str">
        <f>Sheet1!E32</f>
        <v>AU2065652912325</v>
      </c>
      <c r="C32" s="6" t="str">
        <f>UPPER(Sheet1!B32)</f>
        <v>ISHANK MISHRA</v>
      </c>
      <c r="D32" s="7" t="str">
        <f>IF(Sheet1!F32="F","FEMALE","MALE")</f>
        <v>MALE</v>
      </c>
      <c r="E32" s="6" t="str">
        <f>UPPER(Sheet1!G32)</f>
        <v>RUDRA PRASAD MISHRA</v>
      </c>
      <c r="F32" s="6" t="str">
        <f>UPPER(Sheet1!H32)</f>
        <v>SUBHALAXMI  DASH</v>
      </c>
      <c r="G32" s="5" t="str">
        <f>TEXT(Sheet1!C32,"dd/mm/yyyy") &amp; "," &amp; Sheet1!D32</f>
        <v xml:space="preserve">02/05/2025,PARKVILLE, AUSTRALIA  </v>
      </c>
      <c r="H32" s="57" t="str">
        <f>UPPER(Sheet1!K32 &amp; "," &amp; Sheet1!L32 &amp; "," &amp; Sheet1!M32)</f>
        <v>PLOT NO-3672,SASAN PADIA,OLDTOWN,BHUBANESWAR,BHUBANESWAR URBAN,PIN:751002,ODISHA,INDIA</v>
      </c>
      <c r="I32" s="8">
        <f>Sheet1!J32</f>
        <v>45888</v>
      </c>
      <c r="J32" s="5" t="str">
        <f>Sheet1!N32 &amp; "," &amp; TEXT(Sheet1!O32,"dd/mm/yy")</f>
        <v>202509055196,06/08/25</v>
      </c>
      <c r="K32" s="5" t="s">
        <v>5474</v>
      </c>
      <c r="L32" s="38" t="s">
        <v>15</v>
      </c>
      <c r="M32" s="38">
        <v>45925</v>
      </c>
      <c r="N32" s="38" t="s">
        <v>16</v>
      </c>
    </row>
    <row r="33" spans="1:14" x14ac:dyDescent="0.35">
      <c r="A33" s="4" t="str">
        <f>Sheet1!A33 &amp; "/" &amp; "2025"</f>
        <v>1431/2025</v>
      </c>
      <c r="B33" s="5" t="str">
        <f>Sheet1!E33</f>
        <v>AU2065652920925</v>
      </c>
      <c r="C33" s="6" t="str">
        <f>UPPER(Sheet1!B33)</f>
        <v>DHRITAV AKASH PATEL</v>
      </c>
      <c r="D33" s="7" t="str">
        <f>IF(Sheet1!F33="F","FEMALE","MALE")</f>
        <v>MALE</v>
      </c>
      <c r="E33" s="6" t="str">
        <f>UPPER(Sheet1!G33)</f>
        <v>AKASH SUKHABHAI PATEL</v>
      </c>
      <c r="F33" s="6" t="str">
        <f>UPPER(Sheet1!H33)</f>
        <v>DHRUVIBEN AKASH  PATEL</v>
      </c>
      <c r="G33" s="5" t="str">
        <f>TEXT(Sheet1!C33,"dd/mm/yyyy") &amp; "," &amp; Sheet1!D33</f>
        <v xml:space="preserve">09/07/2025,BERWICK, AUSTRALIA  </v>
      </c>
      <c r="H33" s="57" t="str">
        <f>UPPER(Sheet1!K33 &amp; "," &amp; Sheet1!L33 &amp; "," &amp; Sheet1!M33)</f>
        <v>A-4 HARIBAPARK SOCIETY DIWALIPURA O.P. ROAD,VADODARA,VADODARA,PIN:390007,GUJARAT,INDIA</v>
      </c>
      <c r="I33" s="8">
        <f>Sheet1!J33</f>
        <v>45888</v>
      </c>
      <c r="J33" s="5" t="str">
        <f>Sheet1!N33 &amp; "," &amp; TEXT(Sheet1!O33,"dd/mm/yy")</f>
        <v>202509055572,07/08/25</v>
      </c>
      <c r="K33" s="5" t="s">
        <v>5474</v>
      </c>
      <c r="L33" s="38" t="s">
        <v>15</v>
      </c>
      <c r="M33" s="38">
        <v>45925</v>
      </c>
      <c r="N33" s="38" t="s">
        <v>16</v>
      </c>
    </row>
    <row r="34" spans="1:14" x14ac:dyDescent="0.35">
      <c r="A34" s="4" t="str">
        <f>Sheet1!A34 &amp; "/" &amp; "2025"</f>
        <v>1432/2025</v>
      </c>
      <c r="B34" s="5" t="str">
        <f>Sheet1!E34</f>
        <v>AU2065652925125</v>
      </c>
      <c r="C34" s="6" t="str">
        <f>UPPER(Sheet1!B34)</f>
        <v>PARMROOP SINGH</v>
      </c>
      <c r="D34" s="7" t="str">
        <f>IF(Sheet1!F34="F","FEMALE","MALE")</f>
        <v>MALE</v>
      </c>
      <c r="E34" s="6" t="str">
        <f>UPPER(Sheet1!G34)</f>
        <v>JIWANJEET SINGH</v>
      </c>
      <c r="F34" s="6" t="str">
        <f>UPPER(Sheet1!H34)</f>
        <v>HARJINDERPAL  KAUR</v>
      </c>
      <c r="G34" s="5" t="str">
        <f>TEXT(Sheet1!C34,"dd/mm/yyyy") &amp; "," &amp; Sheet1!D34</f>
        <v xml:space="preserve">12/03/2025,CLAYTON, AUSTRALIA </v>
      </c>
      <c r="H34" s="57" t="str">
        <f>UPPER(Sheet1!K34 &amp; "," &amp; Sheet1!L34 &amp; "," &amp; Sheet1!M34)</f>
        <v>VPO DIALPURA,TEHSIL PATTI,TARN TARAN,PIN:143401,PUNJAB,INDIA</v>
      </c>
      <c r="I34" s="8">
        <f>Sheet1!J34</f>
        <v>45888</v>
      </c>
      <c r="J34" s="5" t="str">
        <f>Sheet1!N34 &amp; "," &amp; TEXT(Sheet1!O34,"dd/mm/yy")</f>
        <v>202509056469,11/08/25</v>
      </c>
      <c r="K34" s="5" t="s">
        <v>5474</v>
      </c>
      <c r="L34" s="38" t="s">
        <v>15</v>
      </c>
      <c r="M34" s="38">
        <v>45925</v>
      </c>
      <c r="N34" s="38" t="s">
        <v>16</v>
      </c>
    </row>
    <row r="35" spans="1:14" x14ac:dyDescent="0.35">
      <c r="A35" s="4" t="str">
        <f>Sheet1!A35 &amp; "/" &amp; "2025"</f>
        <v>1433/2025</v>
      </c>
      <c r="B35" s="5" t="str">
        <f>Sheet1!E35</f>
        <v>AU2065652932925</v>
      </c>
      <c r="C35" s="6" t="str">
        <f>UPPER(Sheet1!B35)</f>
        <v>JACOB THOMAS PHILIPS</v>
      </c>
      <c r="D35" s="7" t="str">
        <f>IF(Sheet1!F35="F","FEMALE","MALE")</f>
        <v>MALE</v>
      </c>
      <c r="E35" s="6" t="str">
        <f>UPPER(Sheet1!G35)</f>
        <v>THOMAS GEORGE</v>
      </c>
      <c r="F35" s="6" t="str">
        <f>UPPER(Sheet1!H35)</f>
        <v>DEEPA THOMAS </v>
      </c>
      <c r="G35" s="5" t="str">
        <f>TEXT(Sheet1!C35,"dd/mm/yyyy") &amp; "," &amp; Sheet1!D35</f>
        <v xml:space="preserve">20/06/2025,BACCHUS MARSH MELBOURNE, AUSTRALIA  </v>
      </c>
      <c r="H35" s="57" t="str">
        <f>UPPER(Sheet1!K35 &amp; "," &amp; Sheet1!L35 &amp; "," &amp; Sheet1!M35)</f>
        <v>34 BAPAT NAGAR,CHANDRAPUR,CHANDRAPUR,PIN:442401,MAHARASHTRA,INDIA</v>
      </c>
      <c r="I35" s="8">
        <f>Sheet1!J35</f>
        <v>45888</v>
      </c>
      <c r="J35" s="5" t="str">
        <f>Sheet1!N35 &amp; "," &amp; TEXT(Sheet1!O35,"dd/mm/yy")</f>
        <v>202509053273,30/07/25</v>
      </c>
      <c r="K35" s="5" t="s">
        <v>5474</v>
      </c>
      <c r="L35" s="38" t="s">
        <v>15</v>
      </c>
      <c r="M35" s="38">
        <v>45925</v>
      </c>
      <c r="N35" s="38" t="s">
        <v>16</v>
      </c>
    </row>
    <row r="36" spans="1:14" x14ac:dyDescent="0.35">
      <c r="A36" s="4" t="str">
        <f>Sheet1!A36 &amp; "/" &amp; "2025"</f>
        <v>1434/2025</v>
      </c>
      <c r="B36" s="5" t="str">
        <f>Sheet1!E36</f>
        <v>AU2065652938725</v>
      </c>
      <c r="C36" s="6" t="str">
        <f>UPPER(Sheet1!B36)</f>
        <v>NOAH SHAMFEEL MARAKKAR</v>
      </c>
      <c r="D36" s="7" t="str">
        <f>IF(Sheet1!F36="F","FEMALE","MALE")</f>
        <v>MALE</v>
      </c>
      <c r="E36" s="6" t="str">
        <f>UPPER(Sheet1!G36)</f>
        <v>SHAMFEEL THEVANKULANGARA</v>
      </c>
      <c r="F36" s="6" t="str">
        <f>UPPER(Sheet1!H36)</f>
        <v>REZNY  YOUSAF</v>
      </c>
      <c r="G36" s="5" t="str">
        <f>TEXT(Sheet1!C36,"dd/mm/yyyy") &amp; "," &amp; Sheet1!D36</f>
        <v xml:space="preserve">16/07/2025,WERRIBEE, AUSTRALIA </v>
      </c>
      <c r="H36" s="57" t="str">
        <f>UPPER(Sheet1!K36 &amp; "," &amp; Sheet1!L36 &amp; "," &amp; Sheet1!M36)</f>
        <v>THEVANKULANGARA HOUSE,OTHALOOR POST,PALAKKAD,PIN:679534,KERALA,INDIA</v>
      </c>
      <c r="I36" s="8">
        <f>Sheet1!J36</f>
        <v>45888</v>
      </c>
      <c r="J36" s="5" t="str">
        <f>Sheet1!N36 &amp; "," &amp; TEXT(Sheet1!O36,"dd/mm/yy")</f>
        <v>202509056623,12/08/25</v>
      </c>
      <c r="K36" s="5" t="s">
        <v>5474</v>
      </c>
      <c r="L36" s="38" t="s">
        <v>15</v>
      </c>
      <c r="M36" s="38">
        <v>45925</v>
      </c>
      <c r="N36" s="38" t="s">
        <v>16</v>
      </c>
    </row>
    <row r="37" spans="1:14" x14ac:dyDescent="0.35">
      <c r="A37" s="4" t="str">
        <f>Sheet1!A37 &amp; "/" &amp; "2025"</f>
        <v>1435/2025</v>
      </c>
      <c r="B37" s="5" t="str">
        <f>Sheet1!E37</f>
        <v>AU2065653897525</v>
      </c>
      <c r="C37" s="6" t="str">
        <f>UPPER(Sheet1!B37)</f>
        <v>KUDRAT KAUR BAJWA</v>
      </c>
      <c r="D37" s="7" t="str">
        <f>IF(Sheet1!F37="F","FEMALE","MALE")</f>
        <v>FEMALE</v>
      </c>
      <c r="E37" s="6" t="str">
        <f>UPPER(Sheet1!G37)</f>
        <v>KARNPREET SINGH</v>
      </c>
      <c r="F37" s="6" t="str">
        <f>UPPER(Sheet1!H37)</f>
        <v>KIRANDEEP KAUR </v>
      </c>
      <c r="G37" s="5" t="str">
        <f>TEXT(Sheet1!C37,"dd/mm/yyyy") &amp; "," &amp; Sheet1!D37</f>
        <v xml:space="preserve">02/06/2025,BLACKTOWN, AUSTRALIA  </v>
      </c>
      <c r="H37" s="57" t="str">
        <f>UPPER(Sheet1!K37 &amp; "," &amp; Sheet1!L37 &amp; "," &amp; Sheet1!M37)</f>
        <v>VILL. CHHOD,P.O. DOSTPUR,GURDASPUR,PIN:143526,PUNJAB,INDIA</v>
      </c>
      <c r="I37" s="8">
        <f>Sheet1!J37</f>
        <v>45889</v>
      </c>
      <c r="J37" s="5" t="str">
        <f>Sheet1!N37 &amp; "," &amp; TEXT(Sheet1!O37,"dd/mm/yy")</f>
        <v>202509050840,21/07/25</v>
      </c>
      <c r="K37" s="5" t="s">
        <v>5474</v>
      </c>
      <c r="L37" s="38" t="s">
        <v>15</v>
      </c>
      <c r="M37" s="38">
        <v>45925</v>
      </c>
      <c r="N37" s="38" t="s">
        <v>16</v>
      </c>
    </row>
    <row r="38" spans="1:14" x14ac:dyDescent="0.35">
      <c r="A38" s="4" t="str">
        <f>Sheet1!A38 &amp; "/" &amp; "2025"</f>
        <v>1436/2025</v>
      </c>
      <c r="B38" s="5" t="str">
        <f>Sheet1!E38</f>
        <v>AU2065653968525</v>
      </c>
      <c r="C38" s="6" t="str">
        <f>UPPER(Sheet1!B38)</f>
        <v>AKAAY AMAN ANEJA</v>
      </c>
      <c r="D38" s="7" t="str">
        <f>IF(Sheet1!F38="F","FEMALE","MALE")</f>
        <v>MALE</v>
      </c>
      <c r="E38" s="6" t="str">
        <f>UPPER(Sheet1!G38)</f>
        <v>AMAN ANEJA</v>
      </c>
      <c r="F38" s="6" t="str">
        <f>UPPER(Sheet1!H38)</f>
        <v>SIMRAN  ARORA</v>
      </c>
      <c r="G38" s="5" t="str">
        <f>TEXT(Sheet1!C38,"dd/mm/yyyy") &amp; "," &amp; Sheet1!D38</f>
        <v xml:space="preserve">19/03/2025,GEELONG, AUSTRALIA  </v>
      </c>
      <c r="H38" s="57" t="str">
        <f>UPPER(Sheet1!K38 &amp; "," &amp; Sheet1!L38 &amp; "," &amp; Sheet1!M38)</f>
        <v>E-12 LAJPAT NAGAR PART 1 TOP FLOOR,NEW DELHI,DELHI,PIN:110024,DELHI,INDIA</v>
      </c>
      <c r="I38" s="8">
        <f>Sheet1!J38</f>
        <v>45889</v>
      </c>
      <c r="J38" s="5" t="str">
        <f>Sheet1!N38 &amp; "," &amp; TEXT(Sheet1!O38,"dd/mm/yy")</f>
        <v>202509040415,12/06/25</v>
      </c>
      <c r="K38" s="5" t="s">
        <v>5474</v>
      </c>
      <c r="L38" s="38" t="s">
        <v>15</v>
      </c>
      <c r="M38" s="38">
        <v>45925</v>
      </c>
      <c r="N38" s="38" t="s">
        <v>16</v>
      </c>
    </row>
    <row r="39" spans="1:14" x14ac:dyDescent="0.35">
      <c r="A39" s="4" t="str">
        <f>Sheet1!A39 &amp; "/" &amp; "2025"</f>
        <v>1437/2025</v>
      </c>
      <c r="B39" s="5" t="str">
        <f>Sheet1!E39</f>
        <v>AU2065653898125</v>
      </c>
      <c r="C39" s="6" t="str">
        <f>UPPER(Sheet1!B39)</f>
        <v>KANISHKA SHARMA</v>
      </c>
      <c r="D39" s="7" t="str">
        <f>IF(Sheet1!F39="F","FEMALE","MALE")</f>
        <v>FEMALE</v>
      </c>
      <c r="E39" s="6" t="str">
        <f>UPPER(Sheet1!G39)</f>
        <v>ABHISHEK SHARMA</v>
      </c>
      <c r="F39" s="6" t="str">
        <f>UPPER(Sheet1!H39)</f>
        <v>MANPREET  KAUR</v>
      </c>
      <c r="G39" s="5" t="str">
        <f>TEXT(Sheet1!C39,"dd/mm/yyyy") &amp; "," &amp; Sheet1!D39</f>
        <v xml:space="preserve">26/06/2025,EPPING, AUSTRALIA </v>
      </c>
      <c r="H39" s="57" t="str">
        <f>UPPER(Sheet1!K39 &amp; "," &amp; Sheet1!L39 &amp; "," &amp; Sheet1!M39)</f>
        <v>1415 B ,MODERN COLONY,YAMUNA NAGAR,YAMUNANAGAR,PIN:135001,HARYANA,INDIA</v>
      </c>
      <c r="I39" s="8">
        <f>Sheet1!J39</f>
        <v>45889</v>
      </c>
      <c r="J39" s="5" t="str">
        <f>Sheet1!N39 &amp; "," &amp; TEXT(Sheet1!O39,"dd/mm/yy")</f>
        <v>202509054424,03/08/25</v>
      </c>
      <c r="K39" s="5" t="s">
        <v>5474</v>
      </c>
      <c r="L39" s="38" t="s">
        <v>15</v>
      </c>
      <c r="M39" s="38">
        <v>45925</v>
      </c>
      <c r="N39" s="38" t="s">
        <v>16</v>
      </c>
    </row>
    <row r="40" spans="1:14" x14ac:dyDescent="0.35">
      <c r="A40" s="4" t="str">
        <f>Sheet1!A40 &amp; "/" &amp; "2025"</f>
        <v>1438/2025</v>
      </c>
      <c r="B40" s="5" t="str">
        <f>Sheet1!E40</f>
        <v>AU2065653899125</v>
      </c>
      <c r="C40" s="6" t="str">
        <f>UPPER(Sheet1!B40)</f>
        <v>JAIVEER SINGH KHATTRA</v>
      </c>
      <c r="D40" s="7" t="str">
        <f>IF(Sheet1!F40="F","FEMALE","MALE")</f>
        <v>MALE</v>
      </c>
      <c r="E40" s="6" t="str">
        <f>UPPER(Sheet1!G40)</f>
        <v>RANVIR SINGH</v>
      </c>
      <c r="F40" s="6" t="str">
        <f>UPPER(Sheet1!H40)</f>
        <v>JASPREET KAUR </v>
      </c>
      <c r="G40" s="5" t="str">
        <f>TEXT(Sheet1!C40,"dd/mm/yyyy") &amp; "," &amp; Sheet1!D40</f>
        <v xml:space="preserve">04/07/2025,EPPING, AUSTRALIA </v>
      </c>
      <c r="H40" s="57" t="str">
        <f>UPPER(Sheet1!K40 &amp; "," &amp; Sheet1!L40 &amp; "," &amp; Sheet1!M40)</f>
        <v>VPO SEHRA,TEH- RAJPURA,PATIALA,PIN:140701,PUNJAB,INDIA</v>
      </c>
      <c r="I40" s="8">
        <f>Sheet1!J40</f>
        <v>45889</v>
      </c>
      <c r="J40" s="5" t="str">
        <f>Sheet1!N40 &amp; "," &amp; TEXT(Sheet1!O40,"dd/mm/yy")</f>
        <v>202509057224,14/08/25</v>
      </c>
      <c r="K40" s="5" t="s">
        <v>5474</v>
      </c>
      <c r="L40" s="38" t="s">
        <v>15</v>
      </c>
      <c r="M40" s="38">
        <v>45925</v>
      </c>
      <c r="N40" s="38" t="s">
        <v>16</v>
      </c>
    </row>
    <row r="41" spans="1:14" x14ac:dyDescent="0.35">
      <c r="A41" s="4" t="str">
        <f>Sheet1!A41 &amp; "/" &amp; "2025"</f>
        <v>1439/2025</v>
      </c>
      <c r="B41" s="5" t="str">
        <f>Sheet1!E41</f>
        <v>AU2065653899925</v>
      </c>
      <c r="C41" s="6" t="str">
        <f>UPPER(Sheet1!B41)</f>
        <v>WARIS GABA</v>
      </c>
      <c r="D41" s="7" t="str">
        <f>IF(Sheet1!F41="F","FEMALE","MALE")</f>
        <v>MALE</v>
      </c>
      <c r="E41" s="6" t="str">
        <f>UPPER(Sheet1!G41)</f>
        <v>GAGANDEEP SINGH</v>
      </c>
      <c r="F41" s="6" t="str">
        <f>UPPER(Sheet1!H41)</f>
        <v>PRIYA </v>
      </c>
      <c r="G41" s="5" t="str">
        <f>TEXT(Sheet1!C41,"dd/mm/yyyy") &amp; "," &amp; Sheet1!D41</f>
        <v xml:space="preserve">30/01/2025,WERIBEE, AUSTRALIA </v>
      </c>
      <c r="H41" s="57" t="str">
        <f>UPPER(Sheet1!K41 &amp; "," &amp; Sheet1!L41 &amp; "," &amp; Sheet1!M41)</f>
        <v>HOUSE NO 200 BHAI DIT SINGH NAGAR,PS DIV NO 3,JALANDHAR,PIN:144001,PUNJAB,INDIA</v>
      </c>
      <c r="I41" s="8">
        <f>Sheet1!J41</f>
        <v>45889</v>
      </c>
      <c r="J41" s="5" t="str">
        <f>Sheet1!N41 &amp; "," &amp; TEXT(Sheet1!O41,"dd/mm/yy")</f>
        <v>202509041545,17/06/25</v>
      </c>
      <c r="K41" s="5" t="s">
        <v>5474</v>
      </c>
      <c r="L41" s="38" t="s">
        <v>15</v>
      </c>
      <c r="M41" s="38">
        <v>45925</v>
      </c>
      <c r="N41" s="38" t="s">
        <v>16</v>
      </c>
    </row>
    <row r="42" spans="1:14" x14ac:dyDescent="0.35">
      <c r="A42" s="4" t="str">
        <f>Sheet1!A42 &amp; "/" &amp; "2025"</f>
        <v>1440/2025</v>
      </c>
      <c r="B42" s="5" t="str">
        <f>Sheet1!E42</f>
        <v>AU2065653900525</v>
      </c>
      <c r="C42" s="6" t="str">
        <f>UPPER(Sheet1!B42)</f>
        <v>SEHAJ KAUR</v>
      </c>
      <c r="D42" s="7" t="str">
        <f>IF(Sheet1!F42="F","FEMALE","MALE")</f>
        <v>FEMALE</v>
      </c>
      <c r="E42" s="6" t="str">
        <f>UPPER(Sheet1!G42)</f>
        <v>YADBIR SINGH</v>
      </c>
      <c r="F42" s="6" t="str">
        <f>UPPER(Sheet1!H42)</f>
        <v>JATINDER  KAUR</v>
      </c>
      <c r="G42" s="5" t="str">
        <f>TEXT(Sheet1!C42,"dd/mm/yyyy") &amp; "," &amp; Sheet1!D42</f>
        <v xml:space="preserve">10/02/2025,CLAYTON, AUSTRALIA </v>
      </c>
      <c r="H42" s="57" t="str">
        <f>UPPER(Sheet1!K42 &amp; "," &amp; Sheet1!L42 &amp; "," &amp; Sheet1!M42)</f>
        <v>FATTUBHEELA,PO BABOWAL,AMRITSAR,PIN:143119,PUNJAB,INDIA</v>
      </c>
      <c r="I42" s="8">
        <f>Sheet1!J42</f>
        <v>45889</v>
      </c>
      <c r="J42" s="5" t="str">
        <f>Sheet1!N42 &amp; "," &amp; TEXT(Sheet1!O42,"dd/mm/yy")</f>
        <v>202509043551,24/06/25</v>
      </c>
      <c r="K42" s="5" t="s">
        <v>5474</v>
      </c>
      <c r="L42" s="38" t="s">
        <v>15</v>
      </c>
      <c r="M42" s="38">
        <v>45925</v>
      </c>
      <c r="N42" s="38" t="s">
        <v>16</v>
      </c>
    </row>
    <row r="43" spans="1:14" x14ac:dyDescent="0.35">
      <c r="A43" s="4" t="str">
        <f>Sheet1!A43 &amp; "/" &amp; "2025"</f>
        <v>1441/2025</v>
      </c>
      <c r="B43" s="5" t="str">
        <f>Sheet1!E43</f>
        <v>AU2065653900925</v>
      </c>
      <c r="C43" s="6" t="str">
        <f>UPPER(Sheet1!B43)</f>
        <v>AYZAL FATIMA SYEDA</v>
      </c>
      <c r="D43" s="7" t="str">
        <f>IF(Sheet1!F43="F","FEMALE","MALE")</f>
        <v>FEMALE</v>
      </c>
      <c r="E43" s="6" t="str">
        <f>UPPER(Sheet1!G43)</f>
        <v>ATA MOINUDDIN SYED</v>
      </c>
      <c r="F43" s="6" t="str">
        <f>UPPER(Sheet1!H43)</f>
        <v>AJMAL FARKUNDA </v>
      </c>
      <c r="G43" s="5" t="str">
        <f>TEXT(Sheet1!C43,"dd/mm/yyyy") &amp; "," &amp; Sheet1!D43</f>
        <v xml:space="preserve">27/06/2025,GEELONG, AUSTRALIA  </v>
      </c>
      <c r="H43" s="57" t="str">
        <f>UPPER(Sheet1!K43 &amp; "," &amp; Sheet1!L43 &amp; "," &amp; Sheet1!M43)</f>
        <v>17-3B-462/1,CHANDRA NAGAR,YAKUTPURA,HYDERABAD,PIN:500023,TELANGANA,INDIA</v>
      </c>
      <c r="I43" s="8">
        <f>Sheet1!J43</f>
        <v>45889</v>
      </c>
      <c r="J43" s="5" t="str">
        <f>Sheet1!N43 &amp; "," &amp; TEXT(Sheet1!O43,"dd/mm/yy")</f>
        <v>202509056953,13/08/25</v>
      </c>
      <c r="K43" s="5" t="s">
        <v>5474</v>
      </c>
      <c r="L43" s="38" t="s">
        <v>15</v>
      </c>
      <c r="M43" s="38">
        <v>45925</v>
      </c>
      <c r="N43" s="38" t="s">
        <v>16</v>
      </c>
    </row>
    <row r="44" spans="1:14" x14ac:dyDescent="0.35">
      <c r="A44" s="4" t="str">
        <f>Sheet1!A44 &amp; "/" &amp; "2025"</f>
        <v>1442/2025</v>
      </c>
      <c r="B44" s="5" t="str">
        <f>Sheet1!E44</f>
        <v>AU2065653901525</v>
      </c>
      <c r="C44" s="6" t="str">
        <f>UPPER(Sheet1!B44)</f>
        <v>MIRA PATEL</v>
      </c>
      <c r="D44" s="7" t="str">
        <f>IF(Sheet1!F44="F","FEMALE","MALE")</f>
        <v>FEMALE</v>
      </c>
      <c r="E44" s="6" t="str">
        <f>UPPER(Sheet1!G44)</f>
        <v>MAYURKUMAR KARASHANBHAI PATEL</v>
      </c>
      <c r="F44" s="6" t="str">
        <f>UPPER(Sheet1!H44)</f>
        <v>ASHA DASHRATHBHAI  PATEL</v>
      </c>
      <c r="G44" s="5" t="str">
        <f>TEXT(Sheet1!C44,"dd/mm/yyyy") &amp; "," &amp; Sheet1!D44</f>
        <v xml:space="preserve">12/03/2025,HEIDELBERG, AUSTRALIA  </v>
      </c>
      <c r="H44" s="57" t="str">
        <f>UPPER(Sheet1!K44 &amp; "," &amp; Sheet1!L44 &amp; "," &amp; Sheet1!M44)</f>
        <v>KHERPUR,PO.SARSAV,KADI,MEHSANA,PIN:382715,GUJARAT,INDIA</v>
      </c>
      <c r="I44" s="8">
        <f>Sheet1!J44</f>
        <v>45889</v>
      </c>
      <c r="J44" s="5" t="str">
        <f>Sheet1!N44 &amp; "," &amp; TEXT(Sheet1!O44,"dd/mm/yy")</f>
        <v>202509057226,14/08/25</v>
      </c>
      <c r="K44" s="5" t="s">
        <v>5474</v>
      </c>
      <c r="L44" s="38" t="s">
        <v>15</v>
      </c>
      <c r="M44" s="38">
        <v>45925</v>
      </c>
      <c r="N44" s="38" t="s">
        <v>16</v>
      </c>
    </row>
    <row r="45" spans="1:14" x14ac:dyDescent="0.35">
      <c r="A45" s="4" t="str">
        <f>Sheet1!A45 &amp; "/" &amp; "2025"</f>
        <v>1443/2025</v>
      </c>
      <c r="B45" s="5" t="str">
        <f>Sheet1!E45</f>
        <v>AU2065653902125</v>
      </c>
      <c r="C45" s="6" t="str">
        <f>UPPER(Sheet1!B45)</f>
        <v>AMARIS LEAH PRAVIN</v>
      </c>
      <c r="D45" s="7" t="str">
        <f>IF(Sheet1!F45="F","FEMALE","MALE")</f>
        <v>FEMALE</v>
      </c>
      <c r="E45" s="6" t="str">
        <f>UPPER(Sheet1!G45)</f>
        <v>PRAVIN VAZHAKAL GEORGE</v>
      </c>
      <c r="F45" s="6" t="str">
        <f>UPPER(Sheet1!H45)</f>
        <v>BIJI  LEELA BABU</v>
      </c>
      <c r="G45" s="5" t="str">
        <f>TEXT(Sheet1!C45,"dd/mm/yyyy") &amp; "," &amp; Sheet1!D45</f>
        <v xml:space="preserve">24/05/2025,HEIDELBERG, AUSTRALIA  </v>
      </c>
      <c r="H45" s="57" t="str">
        <f>UPPER(Sheet1!K45 &amp; "," &amp; Sheet1!L45 &amp; "," &amp; Sheet1!M45)</f>
        <v>KARMEL VAZHAKAL HOUSE,HOSPITAL JUNCTION,VAKATHANAM P.O,KOTTAYAM,PIN:686538,KERALA,INDIA</v>
      </c>
      <c r="I45" s="8">
        <f>Sheet1!J45</f>
        <v>45889</v>
      </c>
      <c r="J45" s="5" t="str">
        <f>Sheet1!N45 &amp; "," &amp; TEXT(Sheet1!O45,"dd/mm/yy")</f>
        <v>202509057218,14/08/25</v>
      </c>
      <c r="K45" s="5" t="s">
        <v>5474</v>
      </c>
      <c r="L45" s="38" t="s">
        <v>15</v>
      </c>
      <c r="M45" s="38">
        <v>45925</v>
      </c>
      <c r="N45" s="38" t="s">
        <v>16</v>
      </c>
    </row>
    <row r="46" spans="1:14" x14ac:dyDescent="0.35">
      <c r="A46" s="4" t="str">
        <f>Sheet1!A46 &amp; "/" &amp; "2025"</f>
        <v>1444/2025</v>
      </c>
      <c r="B46" s="5" t="str">
        <f>Sheet1!E46</f>
        <v>AU2065653902925</v>
      </c>
      <c r="C46" s="6" t="str">
        <f>UPPER(Sheet1!B46)</f>
        <v>JAYASASVIKA KARTHICK</v>
      </c>
      <c r="D46" s="7" t="str">
        <f>IF(Sheet1!F46="F","FEMALE","MALE")</f>
        <v>FEMALE</v>
      </c>
      <c r="E46" s="6" t="str">
        <f>UPPER(Sheet1!G46)</f>
        <v>KARTHICK KANNAN</v>
      </c>
      <c r="F46" s="6" t="str">
        <f>UPPER(Sheet1!H46)</f>
        <v>RAMYA  ATHMANATHAN</v>
      </c>
      <c r="G46" s="5" t="str">
        <f>TEXT(Sheet1!C46,"dd/mm/yyyy") &amp; "," &amp; Sheet1!D46</f>
        <v>14/06/2025,MOUNT WAVERLEY, AUSTRALIA</v>
      </c>
      <c r="H46" s="57" t="str">
        <f>UPPER(Sheet1!K46 &amp; "," &amp; Sheet1!L46 &amp; "," &amp; Sheet1!M46)</f>
        <v>NO 1/988 VENNAMPATTI ROAD,LAKKIYAMPATTI,DHARMAPURI,PIN:636705,TAMIL NADU,INDIA</v>
      </c>
      <c r="I46" s="8">
        <f>Sheet1!J46</f>
        <v>45889</v>
      </c>
      <c r="J46" s="5" t="str">
        <f>Sheet1!N46 &amp; "," &amp; TEXT(Sheet1!O46,"dd/mm/yy")</f>
        <v>202509057222,14/08/25</v>
      </c>
      <c r="K46" s="5" t="s">
        <v>5474</v>
      </c>
      <c r="L46" s="38" t="s">
        <v>15</v>
      </c>
      <c r="M46" s="38">
        <v>45925</v>
      </c>
      <c r="N46" s="38" t="s">
        <v>16</v>
      </c>
    </row>
    <row r="47" spans="1:14" x14ac:dyDescent="0.35">
      <c r="A47" s="4" t="str">
        <f>Sheet1!A47 &amp; "/" &amp; "2025"</f>
        <v>1445/2025</v>
      </c>
      <c r="B47" s="5" t="str">
        <f>Sheet1!E47</f>
        <v>AU2065653903725</v>
      </c>
      <c r="C47" s="6" t="str">
        <f>UPPER(Sheet1!B47)</f>
        <v>AZAAD SINGH HARI</v>
      </c>
      <c r="D47" s="7" t="str">
        <f>IF(Sheet1!F47="F","FEMALE","MALE")</f>
        <v>MALE</v>
      </c>
      <c r="E47" s="6" t="str">
        <f>UPPER(Sheet1!G47)</f>
        <v>DUSTDAMAN SINGH</v>
      </c>
      <c r="F47" s="6" t="str">
        <f>UPPER(Sheet1!H47)</f>
        <v>AMANDEEP KAUR </v>
      </c>
      <c r="G47" s="5" t="str">
        <f>TEXT(Sheet1!C47,"dd/mm/yyyy") &amp; "," &amp; Sheet1!D47</f>
        <v xml:space="preserve">09/03/2025,PARKVILLE , AUSTRALIA  </v>
      </c>
      <c r="H47" s="57" t="str">
        <f>UPPER(Sheet1!K47 &amp; "," &amp; Sheet1!L47 &amp; "," &amp; Sheet1!M47)</f>
        <v>VILLAGE MEHAL KHURD,MEHAL KALAN,BARNALA,PIN:148104,PUNJAB,INDIA</v>
      </c>
      <c r="I47" s="8">
        <f>Sheet1!J47</f>
        <v>45889</v>
      </c>
      <c r="J47" s="5" t="str">
        <f>Sheet1!N47 &amp; "," &amp; TEXT(Sheet1!O47,"dd/mm/yy")</f>
        <v>202509055538,07/08/25</v>
      </c>
      <c r="K47" s="5" t="s">
        <v>5474</v>
      </c>
      <c r="L47" s="38" t="s">
        <v>15</v>
      </c>
      <c r="M47" s="38">
        <v>45925</v>
      </c>
      <c r="N47" s="38" t="s">
        <v>16</v>
      </c>
    </row>
    <row r="48" spans="1:14" x14ac:dyDescent="0.35">
      <c r="A48" s="4" t="str">
        <f>Sheet1!A48 &amp; "/" &amp; "2025"</f>
        <v>1446/2025</v>
      </c>
      <c r="B48" s="5" t="str">
        <f>Sheet1!E48</f>
        <v>AU2065653904325</v>
      </c>
      <c r="C48" s="6" t="str">
        <f>UPPER(Sheet1!B48)</f>
        <v>AVIRAJ SINGH SAROYA</v>
      </c>
      <c r="D48" s="7" t="str">
        <f>IF(Sheet1!F48="F","FEMALE","MALE")</f>
        <v>MALE</v>
      </c>
      <c r="E48" s="6" t="str">
        <f>UPPER(Sheet1!G48)</f>
        <v>NAVJOT SONGH SAROYA</v>
      </c>
      <c r="F48" s="6" t="str">
        <f>UPPER(Sheet1!H48)</f>
        <v>SNEH  ARORA</v>
      </c>
      <c r="G48" s="5" t="str">
        <f>TEXT(Sheet1!C48,"dd/mm/yyyy") &amp; "," &amp; Sheet1!D48</f>
        <v xml:space="preserve">22/04/2025,CLAYTON, AUSTRALIA </v>
      </c>
      <c r="H48" s="57" t="str">
        <f>UPPER(Sheet1!K48 &amp; "," &amp; Sheet1!L48 &amp; "," &amp; Sheet1!M48)</f>
        <v>67 SHALIMAR GARDEN PHASE 2,CHOHAK KALAN,JALANDHAR,PIN:144101,PUNJAB,INDIA</v>
      </c>
      <c r="I48" s="8">
        <f>Sheet1!J48</f>
        <v>45889</v>
      </c>
      <c r="J48" s="5" t="str">
        <f>Sheet1!N48 &amp; "," &amp; TEXT(Sheet1!O48,"dd/mm/yy")</f>
        <v>202509045602,01/07/25</v>
      </c>
      <c r="K48" s="5" t="s">
        <v>5474</v>
      </c>
      <c r="L48" s="38" t="s">
        <v>15</v>
      </c>
      <c r="M48" s="38">
        <v>45925</v>
      </c>
      <c r="N48" s="38" t="s">
        <v>16</v>
      </c>
    </row>
    <row r="49" spans="1:14" x14ac:dyDescent="0.35">
      <c r="A49" s="4" t="str">
        <f>Sheet1!A49 &amp; "/" &amp; "2025"</f>
        <v>1447/2025</v>
      </c>
      <c r="B49" s="5" t="str">
        <f>Sheet1!E49</f>
        <v>AU2065653904525</v>
      </c>
      <c r="C49" s="6" t="str">
        <f>UPPER(Sheet1!B49)</f>
        <v>KABIR JAIN</v>
      </c>
      <c r="D49" s="7" t="str">
        <f>IF(Sheet1!F49="F","FEMALE","MALE")</f>
        <v>MALE</v>
      </c>
      <c r="E49" s="6" t="str">
        <f>UPPER(Sheet1!G49)</f>
        <v>MITUL JAIN</v>
      </c>
      <c r="F49" s="6" t="str">
        <f>UPPER(Sheet1!H49)</f>
        <v>DEEPIKA SETHI  SURESH KUMAR</v>
      </c>
      <c r="G49" s="5" t="str">
        <f>TEXT(Sheet1!C49,"dd/mm/yyyy") &amp; "," &amp; Sheet1!D49</f>
        <v xml:space="preserve">16/07/2025,ST ALBANS, AUSTRALIA  </v>
      </c>
      <c r="H49" s="57" t="str">
        <f>UPPER(Sheet1!K49 &amp; "," &amp; Sheet1!L49 &amp; "," &amp; Sheet1!M49)</f>
        <v>77/175 SHIPRA PATH,MANSAROVAR,JAIPUR,PIN:302020,RAJASTHAN,INDIA</v>
      </c>
      <c r="I49" s="8">
        <f>Sheet1!J49</f>
        <v>45889</v>
      </c>
      <c r="J49" s="5" t="str">
        <f>Sheet1!N49 &amp; "," &amp; TEXT(Sheet1!O49,"dd/mm/yy")</f>
        <v>202509057220,14/08/25</v>
      </c>
      <c r="K49" s="5" t="s">
        <v>5474</v>
      </c>
      <c r="L49" s="38" t="s">
        <v>15</v>
      </c>
      <c r="M49" s="38">
        <v>45925</v>
      </c>
      <c r="N49" s="38" t="s">
        <v>16</v>
      </c>
    </row>
    <row r="50" spans="1:14" x14ac:dyDescent="0.35">
      <c r="A50" s="4" t="str">
        <f>Sheet1!A50 &amp; "/" &amp; "2025"</f>
        <v>1448/2025</v>
      </c>
      <c r="B50" s="5" t="str">
        <f>Sheet1!E50</f>
        <v>AU2065653904925</v>
      </c>
      <c r="C50" s="6" t="str">
        <f>UPPER(Sheet1!B50)</f>
        <v>AARIV JATINKUMAR SOLANKI</v>
      </c>
      <c r="D50" s="7" t="str">
        <f>IF(Sheet1!F50="F","FEMALE","MALE")</f>
        <v>MALE</v>
      </c>
      <c r="E50" s="6" t="str">
        <f>UPPER(Sheet1!G50)</f>
        <v>JATINKUMAR RATILAL SOLANKI</v>
      </c>
      <c r="F50" s="6" t="str">
        <f>UPPER(Sheet1!H50)</f>
        <v>JANKI RAMANBHAI  CHAUHAN</v>
      </c>
      <c r="G50" s="5" t="str">
        <f>TEXT(Sheet1!C50,"dd/mm/yyyy") &amp; "," &amp; Sheet1!D50</f>
        <v xml:space="preserve">13/09/2024,ST ALBANS, AUSTRALIA  </v>
      </c>
      <c r="H50" s="57" t="str">
        <f>UPPER(Sheet1!K50 &amp; "," &amp; Sheet1!L50 &amp; "," &amp; Sheet1!M50)</f>
        <v>B-127,PARISHNAGAR SOCIETY,NR-LIONS HALL,RACECOURSE,VADODARA,PIN:390007,GUJARAT,INDIA</v>
      </c>
      <c r="I50" s="8">
        <f>Sheet1!J50</f>
        <v>45889</v>
      </c>
      <c r="J50" s="5" t="str">
        <f>Sheet1!N50 &amp; "," &amp; TEXT(Sheet1!O50,"dd/mm/yy")</f>
        <v>202509055611,07/08/25</v>
      </c>
      <c r="K50" s="5" t="s">
        <v>5474</v>
      </c>
      <c r="L50" s="38" t="s">
        <v>15</v>
      </c>
      <c r="M50" s="38">
        <v>45925</v>
      </c>
      <c r="N50" s="38" t="s">
        <v>16</v>
      </c>
    </row>
    <row r="51" spans="1:14" x14ac:dyDescent="0.35">
      <c r="A51" s="4" t="str">
        <f>Sheet1!A51 &amp; "/" &amp; "2025"</f>
        <v>1449/2025</v>
      </c>
      <c r="B51" s="5" t="str">
        <f>Sheet1!E51</f>
        <v>AU2065653905925</v>
      </c>
      <c r="C51" s="6" t="str">
        <f>UPPER(Sheet1!B51)</f>
        <v>DHRUVA SURASANI</v>
      </c>
      <c r="D51" s="7" t="str">
        <f>IF(Sheet1!F51="F","FEMALE","MALE")</f>
        <v>MALE</v>
      </c>
      <c r="E51" s="6" t="str">
        <f>UPPER(Sheet1!G51)</f>
        <v>GOPI MOHAN</v>
      </c>
      <c r="F51" s="6" t="str">
        <f>UPPER(Sheet1!H51)</f>
        <v>NAVYASRI  ADICHERLA</v>
      </c>
      <c r="G51" s="5" t="str">
        <f>TEXT(Sheet1!C51,"dd/mm/yyyy") &amp; "," &amp; Sheet1!D51</f>
        <v xml:space="preserve">30/06/2025,CLAYTON MELBOURNE, AUSTRALIA  </v>
      </c>
      <c r="H51" s="57" t="str">
        <f>UPPER(Sheet1!K51 &amp; "," &amp; Sheet1!L51 &amp; "," &amp; Sheet1!M51)</f>
        <v>6 AMBETHKAR NAGAR VELMURUGAN NAGAR EXTN,KOLATHUR,CHENNAI,PIN:600099,TAMIL NADU,INDIA</v>
      </c>
      <c r="I51" s="8">
        <f>Sheet1!J51</f>
        <v>45889</v>
      </c>
      <c r="J51" s="5" t="str">
        <f>Sheet1!N51 &amp; "," &amp; TEXT(Sheet1!O51,"dd/mm/yy")</f>
        <v>202509056703,12/08/25</v>
      </c>
      <c r="K51" s="5" t="s">
        <v>5474</v>
      </c>
      <c r="L51" s="38" t="s">
        <v>15</v>
      </c>
      <c r="M51" s="38">
        <v>45925</v>
      </c>
      <c r="N51" s="38" t="s">
        <v>16</v>
      </c>
    </row>
    <row r="52" spans="1:14" x14ac:dyDescent="0.35">
      <c r="A52" s="4" t="str">
        <f>Sheet1!A52 &amp; "/" &amp; "2025"</f>
        <v>1450/2025</v>
      </c>
      <c r="B52" s="5" t="str">
        <f>Sheet1!E52</f>
        <v>AU2065653906925</v>
      </c>
      <c r="C52" s="6" t="str">
        <f>UPPER(Sheet1!B52)</f>
        <v>AVEER SINGH MAAN</v>
      </c>
      <c r="D52" s="7" t="str">
        <f>IF(Sheet1!F52="F","FEMALE","MALE")</f>
        <v>MALE</v>
      </c>
      <c r="E52" s="6" t="str">
        <f>UPPER(Sheet1!G52)</f>
        <v>ANKIT SINGH</v>
      </c>
      <c r="F52" s="6" t="str">
        <f>UPPER(Sheet1!H52)</f>
        <v>PRIYANKA  SINGH</v>
      </c>
      <c r="G52" s="5" t="str">
        <f>TEXT(Sheet1!C52,"dd/mm/yyyy") &amp; "," &amp; Sheet1!D52</f>
        <v xml:space="preserve">16/04/2025,GEELONG , AUSTRALIA </v>
      </c>
      <c r="H52" s="57" t="str">
        <f>UPPER(Sheet1!K52 &amp; "," &amp; Sheet1!L52 &amp; "," &amp; Sheet1!M52)</f>
        <v>VPO GHOGRIPUR,KARNAL,KARNAL,PIN:132001,HARYANA,INDIA</v>
      </c>
      <c r="I52" s="8">
        <f>Sheet1!J52</f>
        <v>45889</v>
      </c>
      <c r="J52" s="5" t="str">
        <f>Sheet1!N52 &amp; "," &amp; TEXT(Sheet1!O52,"dd/mm/yy")</f>
        <v>202509054863,05/08/25</v>
      </c>
      <c r="K52" s="5" t="s">
        <v>5474</v>
      </c>
      <c r="L52" s="38" t="s">
        <v>15</v>
      </c>
      <c r="M52" s="38">
        <v>45925</v>
      </c>
      <c r="N52" s="38" t="s">
        <v>16</v>
      </c>
    </row>
    <row r="53" spans="1:14" x14ac:dyDescent="0.35">
      <c r="A53" s="4" t="str">
        <f>Sheet1!A53 &amp; "/" &amp; "2025"</f>
        <v>1451/2025</v>
      </c>
      <c r="B53" s="5" t="str">
        <f>Sheet1!E53</f>
        <v>AU2065659429125</v>
      </c>
      <c r="C53" s="6" t="str">
        <f>UPPER(Sheet1!B53)</f>
        <v>RABAB KAUR BRAR</v>
      </c>
      <c r="D53" s="7" t="str">
        <f>IF(Sheet1!F53="F","FEMALE","MALE")</f>
        <v>FEMALE</v>
      </c>
      <c r="E53" s="6" t="str">
        <f>UPPER(Sheet1!G53)</f>
        <v>SUKHWANT SINGH</v>
      </c>
      <c r="F53" s="6" t="str">
        <f>UPPER(Sheet1!H53)</f>
        <v>RAMANJOT KAUR  KANG</v>
      </c>
      <c r="G53" s="5" t="str">
        <f>TEXT(Sheet1!C53,"dd/mm/yyyy") &amp; "," &amp; Sheet1!D53</f>
        <v xml:space="preserve">11/06/2025,ST ALBANS, AUSTRALIA </v>
      </c>
      <c r="H53" s="57" t="str">
        <f>UPPER(Sheet1!K53 &amp; "," &amp; Sheet1!L53 &amp; "," &amp; Sheet1!M53)</f>
        <v>VILLAGE,ITTAN WALI,FEROZEPUR,PIN:142052,PUNJAB,INDIA</v>
      </c>
      <c r="I53" s="8">
        <f>Sheet1!J53</f>
        <v>45895</v>
      </c>
      <c r="J53" s="5" t="str">
        <f>Sheet1!N53 &amp; "," &amp; TEXT(Sheet1!O53,"dd/mm/yy")</f>
        <v>202509053038,29/07/25</v>
      </c>
      <c r="K53" s="5" t="s">
        <v>5474</v>
      </c>
      <c r="L53" s="38" t="s">
        <v>15</v>
      </c>
      <c r="M53" s="38">
        <v>45925</v>
      </c>
      <c r="N53" s="38" t="s">
        <v>16</v>
      </c>
    </row>
    <row r="54" spans="1:14" x14ac:dyDescent="0.35">
      <c r="A54" s="4" t="str">
        <f>Sheet1!A54 &amp; "/" &amp; "2025"</f>
        <v>1452/2025</v>
      </c>
      <c r="B54" s="5" t="str">
        <f>Sheet1!E54</f>
        <v>AU2065659430925</v>
      </c>
      <c r="C54" s="6" t="str">
        <f>UPPER(Sheet1!B54)</f>
        <v>RUVEE BANSAL</v>
      </c>
      <c r="D54" s="7" t="str">
        <f>IF(Sheet1!F54="F","FEMALE","MALE")</f>
        <v>FEMALE</v>
      </c>
      <c r="E54" s="6" t="str">
        <f>UPPER(Sheet1!G54)</f>
        <v>SIDDHANT BANSAL</v>
      </c>
      <c r="F54" s="6" t="str">
        <f>UPPER(Sheet1!H54)</f>
        <v>APEKSHA  AGARWAL</v>
      </c>
      <c r="G54" s="5" t="str">
        <f>TEXT(Sheet1!C54,"dd/mm/yyyy") &amp; "," &amp; Sheet1!D54</f>
        <v xml:space="preserve">16/07/2025,ST ALBANS, AUSTRALIA </v>
      </c>
      <c r="H54" s="57" t="str">
        <f>UPPER(Sheet1!K54 &amp; "," &amp; Sheet1!L54 &amp; "," &amp; Sheet1!M54)</f>
        <v>GH-52,FLAT-402,SECTOR 20,PANCHKULA,PANCHKULA,PIN:134116,HARYANA,INDIA</v>
      </c>
      <c r="I54" s="8">
        <f>Sheet1!J54</f>
        <v>45895</v>
      </c>
      <c r="J54" s="5" t="str">
        <f>Sheet1!N54 &amp; "," &amp; TEXT(Sheet1!O54,"dd/mm/yy")</f>
        <v>202509059699,24/08/25</v>
      </c>
      <c r="K54" s="5" t="s">
        <v>5474</v>
      </c>
      <c r="L54" s="38" t="s">
        <v>15</v>
      </c>
      <c r="M54" s="38">
        <v>45925</v>
      </c>
      <c r="N54" s="38" t="s">
        <v>16</v>
      </c>
    </row>
    <row r="55" spans="1:14" x14ac:dyDescent="0.35">
      <c r="A55" s="4" t="str">
        <f>Sheet1!A55 &amp; "/" &amp; "2025"</f>
        <v>1453/2025</v>
      </c>
      <c r="B55" s="5" t="str">
        <f>Sheet1!E55</f>
        <v>AU2065659433125</v>
      </c>
      <c r="C55" s="6" t="str">
        <f>UPPER(Sheet1!B55)</f>
        <v>TANISHKA PATEL</v>
      </c>
      <c r="D55" s="7" t="str">
        <f>IF(Sheet1!F55="F","FEMALE","MALE")</f>
        <v>FEMALE</v>
      </c>
      <c r="E55" s="6" t="str">
        <f>UPPER(Sheet1!G55)</f>
        <v>ASHISHKUMAR DASHRATHBHAI PATEL</v>
      </c>
      <c r="F55" s="6" t="str">
        <f>UPPER(Sheet1!H55)</f>
        <v>DIVYA DINESHBHAI  PATEL</v>
      </c>
      <c r="G55" s="5" t="str">
        <f>TEXT(Sheet1!C55,"dd/mm/yyyy") &amp; "," &amp; Sheet1!D55</f>
        <v xml:space="preserve">01/08/2025,HOBART, AUSTRALIA  </v>
      </c>
      <c r="H55" s="57" t="str">
        <f>UPPER(Sheet1!K55 &amp; "," &amp; Sheet1!L55 &amp; "," &amp; Sheet1!M55)</f>
        <v>SAVARIYA VAS,RAMJI MANDIR,NAGALPUR,MEHSANA,PIN:384001,GUJARAT,INDIA</v>
      </c>
      <c r="I55" s="8">
        <f>Sheet1!J55</f>
        <v>45895</v>
      </c>
      <c r="J55" s="5" t="str">
        <f>Sheet1!N55 &amp; "," &amp; TEXT(Sheet1!O55,"dd/mm/yy")</f>
        <v>202509055854,08/08/25</v>
      </c>
      <c r="K55" s="5" t="s">
        <v>5474</v>
      </c>
      <c r="L55" s="38" t="s">
        <v>15</v>
      </c>
      <c r="M55" s="38">
        <v>45925</v>
      </c>
      <c r="N55" s="38" t="s">
        <v>16</v>
      </c>
    </row>
    <row r="56" spans="1:14" x14ac:dyDescent="0.35">
      <c r="A56" s="4" t="str">
        <f>Sheet1!A56 &amp; "/" &amp; "2025"</f>
        <v>1454/2025</v>
      </c>
      <c r="B56" s="5" t="str">
        <f>Sheet1!E56</f>
        <v>AU2065659434725</v>
      </c>
      <c r="C56" s="6" t="str">
        <f>UPPER(Sheet1!B56)</f>
        <v>PARISHA SAINI</v>
      </c>
      <c r="D56" s="7" t="str">
        <f>IF(Sheet1!F56="F","FEMALE","MALE")</f>
        <v>FEMALE</v>
      </c>
      <c r="E56" s="6" t="str">
        <f>UPPER(Sheet1!G56)</f>
        <v>RAJAT KUMAR</v>
      </c>
      <c r="F56" s="6" t="str">
        <f>UPPER(Sheet1!H56)</f>
        <v>KIRTI </v>
      </c>
      <c r="G56" s="5" t="str">
        <f>TEXT(Sheet1!C56,"dd/mm/yyyy") &amp; "," &amp; Sheet1!D56</f>
        <v xml:space="preserve">30/07/2025,BERWICK MELBOURNE, AUSTRALIA  </v>
      </c>
      <c r="H56" s="57" t="str">
        <f>UPPER(Sheet1!K56 &amp; "," &amp; Sheet1!L56 &amp; "," &amp; Sheet1!M56)</f>
        <v>RAVIDASS MANDIR,VILLAGE SANGOHI P.O SANGOHA,KARNAL,PIN:132001,HARYANA,INDIA</v>
      </c>
      <c r="I56" s="8">
        <f>Sheet1!J56</f>
        <v>45895</v>
      </c>
      <c r="J56" s="5" t="str">
        <f>Sheet1!N56 &amp; "," &amp; TEXT(Sheet1!O56,"dd/mm/yy")</f>
        <v>202509059612,23/08/25</v>
      </c>
      <c r="K56" s="5" t="s">
        <v>5474</v>
      </c>
      <c r="L56" s="38" t="s">
        <v>15</v>
      </c>
      <c r="M56" s="38">
        <v>45925</v>
      </c>
      <c r="N56" s="38" t="s">
        <v>16</v>
      </c>
    </row>
    <row r="57" spans="1:14" x14ac:dyDescent="0.35">
      <c r="A57" s="4" t="str">
        <f>Sheet1!A57 &amp; "/" &amp; "2025"</f>
        <v>1455/2025</v>
      </c>
      <c r="B57" s="5" t="str">
        <f>Sheet1!E57</f>
        <v>AU2065659436525</v>
      </c>
      <c r="C57" s="6" t="str">
        <f>UPPER(Sheet1!B57)</f>
        <v>ZORAWAR SINGH DHILLON</v>
      </c>
      <c r="D57" s="7" t="str">
        <f>IF(Sheet1!F57="F","FEMALE","MALE")</f>
        <v>MALE</v>
      </c>
      <c r="E57" s="6" t="str">
        <f>UPPER(Sheet1!G57)</f>
        <v>SHARANDEEP SINGH DHILLON</v>
      </c>
      <c r="F57" s="6" t="str">
        <f>UPPER(Sheet1!H57)</f>
        <v>GURPREET KAUR </v>
      </c>
      <c r="G57" s="5" t="str">
        <f>TEXT(Sheet1!C57,"dd/mm/yyyy") &amp; "," &amp; Sheet1!D57</f>
        <v xml:space="preserve">27/05/2025,FRANKSTON, AUSTRALIA </v>
      </c>
      <c r="H57" s="57" t="str">
        <f>UPPER(Sheet1!K57 &amp; "," &amp; Sheet1!L57 &amp; "," &amp; Sheet1!M57)</f>
        <v>VPO GUDDARH DHANDI TEHSIL,GURU HARSAHAI,FEROZEPUR,PIN:152022,PUNJAB,INDIA</v>
      </c>
      <c r="I57" s="8">
        <f>Sheet1!J57</f>
        <v>45895</v>
      </c>
      <c r="J57" s="5" t="str">
        <f>Sheet1!N57 &amp; "," &amp; TEXT(Sheet1!O57,"dd/mm/yy")</f>
        <v>202509055801,08/08/25</v>
      </c>
      <c r="K57" s="5" t="s">
        <v>5474</v>
      </c>
      <c r="L57" s="38" t="s">
        <v>15</v>
      </c>
      <c r="M57" s="38">
        <v>45925</v>
      </c>
      <c r="N57" s="38" t="s">
        <v>16</v>
      </c>
    </row>
    <row r="58" spans="1:14" x14ac:dyDescent="0.35">
      <c r="A58" s="4" t="str">
        <f>Sheet1!A58 &amp; "/" &amp; "2025"</f>
        <v>1456/2025</v>
      </c>
      <c r="B58" s="5" t="str">
        <f>Sheet1!E58</f>
        <v>AU2065659438525</v>
      </c>
      <c r="C58" s="6" t="str">
        <f>UPPER(Sheet1!B58)</f>
        <v>ATHARV MUNIGALA</v>
      </c>
      <c r="D58" s="7" t="str">
        <f>IF(Sheet1!F58="F","FEMALE","MALE")</f>
        <v>MALE</v>
      </c>
      <c r="E58" s="6" t="str">
        <f>UPPER(Sheet1!G58)</f>
        <v>RAGHAVENDER MUNIGALA</v>
      </c>
      <c r="F58" s="6" t="str">
        <f>UPPER(Sheet1!H58)</f>
        <v>REDHIMA  GAMPA</v>
      </c>
      <c r="G58" s="5" t="str">
        <f>TEXT(Sheet1!C58,"dd/mm/yyyy") &amp; "," &amp; Sheet1!D58</f>
        <v xml:space="preserve">19/07/2025,ST ALBANS, AUSTRALIA  </v>
      </c>
      <c r="H58" s="57" t="str">
        <f>UPPER(Sheet1!K58 &amp; "," &amp; Sheet1!L58 &amp; "," &amp; Sheet1!M58)</f>
        <v>H-NO:15-68,RTC COLONY,POTHREDDIPALLE,MEDAK,SANGAREDDY,PIN:502295,TELANGANA,INDIA</v>
      </c>
      <c r="I58" s="8">
        <f>Sheet1!J58</f>
        <v>45895</v>
      </c>
      <c r="J58" s="5" t="str">
        <f>Sheet1!N58 &amp; "," &amp; TEXT(Sheet1!O58,"dd/mm/yy")</f>
        <v>202509056938,13/08/25</v>
      </c>
      <c r="K58" s="5" t="s">
        <v>5474</v>
      </c>
      <c r="L58" s="38" t="s">
        <v>15</v>
      </c>
      <c r="M58" s="38">
        <v>45925</v>
      </c>
      <c r="N58" s="38" t="s">
        <v>16</v>
      </c>
    </row>
    <row r="59" spans="1:14" x14ac:dyDescent="0.35">
      <c r="A59" s="4" t="str">
        <f>Sheet1!A59 &amp; "/" &amp; "2025"</f>
        <v>1457/2025</v>
      </c>
      <c r="B59" s="5" t="str">
        <f>Sheet1!E59</f>
        <v>AU2065659439925</v>
      </c>
      <c r="C59" s="6" t="str">
        <f>UPPER(Sheet1!B59)</f>
        <v>HAZEL SHARMA</v>
      </c>
      <c r="D59" s="7" t="str">
        <f>IF(Sheet1!F59="F","FEMALE","MALE")</f>
        <v>FEMALE</v>
      </c>
      <c r="E59" s="6" t="str">
        <f>UPPER(Sheet1!G59)</f>
        <v>PRINCE SHARMA</v>
      </c>
      <c r="F59" s="6" t="str">
        <f>UPPER(Sheet1!H59)</f>
        <v>PALLVI  BALI</v>
      </c>
      <c r="G59" s="5" t="str">
        <f>TEXT(Sheet1!C59,"dd/mm/yyyy") &amp; "," &amp; Sheet1!D59</f>
        <v xml:space="preserve">28/05/2025,ST ALBANS , AUSTRALIA </v>
      </c>
      <c r="H59" s="57" t="str">
        <f>UPPER(Sheet1!K59 &amp; "," &amp; Sheet1!L59 &amp; "," &amp; Sheet1!M59)</f>
        <v>SUBHASH NAGAR,WARD NO 16,GIDDERBAHA,SRI MUKTSAR SAHIB,PIN:152101,PUNJAB,INDIA</v>
      </c>
      <c r="I59" s="8">
        <f>Sheet1!J59</f>
        <v>45895</v>
      </c>
      <c r="J59" s="5" t="str">
        <f>Sheet1!N59 &amp; "," &amp; TEXT(Sheet1!O59,"dd/mm/yy")</f>
        <v>202509059708,24/08/25</v>
      </c>
      <c r="K59" s="5" t="s">
        <v>5474</v>
      </c>
      <c r="L59" s="38" t="s">
        <v>15</v>
      </c>
      <c r="M59" s="38">
        <v>45925</v>
      </c>
      <c r="N59" s="38" t="s">
        <v>16</v>
      </c>
    </row>
    <row r="60" spans="1:14" x14ac:dyDescent="0.35">
      <c r="A60" s="4" t="str">
        <f>Sheet1!A60 &amp; "/" &amp; "2025"</f>
        <v>1458/2025</v>
      </c>
      <c r="B60" s="5" t="str">
        <f>Sheet1!E60</f>
        <v>AU2065658123525</v>
      </c>
      <c r="C60" s="6" t="str">
        <f>UPPER(Sheet1!B60)</f>
        <v>RUDRA SHARMA</v>
      </c>
      <c r="D60" s="7" t="str">
        <f>IF(Sheet1!F60="F","FEMALE","MALE")</f>
        <v>MALE</v>
      </c>
      <c r="E60" s="6" t="str">
        <f>UPPER(Sheet1!G60)</f>
        <v>VARUN SHARMA</v>
      </c>
      <c r="F60" s="6" t="str">
        <f>UPPER(Sheet1!H60)</f>
        <v>SUNITA  MAKKAR</v>
      </c>
      <c r="G60" s="5" t="str">
        <f>TEXT(Sheet1!C60,"dd/mm/yyyy") &amp; "," &amp; Sheet1!D60</f>
        <v xml:space="preserve">09/05/2025,WERRIBEE, AUSTRALIA  </v>
      </c>
      <c r="H60" s="57" t="str">
        <f>UPPER(Sheet1!K60 &amp; "," &amp; Sheet1!L60 &amp; "," &amp; Sheet1!M60)</f>
        <v>4537 STREET NUMBER 3 SHIVAJI NAGAR,LUDHIANA,LUDHIANA,PIN:141008,PUNJAB,INDIA</v>
      </c>
      <c r="I60" s="8">
        <f>Sheet1!J60</f>
        <v>45894</v>
      </c>
      <c r="J60" s="5" t="str">
        <f>Sheet1!N60 &amp; "," &amp; TEXT(Sheet1!O60,"dd/mm/yy")</f>
        <v>202509050870,21/07/25</v>
      </c>
      <c r="K60" s="5" t="s">
        <v>5474</v>
      </c>
      <c r="L60" s="38" t="s">
        <v>15</v>
      </c>
      <c r="M60" s="38">
        <v>45925</v>
      </c>
      <c r="N60" s="38" t="s">
        <v>16</v>
      </c>
    </row>
    <row r="61" spans="1:14" x14ac:dyDescent="0.35">
      <c r="A61" s="4" t="str">
        <f>Sheet1!A61 &amp; "/" &amp; "2025"</f>
        <v>1459/2025</v>
      </c>
      <c r="B61" s="5" t="str">
        <f>Sheet1!E61</f>
        <v>AU2065658125125</v>
      </c>
      <c r="C61" s="6" t="str">
        <f>UPPER(Sheet1!B61)</f>
        <v>ARYAN JAVAJI</v>
      </c>
      <c r="D61" s="7" t="str">
        <f>IF(Sheet1!F61="F","FEMALE","MALE")</f>
        <v>MALE</v>
      </c>
      <c r="E61" s="6" t="str">
        <f>UPPER(Sheet1!G61)</f>
        <v>HEMANTH JAVAJI</v>
      </c>
      <c r="F61" s="6" t="str">
        <f>UPPER(Sheet1!H61)</f>
        <v>KEERTHI  YEDLA</v>
      </c>
      <c r="G61" s="5" t="str">
        <f>TEXT(Sheet1!C61,"dd/mm/yyyy") &amp; "," &amp; Sheet1!D61</f>
        <v xml:space="preserve">15/05/2025,HEIDELBERG , AUSTRALIA </v>
      </c>
      <c r="H61" s="57" t="str">
        <f>UPPER(Sheet1!K61 &amp; "," &amp; Sheet1!L61 &amp; "," &amp; Sheet1!M61)</f>
        <v>12-11-451,WARASIGUDA,HYDERABAD,PIN:500061,TELANGANA,INDIA</v>
      </c>
      <c r="I61" s="8">
        <f>Sheet1!J61</f>
        <v>45894</v>
      </c>
      <c r="J61" s="5" t="str">
        <f>Sheet1!N61 &amp; "," &amp; TEXT(Sheet1!O61,"dd/mm/yy")</f>
        <v>202509053653,31/07/25</v>
      </c>
      <c r="K61" s="5" t="s">
        <v>5474</v>
      </c>
      <c r="L61" s="38" t="s">
        <v>15</v>
      </c>
      <c r="M61" s="38">
        <v>45925</v>
      </c>
      <c r="N61" s="38" t="s">
        <v>16</v>
      </c>
    </row>
    <row r="62" spans="1:14" x14ac:dyDescent="0.35">
      <c r="A62" s="4" t="str">
        <f>Sheet1!A62 &amp; "/" &amp; "2025"</f>
        <v>1460/2025</v>
      </c>
      <c r="B62" s="5" t="str">
        <f>Sheet1!E62</f>
        <v>AU2065658130925</v>
      </c>
      <c r="C62" s="6" t="str">
        <f>UPPER(Sheet1!B62)</f>
        <v>JOSEPH BINTO</v>
      </c>
      <c r="D62" s="7" t="str">
        <f>IF(Sheet1!F62="F","FEMALE","MALE")</f>
        <v>MALE</v>
      </c>
      <c r="E62" s="6" t="str">
        <f>UPPER(Sheet1!G62)</f>
        <v>BINTO JACOB</v>
      </c>
      <c r="F62" s="6" t="str">
        <f>UPPER(Sheet1!H62)</f>
        <v>RIYA MARY  MATHEW</v>
      </c>
      <c r="G62" s="5" t="str">
        <f>TEXT(Sheet1!C62,"dd/mm/yyyy") &amp; "," &amp; Sheet1!D62</f>
        <v xml:space="preserve">28/07/2025,CLAYTON , AUSTRALIA  </v>
      </c>
      <c r="H62" s="57" t="str">
        <f>UPPER(Sheet1!K62 &amp; "," &amp; Sheet1!L62 &amp; "," &amp; Sheet1!M62)</f>
        <v>588(11/215) KUZHIKKATTIL HOUSE,KALAMPOOR PO PIRAVOM,ERNAKULAM,PIN:686664,KERALA,INDIA</v>
      </c>
      <c r="I62" s="8">
        <f>Sheet1!J62</f>
        <v>45894</v>
      </c>
      <c r="J62" s="5" t="str">
        <f>Sheet1!N62 &amp; "," &amp; TEXT(Sheet1!O62,"dd/mm/yy")</f>
        <v>202509058271,19/08/25</v>
      </c>
      <c r="K62" s="5" t="s">
        <v>5474</v>
      </c>
      <c r="L62" s="38" t="s">
        <v>15</v>
      </c>
      <c r="M62" s="38">
        <v>45925</v>
      </c>
      <c r="N62" s="38" t="s">
        <v>16</v>
      </c>
    </row>
    <row r="63" spans="1:14" x14ac:dyDescent="0.35">
      <c r="A63" s="4" t="str">
        <f>Sheet1!A63 &amp; "/" &amp; "2025"</f>
        <v>1461/2025</v>
      </c>
      <c r="B63" s="5" t="str">
        <f>Sheet1!E63</f>
        <v>AU2065658133925</v>
      </c>
      <c r="C63" s="6" t="str">
        <f>UPPER(Sheet1!B63)</f>
        <v>PHILIP BINTO</v>
      </c>
      <c r="D63" s="7" t="str">
        <f>IF(Sheet1!F63="F","FEMALE","MALE")</f>
        <v>MALE</v>
      </c>
      <c r="E63" s="6" t="str">
        <f>UPPER(Sheet1!G63)</f>
        <v>BINTO JACOB</v>
      </c>
      <c r="F63" s="6" t="str">
        <f>UPPER(Sheet1!H63)</f>
        <v>RIYA MARY  MATHEW</v>
      </c>
      <c r="G63" s="5" t="str">
        <f>TEXT(Sheet1!C63,"dd/mm/yyyy") &amp; "," &amp; Sheet1!D63</f>
        <v xml:space="preserve">28/07/2025,CLAYTON , AUSTRALIA  </v>
      </c>
      <c r="H63" s="57" t="str">
        <f>UPPER(Sheet1!K63 &amp; "," &amp; Sheet1!L63 &amp; "," &amp; Sheet1!M63)</f>
        <v>588(11/215) KUZHIKKATTIL HOUSE,KALAMPOOR PO PIRAVOM,ERNAKULAM,PIN:686664,KERALA,INDIA</v>
      </c>
      <c r="I63" s="8">
        <f>Sheet1!J63</f>
        <v>45894</v>
      </c>
      <c r="J63" s="5" t="str">
        <f>Sheet1!N63 &amp; "," &amp; TEXT(Sheet1!O63,"dd/mm/yy")</f>
        <v>202509058272,19/08/25</v>
      </c>
      <c r="K63" s="5" t="s">
        <v>5474</v>
      </c>
      <c r="L63" s="38" t="s">
        <v>15</v>
      </c>
      <c r="M63" s="38">
        <v>45925</v>
      </c>
      <c r="N63" s="38" t="s">
        <v>16</v>
      </c>
    </row>
    <row r="64" spans="1:14" x14ac:dyDescent="0.35">
      <c r="A64" s="4" t="str">
        <f>Sheet1!A64 &amp; "/" &amp; "2025"</f>
        <v>1462/2025</v>
      </c>
      <c r="B64" s="5" t="str">
        <f>Sheet1!E64</f>
        <v>AU2065658139125</v>
      </c>
      <c r="C64" s="6" t="str">
        <f>UPPER(Sheet1!B64)</f>
        <v>VAIRIN MADAAN</v>
      </c>
      <c r="D64" s="7" t="str">
        <f>IF(Sheet1!F64="F","FEMALE","MALE")</f>
        <v>MALE</v>
      </c>
      <c r="E64" s="6" t="str">
        <f>UPPER(Sheet1!G64)</f>
        <v>NITIN MADAAN</v>
      </c>
      <c r="F64" s="6" t="str">
        <f>UPPER(Sheet1!H64)</f>
        <v>DEEPIKA MADAAN </v>
      </c>
      <c r="G64" s="5" t="str">
        <f>TEXT(Sheet1!C64,"dd/mm/yyyy") &amp; "," &amp; Sheet1!D64</f>
        <v xml:space="preserve">30/04/2025,BERWICK , AUSTRALIA  </v>
      </c>
      <c r="H64" s="57" t="str">
        <f>UPPER(Sheet1!K64 &amp; "," &amp; Sheet1!L64 &amp; "," &amp; Sheet1!M64)</f>
        <v>D2/A,50C,JANAKPURI,DELHI,PIN:110058,DELHI,INDIA</v>
      </c>
      <c r="I64" s="8">
        <f>Sheet1!J64</f>
        <v>45894</v>
      </c>
      <c r="J64" s="5" t="str">
        <f>Sheet1!N64 &amp; "," &amp; TEXT(Sheet1!O64,"dd/mm/yy")</f>
        <v>202509049566,16/07/25</v>
      </c>
      <c r="K64" s="5" t="s">
        <v>5474</v>
      </c>
      <c r="L64" s="38" t="s">
        <v>15</v>
      </c>
      <c r="M64" s="38">
        <v>45925</v>
      </c>
      <c r="N64" s="38" t="s">
        <v>16</v>
      </c>
    </row>
    <row r="65" spans="1:14" x14ac:dyDescent="0.35">
      <c r="A65" s="4" t="str">
        <f>Sheet1!A65 &amp; "/" &amp; "2025"</f>
        <v>1463/2025</v>
      </c>
      <c r="B65" s="5" t="str">
        <f>Sheet1!E65</f>
        <v>AU2065658140125</v>
      </c>
      <c r="C65" s="6" t="str">
        <f>UPPER(Sheet1!B65)</f>
        <v>NAYRA HARSH PATEL</v>
      </c>
      <c r="D65" s="7" t="str">
        <f>IF(Sheet1!F65="F","FEMALE","MALE")</f>
        <v>FEMALE</v>
      </c>
      <c r="E65" s="6" t="str">
        <f>UPPER(Sheet1!G65)</f>
        <v>HARSH KIRTIBHAI PATEL</v>
      </c>
      <c r="F65" s="6" t="str">
        <f>UPPER(Sheet1!H65)</f>
        <v>ROMA HARSH  PATEL</v>
      </c>
      <c r="G65" s="5" t="str">
        <f>TEXT(Sheet1!C65,"dd/mm/yyyy") &amp; "," &amp; Sheet1!D65</f>
        <v>17/04/2025,MOUNT WAVERLEY, AUSTRALIA</v>
      </c>
      <c r="H65" s="57" t="str">
        <f>UPPER(Sheet1!K65 &amp; "," &amp; Sheet1!L65 &amp; "," &amp; Sheet1!M65)</f>
        <v>A/7 SAROVAR ANEXEE OPP ICHHABEN VADI,KANKARIA MANINAGAR,AHMEDABAD,PIN:380008,GUJARAT,INDIA</v>
      </c>
      <c r="I65" s="8">
        <f>Sheet1!J65</f>
        <v>45894</v>
      </c>
      <c r="J65" s="5" t="str">
        <f>Sheet1!N65 &amp; "," &amp; TEXT(Sheet1!O65,"dd/mm/yy")</f>
        <v>202509059240,22/08/25</v>
      </c>
      <c r="K65" s="5" t="s">
        <v>5474</v>
      </c>
      <c r="L65" s="38" t="s">
        <v>15</v>
      </c>
      <c r="M65" s="38">
        <v>45925</v>
      </c>
      <c r="N65" s="38" t="s">
        <v>16</v>
      </c>
    </row>
    <row r="66" spans="1:14" x14ac:dyDescent="0.35">
      <c r="A66" s="4" t="str">
        <f>Sheet1!A66 &amp; "/" &amp; "2025"</f>
        <v>1464/2025</v>
      </c>
      <c r="B66" s="5" t="str">
        <f>Sheet1!E66</f>
        <v>AU2065658137125</v>
      </c>
      <c r="C66" s="6" t="str">
        <f>UPPER(Sheet1!B66)</f>
        <v>BALA GUHAN PRABU</v>
      </c>
      <c r="D66" s="7" t="str">
        <f>IF(Sheet1!F66="F","FEMALE","MALE")</f>
        <v>MALE</v>
      </c>
      <c r="E66" s="6" t="str">
        <f>UPPER(Sheet1!G66)</f>
        <v>PRABU THANGARASU</v>
      </c>
      <c r="F66" s="6" t="str">
        <f>UPPER(Sheet1!H66)</f>
        <v>SARAVANA PRIYA  RAVICHANDRAN</v>
      </c>
      <c r="G66" s="5" t="str">
        <f>TEXT(Sheet1!C66,"dd/mm/yyyy") &amp; "," &amp; Sheet1!D66</f>
        <v xml:space="preserve">01/07/2025,PARKVILLE , AUSTRALIA  </v>
      </c>
      <c r="H66" s="57" t="str">
        <f>UPPER(Sheet1!K66 &amp; "," &amp; Sheet1!L66 &amp; "," &amp; Sheet1!M66)</f>
        <v>1/233,AMMAN KOVIL STREET,POTTANAM,NAMAKKAL,PIN:637409,TAMIL NADU,INDIA</v>
      </c>
      <c r="I66" s="8">
        <f>Sheet1!J66</f>
        <v>45894</v>
      </c>
      <c r="J66" s="5" t="str">
        <f>Sheet1!N66 &amp; "," &amp; TEXT(Sheet1!O66,"dd/mm/yy")</f>
        <v>202509057797,17/08/25</v>
      </c>
      <c r="K66" s="5" t="s">
        <v>5474</v>
      </c>
      <c r="L66" s="38" t="s">
        <v>15</v>
      </c>
      <c r="M66" s="38">
        <v>45925</v>
      </c>
      <c r="N66" s="38" t="s">
        <v>16</v>
      </c>
    </row>
    <row r="67" spans="1:14" x14ac:dyDescent="0.35">
      <c r="A67" s="4" t="str">
        <f>Sheet1!A67 &amp; "/" &amp; "2025"</f>
        <v>1465/2025</v>
      </c>
      <c r="B67" s="5" t="str">
        <f>Sheet1!E67</f>
        <v xml:space="preserve">AU2EC5672709525 </v>
      </c>
      <c r="C67" s="6" t="str">
        <f>UPPER(Sheet1!B67)</f>
        <v xml:space="preserve">OJAS MOKSH REDDY BORAMPETA  </v>
      </c>
      <c r="D67" s="7" t="str">
        <f>IF(Sheet1!F67="F","FEMALE","MALE")</f>
        <v>MALE</v>
      </c>
      <c r="E67" s="6" t="str">
        <f>UPPER(Sheet1!G67)</f>
        <v xml:space="preserve">NISHANTH REDDY BORAMPETA  </v>
      </c>
      <c r="F67" s="6" t="str">
        <f>UPPER(Sheet1!H67)</f>
        <v xml:space="preserve">NAGA DIVYA DEVI KALIDINDI  </v>
      </c>
      <c r="G67" s="5" t="str">
        <f>TEXT(Sheet1!C67,"dd/mm/yyyy") &amp; "," &amp; Sheet1!D67</f>
        <v xml:space="preserve">01/07/2025,PARKVILLE , AUSTRALIA  </v>
      </c>
      <c r="H67" s="57" t="str">
        <f>UPPER(Sheet1!K67 &amp; "," &amp; Sheet1!L67 &amp; "," &amp; Sheet1!M67)</f>
        <v xml:space="preserve">1-1-54/54 SUBRAHMANYA NAGAR COLONY, KAPRA ,ECIL POST, RACHAKONDA-MEDCHAL ,TELANGANA - 500062, INDIA  </v>
      </c>
      <c r="I67" s="8">
        <f>Sheet1!J67</f>
        <v>45910</v>
      </c>
      <c r="J67" s="5" t="str">
        <f>Sheet1!N67 &amp; "," &amp; TEXT(Sheet1!O67,"dd/mm/yy")</f>
        <v>202509063942,10/09/25</v>
      </c>
      <c r="K67" s="5" t="s">
        <v>5474</v>
      </c>
      <c r="L67" s="38" t="s">
        <v>15</v>
      </c>
      <c r="M67" s="38">
        <v>45925</v>
      </c>
      <c r="N67" s="38" t="s">
        <v>16</v>
      </c>
    </row>
    <row r="68" spans="1:14" x14ac:dyDescent="0.35">
      <c r="A68" s="4" t="str">
        <f>Sheet1!A68 &amp; "/" &amp; "2025"</f>
        <v>1466/2025</v>
      </c>
      <c r="B68" s="5" t="str">
        <f>Sheet1!E68</f>
        <v>AU2065655248325</v>
      </c>
      <c r="C68" s="6" t="str">
        <f>UPPER(Sheet1!B68)</f>
        <v>VEER SHAH</v>
      </c>
      <c r="D68" s="7" t="str">
        <f>IF(Sheet1!F68="F","FEMALE","MALE")</f>
        <v>MALE</v>
      </c>
      <c r="E68" s="6" t="str">
        <f>UPPER(Sheet1!G68)</f>
        <v>SAGARKUMAR NATWARLAL SHAH</v>
      </c>
      <c r="F68" s="6" t="str">
        <f>UPPER(Sheet1!H68)</f>
        <v>ARPITABEN SAGARKUMAR SHAH </v>
      </c>
      <c r="G68" s="5" t="str">
        <f>TEXT(Sheet1!C68,"dd/mm/yyyy") &amp; "," &amp; Sheet1!D68</f>
        <v>02/01/2025,GEELONG, AUSTRALIA</v>
      </c>
      <c r="H68" s="57" t="str">
        <f>UPPER(Sheet1!K68 &amp; "," &amp; Sheet1!L68 &amp; "," &amp; Sheet1!M68)</f>
        <v>G-502,SATATYA AVENUE,NEW RANIP,AHMEDABAD,PIN:382480,GUJARAT,INDIA</v>
      </c>
      <c r="I68" s="8">
        <f>Sheet1!J68</f>
        <v>45890</v>
      </c>
      <c r="J68" s="5" t="str">
        <f>Sheet1!N68 &amp; "," &amp; TEXT(Sheet1!O68,"dd/mm/yy")</f>
        <v>202509057525,15/08/25</v>
      </c>
      <c r="K68" s="5" t="s">
        <v>5474</v>
      </c>
      <c r="L68" s="38" t="s">
        <v>15</v>
      </c>
      <c r="M68" s="38">
        <v>45925</v>
      </c>
      <c r="N68" s="38" t="s">
        <v>16</v>
      </c>
    </row>
    <row r="69" spans="1:14" x14ac:dyDescent="0.35">
      <c r="A69" s="4" t="str">
        <f>Sheet1!A69 &amp; "/" &amp; "2025"</f>
        <v>1467/2025</v>
      </c>
      <c r="B69" s="5" t="str">
        <f>Sheet1!E69</f>
        <v>AU2065655248525</v>
      </c>
      <c r="C69" s="6" t="str">
        <f>UPPER(Sheet1!B69)</f>
        <v>YUVIN TOMAR</v>
      </c>
      <c r="D69" s="7" t="str">
        <f>IF(Sheet1!F69="F","FEMALE","MALE")</f>
        <v>MALE</v>
      </c>
      <c r="E69" s="6" t="str">
        <f>UPPER(Sheet1!G69)</f>
        <v>NIKHIL TOMAR</v>
      </c>
      <c r="F69" s="6" t="str">
        <f>UPPER(Sheet1!H69)</f>
        <v>KIRAN</v>
      </c>
      <c r="G69" s="5" t="str">
        <f>TEXT(Sheet1!C69,"dd/mm/yyyy") &amp; "," &amp; Sheet1!D69</f>
        <v>14/06/2025,CLAYTON, AUSTRALIA</v>
      </c>
      <c r="H69" s="57" t="str">
        <f>UPPER(Sheet1!K69 &amp; "," &amp; Sheet1!L69 &amp; "," &amp; Sheet1!M69)</f>
        <v>HOUSE NO 245,GALI NO 5,VASANT VIHAR ,KARNAL,KARNAL,PIN:132001,HARYANA,INDIA</v>
      </c>
      <c r="I69" s="8">
        <f>Sheet1!J69</f>
        <v>45890</v>
      </c>
      <c r="J69" s="5" t="str">
        <f>Sheet1!N69 &amp; "," &amp; TEXT(Sheet1!O69,"dd/mm/yy")</f>
        <v>202509057209,14/08/25</v>
      </c>
      <c r="K69" s="5" t="s">
        <v>5474</v>
      </c>
      <c r="L69" s="38" t="s">
        <v>15</v>
      </c>
      <c r="M69" s="38">
        <v>45925</v>
      </c>
      <c r="N69" s="38" t="s">
        <v>16</v>
      </c>
    </row>
    <row r="70" spans="1:14" x14ac:dyDescent="0.35">
      <c r="A70" s="4" t="str">
        <f>Sheet1!A70 &amp; "/" &amp; "2025"</f>
        <v>1468/2025</v>
      </c>
      <c r="B70" s="5" t="str">
        <f>Sheet1!E70</f>
        <v>AU2065655248925</v>
      </c>
      <c r="C70" s="6" t="str">
        <f>UPPER(Sheet1!B70)</f>
        <v>VAMIKA NAYAK DARAVATH</v>
      </c>
      <c r="D70" s="7" t="str">
        <f>IF(Sheet1!F70="F","FEMALE","MALE")</f>
        <v>FEMALE</v>
      </c>
      <c r="E70" s="6" t="str">
        <f>UPPER(Sheet1!G70)</f>
        <v>SHEKAR NAYAK DARAVATH</v>
      </c>
      <c r="F70" s="6" t="str">
        <f>UPPER(Sheet1!H70)</f>
        <v>DIVYA BHARATHI NAIK DARAVATH</v>
      </c>
      <c r="G70" s="5" t="str">
        <f>TEXT(Sheet1!C70,"dd/mm/yyyy") &amp; "," &amp; Sheet1!D70</f>
        <v>27/04/2025,BACCHUS MARSH, AUSTRALIA</v>
      </c>
      <c r="H70" s="57" t="str">
        <f>UPPER(Sheet1!K70 &amp; "," &amp; Sheet1!L70 &amp; "," &amp; Sheet1!M70)</f>
        <v>1-1/13/4/F/2/1 VIDHYA NAGAR,BHEEMGAL,NIZAMABAD,PIN:503307,TELANGANA,INDIA</v>
      </c>
      <c r="I70" s="8">
        <f>Sheet1!J70</f>
        <v>45890</v>
      </c>
      <c r="J70" s="5" t="str">
        <f>Sheet1!N70 &amp; "," &amp; TEXT(Sheet1!O70,"dd/mm/yy")</f>
        <v>202509053095,29/07/25</v>
      </c>
      <c r="K70" s="5" t="s">
        <v>5474</v>
      </c>
      <c r="L70" s="38" t="s">
        <v>15</v>
      </c>
      <c r="M70" s="38">
        <v>45925</v>
      </c>
      <c r="N70" s="38" t="s">
        <v>16</v>
      </c>
    </row>
    <row r="71" spans="1:14" x14ac:dyDescent="0.35">
      <c r="A71" s="4" t="str">
        <f>Sheet1!A71 &amp; "/" &amp; "2025"</f>
        <v>1469/2025</v>
      </c>
      <c r="B71" s="5" t="str">
        <f>Sheet1!E71</f>
        <v>AU2065655249525</v>
      </c>
      <c r="C71" s="6" t="str">
        <f>UPPER(Sheet1!B71)</f>
        <v>WARIS SINGH SANDHU</v>
      </c>
      <c r="D71" s="7" t="str">
        <f>IF(Sheet1!F71="F","FEMALE","MALE")</f>
        <v>MALE</v>
      </c>
      <c r="E71" s="6" t="str">
        <f>UPPER(Sheet1!G71)</f>
        <v>RAJWINDER SINGH SANDHU </v>
      </c>
      <c r="F71" s="6" t="str">
        <f>UPPER(Sheet1!H71)</f>
        <v>RAJDEEP KAUR</v>
      </c>
      <c r="G71" s="5" t="str">
        <f>TEXT(Sheet1!C71,"dd/mm/yyyy") &amp; "," &amp; Sheet1!D71</f>
        <v>30/04/2025,CLAYTON, AUSTRALIA </v>
      </c>
      <c r="H71" s="57" t="str">
        <f>UPPER(Sheet1!K71 &amp; "," &amp; Sheet1!L71 &amp; "," &amp; Sheet1!M71)</f>
        <v>NEAR WATER BOX TANK,KAMIANA,FARIDKOT,PIN:151203,PUNJAB,INDIA</v>
      </c>
      <c r="I71" s="8">
        <f>Sheet1!J71</f>
        <v>45890</v>
      </c>
      <c r="J71" s="5" t="str">
        <f>Sheet1!N71 &amp; "," &amp; TEXT(Sheet1!O71,"dd/mm/yy")</f>
        <v>202509045018,29/06/25</v>
      </c>
      <c r="K71" s="5" t="s">
        <v>5474</v>
      </c>
      <c r="L71" s="38" t="s">
        <v>15</v>
      </c>
      <c r="M71" s="38">
        <v>45925</v>
      </c>
      <c r="N71" s="38" t="s">
        <v>16</v>
      </c>
    </row>
    <row r="72" spans="1:14" x14ac:dyDescent="0.35">
      <c r="A72" s="4" t="str">
        <f>Sheet1!A72 &amp; "/" &amp; "2025"</f>
        <v>1470/2025</v>
      </c>
      <c r="B72" s="5" t="str">
        <f>Sheet1!E72</f>
        <v>AU2065655250325</v>
      </c>
      <c r="C72" s="6" t="str">
        <f>UPPER(Sheet1!B72)</f>
        <v>GURASEES KAUR</v>
      </c>
      <c r="D72" s="7" t="str">
        <f>IF(Sheet1!F72="F","FEMALE","MALE")</f>
        <v>FEMALE</v>
      </c>
      <c r="E72" s="6" t="str">
        <f>UPPER(Sheet1!G72)</f>
        <v>MALKEET SINGH</v>
      </c>
      <c r="F72" s="6" t="str">
        <f>UPPER(Sheet1!H72)</f>
        <v>MANDEEP KAUR</v>
      </c>
      <c r="G72" s="5" t="str">
        <f>TEXT(Sheet1!C72,"dd/mm/yyyy") &amp; "," &amp; Sheet1!D72</f>
        <v>03/07/2025,BERWICK, AUSTRALIA</v>
      </c>
      <c r="H72" s="57" t="str">
        <f>UPPER(Sheet1!K72 &amp; "," &amp; Sheet1!L72 &amp; "," &amp; Sheet1!M72)</f>
        <v>V.P.O LADHEWAL,TEH AND DISTT,AMRITSAR,PIN:143107,PUNJAB,INDIA</v>
      </c>
      <c r="I72" s="8">
        <f>Sheet1!J72</f>
        <v>45890</v>
      </c>
      <c r="J72" s="5" t="str">
        <f>Sheet1!N72 &amp; "," &amp; TEXT(Sheet1!O72,"dd/mm/yy")</f>
        <v>202509057521,15/08/25</v>
      </c>
      <c r="K72" s="5" t="s">
        <v>5474</v>
      </c>
      <c r="L72" s="38" t="s">
        <v>15</v>
      </c>
      <c r="M72" s="38">
        <v>45925</v>
      </c>
      <c r="N72" s="38" t="s">
        <v>16</v>
      </c>
    </row>
    <row r="73" spans="1:14" x14ac:dyDescent="0.35">
      <c r="A73" s="4" t="str">
        <f>Sheet1!A73 &amp; "/" &amp; "2025"</f>
        <v>1471/2025</v>
      </c>
      <c r="B73" s="5" t="str">
        <f>Sheet1!E73</f>
        <v>AU2065655250725</v>
      </c>
      <c r="C73" s="6" t="str">
        <f>UPPER(Sheet1!B73)</f>
        <v>VYOM JAIMINKUMAR PATEL</v>
      </c>
      <c r="D73" s="7" t="str">
        <f>IF(Sheet1!F73="F","FEMALE","MALE")</f>
        <v>MALE</v>
      </c>
      <c r="E73" s="6" t="str">
        <f>UPPER(Sheet1!G73)</f>
        <v>JAIMINKUMAR KANUBHAI PATEL</v>
      </c>
      <c r="F73" s="6" t="str">
        <f>UPPER(Sheet1!H73)</f>
        <v>KOMALBAHEN JAIMINKUMAR PATEL</v>
      </c>
      <c r="G73" s="5" t="str">
        <f>TEXT(Sheet1!C73,"dd/mm/yyyy") &amp; "," &amp; Sheet1!D73</f>
        <v>21/07/2025 ,BERWICK, AUSTRALIA</v>
      </c>
      <c r="H73" s="57" t="str">
        <f>UPPER(Sheet1!K73 &amp; "," &amp; Sheet1!L73 &amp; "," &amp; Sheet1!M73)</f>
        <v>D1-104,FORTUNE AMPIRE,BORISANA ROAD,KALOL,GANDHINAGAR,PIN:382721,GUJARAT,INDIA</v>
      </c>
      <c r="I73" s="8">
        <f>Sheet1!J73</f>
        <v>45890</v>
      </c>
      <c r="J73" s="5" t="str">
        <f>Sheet1!N73 &amp; "," &amp; TEXT(Sheet1!O73,"dd/mm/yy")</f>
        <v>202509056059,09/08/25</v>
      </c>
      <c r="K73" s="5" t="s">
        <v>5474</v>
      </c>
      <c r="L73" s="38" t="s">
        <v>15</v>
      </c>
      <c r="M73" s="38">
        <v>45925</v>
      </c>
      <c r="N73" s="38" t="s">
        <v>16</v>
      </c>
    </row>
    <row r="74" spans="1:14" x14ac:dyDescent="0.35">
      <c r="A74" s="4" t="str">
        <f>Sheet1!A74 &amp; "/" &amp; "2025"</f>
        <v>1472/2025</v>
      </c>
      <c r="B74" s="5" t="str">
        <f>Sheet1!E74</f>
        <v>AU2065655251525</v>
      </c>
      <c r="C74" s="6" t="str">
        <f>UPPER(Sheet1!B74)</f>
        <v>ZORAWAR SINGH SUBEDAR</v>
      </c>
      <c r="D74" s="7" t="str">
        <f>IF(Sheet1!F74="F","FEMALE","MALE")</f>
        <v>MALE</v>
      </c>
      <c r="E74" s="6" t="str">
        <f>UPPER(Sheet1!G74)</f>
        <v>PARDEEP SINGH</v>
      </c>
      <c r="F74" s="6" t="str">
        <f>UPPER(Sheet1!H74)</f>
        <v>TALJINDER KAUR</v>
      </c>
      <c r="G74" s="5" t="str">
        <f>TEXT(Sheet1!C74,"dd/mm/yyyy") &amp; "," &amp; Sheet1!D74</f>
        <v>19/03/2025,CANBERRA ACT, AUSTRALIA</v>
      </c>
      <c r="H74" s="57" t="str">
        <f>UPPER(Sheet1!K74 &amp; "," &amp; Sheet1!L74 &amp; "," &amp; Sheet1!M74)</f>
        <v>VILL JATI MAJRA,PO HIMTANA TEH DHURI DISTT,SANGRUR,PIN:148023,PUNJAB,INDIA</v>
      </c>
      <c r="I74" s="8">
        <f>Sheet1!J74</f>
        <v>45890</v>
      </c>
      <c r="J74" s="5" t="str">
        <f>Sheet1!N74 &amp; "," &amp; TEXT(Sheet1!O74,"dd/mm/yy")</f>
        <v>202509057403,14/08/25</v>
      </c>
      <c r="K74" s="5" t="s">
        <v>5474</v>
      </c>
      <c r="L74" s="38" t="s">
        <v>15</v>
      </c>
      <c r="M74" s="38">
        <v>45925</v>
      </c>
      <c r="N74" s="38" t="s">
        <v>16</v>
      </c>
    </row>
    <row r="75" spans="1:14" x14ac:dyDescent="0.35">
      <c r="A75" s="4" t="str">
        <f>Sheet1!A75 &amp; "/" &amp; "2025"</f>
        <v>1473/2025</v>
      </c>
      <c r="B75" s="5" t="str">
        <f>Sheet1!E75</f>
        <v>AU2065656456925</v>
      </c>
      <c r="C75" s="6" t="str">
        <f>UPPER(Sheet1!B75)</f>
        <v>SARAH MARIAM RICHY</v>
      </c>
      <c r="D75" s="7" t="str">
        <f>IF(Sheet1!F75="F","FEMALE","MALE")</f>
        <v>FEMALE</v>
      </c>
      <c r="E75" s="6" t="str">
        <f>UPPER(Sheet1!G75)</f>
        <v>RICHY ALEX MATHEW</v>
      </c>
      <c r="F75" s="6" t="str">
        <f>UPPER(Sheet1!H75)</f>
        <v>CHRISTINA MATHEWS</v>
      </c>
      <c r="G75" s="5" t="str">
        <f>TEXT(Sheet1!C75,"dd/mm/yyyy") &amp; "," &amp; Sheet1!D75</f>
        <v>13/12/2024,HOBART, AUSTRALIA</v>
      </c>
      <c r="H75" s="57" t="str">
        <f>UPPER(Sheet1!K75 &amp; "," &amp; Sheet1!L75 &amp; "," &amp; Sheet1!M75)</f>
        <v>CHEERAMATTATHU HOUSE,PUNNAVELI PO,MULAYAMVELI,NEDUMKUNNAM,KOTTAYAM,PIN:689589,KERALA,INDIA</v>
      </c>
      <c r="I75" s="8">
        <f>Sheet1!J75</f>
        <v>45891</v>
      </c>
      <c r="J75" s="5" t="str">
        <f>Sheet1!N75 &amp; "," &amp; TEXT(Sheet1!O75,"dd/mm/yy")</f>
        <v>202509054889,05/08/25</v>
      </c>
      <c r="K75" s="5" t="s">
        <v>5474</v>
      </c>
      <c r="L75" s="38" t="s">
        <v>15</v>
      </c>
      <c r="M75" s="38">
        <v>45925</v>
      </c>
      <c r="N75" s="38" t="s">
        <v>16</v>
      </c>
    </row>
    <row r="76" spans="1:14" x14ac:dyDescent="0.35">
      <c r="A76" s="4" t="str">
        <f>Sheet1!A76 &amp; "/" &amp; "2025"</f>
        <v>1474/2025</v>
      </c>
      <c r="B76" s="5" t="str">
        <f>Sheet1!E76</f>
        <v>AU2065656457125</v>
      </c>
      <c r="C76" s="6" t="str">
        <f>UPPER(Sheet1!B76)</f>
        <v>PAVIT KAUR SANDHU</v>
      </c>
      <c r="D76" s="7" t="str">
        <f>IF(Sheet1!F76="F","FEMALE","MALE")</f>
        <v>FEMALE</v>
      </c>
      <c r="E76" s="6" t="str">
        <f>UPPER(Sheet1!G76)</f>
        <v>ARPANDEEP SINGH SANDHU</v>
      </c>
      <c r="F76" s="6" t="str">
        <f>UPPER(Sheet1!H76)</f>
        <v>NAVJOT KAUR SANDHU </v>
      </c>
      <c r="G76" s="5" t="str">
        <f>TEXT(Sheet1!C76,"dd/mm/yyyy") &amp; "," &amp; Sheet1!D76</f>
        <v>30/05/2025 ,WERRIBEE, AUSTRALIA</v>
      </c>
      <c r="H76" s="57" t="str">
        <f>UPPER(Sheet1!K76 &amp; "," &amp; Sheet1!L76 &amp; "," &amp; Sheet1!M76)</f>
        <v>VILL MAUJGARH,PO KAILA,MOGA,PIN:142042,PUNJAB,INDIA</v>
      </c>
      <c r="I76" s="8">
        <f>Sheet1!J76</f>
        <v>45891</v>
      </c>
      <c r="J76" s="5" t="str">
        <f>Sheet1!N76 &amp; "," &amp; TEXT(Sheet1!O76,"dd/mm/yy")</f>
        <v>202509055178,06/08/25</v>
      </c>
      <c r="K76" s="5" t="s">
        <v>5474</v>
      </c>
      <c r="L76" s="38" t="s">
        <v>15</v>
      </c>
      <c r="M76" s="38">
        <v>45925</v>
      </c>
      <c r="N76" s="38" t="s">
        <v>16</v>
      </c>
    </row>
    <row r="77" spans="1:14" x14ac:dyDescent="0.35">
      <c r="A77" s="4" t="str">
        <f>Sheet1!A77 &amp; "/" &amp; "2025"</f>
        <v>1475/2025</v>
      </c>
      <c r="B77" s="5" t="str">
        <f>Sheet1!E77</f>
        <v>AU2065656457325</v>
      </c>
      <c r="C77" s="6" t="str">
        <f>UPPER(Sheet1!B77)</f>
        <v>RAUNAK KAUR</v>
      </c>
      <c r="D77" s="7" t="str">
        <f>IF(Sheet1!F77="F","FEMALE","MALE")</f>
        <v>FEMALE</v>
      </c>
      <c r="E77" s="6" t="str">
        <f>UPPER(Sheet1!G77)</f>
        <v>PARAMJEET SINGH </v>
      </c>
      <c r="F77" s="6" t="str">
        <f>UPPER(Sheet1!H77)</f>
        <v>PARMINDER KAUR</v>
      </c>
      <c r="G77" s="5" t="str">
        <f>TEXT(Sheet1!C77,"dd/mm/yyyy") &amp; "," &amp; Sheet1!D77</f>
        <v>27/05/2025,FRANKSTON, AUSTRALIA</v>
      </c>
      <c r="H77" s="57" t="str">
        <f>UPPER(Sheet1!K77 &amp; "," &amp; Sheet1!L77 &amp; "," &amp; Sheet1!M77)</f>
        <v>VPO KHAIRA,TEHSIL PHILLAUR,JALANDHAR,PIN:144410,PUNJAB,INDIA</v>
      </c>
      <c r="I77" s="8">
        <f>Sheet1!J77</f>
        <v>45891</v>
      </c>
      <c r="J77" s="5" t="str">
        <f>Sheet1!N77 &amp; "," &amp; TEXT(Sheet1!O77,"dd/mm/yy")</f>
        <v>202509049235,15/07/25</v>
      </c>
      <c r="K77" s="5" t="s">
        <v>5474</v>
      </c>
      <c r="L77" s="38" t="s">
        <v>15</v>
      </c>
      <c r="M77" s="38">
        <v>45925</v>
      </c>
      <c r="N77" s="38" t="s">
        <v>16</v>
      </c>
    </row>
    <row r="78" spans="1:14" x14ac:dyDescent="0.35">
      <c r="A78" s="4" t="str">
        <f>Sheet1!A78 &amp; "/" &amp; "2025"</f>
        <v>1476/2025</v>
      </c>
      <c r="B78" s="5" t="str">
        <f>Sheet1!E78</f>
        <v>AU2065656457525</v>
      </c>
      <c r="C78" s="6" t="str">
        <f>UPPER(Sheet1!B78)</f>
        <v>MISHA PATEL</v>
      </c>
      <c r="D78" s="7" t="str">
        <f>IF(Sheet1!F78="F","FEMALE","MALE")</f>
        <v>FEMALE</v>
      </c>
      <c r="E78" s="6" t="str">
        <f>UPPER(Sheet1!G78)</f>
        <v>HARSH ASHWINKUMAR PATEL</v>
      </c>
      <c r="F78" s="6" t="str">
        <f>UPPER(Sheet1!H78)</f>
        <v>MITWA HEMANTBHAI JOSHI</v>
      </c>
      <c r="G78" s="5" t="str">
        <f>TEXT(Sheet1!C78,"dd/mm/yyyy") &amp; "," &amp; Sheet1!D78</f>
        <v>16/03/2025,BALLARAT CENTRAL, AUSTRALIA</v>
      </c>
      <c r="H78" s="57" t="str">
        <f>UPPER(Sheet1!K78 &amp; "," &amp; Sheet1!L78 &amp; "," &amp; Sheet1!M78)</f>
        <v>3 NITYANANDINI SOCIETY PART-1,GHATLODIA,AHMEDABAD,PIN:380061,GUJARAT,INDIA</v>
      </c>
      <c r="I78" s="8">
        <f>Sheet1!J78</f>
        <v>45891</v>
      </c>
      <c r="J78" s="5" t="str">
        <f>Sheet1!N78 &amp; "," &amp; TEXT(Sheet1!O78,"dd/mm/yy")</f>
        <v>202509051431,23/07/25</v>
      </c>
      <c r="K78" s="5" t="s">
        <v>5474</v>
      </c>
      <c r="L78" s="38" t="s">
        <v>15</v>
      </c>
      <c r="M78" s="38">
        <v>45925</v>
      </c>
      <c r="N78" s="38" t="s">
        <v>16</v>
      </c>
    </row>
    <row r="79" spans="1:14" x14ac:dyDescent="0.35">
      <c r="A79" s="4" t="str">
        <f>Sheet1!A79 &amp; "/" &amp; "2025"</f>
        <v>1477/2025</v>
      </c>
      <c r="B79" s="5" t="str">
        <f>Sheet1!E79</f>
        <v>AU2065656457725</v>
      </c>
      <c r="C79" s="6" t="str">
        <f>UPPER(Sheet1!B79)</f>
        <v>NADAR KAUR</v>
      </c>
      <c r="D79" s="7" t="str">
        <f>IF(Sheet1!F79="F","FEMALE","MALE")</f>
        <v>FEMALE</v>
      </c>
      <c r="E79" s="6" t="str">
        <f>UPPER(Sheet1!G79)</f>
        <v>MALKIT SINGH</v>
      </c>
      <c r="F79" s="6" t="str">
        <f>UPPER(Sheet1!H79)</f>
        <v>EMANPREET KAUR</v>
      </c>
      <c r="G79" s="5" t="str">
        <f>TEXT(Sheet1!C79,"dd/mm/yyyy") &amp; "," &amp; Sheet1!D79</f>
        <v>20/05/2025,WERRIBEE, AUSTRALIA</v>
      </c>
      <c r="H79" s="57" t="str">
        <f>UPPER(Sheet1!K79 &amp; "," &amp; Sheet1!L79 &amp; "," &amp; Sheet1!M79)</f>
        <v>VILL SANGRAI PO PANJGRAIN,TEHSIL BATALA,GURDASPUR,PIN:143505,PUNJAB,INDIA</v>
      </c>
      <c r="I79" s="8">
        <f>Sheet1!J79</f>
        <v>45891</v>
      </c>
      <c r="J79" s="5" t="str">
        <f>Sheet1!N79 &amp; "," &amp; TEXT(Sheet1!O79,"dd/mm/yy")</f>
        <v>202509056672,12/08/25</v>
      </c>
      <c r="K79" s="5" t="s">
        <v>5474</v>
      </c>
      <c r="L79" s="38" t="s">
        <v>15</v>
      </c>
      <c r="M79" s="38">
        <v>45925</v>
      </c>
      <c r="N79" s="38" t="s">
        <v>16</v>
      </c>
    </row>
    <row r="80" spans="1:14" x14ac:dyDescent="0.35">
      <c r="A80" s="4" t="str">
        <f>Sheet1!A80 &amp; "/" &amp; "2025"</f>
        <v>1478/2025</v>
      </c>
      <c r="B80" s="5" t="str">
        <f>Sheet1!E80</f>
        <v>AU2065656457925</v>
      </c>
      <c r="C80" s="6" t="str">
        <f>UPPER(Sheet1!B80)</f>
        <v>AVY SINGH</v>
      </c>
      <c r="D80" s="7" t="str">
        <f>IF(Sheet1!F80="F","FEMALE","MALE")</f>
        <v>MALE</v>
      </c>
      <c r="E80" s="6" t="str">
        <f>UPPER(Sheet1!G80)</f>
        <v>DAWINDER SINGH</v>
      </c>
      <c r="F80" s="6" t="str">
        <f>UPPER(Sheet1!H80)</f>
        <v>PARMINDER KAUR</v>
      </c>
      <c r="G80" s="5" t="str">
        <f>TEXT(Sheet1!C80,"dd/mm/yyyy") &amp; "," &amp; Sheet1!D80</f>
        <v>23/05/2025,EPPING VICTORIA, AUSTRALIA</v>
      </c>
      <c r="H80" s="57" t="str">
        <f>UPPER(Sheet1!K80 &amp; "," &amp; Sheet1!L80 &amp; "," &amp; Sheet1!M80)</f>
        <v>VILL. PANDORI LUBANA,PO PANDORI WARRAICH,AMRITSAR,PIN:143008,PUNJAB,INDIA</v>
      </c>
      <c r="I80" s="8">
        <f>Sheet1!J80</f>
        <v>45891</v>
      </c>
      <c r="J80" s="5" t="str">
        <f>Sheet1!N80 &amp; "," &amp; TEXT(Sheet1!O80,"dd/mm/yy")</f>
        <v>202509056973,13/08/25</v>
      </c>
      <c r="K80" s="5" t="s">
        <v>5474</v>
      </c>
      <c r="L80" s="38" t="s">
        <v>15</v>
      </c>
      <c r="M80" s="38">
        <v>45925</v>
      </c>
      <c r="N80" s="38" t="s">
        <v>16</v>
      </c>
    </row>
    <row r="81" spans="1:14" x14ac:dyDescent="0.35">
      <c r="A81" s="4" t="str">
        <f>Sheet1!A81 &amp; "/" &amp; "2025"</f>
        <v>1479/2025</v>
      </c>
      <c r="B81" s="5" t="str">
        <f>Sheet1!E81</f>
        <v>AU2065656458325</v>
      </c>
      <c r="C81" s="6" t="str">
        <f>UPPER(Sheet1!B81)</f>
        <v>VIHA JANJIRALA</v>
      </c>
      <c r="D81" s="7" t="str">
        <f>IF(Sheet1!F81="F","FEMALE","MALE")</f>
        <v>FEMALE</v>
      </c>
      <c r="E81" s="6" t="str">
        <f>UPPER(Sheet1!G81)</f>
        <v>SHIVA JANJIRALA</v>
      </c>
      <c r="F81" s="6" t="str">
        <f>UPPER(Sheet1!H81)</f>
        <v>VAISHNAVI DESHAMONI</v>
      </c>
      <c r="G81" s="5" t="str">
        <f>TEXT(Sheet1!C81,"dd/mm/yyyy") &amp; "," &amp; Sheet1!D81</f>
        <v>24/02/2025,WESTMEAD, AUSTRALIA</v>
      </c>
      <c r="H81" s="57" t="str">
        <f>UPPER(Sheet1!K81 &amp; "," &amp; Sheet1!L81 &amp; "," &amp; Sheet1!M81)</f>
        <v>H NO 19-1-529 UMDA BAZAR,DOODH BOWLI,HYDERABAD,PIN:500064,TELANGANA,INDIA</v>
      </c>
      <c r="I81" s="8">
        <f>Sheet1!J81</f>
        <v>45891</v>
      </c>
      <c r="J81" s="5" t="str">
        <f>Sheet1!N81 &amp; "," &amp; TEXT(Sheet1!O81,"dd/mm/yy")</f>
        <v>202509054585,04/08/25</v>
      </c>
      <c r="K81" s="5" t="s">
        <v>5474</v>
      </c>
      <c r="L81" s="38" t="s">
        <v>15</v>
      </c>
      <c r="M81" s="38">
        <v>45925</v>
      </c>
      <c r="N81" s="38" t="s">
        <v>16</v>
      </c>
    </row>
    <row r="82" spans="1:14" x14ac:dyDescent="0.35">
      <c r="A82" s="4" t="str">
        <f>Sheet1!A82 &amp; "/" &amp; "2025"</f>
        <v>1480/2025</v>
      </c>
      <c r="B82" s="5" t="str">
        <f>Sheet1!E82</f>
        <v>AU2065656458725</v>
      </c>
      <c r="C82" s="6" t="str">
        <f>UPPER(Sheet1!B82)</f>
        <v>SIDIKSHA SHIVAPRASAD</v>
      </c>
      <c r="D82" s="7" t="str">
        <f>IF(Sheet1!F82="F","FEMALE","MALE")</f>
        <v>FEMALE</v>
      </c>
      <c r="E82" s="6" t="str">
        <f>UPPER(Sheet1!G82)</f>
        <v>SHIVAPRASAD MALLAPPA HOLAGUNDI</v>
      </c>
      <c r="F82" s="6" t="str">
        <f>UPPER(Sheet1!H82)</f>
        <v>CHAITRA IRANI SHETTRU</v>
      </c>
      <c r="G82" s="5" t="str">
        <f>TEXT(Sheet1!C82,"dd/mm/yyyy") &amp; "," &amp; Sheet1!D82</f>
        <v>20/04/2025,GEELONG, AUSTRALIA</v>
      </c>
      <c r="H82" s="57" t="str">
        <f>UPPER(Sheet1!K82 &amp; "," &amp; Sheet1!L82 &amp; "," &amp; Sheet1!M82)</f>
        <v>1556/57,1ST MAIN,15TH CROSS,VINOBHANAGARA,DAVANGERE,DAVANGERE,PIN:577006,KARNATAKA,INDIA</v>
      </c>
      <c r="I82" s="8">
        <f>Sheet1!J82</f>
        <v>45891</v>
      </c>
      <c r="J82" s="5" t="str">
        <f>Sheet1!N82 &amp; "," &amp; TEXT(Sheet1!O82,"dd/mm/yy")</f>
        <v>202509058013,18/08/25</v>
      </c>
      <c r="K82" s="5" t="s">
        <v>5474</v>
      </c>
      <c r="L82" s="38" t="s">
        <v>15</v>
      </c>
      <c r="M82" s="38">
        <v>45925</v>
      </c>
      <c r="N82" s="38" t="s">
        <v>16</v>
      </c>
    </row>
    <row r="83" spans="1:14" x14ac:dyDescent="0.35">
      <c r="A83" s="4" t="str">
        <f>Sheet1!A83 &amp; "/" &amp; "2025"</f>
        <v>1481/2025</v>
      </c>
      <c r="B83" s="5" t="str">
        <f>Sheet1!E83</f>
        <v>AU2065656458925</v>
      </c>
      <c r="C83" s="6" t="str">
        <f>UPPER(Sheet1!B83)</f>
        <v>AJOONI KAUR</v>
      </c>
      <c r="D83" s="7" t="str">
        <f>IF(Sheet1!F83="F","FEMALE","MALE")</f>
        <v>FEMALE</v>
      </c>
      <c r="E83" s="6" t="str">
        <f>UPPER(Sheet1!G83)</f>
        <v>DAVINDER SINGH</v>
      </c>
      <c r="F83" s="6" t="str">
        <f>UPPER(Sheet1!H83)</f>
        <v>LOVEPREET KAUR</v>
      </c>
      <c r="G83" s="5" t="str">
        <f>TEXT(Sheet1!C83,"dd/mm/yyyy") &amp; "," &amp; Sheet1!D83</f>
        <v>29/05/2025,GEELONG, AUSTRALIA</v>
      </c>
      <c r="H83" s="57" t="str">
        <f>UPPER(Sheet1!K83 &amp; "," &amp; Sheet1!L83 &amp; "," &amp; Sheet1!M83)</f>
        <v>37 KAILASH PURI COLONY ALOHRAN GATE,NABHA,PATIALA,PIN:147201,PUNJAB,INDIA</v>
      </c>
      <c r="I83" s="8">
        <f>Sheet1!J83</f>
        <v>45891</v>
      </c>
      <c r="J83" s="5" t="str">
        <f>Sheet1!N83 &amp; "," &amp; TEXT(Sheet1!O83,"dd/mm/yy")</f>
        <v>202509041591,17/06/25</v>
      </c>
      <c r="K83" s="5" t="s">
        <v>5474</v>
      </c>
      <c r="L83" s="38" t="s">
        <v>15</v>
      </c>
      <c r="M83" s="38">
        <v>45925</v>
      </c>
      <c r="N83" s="38" t="s">
        <v>16</v>
      </c>
    </row>
    <row r="84" spans="1:14" x14ac:dyDescent="0.35">
      <c r="A84" s="4" t="str">
        <f>Sheet1!A84 &amp; "/" &amp; "2025"</f>
        <v>1482/2025</v>
      </c>
      <c r="B84" s="5" t="str">
        <f>Sheet1!E84</f>
        <v>AU2065656459325</v>
      </c>
      <c r="C84" s="6" t="str">
        <f>UPPER(Sheet1!B84)</f>
        <v>SUKHRAJ KAUR</v>
      </c>
      <c r="D84" s="7" t="str">
        <f>IF(Sheet1!F84="F","FEMALE","MALE")</f>
        <v>FEMALE</v>
      </c>
      <c r="E84" s="6" t="str">
        <f>UPPER(Sheet1!G84)</f>
        <v>KARANBIR SINGH</v>
      </c>
      <c r="F84" s="6" t="str">
        <f>UPPER(Sheet1!H84)</f>
        <v>DIKSHA CHAUDHARY</v>
      </c>
      <c r="G84" s="5" t="str">
        <f>TEXT(Sheet1!C84,"dd/mm/yyyy") &amp; "," &amp; Sheet1!D84</f>
        <v>23/04/2025,PARKVILLE, AUSTRALIA</v>
      </c>
      <c r="H84" s="57" t="str">
        <f>UPPER(Sheet1!K84 &amp; "," &amp; Sheet1!L84 &amp; "," &amp; Sheet1!M84)</f>
        <v>HOUSE NO. 1226/1,SECTOR 19B,CHANDIGARH,PIN:160009,CHANDIGARH,INDIA</v>
      </c>
      <c r="I84" s="8">
        <f>Sheet1!J84</f>
        <v>45891</v>
      </c>
      <c r="J84" s="5" t="str">
        <f>Sheet1!N84 &amp; "," &amp; TEXT(Sheet1!O84,"dd/mm/yy")</f>
        <v>202509047420,08/07/25</v>
      </c>
      <c r="K84" s="5" t="s">
        <v>5474</v>
      </c>
      <c r="L84" s="38" t="s">
        <v>15</v>
      </c>
      <c r="M84" s="38">
        <v>45925</v>
      </c>
      <c r="N84" s="38" t="s">
        <v>16</v>
      </c>
    </row>
    <row r="85" spans="1:14" x14ac:dyDescent="0.35">
      <c r="A85" s="4" t="str">
        <f>Sheet1!A85 &amp; "/" &amp; "2025"</f>
        <v>1483/2025</v>
      </c>
      <c r="B85" s="5" t="str">
        <f>Sheet1!E85</f>
        <v>AU2065656459725</v>
      </c>
      <c r="C85" s="6" t="str">
        <f>UPPER(Sheet1!B85)</f>
        <v>AVITAAZ SINGH GARCHA</v>
      </c>
      <c r="D85" s="7" t="str">
        <f>IF(Sheet1!F85="F","FEMALE","MALE")</f>
        <v>MALE</v>
      </c>
      <c r="E85" s="6" t="str">
        <f>UPPER(Sheet1!G85)</f>
        <v>CHARANJOT SINGH</v>
      </c>
      <c r="F85" s="6" t="str">
        <f>UPPER(Sheet1!H85)</f>
        <v>MUSKANPREET KAUR</v>
      </c>
      <c r="G85" s="5" t="str">
        <f>TEXT(Sheet1!C85,"dd/mm/yyyy") &amp; "," &amp; Sheet1!D85</f>
        <v>02/07/2025,BACCHUS MARSH MELBOURNE, AUSTRALIA</v>
      </c>
      <c r="H85" s="57" t="str">
        <f>UPPER(Sheet1!K85 &amp; "," &amp; Sheet1!L85 &amp; "," &amp; Sheet1!M85)</f>
        <v>VILL KOTLI KHAKHIAN,PO MANDHALI,JALANDHAR,PIN:144502,PUNJAB,INDIA</v>
      </c>
      <c r="I85" s="8">
        <f>Sheet1!J85</f>
        <v>45891</v>
      </c>
      <c r="J85" s="5" t="str">
        <f>Sheet1!N85 &amp; "," &amp; TEXT(Sheet1!O85,"dd/mm/yy")</f>
        <v>202509051448,23/07/25</v>
      </c>
      <c r="K85" s="5" t="s">
        <v>5474</v>
      </c>
      <c r="L85" s="38" t="s">
        <v>15</v>
      </c>
      <c r="M85" s="38">
        <v>45925</v>
      </c>
      <c r="N85" s="38" t="s">
        <v>16</v>
      </c>
    </row>
    <row r="86" spans="1:14" x14ac:dyDescent="0.35">
      <c r="A86" s="4" t="str">
        <f>Sheet1!A86 &amp; "/" &amp; "2025"</f>
        <v>1484/2025</v>
      </c>
      <c r="B86" s="5" t="str">
        <f>Sheet1!E86</f>
        <v>AU2065656459925</v>
      </c>
      <c r="C86" s="6" t="str">
        <f>UPPER(Sheet1!B86)</f>
        <v>HARLEEN KAUR MAHAL</v>
      </c>
      <c r="D86" s="7" t="str">
        <f>IF(Sheet1!F86="F","FEMALE","MALE")</f>
        <v>FEMALE</v>
      </c>
      <c r="E86" s="6" t="str">
        <f>UPPER(Sheet1!G86)</f>
        <v>IQBAL SINGH MAHAL</v>
      </c>
      <c r="F86" s="6" t="str">
        <f>UPPER(Sheet1!H86)</f>
        <v>JAGROOP KAUR</v>
      </c>
      <c r="G86" s="5" t="str">
        <f>TEXT(Sheet1!C86,"dd/mm/yyyy") &amp; "," &amp; Sheet1!D86</f>
        <v>15/06/2025,SHEPPARTON, AUSTRALIA</v>
      </c>
      <c r="H86" s="57" t="str">
        <f>UPPER(Sheet1!K86 &amp; "," &amp; Sheet1!L86 &amp; "," &amp; Sheet1!M86)</f>
        <v>VILL BHAGWANPUR PATTI MAHAL PO KOTLI SURAT MALHI,TEH DERA BABA NANAK,GURDASPUR,PIN:143605,PUNJAB,INDIA</v>
      </c>
      <c r="I86" s="8">
        <f>Sheet1!J86</f>
        <v>45891</v>
      </c>
      <c r="J86" s="5" t="str">
        <f>Sheet1!N86 &amp; "," &amp; TEXT(Sheet1!O86,"dd/mm/yy")</f>
        <v>202509054849,05/08/25</v>
      </c>
      <c r="K86" s="5" t="s">
        <v>5474</v>
      </c>
      <c r="L86" s="38" t="s">
        <v>15</v>
      </c>
      <c r="M86" s="38">
        <v>45925</v>
      </c>
      <c r="N86" s="38" t="s">
        <v>16</v>
      </c>
    </row>
    <row r="87" spans="1:14" x14ac:dyDescent="0.35">
      <c r="A87" s="4" t="str">
        <f>Sheet1!A87 &amp; "/" &amp; "2025"</f>
        <v>1485/2025</v>
      </c>
      <c r="B87" s="5" t="str">
        <f>Sheet1!E87</f>
        <v>AU2065656460125</v>
      </c>
      <c r="C87" s="6" t="str">
        <f>UPPER(Sheet1!B87)</f>
        <v>IMAANVIR SINGH PABLA</v>
      </c>
      <c r="D87" s="7" t="str">
        <f>IF(Sheet1!F87="F","FEMALE","MALE")</f>
        <v>MALE</v>
      </c>
      <c r="E87" s="6" t="str">
        <f>UPPER(Sheet1!G87)</f>
        <v>GURPREET SINGH</v>
      </c>
      <c r="F87" s="6" t="str">
        <f>UPPER(Sheet1!H87)</f>
        <v>HARKAMAL KAUR</v>
      </c>
      <c r="G87" s="5" t="str">
        <f>TEXT(Sheet1!C87,"dd/mm/yyyy") &amp; "," &amp; Sheet1!D87</f>
        <v>14/06/2025,WERRIBEE, AUSTRALIA </v>
      </c>
      <c r="H87" s="57" t="str">
        <f>UPPER(Sheet1!K87 &amp; "," &amp; Sheet1!L87 &amp; "," &amp; Sheet1!M87)</f>
        <v>NEAR MELA SINGH KARYANA STORE,LANGROYA,SBS NAGAR,PIN:144516,PUNJAB,INDIA</v>
      </c>
      <c r="I87" s="8">
        <f>Sheet1!J87</f>
        <v>45891</v>
      </c>
      <c r="J87" s="5" t="str">
        <f>Sheet1!N87 &amp; "," &amp; TEXT(Sheet1!O87,"dd/mm/yy")</f>
        <v>202509056625,12/08/25</v>
      </c>
      <c r="K87" s="5" t="s">
        <v>5474</v>
      </c>
      <c r="L87" s="38" t="s">
        <v>15</v>
      </c>
      <c r="M87" s="38">
        <v>45925</v>
      </c>
      <c r="N87" s="38" t="s">
        <v>16</v>
      </c>
    </row>
    <row r="88" spans="1:14" x14ac:dyDescent="0.35">
      <c r="A88" s="4" t="str">
        <f>Sheet1!A88 &amp; "/" &amp; "2025"</f>
        <v>1486/2025</v>
      </c>
      <c r="B88" s="5" t="str">
        <f>Sheet1!E88</f>
        <v>AU2065656460325</v>
      </c>
      <c r="C88" s="6" t="str">
        <f>UPPER(Sheet1!B88)</f>
        <v>PARV SAINI</v>
      </c>
      <c r="D88" s="7" t="str">
        <f>IF(Sheet1!F88="F","FEMALE","MALE")</f>
        <v>MALE</v>
      </c>
      <c r="E88" s="6" t="str">
        <f>UPPER(Sheet1!G88)</f>
        <v>VIKAS </v>
      </c>
      <c r="F88" s="6" t="str">
        <f>UPPER(Sheet1!H88)</f>
        <v>SIMRANJEET KAUR</v>
      </c>
      <c r="G88" s="5" t="str">
        <f>TEXT(Sheet1!C88,"dd/mm/yyyy") &amp; "," &amp; Sheet1!D88</f>
        <v>23/12/2024,MOUNT WAVERLEY, AUSTRALIA</v>
      </c>
      <c r="H88" s="57" t="str">
        <f>UPPER(Sheet1!K88 &amp; "," &amp; Sheet1!L88 &amp; "," &amp; Sheet1!M88)</f>
        <v>VILLAGE AURANGABAD,TEHSIL JAGADHRI,YAMUNANAGAR,PIN:135001,HARYANA,INDIA</v>
      </c>
      <c r="I88" s="8">
        <f>Sheet1!J88</f>
        <v>45891</v>
      </c>
      <c r="J88" s="5" t="str">
        <f>Sheet1!N88 &amp; "," &amp; TEXT(Sheet1!O88,"dd/mm/yy")</f>
        <v>202509053281,30/07/25</v>
      </c>
      <c r="K88" s="5" t="s">
        <v>5474</v>
      </c>
      <c r="L88" s="38" t="s">
        <v>15</v>
      </c>
      <c r="M88" s="38">
        <v>45925</v>
      </c>
      <c r="N88" s="38" t="s">
        <v>16</v>
      </c>
    </row>
    <row r="89" spans="1:14" x14ac:dyDescent="0.35">
      <c r="A89" s="4" t="str">
        <f>Sheet1!A89 &amp; "/" &amp; "2025"</f>
        <v>1487/2025</v>
      </c>
      <c r="B89" s="5" t="str">
        <f>Sheet1!E89</f>
        <v>AU2065656485125</v>
      </c>
      <c r="C89" s="6" t="str">
        <f>UPPER(Sheet1!B89)</f>
        <v>AMBER KAUR RANDHAWA</v>
      </c>
      <c r="D89" s="7" t="str">
        <f>IF(Sheet1!F89="F","FEMALE","MALE")</f>
        <v>FEMALE</v>
      </c>
      <c r="E89" s="6" t="str">
        <f>UPPER(Sheet1!G89)</f>
        <v>MANRAJ SINGH</v>
      </c>
      <c r="F89" s="6" t="str">
        <f>UPPER(Sheet1!H89)</f>
        <v>JOBANJIT KAUR</v>
      </c>
      <c r="G89" s="5" t="str">
        <f>TEXT(Sheet1!C89,"dd/mm/yyyy") &amp; "," &amp; Sheet1!D89</f>
        <v>13/05/2025,ST ALBANS, AUSTRALIA </v>
      </c>
      <c r="H89" s="57" t="str">
        <f>UPPER(Sheet1!K89 &amp; "," &amp; Sheet1!L89 &amp; "," &amp; Sheet1!M89)</f>
        <v>5,NIJAM PURA HAULIAN,AMRITSAR,PIN:143603,PUNJAB,INDIA</v>
      </c>
      <c r="I89" s="8">
        <f>Sheet1!J89</f>
        <v>45891</v>
      </c>
      <c r="J89" s="5" t="str">
        <f>Sheet1!N89 &amp; "," &amp; TEXT(Sheet1!O89,"dd/mm/yy")</f>
        <v>202509042914,21/06/25</v>
      </c>
      <c r="K89" s="5" t="s">
        <v>5474</v>
      </c>
      <c r="L89" s="38" t="s">
        <v>15</v>
      </c>
      <c r="M89" s="38">
        <v>45925</v>
      </c>
      <c r="N89" s="38" t="s">
        <v>16</v>
      </c>
    </row>
    <row r="90" spans="1:14" x14ac:dyDescent="0.35">
      <c r="A90" s="4" t="str">
        <f>Sheet1!A90 &amp; "/" &amp; "2025"</f>
        <v>1488/2025</v>
      </c>
      <c r="B90" s="5" t="str">
        <f>Sheet1!E90</f>
        <v>AU2065656485525</v>
      </c>
      <c r="C90" s="6" t="str">
        <f>UPPER(Sheet1!B90)</f>
        <v>RANBIR SINGH</v>
      </c>
      <c r="D90" s="7" t="str">
        <f>IF(Sheet1!F90="F","FEMALE","MALE")</f>
        <v>MALE</v>
      </c>
      <c r="E90" s="6" t="str">
        <f>UPPER(Sheet1!G90)</f>
        <v>RUPINDERJIT SINGH</v>
      </c>
      <c r="F90" s="6" t="str">
        <f>UPPER(Sheet1!H90)</f>
        <v>VEERPAL KOUR</v>
      </c>
      <c r="G90" s="5" t="str">
        <f>TEXT(Sheet1!C90,"dd/mm/yyyy") &amp; "," &amp; Sheet1!D90</f>
        <v>05/11/2024,EPPING, AUSTRALIA</v>
      </c>
      <c r="H90" s="57" t="str">
        <f>UPPER(Sheet1!K90 &amp; "," &amp; Sheet1!L90 &amp; "," &amp; Sheet1!M90)</f>
        <v>VPO SIKHWALA,TEHSIL MALOUT,SRI MUKTSAR SAHIB,PIN:152113,PUNJAB,INDIA</v>
      </c>
      <c r="I90" s="8">
        <f>Sheet1!J90</f>
        <v>45891</v>
      </c>
      <c r="J90" s="5" t="str">
        <f>Sheet1!N90 &amp; "," &amp; TEXT(Sheet1!O90,"dd/mm/yy")</f>
        <v>202509057647,16/08/25</v>
      </c>
      <c r="K90" s="5" t="s">
        <v>5474</v>
      </c>
      <c r="L90" s="38" t="s">
        <v>15</v>
      </c>
      <c r="M90" s="38">
        <v>45925</v>
      </c>
      <c r="N90" s="38" t="s">
        <v>16</v>
      </c>
    </row>
    <row r="91" spans="1:14" x14ac:dyDescent="0.35">
      <c r="A91" s="4" t="str">
        <f>Sheet1!A91 &amp; "/" &amp; "2025"</f>
        <v>1489/2025</v>
      </c>
      <c r="B91" s="5" t="str">
        <f>Sheet1!E91</f>
        <v>AU2065656486125</v>
      </c>
      <c r="C91" s="6" t="str">
        <f>UPPER(Sheet1!B91)</f>
        <v>ARZAAN AHMED OSMAN</v>
      </c>
      <c r="D91" s="7" t="str">
        <f>IF(Sheet1!F91="F","FEMALE","MALE")</f>
        <v>MALE</v>
      </c>
      <c r="E91" s="6" t="str">
        <f>UPPER(Sheet1!G91)</f>
        <v>ASRAR AHMED AHSAN</v>
      </c>
      <c r="F91" s="6" t="str">
        <f>UPPER(Sheet1!H91)</f>
        <v>FABIHA SULTANA</v>
      </c>
      <c r="G91" s="5" t="str">
        <f>TEXT(Sheet1!C91,"dd/mm/yyyy") &amp; "," &amp; Sheet1!D91</f>
        <v>26/03/2025,WERRIBEE, AUSTRALIA</v>
      </c>
      <c r="H91" s="57" t="str">
        <f>UPPER(Sheet1!K91 &amp; "," &amp; Sheet1!L91 &amp; "," &amp; Sheet1!M91)</f>
        <v>17-2-181/77 WAHED COLONY,YAKUTPURA,HYDERABAD,PIN:500023,TELANGANA,INDIA</v>
      </c>
      <c r="I91" s="8">
        <f>Sheet1!J91</f>
        <v>45891</v>
      </c>
      <c r="J91" s="5" t="str">
        <f>Sheet1!N91 &amp; "," &amp; TEXT(Sheet1!O91,"dd/mm/yy")</f>
        <v>202509056462,11/08/25</v>
      </c>
      <c r="K91" s="5" t="s">
        <v>5474</v>
      </c>
      <c r="L91" s="38" t="s">
        <v>15</v>
      </c>
      <c r="M91" s="38">
        <v>45925</v>
      </c>
      <c r="N91" s="38" t="s">
        <v>16</v>
      </c>
    </row>
    <row r="92" spans="1:14" x14ac:dyDescent="0.35">
      <c r="A92" s="4" t="str">
        <f>Sheet1!A92 &amp; "/" &amp; "2025"</f>
        <v>1490/2025</v>
      </c>
      <c r="B92" s="5" t="str">
        <f>Sheet1!E92</f>
        <v>AU2065656486525</v>
      </c>
      <c r="C92" s="6" t="str">
        <f>UPPER(Sheet1!B92)</f>
        <v>ZORAWAR SINGH MANES</v>
      </c>
      <c r="D92" s="7" t="str">
        <f>IF(Sheet1!F92="F","FEMALE","MALE")</f>
        <v>MALE</v>
      </c>
      <c r="E92" s="6" t="str">
        <f>UPPER(Sheet1!G92)</f>
        <v>MANDEEP SINGH MANES</v>
      </c>
      <c r="F92" s="6" t="str">
        <f>UPPER(Sheet1!H92)</f>
        <v>KAMALPREET KAUR</v>
      </c>
      <c r="G92" s="5" t="str">
        <f>TEXT(Sheet1!C92,"dd/mm/yyyy") &amp; "," &amp; Sheet1!D92</f>
        <v>13/06/2025,WERRIBEE, AUSTRALIA</v>
      </c>
      <c r="H92" s="57" t="str">
        <f>UPPER(Sheet1!K92 &amp; "," &amp; Sheet1!L92 &amp; "," &amp; Sheet1!M92)</f>
        <v>DHARAMKOT ROAD,NEAR BABA ISHER SINGH COLLEGE,VPO. KOT ISE KHAN,MOGA,PIN:142043,PUNJAB,INDIA</v>
      </c>
      <c r="I92" s="8">
        <f>Sheet1!J92</f>
        <v>45891</v>
      </c>
      <c r="J92" s="5" t="str">
        <f>Sheet1!N92 &amp; "," &amp; TEXT(Sheet1!O92,"dd/mm/yy")</f>
        <v>202509056617,12/08/25</v>
      </c>
      <c r="K92" s="5" t="s">
        <v>5474</v>
      </c>
      <c r="L92" s="38" t="s">
        <v>15</v>
      </c>
      <c r="M92" s="38">
        <v>45925</v>
      </c>
      <c r="N92" s="38" t="s">
        <v>16</v>
      </c>
    </row>
    <row r="93" spans="1:14" x14ac:dyDescent="0.35">
      <c r="A93" s="4" t="str">
        <f>Sheet1!A93 &amp; "/" &amp; "2025"</f>
        <v>1491/2025</v>
      </c>
      <c r="B93" s="5" t="str">
        <f>Sheet1!E93</f>
        <v>AU2065656546325</v>
      </c>
      <c r="C93" s="6" t="str">
        <f>UPPER(Sheet1!B93)</f>
        <v>SIARA MAHARJAN SINGH</v>
      </c>
      <c r="D93" s="7" t="str">
        <f>IF(Sheet1!F93="F","FEMALE","MALE")</f>
        <v>FEMALE</v>
      </c>
      <c r="E93" s="6" t="str">
        <f>UPPER(Sheet1!G93)</f>
        <v>SUKHPREET SINGH</v>
      </c>
      <c r="F93" s="6" t="str">
        <f>UPPER(Sheet1!H93)</f>
        <v>PRIYANKA MAHARJAN </v>
      </c>
      <c r="G93" s="5" t="str">
        <f>TEXT(Sheet1!C93,"dd/mm/yyyy") &amp; "," &amp; Sheet1!D93</f>
        <v>30/06/2025,GEELONG, AUSTRALIA</v>
      </c>
      <c r="H93" s="57" t="str">
        <f>UPPER(Sheet1!K93 &amp; "," &amp; Sheet1!L93 &amp; "," &amp; Sheet1!M93)</f>
        <v>HNO 3296/7 BASANT NAGAR,ROPAR,ROPAR,PIN:140001,PUNJAB,INDIA</v>
      </c>
      <c r="I93" s="8">
        <f>Sheet1!J93</f>
        <v>45891</v>
      </c>
      <c r="J93" s="5" t="str">
        <f>Sheet1!N93 &amp; "," &amp; TEXT(Sheet1!O93,"dd/mm/yy")</f>
        <v>202509058605,20/08/25</v>
      </c>
      <c r="K93" s="5" t="s">
        <v>5474</v>
      </c>
      <c r="L93" s="38" t="s">
        <v>15</v>
      </c>
      <c r="M93" s="38">
        <v>45925</v>
      </c>
      <c r="N93" s="38" t="s">
        <v>16</v>
      </c>
    </row>
    <row r="94" spans="1:14" x14ac:dyDescent="0.35">
      <c r="A94" s="4" t="str">
        <f>Sheet1!A94 &amp; "/" &amp; "2025"</f>
        <v>1492/2025</v>
      </c>
      <c r="B94" s="5" t="str">
        <f>Sheet1!E94</f>
        <v>AU2065656549125</v>
      </c>
      <c r="C94" s="6" t="str">
        <f>UPPER(Sheet1!B94)</f>
        <v>HAYZEL JOSEPH</v>
      </c>
      <c r="D94" s="7" t="str">
        <f>IF(Sheet1!F94="F","FEMALE","MALE")</f>
        <v>FEMALE</v>
      </c>
      <c r="E94" s="6" t="str">
        <f>UPPER(Sheet1!G94)</f>
        <v>RAKESH PARANTHARA VASU</v>
      </c>
      <c r="F94" s="6" t="str">
        <f>UPPER(Sheet1!H94)</f>
        <v>NEETHU RAKESH</v>
      </c>
      <c r="G94" s="5" t="str">
        <f>TEXT(Sheet1!C94,"dd/mm/yyyy") &amp; "," &amp; Sheet1!D94</f>
        <v>04/06/2025,BALLARAT, AUSTRALIA</v>
      </c>
      <c r="H94" s="57" t="str">
        <f>UPPER(Sheet1!K94 &amp; "," &amp; Sheet1!L94 &amp; "," &amp; Sheet1!M94)</f>
        <v>PARANTHARA HOUSE,CHAMPAKARA P.O,KARUKACHAL,KOTTAYAM,PIN:686540,KERALA,INDIA</v>
      </c>
      <c r="I94" s="8">
        <f>Sheet1!J94</f>
        <v>45891</v>
      </c>
      <c r="J94" s="5" t="str">
        <f>Sheet1!N94 &amp; "," &amp; TEXT(Sheet1!O94,"dd/mm/yy")</f>
        <v>202509054593,04/08/25</v>
      </c>
      <c r="K94" s="5" t="s">
        <v>5474</v>
      </c>
      <c r="L94" s="38" t="s">
        <v>15</v>
      </c>
      <c r="M94" s="38">
        <v>45925</v>
      </c>
      <c r="N94" s="38" t="s">
        <v>16</v>
      </c>
    </row>
    <row r="95" spans="1:14" x14ac:dyDescent="0.35">
      <c r="A95" s="4" t="str">
        <f>Sheet1!A95 &amp; "/" &amp; "2025"</f>
        <v>1493/2025</v>
      </c>
      <c r="B95" s="5" t="str">
        <f>Sheet1!E95</f>
        <v>AU2065656551125</v>
      </c>
      <c r="C95" s="6" t="str">
        <f>UPPER(Sheet1!B95)</f>
        <v>MIR SEHBHAAG KAUR SIDHU</v>
      </c>
      <c r="D95" s="7" t="str">
        <f>IF(Sheet1!F95="F","FEMALE","MALE")</f>
        <v>FEMALE</v>
      </c>
      <c r="E95" s="6" t="str">
        <f>UPPER(Sheet1!G95)</f>
        <v>SUKHPREET SINGH SIDHU</v>
      </c>
      <c r="F95" s="6" t="str">
        <f>UPPER(Sheet1!H95)</f>
        <v>KULDEEP KAUR</v>
      </c>
      <c r="G95" s="5" t="str">
        <f>TEXT(Sheet1!C95,"dd/mm/yyyy") &amp; "," &amp; Sheet1!D95</f>
        <v>03/02/2025,EPPING, AUSTRALIA</v>
      </c>
      <c r="H95" s="57" t="str">
        <f>UPPER(Sheet1!K95 &amp; "," &amp; Sheet1!L95 &amp; "," &amp; Sheet1!M95)</f>
        <v>KOTHE AULAKH,VILLAGE JETHUKE,BATHINDA,PIN:151103,PUNJAB,INDIA</v>
      </c>
      <c r="I95" s="8">
        <f>Sheet1!J95</f>
        <v>45891</v>
      </c>
      <c r="J95" s="5" t="str">
        <f>Sheet1!N95 &amp; "," &amp; TEXT(Sheet1!O95,"dd/mm/yy")</f>
        <v>202509058756,20/08/25</v>
      </c>
      <c r="K95" s="5" t="s">
        <v>5474</v>
      </c>
      <c r="L95" s="38" t="s">
        <v>15</v>
      </c>
      <c r="M95" s="38">
        <v>45925</v>
      </c>
      <c r="N95" s="38" t="s">
        <v>16</v>
      </c>
    </row>
    <row r="96" spans="1:14" x14ac:dyDescent="0.35">
      <c r="A96" s="4" t="str">
        <f>Sheet1!A96 &amp; "/" &amp; "2025"</f>
        <v>1494/2025</v>
      </c>
      <c r="B96" s="5" t="str">
        <f>Sheet1!E96</f>
        <v>AU2065656552325</v>
      </c>
      <c r="C96" s="6" t="str">
        <f>UPPER(Sheet1!B96)</f>
        <v>HUSSAIN MOHAMMED</v>
      </c>
      <c r="D96" s="7" t="str">
        <f>IF(Sheet1!F96="F","FEMALE","MALE")</f>
        <v>MALE</v>
      </c>
      <c r="E96" s="6" t="str">
        <f>UPPER(Sheet1!G96)</f>
        <v>MOHAMMED HASAN</v>
      </c>
      <c r="F96" s="6" t="str">
        <f>UPPER(Sheet1!H96)</f>
        <v>LUBNA </v>
      </c>
      <c r="G96" s="5" t="str">
        <f>TEXT(Sheet1!C96,"dd/mm/yyyy") &amp; "," &amp; Sheet1!D96</f>
        <v>26/07/2025,EPPING, AUSTRALIA</v>
      </c>
      <c r="H96" s="57" t="str">
        <f>UPPER(Sheet1!K96 &amp; "," &amp; Sheet1!L96 &amp; "," &amp; Sheet1!M96)</f>
        <v>17-3-3/1/86/A,AZMATH NAGAR,YAKUTPURA,HYDERABAD,PIN:500023,TELANGANA,INDIA</v>
      </c>
      <c r="I96" s="8">
        <f>Sheet1!J96</f>
        <v>45891</v>
      </c>
      <c r="J96" s="5" t="str">
        <f>Sheet1!N96 &amp; "," &amp; TEXT(Sheet1!O96,"dd/mm/yy")</f>
        <v>202509058774,20/08/25</v>
      </c>
      <c r="K96" s="5" t="s">
        <v>5474</v>
      </c>
      <c r="L96" s="38" t="s">
        <v>15</v>
      </c>
      <c r="M96" s="38">
        <v>45925</v>
      </c>
      <c r="N96" s="38" t="s">
        <v>16</v>
      </c>
    </row>
    <row r="97" spans="1:14" x14ac:dyDescent="0.35">
      <c r="A97" s="4" t="str">
        <f>Sheet1!A97 &amp; "/" &amp; "2025"</f>
        <v>1495/2025</v>
      </c>
      <c r="B97" s="5" t="str">
        <f>Sheet1!E97</f>
        <v>AU2065656553325</v>
      </c>
      <c r="C97" s="6" t="str">
        <f>UPPER(Sheet1!B97)</f>
        <v>KUDRAT KAUR KALER</v>
      </c>
      <c r="D97" s="7" t="str">
        <f>IF(Sheet1!F97="F","FEMALE","MALE")</f>
        <v>FEMALE</v>
      </c>
      <c r="E97" s="6" t="str">
        <f>UPPER(Sheet1!G97)</f>
        <v>TALWINDER SINGH</v>
      </c>
      <c r="F97" s="6" t="str">
        <f>UPPER(Sheet1!H97)</f>
        <v>SIMARJIT KAUR</v>
      </c>
      <c r="G97" s="5" t="str">
        <f>TEXT(Sheet1!C97,"dd/mm/yyyy") &amp; "," &amp; Sheet1!D97</f>
        <v>29/04/2025,BALLARAT CENTRAL, AUSTRALIA</v>
      </c>
      <c r="H97" s="57" t="str">
        <f>UPPER(Sheet1!K97 &amp; "," &amp; Sheet1!L97 &amp; "," &amp; Sheet1!M97)</f>
        <v>158,V.P.O - SARWALI,GURDASPUR,PIN:143511,PUNJAB,INDIA</v>
      </c>
      <c r="I97" s="8">
        <f>Sheet1!J97</f>
        <v>45891</v>
      </c>
      <c r="J97" s="5" t="str">
        <f>Sheet1!N97 &amp; "," &amp; TEXT(Sheet1!O97,"dd/mm/yy")</f>
        <v>202509058394,19/08/25</v>
      </c>
      <c r="K97" s="5" t="s">
        <v>5474</v>
      </c>
      <c r="L97" s="38" t="s">
        <v>15</v>
      </c>
      <c r="M97" s="38">
        <v>45925</v>
      </c>
      <c r="N97" s="38" t="s">
        <v>16</v>
      </c>
    </row>
    <row r="98" spans="1:14" x14ac:dyDescent="0.35">
      <c r="A98" s="4" t="str">
        <f>Sheet1!A98 &amp; "/" &amp; "2025"</f>
        <v>1496/2025</v>
      </c>
      <c r="B98" s="5" t="str">
        <f>Sheet1!E98</f>
        <v>AU2065656554525</v>
      </c>
      <c r="C98" s="6" t="str">
        <f>UPPER(Sheet1!B98)</f>
        <v>TAJ SINGH</v>
      </c>
      <c r="D98" s="7" t="str">
        <f>IF(Sheet1!F98="F","FEMALE","MALE")</f>
        <v>MALE</v>
      </c>
      <c r="E98" s="6" t="str">
        <f>UPPER(Sheet1!G98)</f>
        <v>SUKHWINDER SINGH</v>
      </c>
      <c r="F98" s="6" t="str">
        <f>UPPER(Sheet1!H98)</f>
        <v>KULDEEP KAUR BRAR</v>
      </c>
      <c r="G98" s="5" t="str">
        <f>TEXT(Sheet1!C98,"dd/mm/yyyy") &amp; "," &amp; Sheet1!D98</f>
        <v>22/04/2025,BERWICK, AUSTRALIA</v>
      </c>
      <c r="H98" s="57" t="str">
        <f>UPPER(Sheet1!K98 &amp; "," &amp; Sheet1!L98 &amp; "," &amp; Sheet1!M98)</f>
        <v>280,CHIDA,MOGA,PIN:142049,PUNJAB,INDIA</v>
      </c>
      <c r="I98" s="8">
        <f>Sheet1!J98</f>
        <v>45891</v>
      </c>
      <c r="J98" s="5" t="str">
        <f>Sheet1!N98 &amp; "," &amp; TEXT(Sheet1!O98,"dd/mm/yy")</f>
        <v>202509058925,21/08/25</v>
      </c>
      <c r="K98" s="5" t="s">
        <v>5474</v>
      </c>
      <c r="L98" s="38" t="s">
        <v>15</v>
      </c>
      <c r="M98" s="38">
        <v>45925</v>
      </c>
      <c r="N98" s="38" t="s">
        <v>16</v>
      </c>
    </row>
    <row r="99" spans="1:14" x14ac:dyDescent="0.35">
      <c r="A99" s="4" t="str">
        <f>Sheet1!A99 &amp; "/" &amp; "2025"</f>
        <v>1497/2025</v>
      </c>
      <c r="B99" s="5" t="str">
        <f>Sheet1!E99</f>
        <v>AU2065656555725</v>
      </c>
      <c r="C99" s="6" t="str">
        <f>UPPER(Sheet1!B99)</f>
        <v>GURREHMAT KAUR</v>
      </c>
      <c r="D99" s="7" t="str">
        <f>IF(Sheet1!F99="F","FEMALE","MALE")</f>
        <v>FEMALE</v>
      </c>
      <c r="E99" s="6" t="str">
        <f>UPPER(Sheet1!G99)</f>
        <v>RAMANDEEP SINGH MATHARU</v>
      </c>
      <c r="F99" s="6" t="str">
        <f>UPPER(Sheet1!H99)</f>
        <v>PRABHJOT MAHEY</v>
      </c>
      <c r="G99" s="5" t="str">
        <f>TEXT(Sheet1!C99,"dd/mm/yyyy") &amp; "," &amp; Sheet1!D99</f>
        <v>16/05/2025,ST ALBANS, AUSTRALIA</v>
      </c>
      <c r="H99" s="57" t="str">
        <f>UPPER(Sheet1!K99 &amp; "," &amp; Sheet1!L99 &amp; "," &amp; Sheet1!M99)</f>
        <v>30 NEW SUKHDEV NAGAR,JAMALPUR COLONY,LUDHIANA,PIN:141010,PUNJAB,INDIA</v>
      </c>
      <c r="I99" s="8">
        <f>Sheet1!J99</f>
        <v>45891</v>
      </c>
      <c r="J99" s="5" t="str">
        <f>Sheet1!N99 &amp; "," &amp; TEXT(Sheet1!O99,"dd/mm/yy")</f>
        <v>202509056614,12/08/25</v>
      </c>
      <c r="K99" s="5" t="s">
        <v>5474</v>
      </c>
      <c r="L99" s="38" t="s">
        <v>15</v>
      </c>
      <c r="M99" s="38">
        <v>45925</v>
      </c>
      <c r="N99" s="38" t="s">
        <v>16</v>
      </c>
    </row>
    <row r="100" spans="1:14" x14ac:dyDescent="0.35">
      <c r="A100" s="4" t="str">
        <f>Sheet1!A100 &amp; "/" &amp; "2025"</f>
        <v>1498/2025</v>
      </c>
      <c r="B100" s="5" t="str">
        <f>Sheet1!E100</f>
        <v>AU2065655252125</v>
      </c>
      <c r="C100" s="6" t="str">
        <f>UPPER(Sheet1!B100)</f>
        <v>WARIS SINGH MAAN</v>
      </c>
      <c r="D100" s="7" t="str">
        <f>IF(Sheet1!F100="F","FEMALE","MALE")</f>
        <v>MALE</v>
      </c>
      <c r="E100" s="6" t="str">
        <f>UPPER(Sheet1!G100)</f>
        <v>MASTINDERBIR SINGH</v>
      </c>
      <c r="F100" s="6" t="str">
        <f>UPPER(Sheet1!H100)</f>
        <v>KULWINDER KAUR</v>
      </c>
      <c r="G100" s="5" t="str">
        <f>TEXT(Sheet1!C100,"dd/mm/yyyy") &amp; "," &amp; Sheet1!D100</f>
        <v>28/06/2025,WERRIBEE, AUSTRALIA</v>
      </c>
      <c r="H100" s="57" t="str">
        <f>UPPER(Sheet1!K100 &amp; "," &amp; Sheet1!L100 &amp; "," &amp; Sheet1!M100)</f>
        <v>VPO MAN SANDWAL,TEHSIL BATALA,GURDASPUR,PIN:143602,PUNJAB,INDIA</v>
      </c>
      <c r="I100" s="8">
        <f>Sheet1!J100</f>
        <v>45890</v>
      </c>
      <c r="J100" s="5" t="str">
        <f>Sheet1!N100 &amp; "," &amp; TEXT(Sheet1!O100,"dd/mm/yy")</f>
        <v>202509054884,05/08/25</v>
      </c>
      <c r="K100" s="5" t="s">
        <v>5474</v>
      </c>
      <c r="L100" s="38" t="s">
        <v>15</v>
      </c>
      <c r="M100" s="38">
        <v>45925</v>
      </c>
      <c r="N100" s="38" t="s">
        <v>16</v>
      </c>
    </row>
    <row r="101" spans="1:14" x14ac:dyDescent="0.35">
      <c r="A101" s="4" t="str">
        <f>Sheet1!A101 &amp; "/" &amp; "2025"</f>
        <v>1499/2025</v>
      </c>
      <c r="B101" s="5" t="str">
        <f>Sheet1!E101</f>
        <v>AU2065655252525</v>
      </c>
      <c r="C101" s="6" t="str">
        <f>UPPER(Sheet1!B101)</f>
        <v>ELIZA KASHYAP</v>
      </c>
      <c r="D101" s="7" t="str">
        <f>IF(Sheet1!F101="F","FEMALE","MALE")</f>
        <v>FEMALE</v>
      </c>
      <c r="E101" s="6" t="str">
        <f>UPPER(Sheet1!G101)</f>
        <v>PALWINDER SINGH</v>
      </c>
      <c r="F101" s="6" t="str">
        <f>UPPER(Sheet1!H101)</f>
        <v>MONIKA </v>
      </c>
      <c r="G101" s="5" t="str">
        <f>TEXT(Sheet1!C101,"dd/mm/yyyy") &amp; "," &amp; Sheet1!D101</f>
        <v>25/05/2025,BENDIGO, AUSTRALIA</v>
      </c>
      <c r="H101" s="57" t="str">
        <f>UPPER(Sheet1!K101 &amp; "," &amp; Sheet1!L101 &amp; "," &amp; Sheet1!M101)</f>
        <v>H NO 57/5,NEAR AMAR TENT HOUSE,NANGAL KOTLI,GURDASPUR,PIN:143521,PUNJAB,INDIA</v>
      </c>
      <c r="I101" s="8">
        <f>Sheet1!J101</f>
        <v>45890</v>
      </c>
      <c r="J101" s="5" t="str">
        <f>Sheet1!N101 &amp; "," &amp; TEXT(Sheet1!O101,"dd/mm/yy")</f>
        <v>202509057964,18/08/25</v>
      </c>
      <c r="K101" s="5" t="s">
        <v>5474</v>
      </c>
      <c r="L101" s="38" t="s">
        <v>15</v>
      </c>
      <c r="M101" s="38">
        <v>45925</v>
      </c>
      <c r="N101" s="38" t="s">
        <v>16</v>
      </c>
    </row>
    <row r="102" spans="1:14" x14ac:dyDescent="0.35">
      <c r="A102" s="4" t="str">
        <f>Sheet1!A102 &amp; "/" &amp; "2025"</f>
        <v>1500/2025</v>
      </c>
      <c r="B102" s="5" t="str">
        <f>Sheet1!E102</f>
        <v>AU2065655253125</v>
      </c>
      <c r="C102" s="6" t="str">
        <f>UPPER(Sheet1!B102)</f>
        <v>JIND KAUR BHANGU</v>
      </c>
      <c r="D102" s="7" t="str">
        <f>IF(Sheet1!F102="F","FEMALE","MALE")</f>
        <v>FEMALE</v>
      </c>
      <c r="E102" s="6" t="str">
        <f>UPPER(Sheet1!G102)</f>
        <v>SANDEEP SINGH BHANGU</v>
      </c>
      <c r="F102" s="6" t="str">
        <f>UPPER(Sheet1!H102)</f>
        <v>GURPINDER KAUR</v>
      </c>
      <c r="G102" s="5" t="str">
        <f>TEXT(Sheet1!C102,"dd/mm/yyyy") &amp; "," &amp; Sheet1!D102</f>
        <v>29/04/2025 ,GEELONG, AUSTRALIA </v>
      </c>
      <c r="H102" s="57" t="str">
        <f>UPPER(Sheet1!K102 &amp; "," &amp; Sheet1!L102 &amp; "," &amp; Sheet1!M102)</f>
        <v>VILL.DHANGERA,PO. AGOL DISTT,PATIALA,PIN:147202,PUNJAB,INDIA</v>
      </c>
      <c r="I102" s="8">
        <f>Sheet1!J102</f>
        <v>45890</v>
      </c>
      <c r="J102" s="5" t="str">
        <f>Sheet1!N102 &amp; "," &amp; TEXT(Sheet1!O102,"dd/mm/yy")</f>
        <v>202509054888,05/08/25</v>
      </c>
      <c r="K102" s="5" t="s">
        <v>5474</v>
      </c>
      <c r="L102" s="38" t="s">
        <v>15</v>
      </c>
      <c r="M102" s="38">
        <v>45925</v>
      </c>
      <c r="N102" s="38" t="s">
        <v>16</v>
      </c>
    </row>
    <row r="103" spans="1:14" x14ac:dyDescent="0.35">
      <c r="A103" s="4" t="str">
        <f>Sheet1!A103 &amp; "/" &amp; "2025"</f>
        <v>1501/2025</v>
      </c>
      <c r="B103" s="5" t="str">
        <f>Sheet1!E103</f>
        <v>AU2065655253525</v>
      </c>
      <c r="C103" s="6" t="str">
        <f>UPPER(Sheet1!B103)</f>
        <v>REHMAT KAUR</v>
      </c>
      <c r="D103" s="7" t="str">
        <f>IF(Sheet1!F103="F","FEMALE","MALE")</f>
        <v>FEMALE</v>
      </c>
      <c r="E103" s="6" t="str">
        <f>UPPER(Sheet1!G103)</f>
        <v>HARPREET SINGH SARAN</v>
      </c>
      <c r="F103" s="6" t="str">
        <f>UPPER(Sheet1!H103)</f>
        <v>HARPREET KAUR</v>
      </c>
      <c r="G103" s="5" t="str">
        <f>TEXT(Sheet1!C103,"dd/mm/yyyy") &amp; "," &amp; Sheet1!D103</f>
        <v>09/05/2025,FRANKSTON, AUSTRALIA</v>
      </c>
      <c r="H103" s="57" t="str">
        <f>UPPER(Sheet1!K103 &amp; "," &amp; Sheet1!L103 &amp; "," &amp; Sheet1!M103)</f>
        <v>VPO,MANDIANI,JAGRAON (LUDHIANA),PIN:141101,PUNJAB,INDIA</v>
      </c>
      <c r="I103" s="8">
        <f>Sheet1!J103</f>
        <v>45890</v>
      </c>
      <c r="J103" s="5" t="str">
        <f>Sheet1!N103 &amp; "," &amp; TEXT(Sheet1!O103,"dd/mm/yy")</f>
        <v>202509057963,18/08/25</v>
      </c>
      <c r="K103" s="5" t="s">
        <v>5474</v>
      </c>
      <c r="L103" s="38" t="s">
        <v>15</v>
      </c>
      <c r="M103" s="38">
        <v>45925</v>
      </c>
      <c r="N103" s="38" t="s">
        <v>16</v>
      </c>
    </row>
    <row r="104" spans="1:14" x14ac:dyDescent="0.35">
      <c r="A104" s="4" t="str">
        <f>Sheet1!A104 &amp; "/" &amp; "2025"</f>
        <v>1502/2025</v>
      </c>
      <c r="B104" s="5" t="str">
        <f>Sheet1!E104</f>
        <v>AU2065655253725</v>
      </c>
      <c r="C104" s="6" t="str">
        <f>UPPER(Sheet1!B104)</f>
        <v>AVANTHIKA SELLABHARATHI</v>
      </c>
      <c r="D104" s="7" t="str">
        <f>IF(Sheet1!F104="F","FEMALE","MALE")</f>
        <v>FEMALE</v>
      </c>
      <c r="E104" s="6" t="str">
        <f>UPPER(Sheet1!G104)</f>
        <v>SELLABHARATHI ANNADURAI</v>
      </c>
      <c r="F104" s="6" t="str">
        <f>UPPER(Sheet1!H104)</f>
        <v>PRIYA JAYABALAN</v>
      </c>
      <c r="G104" s="5" t="str">
        <f>TEXT(Sheet1!C104,"dd/mm/yyyy") &amp; "," &amp; Sheet1!D104</f>
        <v>07/02/2025,PARKVILLE, AUSTRALIA</v>
      </c>
      <c r="H104" s="57" t="str">
        <f>UPPER(Sheet1!K104 &amp; "," &amp; Sheet1!L104 &amp; "," &amp; Sheet1!M104)</f>
        <v>383C/8/1,VIP STREET,VASANTHAM NAGAR,PERIYAR,NAGAR SOUTH,VIRUDHACHALAM,CUDDALORE,PIN:606001,TAMIL NADU,INDIA</v>
      </c>
      <c r="I104" s="8">
        <f>Sheet1!J104</f>
        <v>45890</v>
      </c>
      <c r="J104" s="5" t="str">
        <f>Sheet1!N104 &amp; "," &amp; TEXT(Sheet1!O104,"dd/mm/yy")</f>
        <v>202509057803,17/08/25</v>
      </c>
      <c r="K104" s="5" t="s">
        <v>5474</v>
      </c>
      <c r="L104" s="38" t="s">
        <v>15</v>
      </c>
      <c r="M104" s="38">
        <v>45925</v>
      </c>
      <c r="N104" s="38" t="s">
        <v>16</v>
      </c>
    </row>
    <row r="105" spans="1:14" x14ac:dyDescent="0.35">
      <c r="A105" s="4" t="str">
        <f>Sheet1!A105 &amp; "/" &amp; "2025"</f>
        <v>1503/2025</v>
      </c>
      <c r="B105" s="5" t="str">
        <f>Sheet1!E105</f>
        <v>AU2065655254325</v>
      </c>
      <c r="C105" s="6" t="str">
        <f>UPPER(Sheet1!B105)</f>
        <v>HOONAR GOGNA</v>
      </c>
      <c r="D105" s="7" t="str">
        <f>IF(Sheet1!F105="F","FEMALE","MALE")</f>
        <v>FEMALE</v>
      </c>
      <c r="E105" s="6" t="str">
        <f>UPPER(Sheet1!G105)</f>
        <v>ASHUTOSH GOGNA</v>
      </c>
      <c r="F105" s="6" t="str">
        <f>UPPER(Sheet1!H105)</f>
        <v>PRABHJOT MALHOTRA</v>
      </c>
      <c r="G105" s="5" t="str">
        <f>TEXT(Sheet1!C105,"dd/mm/yyyy") &amp; "," &amp; Sheet1!D105</f>
        <v>22/04/2025,WERRIBEE, AUSTRALIA</v>
      </c>
      <c r="H105" s="57" t="str">
        <f>UPPER(Sheet1!K105 &amp; "," &amp; Sheet1!L105 &amp; "," &amp; Sheet1!M105)</f>
        <v>H.NO. 205,GREEN PARK,PATIALA,PIN:147001,PUNJAB,INDIA</v>
      </c>
      <c r="I105" s="8">
        <f>Sheet1!J105</f>
        <v>45890</v>
      </c>
      <c r="J105" s="5" t="str">
        <f>Sheet1!N105 &amp; "," &amp; TEXT(Sheet1!O105,"dd/mm/yy")</f>
        <v>202509057660,16/08/25</v>
      </c>
      <c r="K105" s="5" t="s">
        <v>5474</v>
      </c>
      <c r="L105" s="38" t="s">
        <v>15</v>
      </c>
      <c r="M105" s="38">
        <v>45925</v>
      </c>
      <c r="N105" s="38" t="s">
        <v>16</v>
      </c>
    </row>
    <row r="106" spans="1:14" x14ac:dyDescent="0.35">
      <c r="A106" s="4" t="str">
        <f>Sheet1!A106 &amp; "/" &amp; "2025"</f>
        <v>1504/2025</v>
      </c>
      <c r="B106" s="5" t="str">
        <f>Sheet1!E106</f>
        <v>AU2065655254725</v>
      </c>
      <c r="C106" s="6" t="str">
        <f>UPPER(Sheet1!B106)</f>
        <v>KASHVIK KASHYAP</v>
      </c>
      <c r="D106" s="7" t="str">
        <f>IF(Sheet1!F106="F","FEMALE","MALE")</f>
        <v>MALE</v>
      </c>
      <c r="E106" s="6" t="str">
        <f>UPPER(Sheet1!G106)</f>
        <v>YASHARTH MISHRA</v>
      </c>
      <c r="F106" s="6" t="str">
        <f>UPPER(Sheet1!H106)</f>
        <v>VIJETA JHA</v>
      </c>
      <c r="G106" s="5" t="str">
        <f>TEXT(Sheet1!C106,"dd/mm/yyyy") &amp; "," &amp; Sheet1!D106</f>
        <v>03/07/2025,EPPING, AUSTRALIA</v>
      </c>
      <c r="H106" s="57" t="str">
        <f>UPPER(Sheet1!K106 &amp; "," &amp; Sheet1!L106 &amp; "," &amp; Sheet1!M106)</f>
        <v>FLAT 4/4 NARAYANI APTT SANTOSHPUR ROAD,MAHESTALA,SOUTH 24 PARGANAS,PIN:700066,WEST BENGAL,INDIA</v>
      </c>
      <c r="I106" s="8">
        <f>Sheet1!J106</f>
        <v>45890</v>
      </c>
      <c r="J106" s="5" t="str">
        <f>Sheet1!N106 &amp; "," &amp; TEXT(Sheet1!O106,"dd/mm/yy")</f>
        <v>202509054860,05/08/25</v>
      </c>
      <c r="K106" s="5" t="s">
        <v>5474</v>
      </c>
      <c r="L106" s="38" t="s">
        <v>15</v>
      </c>
      <c r="M106" s="38">
        <v>45925</v>
      </c>
      <c r="N106" s="38" t="s">
        <v>16</v>
      </c>
    </row>
    <row r="107" spans="1:14" x14ac:dyDescent="0.35">
      <c r="A107" s="4" t="str">
        <f>Sheet1!A107 &amp; "/" &amp; "2025"</f>
        <v>1505/2025</v>
      </c>
      <c r="B107" s="5" t="str">
        <f>Sheet1!E107</f>
        <v>AU2065655254925</v>
      </c>
      <c r="C107" s="6" t="str">
        <f>UPPER(Sheet1!B107)</f>
        <v>RUDRA PATEL</v>
      </c>
      <c r="D107" s="7" t="str">
        <f>IF(Sheet1!F107="F","FEMALE","MALE")</f>
        <v>MALE</v>
      </c>
      <c r="E107" s="6" t="str">
        <f>UPPER(Sheet1!G107)</f>
        <v>NIRAVKUMAR CHANDRAKANT PATEL</v>
      </c>
      <c r="F107" s="6" t="str">
        <f>UPPER(Sheet1!H107)</f>
        <v>DIPSIBEN NIRAVKUMAR PATEL</v>
      </c>
      <c r="G107" s="5" t="str">
        <f>TEXT(Sheet1!C107,"dd/mm/yyyy") &amp; "," &amp; Sheet1!D107</f>
        <v>12/07/2025,DANDENONG, AUSTRALIA</v>
      </c>
      <c r="H107" s="57" t="str">
        <f>UPPER(Sheet1!K107 &amp; "," &amp; Sheet1!L107 &amp; "," &amp; Sheet1!M107)</f>
        <v>VATODIYU FALIYU,RASIKPURA,KHEDA,PIN:387560,GUJARAT,INDIA</v>
      </c>
      <c r="I107" s="8">
        <f>Sheet1!J107</f>
        <v>45890</v>
      </c>
      <c r="J107" s="5" t="str">
        <f>Sheet1!N107 &amp; "," &amp; TEXT(Sheet1!O107,"dd/mm/yy")</f>
        <v>202509057526,15/08/25</v>
      </c>
      <c r="K107" s="5" t="s">
        <v>5474</v>
      </c>
      <c r="L107" s="38" t="s">
        <v>15</v>
      </c>
      <c r="M107" s="38">
        <v>45925</v>
      </c>
      <c r="N107" s="38" t="s">
        <v>16</v>
      </c>
    </row>
    <row r="108" spans="1:14" x14ac:dyDescent="0.35">
      <c r="A108" s="4" t="str">
        <f>Sheet1!A108 &amp; "/" &amp; "2025"</f>
        <v>1506/2025</v>
      </c>
      <c r="B108" s="5" t="str">
        <f>Sheet1!E108</f>
        <v>AU2065655255525</v>
      </c>
      <c r="C108" s="6" t="str">
        <f>UPPER(Sheet1!B108)</f>
        <v>AARIV KUNDAL</v>
      </c>
      <c r="D108" s="7" t="str">
        <f>IF(Sheet1!F108="F","FEMALE","MALE")</f>
        <v>MALE</v>
      </c>
      <c r="E108" s="6" t="str">
        <f>UPPER(Sheet1!G108)</f>
        <v>RAJDEEP KUNDAL</v>
      </c>
      <c r="F108" s="6" t="str">
        <f>UPPER(Sheet1!H108)</f>
        <v>DEEPIKA</v>
      </c>
      <c r="G108" s="5" t="str">
        <f>TEXT(Sheet1!C108,"dd/mm/yyyy") &amp; "," &amp; Sheet1!D108</f>
        <v>03/07/2025,HOBART, AUSTRALIA</v>
      </c>
      <c r="H108" s="57" t="str">
        <f>UPPER(Sheet1!K108 &amp; "," &amp; Sheet1!L108 &amp; "," &amp; Sheet1!M108)</f>
        <v>H. NO. 49/200 SHASTRI NAGAR,BATALA,GURDASPUR,PIN:143505,PUNJAB,INDIA</v>
      </c>
      <c r="I108" s="8">
        <f>Sheet1!J108</f>
        <v>45890</v>
      </c>
      <c r="J108" s="5" t="str">
        <f>Sheet1!N108 &amp; "," &amp; TEXT(Sheet1!O108,"dd/mm/yy")</f>
        <v>202509057529,15/08/25</v>
      </c>
      <c r="K108" s="5" t="s">
        <v>5474</v>
      </c>
      <c r="L108" s="38" t="s">
        <v>15</v>
      </c>
      <c r="M108" s="38">
        <v>45925</v>
      </c>
      <c r="N108" s="38" t="s">
        <v>16</v>
      </c>
    </row>
    <row r="109" spans="1:14" x14ac:dyDescent="0.35">
      <c r="A109" s="4" t="str">
        <f>Sheet1!A109 &amp; "/" &amp; "2025"</f>
        <v>1507/2025</v>
      </c>
      <c r="B109" s="5" t="str">
        <f>Sheet1!E109</f>
        <v>AU2065661598725</v>
      </c>
      <c r="C109" s="6" t="str">
        <f>UPPER(Sheet1!B109)</f>
        <v>PRANIL PATEL</v>
      </c>
      <c r="D109" s="7" t="str">
        <f>IF(Sheet1!F109="F","FEMALE","MALE")</f>
        <v>MALE</v>
      </c>
      <c r="E109" s="6" t="str">
        <f>UPPER(Sheet1!G109)</f>
        <v>YASH PATEL</v>
      </c>
      <c r="F109" s="6" t="str">
        <f>UPPER(Sheet1!H109)</f>
        <v>KRINA YASH PATEL</v>
      </c>
      <c r="G109" s="5" t="str">
        <f>TEXT(Sheet1!C109,"dd/mm/yyyy") &amp; "," &amp; Sheet1!D109</f>
        <v>30/07/2025,WERRIBEE, AUSTRALIA</v>
      </c>
      <c r="H109" s="57" t="str">
        <f>UPPER(Sheet1!K109 &amp; "," &amp; Sheet1!L109 &amp; "," &amp; Sheet1!M109)</f>
        <v>67 SHREE NARAYANDHAM HEBATPUR ROAD,THALTEJ,AHMEDABAD,PIN:380059,GUJARAT,INDIA</v>
      </c>
      <c r="I109" s="8">
        <f>Sheet1!J109</f>
        <v>45897</v>
      </c>
      <c r="J109" s="5" t="str">
        <f>Sheet1!N109 &amp; "," &amp; TEXT(Sheet1!O109,"dd/mm/yy")</f>
        <v>202509059750,24/08/25</v>
      </c>
      <c r="K109" s="5" t="s">
        <v>5474</v>
      </c>
      <c r="L109" s="38" t="s">
        <v>15</v>
      </c>
      <c r="M109" s="38">
        <v>45925</v>
      </c>
      <c r="N109" s="38" t="s">
        <v>16</v>
      </c>
    </row>
    <row r="110" spans="1:14" ht="30" customHeight="1" x14ac:dyDescent="0.35">
      <c r="A110" s="4" t="str">
        <f>Sheet1!A110 &amp; "/" &amp; "2025"</f>
        <v>1508/2025</v>
      </c>
      <c r="B110" s="5" t="str">
        <f>Sheet1!E110</f>
        <v>AU2065661598925</v>
      </c>
      <c r="C110" s="6" t="str">
        <f>UPPER(Sheet1!B110)</f>
        <v>HAROON SHUJAUDDIN MOHAMMED</v>
      </c>
      <c r="D110" s="7" t="str">
        <f>IF(Sheet1!F110="F","FEMALE","MALE")</f>
        <v>MALE</v>
      </c>
      <c r="E110" s="6" t="str">
        <f>UPPER(Sheet1!G110)</f>
        <v>MOHAMMED SHUJAUDDIN</v>
      </c>
      <c r="F110" s="6" t="str">
        <f>UPPER(Sheet1!H110)</f>
        <v>AQSA MOHAMMADI SYEDA</v>
      </c>
      <c r="G110" s="5" t="str">
        <f>TEXT(Sheet1!C110,"dd/mm/yyyy") &amp; "," &amp; Sheet1!D110</f>
        <v>23/01/2025,SHEPPARTON, AUSTRALIA</v>
      </c>
      <c r="H110" s="57" t="str">
        <f>UPPER(Sheet1!K110 &amp; "," &amp; Sheet1!L110 &amp; "," &amp; Sheet1!M110)</f>
        <v xml:space="preserve">18-8-244/C/38/1 FATEH SHA NAGAR, EDI BAZAR,HYDERABAD, HYDERABAD,PIN:500059, TELANGANA, INDIA </v>
      </c>
      <c r="I110" s="8">
        <f>Sheet1!J110</f>
        <v>45897</v>
      </c>
      <c r="J110" s="5" t="str">
        <f>Sheet1!N110 &amp; "," &amp; TEXT(Sheet1!O110,"dd/mm/yy")</f>
        <v>202509052675,28/07/25</v>
      </c>
      <c r="K110" s="5" t="s">
        <v>5474</v>
      </c>
      <c r="L110" s="38" t="s">
        <v>15</v>
      </c>
      <c r="M110" s="38">
        <v>45925</v>
      </c>
      <c r="N110" s="38" t="s">
        <v>16</v>
      </c>
    </row>
    <row r="111" spans="1:14" x14ac:dyDescent="0.35">
      <c r="A111" s="4" t="str">
        <f>Sheet1!A111 &amp; "/" &amp; "2025"</f>
        <v>1509/2025</v>
      </c>
      <c r="B111" s="5" t="str">
        <f>Sheet1!E111</f>
        <v>AU2065661599325</v>
      </c>
      <c r="C111" s="6" t="str">
        <f>UPPER(Sheet1!B111)</f>
        <v>GURISHA MANDHAN</v>
      </c>
      <c r="D111" s="7" t="str">
        <f>IF(Sheet1!F111="F","FEMALE","MALE")</f>
        <v>FEMALE</v>
      </c>
      <c r="E111" s="6" t="str">
        <f>UPPER(Sheet1!G111)</f>
        <v>SANDEEP KUMAR</v>
      </c>
      <c r="F111" s="6" t="str">
        <f>UPPER(Sheet1!H111)</f>
        <v>ANU SHEOKAND</v>
      </c>
      <c r="G111" s="5" t="str">
        <f>TEXT(Sheet1!C111,"dd/mm/yyyy") &amp; "," &amp; Sheet1!D111</f>
        <v>16/06/2025,LENAH VALLEY, AUSTRALIA</v>
      </c>
      <c r="H111" s="57" t="str">
        <f>UPPER(Sheet1!K111 &amp; "," &amp; Sheet1!L111 &amp; "," &amp; Sheet1!M111)</f>
        <v>VILLAGE JOGNA KHERA,PO DABKHERI,THANESAR,KURUKSHETRA,PIN:136119,HARYANA,INDIA</v>
      </c>
      <c r="I111" s="8">
        <f>Sheet1!J111</f>
        <v>45897</v>
      </c>
      <c r="J111" s="5" t="str">
        <f>Sheet1!N111 &amp; "," &amp; TEXT(Sheet1!O111,"dd/mm/yy")</f>
        <v>202509050924,21/07/25</v>
      </c>
      <c r="K111" s="5" t="s">
        <v>5474</v>
      </c>
      <c r="L111" s="38" t="s">
        <v>15</v>
      </c>
      <c r="M111" s="38">
        <v>45925</v>
      </c>
      <c r="N111" s="38" t="s">
        <v>16</v>
      </c>
    </row>
    <row r="112" spans="1:14" x14ac:dyDescent="0.35">
      <c r="A112" s="4" t="str">
        <f>Sheet1!A112 &amp; "/" &amp; "2025"</f>
        <v>1510/2025</v>
      </c>
      <c r="B112" s="5" t="str">
        <f>Sheet1!E112</f>
        <v>AU2065661600525</v>
      </c>
      <c r="C112" s="6" t="str">
        <f>UPPER(Sheet1!B112)</f>
        <v>ADVIKA YADAV</v>
      </c>
      <c r="D112" s="7" t="str">
        <f>IF(Sheet1!F112="F","FEMALE","MALE")</f>
        <v>FEMALE</v>
      </c>
      <c r="E112" s="6" t="str">
        <f>UPPER(Sheet1!G112)</f>
        <v>ARAJ KOSARIYA</v>
      </c>
      <c r="F112" s="6" t="str">
        <f>UPPER(Sheet1!H112)</f>
        <v>PRITI KUMARI YADAV</v>
      </c>
      <c r="G112" s="5" t="str">
        <f>TEXT(Sheet1!C112,"dd/mm/yyyy") &amp; "," &amp; Sheet1!D112</f>
        <v>31/01/2025,EPPING, AUSTRALIA </v>
      </c>
      <c r="H112" s="57" t="str">
        <f>UPPER(Sheet1!K112 &amp; "," &amp; Sheet1!L112 &amp; "," &amp; Sheet1!M112)</f>
        <v>3/MB/163,INDIRA GANDHI NAGAR,JAGATPURA,JAIPUR,JAIPUR,PIN:302017,RAJASTHAN,INDIA</v>
      </c>
      <c r="I112" s="8">
        <f>Sheet1!J112</f>
        <v>45897</v>
      </c>
      <c r="J112" s="5" t="str">
        <f>Sheet1!N112 &amp; "," &amp; TEXT(Sheet1!O112,"dd/mm/yy")</f>
        <v>202509059766,24/08/25</v>
      </c>
      <c r="K112" s="5" t="s">
        <v>5474</v>
      </c>
      <c r="L112" s="38" t="s">
        <v>15</v>
      </c>
      <c r="M112" s="38">
        <v>45925</v>
      </c>
      <c r="N112" s="38" t="s">
        <v>16</v>
      </c>
    </row>
    <row r="113" spans="1:14" x14ac:dyDescent="0.35">
      <c r="A113" s="4" t="str">
        <f>Sheet1!A113 &amp; "/" &amp; "2025"</f>
        <v>1511/2025</v>
      </c>
      <c r="B113" s="5" t="str">
        <f>Sheet1!E113</f>
        <v>AU2065661600925</v>
      </c>
      <c r="C113" s="6" t="str">
        <f>UPPER(Sheet1!B113)</f>
        <v>EILEEN ELIZA VARGHESE</v>
      </c>
      <c r="D113" s="7" t="str">
        <f>IF(Sheet1!F113="F","FEMALE","MALE")</f>
        <v>FEMALE</v>
      </c>
      <c r="E113" s="6" t="str">
        <f>UPPER(Sheet1!G113)</f>
        <v>VARGHESE CHACKO</v>
      </c>
      <c r="F113" s="6" t="str">
        <f>UPPER(Sheet1!H113)</f>
        <v>TITTY MAREENA GEORGE</v>
      </c>
      <c r="G113" s="5" t="str">
        <f>TEXT(Sheet1!C113,"dd/mm/yyyy") &amp; "," &amp; Sheet1!D113</f>
        <v>25/07/2025,BALLARAT CENTRAL, AUSTRALIA</v>
      </c>
      <c r="H113" s="57" t="str">
        <f>UPPER(Sheet1!K113 &amp; "," &amp; Sheet1!L113 &amp; "," &amp; Sheet1!M113)</f>
        <v>VADAKKEPURATHU HOUSE,NIRANAM NORTH P.O,THIRUVALLA,PATHANAMTHITTA,PIN:689621,KERALA,INDIA</v>
      </c>
      <c r="I113" s="8">
        <f>Sheet1!J113</f>
        <v>45897</v>
      </c>
      <c r="J113" s="5" t="str">
        <f>Sheet1!N113 &amp; "," &amp; TEXT(Sheet1!O113,"dd/mm/yy")</f>
        <v>202509057538,15/08/25</v>
      </c>
      <c r="K113" s="5" t="s">
        <v>5474</v>
      </c>
      <c r="L113" s="38" t="s">
        <v>15</v>
      </c>
      <c r="M113" s="38">
        <v>45925</v>
      </c>
      <c r="N113" s="38" t="s">
        <v>16</v>
      </c>
    </row>
    <row r="114" spans="1:14" x14ac:dyDescent="0.35">
      <c r="A114" s="4" t="str">
        <f>Sheet1!A114 &amp; "/" &amp; "2025"</f>
        <v>1512/2025</v>
      </c>
      <c r="B114" s="5" t="str">
        <f>Sheet1!E114</f>
        <v>AU2065661601125</v>
      </c>
      <c r="C114" s="6" t="str">
        <f>UPPER(Sheet1!B114)</f>
        <v>AVITAAZ SINGH RANDHAWA</v>
      </c>
      <c r="D114" s="7" t="str">
        <f>IF(Sheet1!F114="F","FEMALE","MALE")</f>
        <v>MALE</v>
      </c>
      <c r="E114" s="6" t="str">
        <f>UPPER(Sheet1!G114)</f>
        <v>SUKHWINDER SINGH</v>
      </c>
      <c r="F114" s="6" t="str">
        <f>UPPER(Sheet1!H114)</f>
        <v>RAMANDEEP KAUR</v>
      </c>
      <c r="G114" s="5" t="str">
        <f>TEXT(Sheet1!C114,"dd/mm/yyyy") &amp; "," &amp; Sheet1!D114</f>
        <v>18/01/2025,CLAYTON, AUSTRALIA</v>
      </c>
      <c r="H114" s="57" t="str">
        <f>UPPER(Sheet1!K114 &amp; "," &amp; Sheet1!L114 &amp; "," &amp; Sheet1!M114)</f>
        <v>264,KHAIRABAD AMRITSAR PUNJAB,AMRITSAR,PIN:143001,PUNJAB,INDIA</v>
      </c>
      <c r="I114" s="8">
        <f>Sheet1!J114</f>
        <v>45897</v>
      </c>
      <c r="J114" s="5" t="str">
        <f>Sheet1!N114 &amp; "," &amp; TEXT(Sheet1!O114,"dd/mm/yy")</f>
        <v>202509057808,17/08/25</v>
      </c>
      <c r="K114" s="5" t="s">
        <v>5474</v>
      </c>
      <c r="L114" s="38" t="s">
        <v>15</v>
      </c>
      <c r="M114" s="38">
        <v>45925</v>
      </c>
      <c r="N114" s="38" t="s">
        <v>16</v>
      </c>
    </row>
    <row r="115" spans="1:14" x14ac:dyDescent="0.35">
      <c r="A115" s="4" t="str">
        <f>Sheet1!A115 &amp; "/" &amp; "2025"</f>
        <v>1513/2025</v>
      </c>
      <c r="B115" s="5" t="str">
        <f>Sheet1!E115</f>
        <v>AU2065661601725</v>
      </c>
      <c r="C115" s="6" t="str">
        <f>UPPER(Sheet1!B115)</f>
        <v>SHABAD KAUR BANIWAL</v>
      </c>
      <c r="D115" s="7" t="str">
        <f>IF(Sheet1!F115="F","FEMALE","MALE")</f>
        <v>FEMALE</v>
      </c>
      <c r="E115" s="6" t="str">
        <f>UPPER(Sheet1!G115)</f>
        <v>PARMINDER SINGH BANIWAL</v>
      </c>
      <c r="F115" s="6" t="str">
        <f>UPPER(Sheet1!H115)</f>
        <v>LOVEPREET KAUR</v>
      </c>
      <c r="G115" s="5" t="str">
        <f>TEXT(Sheet1!C115,"dd/mm/yyyy") &amp; "," &amp; Sheet1!D115</f>
        <v>07/03/2025,LENAH VALLEY, AUSTRALIA</v>
      </c>
      <c r="H115" s="57" t="str">
        <f>UPPER(Sheet1!K115 &amp; "," &amp; Sheet1!L115 &amp; "," &amp; Sheet1!M115)</f>
        <v>633,WARD NO.4,NEAR PAUL TYERS,RAJPURA,PATIALA,PIN:140401,PUNJAB,INDIA</v>
      </c>
      <c r="I115" s="8">
        <f>Sheet1!J115</f>
        <v>45897</v>
      </c>
      <c r="J115" s="5" t="str">
        <f>Sheet1!N115 &amp; "," &amp; TEXT(Sheet1!O115,"dd/mm/yy")</f>
        <v>202509056990,13/08/25</v>
      </c>
      <c r="K115" s="5" t="s">
        <v>5474</v>
      </c>
      <c r="L115" s="38" t="s">
        <v>15</v>
      </c>
      <c r="M115" s="38">
        <v>45925</v>
      </c>
      <c r="N115" s="38" t="s">
        <v>16</v>
      </c>
    </row>
    <row r="116" spans="1:14" x14ac:dyDescent="0.35">
      <c r="A116" s="4" t="str">
        <f>Sheet1!A116 &amp; "/" &amp; "2025"</f>
        <v>1514/2025</v>
      </c>
      <c r="B116" s="5" t="str">
        <f>Sheet1!E116</f>
        <v>AU2065661602525</v>
      </c>
      <c r="C116" s="6" t="str">
        <f>UPPER(Sheet1!B116)</f>
        <v>KAUSHAL ANAHAT</v>
      </c>
      <c r="D116" s="7" t="str">
        <f>IF(Sheet1!F116="F","FEMALE","MALE")</f>
        <v>FEMALE</v>
      </c>
      <c r="E116" s="6" t="str">
        <f>UPPER(Sheet1!G116)</f>
        <v>CHARANDEEP </v>
      </c>
      <c r="F116" s="6" t="str">
        <f>UPPER(Sheet1!H116)</f>
        <v>ARADHNA </v>
      </c>
      <c r="G116" s="5" t="str">
        <f>TEXT(Sheet1!C116,"dd/mm/yyyy") &amp; "," &amp; Sheet1!D116</f>
        <v>03/12/2024,ST ALBANS, AUSTRALIA</v>
      </c>
      <c r="H116" s="57" t="str">
        <f>UPPER(Sheet1!K116 &amp; "," &amp; Sheet1!L116 &amp; "," &amp; Sheet1!M116)</f>
        <v>ST. NO. 1,EKTA ENCLAVE,NEAR BULLANWARI CHOWK,HOSHIARPUR,PIN:146001,PUNJAB,INDIA</v>
      </c>
      <c r="I116" s="8">
        <f>Sheet1!J116</f>
        <v>45897</v>
      </c>
      <c r="J116" s="5" t="str">
        <f>Sheet1!N116 &amp; "," &amp; TEXT(Sheet1!O116,"dd/mm/yy")</f>
        <v>202509059876,25/08/25</v>
      </c>
      <c r="K116" s="5" t="s">
        <v>5474</v>
      </c>
      <c r="L116" s="38" t="s">
        <v>15</v>
      </c>
      <c r="M116" s="38">
        <v>45925</v>
      </c>
      <c r="N116" s="38" t="s">
        <v>16</v>
      </c>
    </row>
    <row r="117" spans="1:14" x14ac:dyDescent="0.35">
      <c r="A117" s="4" t="str">
        <f>Sheet1!A117 &amp; "/" &amp; "2025"</f>
        <v>1515/2025</v>
      </c>
      <c r="B117" s="5" t="str">
        <f>Sheet1!E117</f>
        <v>AU2065664190525</v>
      </c>
      <c r="C117" s="6" t="str">
        <f>UPPER(Sheet1!B117)</f>
        <v>SAMRATH KAUR KAMBOJ</v>
      </c>
      <c r="D117" s="7" t="str">
        <f>IF(Sheet1!F117="F","FEMALE","MALE")</f>
        <v>FEMALE</v>
      </c>
      <c r="E117" s="6" t="str">
        <f>UPPER(Sheet1!G117)</f>
        <v>GURDEEP SINGH</v>
      </c>
      <c r="F117" s="6" t="str">
        <f>UPPER(Sheet1!H117)</f>
        <v>HARJOT KAUR </v>
      </c>
      <c r="G117" s="5" t="str">
        <f>TEXT(Sheet1!C117,"dd/mm/yyyy") &amp; "," &amp; Sheet1!D117</f>
        <v>03/05/2025,ST ALBANS, AUSTRALIA</v>
      </c>
      <c r="H117" s="57" t="str">
        <f>UPPER(Sheet1!K117 &amp; "," &amp; Sheet1!L117 &amp; "," &amp; Sheet1!M117)</f>
        <v>HOUSE NO.170,B BLOCK,WARD NO 15,PADAMPUR,SRI GANGANAGAR,PIN:335041,RAJASTHAN,INDIA</v>
      </c>
      <c r="I117" s="8">
        <f>Sheet1!J117</f>
        <v>45901</v>
      </c>
      <c r="J117" s="5" t="str">
        <f>Sheet1!N117 &amp; "," &amp; TEXT(Sheet1!O117,"dd/mm/yy")</f>
        <v>202509060263,26/08/25</v>
      </c>
      <c r="K117" s="5" t="s">
        <v>5474</v>
      </c>
      <c r="L117" s="38" t="s">
        <v>15</v>
      </c>
      <c r="M117" s="38">
        <v>45925</v>
      </c>
      <c r="N117" s="38" t="s">
        <v>16</v>
      </c>
    </row>
    <row r="118" spans="1:14" x14ac:dyDescent="0.35">
      <c r="A118" s="4" t="str">
        <f>Sheet1!A118 &amp; "/" &amp; "2025"</f>
        <v>1516/2025</v>
      </c>
      <c r="B118" s="5" t="str">
        <f>Sheet1!E118</f>
        <v>AU2065664192125</v>
      </c>
      <c r="C118" s="6" t="str">
        <f>UPPER(Sheet1!B118)</f>
        <v>ARZOI KAUR</v>
      </c>
      <c r="D118" s="7" t="str">
        <f>IF(Sheet1!F118="F","FEMALE","MALE")</f>
        <v>FEMALE</v>
      </c>
      <c r="E118" s="6" t="str">
        <f>UPPER(Sheet1!G118)</f>
        <v>GURJOT SINGH SAROYA</v>
      </c>
      <c r="F118" s="6" t="str">
        <f>UPPER(Sheet1!H118)</f>
        <v>POONAMPREET  KAUR</v>
      </c>
      <c r="G118" s="5" t="str">
        <f>TEXT(Sheet1!C118,"dd/mm/yyyy") &amp; "," &amp; Sheet1!D118</f>
        <v xml:space="preserve">26/02/2025,WODONGA, AUSTRALIA  </v>
      </c>
      <c r="H118" s="57" t="str">
        <f>UPPER(Sheet1!K118 &amp; "," &amp; Sheet1!L118 &amp; "," &amp; Sheet1!M118)</f>
        <v>GHAGON RORAN WALI,GARHSHANKAR,HOSHIARPUR,PIN:144527,PUNJAB,INDIA</v>
      </c>
      <c r="I118" s="8">
        <f>Sheet1!J118</f>
        <v>45901</v>
      </c>
      <c r="J118" s="5" t="str">
        <f>Sheet1!N118 &amp; "," &amp; TEXT(Sheet1!O118,"dd/mm/yy")</f>
        <v>202509051489,23/07/25</v>
      </c>
      <c r="K118" s="5" t="s">
        <v>5474</v>
      </c>
      <c r="L118" s="38" t="s">
        <v>15</v>
      </c>
      <c r="M118" s="38">
        <v>45925</v>
      </c>
      <c r="N118" s="38" t="s">
        <v>16</v>
      </c>
    </row>
    <row r="119" spans="1:14" x14ac:dyDescent="0.35">
      <c r="A119" s="4" t="str">
        <f>Sheet1!A119 &amp; "/" &amp; "2025"</f>
        <v>1517/2025</v>
      </c>
      <c r="B119" s="5" t="str">
        <f>Sheet1!E119</f>
        <v>AU2065664192725</v>
      </c>
      <c r="C119" s="6" t="str">
        <f>UPPER(Sheet1!B119)</f>
        <v>GURU RISHI NANDHAN MOLKA</v>
      </c>
      <c r="D119" s="7" t="str">
        <f>IF(Sheet1!F119="F","FEMALE","MALE")</f>
        <v>MALE</v>
      </c>
      <c r="E119" s="6" t="str">
        <f>UPPER(Sheet1!G119)</f>
        <v>SAI SRIKANTH MOLKA</v>
      </c>
      <c r="F119" s="6" t="str">
        <f>UPPER(Sheet1!H119)</f>
        <v>GURU SWETHA BANDI </v>
      </c>
      <c r="G119" s="5" t="str">
        <f>TEXT(Sheet1!C119,"dd/mm/yyyy") &amp; "," &amp; Sheet1!D119</f>
        <v xml:space="preserve">02/08/2025,GEELONG, AUSTRALIA  </v>
      </c>
      <c r="H119" s="57" t="str">
        <f>UPPER(Sheet1!K119 &amp; "," &amp; Sheet1!L119 &amp; "," &amp; Sheet1!M119)</f>
        <v>15 - 29 EWS 513 ROAD NO 2 KPHB COLONY,KUKATPALLY,MEDCHAL,PIN:500072,TELANGANA,INDIA</v>
      </c>
      <c r="I119" s="8">
        <f>Sheet1!J119</f>
        <v>45901</v>
      </c>
      <c r="J119" s="5" t="str">
        <f>Sheet1!N119 &amp; "," &amp; TEXT(Sheet1!O119,"dd/mm/yy")</f>
        <v>202509060057,25/08/25</v>
      </c>
      <c r="K119" s="5" t="s">
        <v>5474</v>
      </c>
      <c r="L119" s="38" t="s">
        <v>15</v>
      </c>
      <c r="M119" s="38">
        <v>45925</v>
      </c>
      <c r="N119" s="38" t="s">
        <v>16</v>
      </c>
    </row>
    <row r="120" spans="1:14" x14ac:dyDescent="0.35">
      <c r="A120" s="4" t="str">
        <f>Sheet1!A120 &amp; "/" &amp; "2025"</f>
        <v>1518/2025</v>
      </c>
      <c r="B120" s="5" t="str">
        <f>Sheet1!E120</f>
        <v>AU2065664193725</v>
      </c>
      <c r="C120" s="6" t="str">
        <f>UPPER(Sheet1!B120)</f>
        <v>AYAAN BUTT</v>
      </c>
      <c r="D120" s="7" t="str">
        <f>IF(Sheet1!F120="F","FEMALE","MALE")</f>
        <v>MALE</v>
      </c>
      <c r="E120" s="6" t="str">
        <f>UPPER(Sheet1!G120)</f>
        <v>NISHAR KHAN BUTT</v>
      </c>
      <c r="F120" s="6" t="str">
        <f>UPPER(Sheet1!H120)</f>
        <v>RAJIA </v>
      </c>
      <c r="G120" s="5" t="str">
        <f>TEXT(Sheet1!C120,"dd/mm/yyyy") &amp; "," &amp; Sheet1!D120</f>
        <v xml:space="preserve">20/04/2025,HOBART, AUSTRALIA  </v>
      </c>
      <c r="H120" s="57" t="str">
        <f>UPPER(Sheet1!K120 &amp; "," &amp; Sheet1!L120 &amp; "," &amp; Sheet1!M120)</f>
        <v>VPO CHOWBASS,JAKHEPAL,SANGRUR,PIN:148028,PUNJAB,INDIA</v>
      </c>
      <c r="I120" s="8">
        <f>Sheet1!J120</f>
        <v>45901</v>
      </c>
      <c r="J120" s="5" t="str">
        <f>Sheet1!N120 &amp; "," &amp; TEXT(Sheet1!O120,"dd/mm/yy")</f>
        <v>202509059709,24/08/25</v>
      </c>
      <c r="K120" s="5" t="s">
        <v>5474</v>
      </c>
      <c r="L120" s="38" t="s">
        <v>15</v>
      </c>
      <c r="M120" s="38">
        <v>45925</v>
      </c>
      <c r="N120" s="38" t="s">
        <v>16</v>
      </c>
    </row>
    <row r="121" spans="1:14" x14ac:dyDescent="0.35">
      <c r="A121" s="4" t="str">
        <f>Sheet1!A121 &amp; "/" &amp; "2025"</f>
        <v>1519/2025</v>
      </c>
      <c r="B121" s="5" t="str">
        <f>Sheet1!E121</f>
        <v>AU2065664194525</v>
      </c>
      <c r="C121" s="6" t="str">
        <f>UPPER(Sheet1!B121)</f>
        <v>GURNAYAK KAUR</v>
      </c>
      <c r="D121" s="7" t="str">
        <f>IF(Sheet1!F121="F","FEMALE","MALE")</f>
        <v>FEMALE</v>
      </c>
      <c r="E121" s="6" t="str">
        <f>UPPER(Sheet1!G121)</f>
        <v>RANJIT SINGH</v>
      </c>
      <c r="F121" s="6" t="str">
        <f>UPPER(Sheet1!H121)</f>
        <v>SIMRATPAL KAUR </v>
      </c>
      <c r="G121" s="5" t="str">
        <f>TEXT(Sheet1!C121,"dd/mm/yyyy") &amp; "," &amp; Sheet1!D121</f>
        <v xml:space="preserve">16/11/2024,ST ALBANS, AUSTRALIA  </v>
      </c>
      <c r="H121" s="57" t="str">
        <f>UPPER(Sheet1!K121 &amp; "," &amp; Sheet1!L121 &amp; "," &amp; Sheet1!M121)</f>
        <v>VPO BHAKNA KALAN,PS GHARNDA DISTT,AMRITSAR,PIN:143107,PUNJAB,INDIA</v>
      </c>
      <c r="I121" s="8">
        <f>Sheet1!J121</f>
        <v>45901</v>
      </c>
      <c r="J121" s="5" t="str">
        <f>Sheet1!N121 &amp; "," &amp; TEXT(Sheet1!O121,"dd/mm/yy")</f>
        <v>202509059974,25/08/25</v>
      </c>
      <c r="K121" s="5" t="s">
        <v>5474</v>
      </c>
      <c r="L121" s="38" t="s">
        <v>15</v>
      </c>
      <c r="M121" s="38">
        <v>45925</v>
      </c>
      <c r="N121" s="38" t="s">
        <v>16</v>
      </c>
    </row>
    <row r="122" spans="1:14" x14ac:dyDescent="0.35">
      <c r="A122" s="4" t="str">
        <f>Sheet1!A122 &amp; "/" &amp; "2025"</f>
        <v>1520/2025</v>
      </c>
      <c r="B122" s="5" t="str">
        <f>Sheet1!E122</f>
        <v>AU2065641821525</v>
      </c>
      <c r="C122" s="6" t="str">
        <f>UPPER(Sheet1!B122)</f>
        <v>WAHENOOR SINGH</v>
      </c>
      <c r="D122" s="7" t="str">
        <f>IF(Sheet1!F122="F","FEMALE","MALE")</f>
        <v>MALE</v>
      </c>
      <c r="E122" s="6" t="str">
        <f>UPPER(Sheet1!G122)</f>
        <v>GURPREET SINGH</v>
      </c>
      <c r="F122" s="6" t="str">
        <f>UPPER(Sheet1!H122)</f>
        <v>LOVEPREET  KAUR</v>
      </c>
      <c r="G122" s="5" t="str">
        <f>TEXT(Sheet1!C122,"dd/mm/yyyy") &amp; "," &amp; Sheet1!D122</f>
        <v xml:space="preserve">30/05/2024,CLAYTON VICTORIA, AUSTRALIA  </v>
      </c>
      <c r="H122" s="57" t="str">
        <f>UPPER(Sheet1!K122 &amp; "," &amp; Sheet1!L122 &amp; "," &amp; Sheet1!M122)</f>
        <v>PALIKA BAZAR,BARARA,AMBALA,PIN:133201,HARYANA,INDIA</v>
      </c>
      <c r="I122" s="8">
        <f>Sheet1!J122</f>
        <v>45874</v>
      </c>
      <c r="J122" s="5" t="str">
        <f>Sheet1!N122 &amp; "," &amp; TEXT(Sheet1!O122,"dd/mm/yy")</f>
        <v>202509053922,01/08/25</v>
      </c>
      <c r="K122" s="5" t="s">
        <v>5474</v>
      </c>
      <c r="L122" s="38" t="s">
        <v>15</v>
      </c>
      <c r="M122" s="38">
        <v>45925</v>
      </c>
      <c r="N122" s="38" t="s">
        <v>16</v>
      </c>
    </row>
    <row r="123" spans="1:14" x14ac:dyDescent="0.35">
      <c r="A123" s="4" t="str">
        <f>Sheet1!A123 &amp; "/" &amp; "2025"</f>
        <v>1521/2025</v>
      </c>
      <c r="B123" s="5" t="str">
        <f>Sheet1!E123</f>
        <v>AU2065637433725</v>
      </c>
      <c r="C123" s="6" t="str">
        <f>UPPER(Sheet1!B123)</f>
        <v>HAR PARWAAN SINGH KAHLON</v>
      </c>
      <c r="D123" s="7" t="str">
        <f>IF(Sheet1!F123="F","FEMALE","MALE")</f>
        <v>MALE</v>
      </c>
      <c r="E123" s="6" t="str">
        <f>UPPER(Sheet1!G123)</f>
        <v>NAVDEEP SINGH</v>
      </c>
      <c r="F123" s="6" t="str">
        <f>UPPER(Sheet1!H123)</f>
        <v>HARMANDEEP KAUR </v>
      </c>
      <c r="G123" s="5" t="str">
        <f>TEXT(Sheet1!C123,"dd/mm/yyyy") &amp; "," &amp; Sheet1!D123</f>
        <v xml:space="preserve">22/01/2024,DANDENONG, AUSTRALIA  </v>
      </c>
      <c r="H123" s="57" t="str">
        <f>UPPER(Sheet1!K123 &amp; "," &amp; Sheet1!L123 &amp; "," &amp; Sheet1!M123)</f>
        <v>VPO.KALA AFGANA,TEH.BATALA,GURDASPUR,PIN:143513,PUNJAB,INDIA</v>
      </c>
      <c r="I123" s="8">
        <f>Sheet1!J123</f>
        <v>45868</v>
      </c>
      <c r="J123" s="5" t="str">
        <f>Sheet1!N123 &amp; "," &amp; TEXT(Sheet1!O123,"dd/mm/yy")</f>
        <v>202509050834,21/07/25</v>
      </c>
      <c r="K123" s="5" t="s">
        <v>5474</v>
      </c>
      <c r="L123" s="38" t="s">
        <v>15</v>
      </c>
      <c r="M123" s="38">
        <v>45925</v>
      </c>
      <c r="N123" s="38" t="s">
        <v>16</v>
      </c>
    </row>
    <row r="124" spans="1:14" x14ac:dyDescent="0.35">
      <c r="A124" s="4" t="str">
        <f>Sheet1!A124 &amp; "/" &amp; "2025"</f>
        <v>1522/2025</v>
      </c>
      <c r="B124" s="5" t="str">
        <f>Sheet1!E124</f>
        <v>AU2065655247725</v>
      </c>
      <c r="C124" s="6" t="str">
        <f>UPPER(Sheet1!B124)</f>
        <v>AVLEEN KAUR BHANGU</v>
      </c>
      <c r="D124" s="7" t="str">
        <f>IF(Sheet1!F124="F","FEMALE","MALE")</f>
        <v>FEMALE</v>
      </c>
      <c r="E124" s="6" t="str">
        <f>UPPER(Sheet1!G124)</f>
        <v>HARVINDER SINGH BHANGU </v>
      </c>
      <c r="F124" s="6" t="str">
        <f>UPPER(Sheet1!H124)</f>
        <v>JASPREET KAUR BHANGU </v>
      </c>
      <c r="G124" s="5" t="str">
        <f>TEXT(Sheet1!C124,"dd/mm/yyyy") &amp; "," &amp; Sheet1!D124</f>
        <v>11/05/2025,EPPING, AUSTRALIA </v>
      </c>
      <c r="H124" s="57" t="str">
        <f>UPPER(Sheet1!K124 &amp; "," &amp; Sheet1!L124 &amp; "," &amp; Sheet1!M124)</f>
        <v>HOUSE NO 1063,MANDOFAL ROAD,GALI NUMBER 2,MATA GUJRI COLONY,SIRHIND,FATEHGARH SAHIB,PIN:140406,PUNJAB,INDIA</v>
      </c>
      <c r="I124" s="8">
        <f>Sheet1!J124</f>
        <v>45890</v>
      </c>
      <c r="J124" s="5" t="str">
        <f>Sheet1!N124 &amp; "," &amp; TEXT(Sheet1!O124,"dd/mm/yy")</f>
        <v>202509048294,11/07/25</v>
      </c>
      <c r="K124" s="5" t="s">
        <v>5474</v>
      </c>
      <c r="L124" s="38" t="s">
        <v>15</v>
      </c>
      <c r="M124" s="38">
        <v>45925</v>
      </c>
      <c r="N124" s="38" t="s">
        <v>16</v>
      </c>
    </row>
    <row r="125" spans="1:14" x14ac:dyDescent="0.35">
      <c r="A125" s="4" t="str">
        <f>Sheet1!A125 &amp; "/" &amp; "2025"</f>
        <v>1523/2025</v>
      </c>
      <c r="B125" s="5" t="str">
        <f>Sheet1!E125</f>
        <v>AU2065671202125</v>
      </c>
      <c r="C125" s="6" t="str">
        <f>UPPER(Sheet1!B125)</f>
        <v>HARTAJ SINGH GILL</v>
      </c>
      <c r="D125" s="7" t="str">
        <f>IF(Sheet1!F125="F","FEMALE","MALE")</f>
        <v>MALE</v>
      </c>
      <c r="E125" s="6" t="str">
        <f>UPPER(Sheet1!G125)</f>
        <v>HARVRINDER SINGH GILL</v>
      </c>
      <c r="F125" s="6" t="str">
        <f>UPPER(Sheet1!H125)</f>
        <v>TAJINDER KAUR  SARAS</v>
      </c>
      <c r="G125" s="5" t="str">
        <f>TEXT(Sheet1!C125,"dd/mm/yyyy") &amp; "," &amp; Sheet1!D125</f>
        <v xml:space="preserve">11/02/2023,WERRIBEE, AUSTRALIA  </v>
      </c>
      <c r="H125" s="57" t="str">
        <f>UPPER(Sheet1!K125 &amp; "," &amp; Sheet1!L125 &amp; "," &amp; Sheet1!M125)</f>
        <v>H.NO 228,S.T NO 6E/2,DASHMESH NAGAR,MOGA,PIN:142001,PUNJAB,INDIA</v>
      </c>
      <c r="I125" s="8">
        <f>Sheet1!J125</f>
        <v>45911</v>
      </c>
      <c r="J125" s="5" t="str">
        <f>Sheet1!N125 &amp; "," &amp; TEXT(Sheet1!O125,"dd/mm/yy")</f>
        <v>202509041889,18/06/25</v>
      </c>
      <c r="K125" s="5" t="s">
        <v>5474</v>
      </c>
      <c r="L125" s="38" t="s">
        <v>15</v>
      </c>
      <c r="M125" s="38">
        <v>45925</v>
      </c>
      <c r="N125" s="38" t="s">
        <v>16</v>
      </c>
    </row>
    <row r="126" spans="1:14" x14ac:dyDescent="0.35">
      <c r="A126" s="4" t="str">
        <f>Sheet1!A126 &amp; "/" &amp; "2025"</f>
        <v>1524/2025</v>
      </c>
      <c r="B126" s="5" t="str">
        <f>Sheet1!E126</f>
        <v>AU2065666482325</v>
      </c>
      <c r="C126" s="6" t="str">
        <f>UPPER(Sheet1!B126)</f>
        <v>SAHIB KAUR BARN</v>
      </c>
      <c r="D126" s="7" t="str">
        <f>IF(Sheet1!F126="F","FEMALE","MALE")</f>
        <v>FEMALE</v>
      </c>
      <c r="E126" s="6" t="str">
        <f>UPPER(Sheet1!G126)</f>
        <v>MANPREET SINGH</v>
      </c>
      <c r="F126" s="6" t="str">
        <f>UPPER(Sheet1!H126)</f>
        <v>GURJEET KAUR </v>
      </c>
      <c r="G126" s="5" t="str">
        <f>TEXT(Sheet1!C126,"dd/mm/yyyy") &amp; "," &amp; Sheet1!D126</f>
        <v xml:space="preserve">14/06/2025,GEELONG, AUSTRALIA  </v>
      </c>
      <c r="H126" s="57" t="str">
        <f>UPPER(Sheet1!K126 &amp; "," &amp; Sheet1!L126 &amp; "," &amp; Sheet1!M126)</f>
        <v>VPO. GOH,TEH. KHANNA,KHANNA (LUDHIANA),PIN:141411,PUNJAB,INDIA</v>
      </c>
      <c r="I126" s="8">
        <f>Sheet1!J126</f>
        <v>45911</v>
      </c>
      <c r="J126" s="5" t="str">
        <f>Sheet1!N126 &amp; "," &amp; TEXT(Sheet1!O126,"dd/mm/yy")</f>
        <v>202509059228,22/08/25</v>
      </c>
      <c r="K126" s="5" t="s">
        <v>5474</v>
      </c>
      <c r="L126" s="38" t="s">
        <v>15</v>
      </c>
      <c r="M126" s="38">
        <v>45925</v>
      </c>
      <c r="N126" s="38" t="s">
        <v>16</v>
      </c>
    </row>
    <row r="127" spans="1:14" x14ac:dyDescent="0.35">
      <c r="A127" s="4" t="str">
        <f>Sheet1!A127 &amp; "/" &amp; "2025"</f>
        <v>1525/2025</v>
      </c>
      <c r="B127" s="5" t="str">
        <f>Sheet1!E127</f>
        <v>AU2065666482525</v>
      </c>
      <c r="C127" s="6" t="str">
        <f>UPPER(Sheet1!B127)</f>
        <v>KRISHAV SHARMA</v>
      </c>
      <c r="D127" s="7" t="str">
        <f>IF(Sheet1!F127="F","FEMALE","MALE")</f>
        <v>MALE</v>
      </c>
      <c r="E127" s="6" t="str">
        <f>UPPER(Sheet1!G127)</f>
        <v>PRINCE SHARMA</v>
      </c>
      <c r="F127" s="6" t="str">
        <f>UPPER(Sheet1!H127)</f>
        <v>SONIA SHARMA </v>
      </c>
      <c r="G127" s="5" t="str">
        <f>TEXT(Sheet1!C127,"dd/mm/yyyy") &amp; "," &amp; Sheet1!D127</f>
        <v xml:space="preserve">08/03/2025,ST ALBANS, AUSTRALIA  </v>
      </c>
      <c r="H127" s="57" t="str">
        <f>UPPER(Sheet1!K127 &amp; "," &amp; Sheet1!L127 &amp; "," &amp; Sheet1!M127)</f>
        <v>VILL. KAMODA,DISTT,KURUKSHETRA,PIN:136119,HARYANA,INDIA</v>
      </c>
      <c r="I127" s="8">
        <f>Sheet1!J127</f>
        <v>45911</v>
      </c>
      <c r="J127" s="5" t="str">
        <f>Sheet1!N127 &amp; "," &amp; TEXT(Sheet1!O127,"dd/mm/yy")</f>
        <v>202509057979,18/08/25</v>
      </c>
      <c r="K127" s="5" t="s">
        <v>5474</v>
      </c>
      <c r="L127" s="38" t="s">
        <v>15</v>
      </c>
      <c r="M127" s="38">
        <v>45925</v>
      </c>
      <c r="N127" s="38" t="s">
        <v>16</v>
      </c>
    </row>
    <row r="128" spans="1:14" x14ac:dyDescent="0.35">
      <c r="A128" s="4" t="str">
        <f>Sheet1!A128 &amp; "/" &amp; "2025"</f>
        <v>1526/2025</v>
      </c>
      <c r="B128" s="5" t="str">
        <f>Sheet1!E128</f>
        <v>AU2065666483125</v>
      </c>
      <c r="C128" s="6" t="str">
        <f>UPPER(Sheet1!B128)</f>
        <v>SAMMAR SINGH GILL</v>
      </c>
      <c r="D128" s="7" t="str">
        <f>IF(Sheet1!F128="F","FEMALE","MALE")</f>
        <v>MALE</v>
      </c>
      <c r="E128" s="6" t="str">
        <f>UPPER(Sheet1!G128)</f>
        <v>JASPREET SINGH GILL</v>
      </c>
      <c r="F128" s="6" t="str">
        <f>UPPER(Sheet1!H128)</f>
        <v>RAJWANT KAUR </v>
      </c>
      <c r="G128" s="5" t="str">
        <f>TEXT(Sheet1!C128,"dd/mm/yyyy") &amp; "," &amp; Sheet1!D128</f>
        <v xml:space="preserve">22/07/2025,ST ALBANS, AUSTRALIA  </v>
      </c>
      <c r="H128" s="57" t="str">
        <f>UPPER(Sheet1!K128 &amp; "," &amp; Sheet1!L128 &amp; "," &amp; Sheet1!M128)</f>
        <v>GP 233,JHANDEWALA,MOGA,PIN:142001,PUNJAB,INDIA</v>
      </c>
      <c r="I128" s="8">
        <f>Sheet1!J128</f>
        <v>45911</v>
      </c>
      <c r="J128" s="5" t="str">
        <f>Sheet1!N128 &amp; "," &amp; TEXT(Sheet1!O128,"dd/mm/yy")</f>
        <v>202509060560,27/08/25</v>
      </c>
      <c r="K128" s="5" t="s">
        <v>5474</v>
      </c>
      <c r="L128" s="38" t="s">
        <v>15</v>
      </c>
      <c r="M128" s="38">
        <v>45925</v>
      </c>
      <c r="N128" s="38" t="s">
        <v>16</v>
      </c>
    </row>
    <row r="129" spans="1:14" x14ac:dyDescent="0.35">
      <c r="A129" s="4" t="str">
        <f>Sheet1!A129 &amp; "/" &amp; "2025"</f>
        <v>1527/2025</v>
      </c>
      <c r="B129" s="5" t="str">
        <f>Sheet1!E129</f>
        <v>AU2065666483525</v>
      </c>
      <c r="C129" s="6" t="str">
        <f>UPPER(Sheet1!B129)</f>
        <v>IBADAT KAUR DHILLON</v>
      </c>
      <c r="D129" s="7" t="str">
        <f>IF(Sheet1!F129="F","FEMALE","MALE")</f>
        <v>FEMALE</v>
      </c>
      <c r="E129" s="6" t="str">
        <f>UPPER(Sheet1!G129)</f>
        <v>ANMOL DEEP SINGH</v>
      </c>
      <c r="F129" s="6" t="str">
        <f>UPPER(Sheet1!H129)</f>
        <v>MANDEEP  KAUR</v>
      </c>
      <c r="G129" s="5" t="str">
        <f>TEXT(Sheet1!C129,"dd/mm/yyyy") &amp; "," &amp; Sheet1!D129</f>
        <v xml:space="preserve">04/05/2025,ST ALBANS, AUSTRALIA </v>
      </c>
      <c r="H129" s="57" t="str">
        <f>UPPER(Sheet1!K129 &amp; "," &amp; Sheet1!L129 &amp; "," &amp; Sheet1!M129)</f>
        <v>H.NO HE 1132,PHASE 1,MOHALI,SAS NAGAR,PIN:160055,PUNJAB,INDIA</v>
      </c>
      <c r="I129" s="8">
        <f>Sheet1!J129</f>
        <v>45911</v>
      </c>
      <c r="J129" s="5" t="str">
        <f>Sheet1!N129 &amp; "," &amp; TEXT(Sheet1!O129,"dd/mm/yy")</f>
        <v>202509058911,21/08/25</v>
      </c>
      <c r="K129" s="5" t="s">
        <v>5474</v>
      </c>
      <c r="L129" s="38" t="s">
        <v>15</v>
      </c>
      <c r="M129" s="38">
        <v>45925</v>
      </c>
      <c r="N129" s="38" t="s">
        <v>16</v>
      </c>
    </row>
    <row r="130" spans="1:14" x14ac:dyDescent="0.35">
      <c r="A130" s="4" t="str">
        <f>Sheet1!A130 &amp; "/" &amp; "2025"</f>
        <v>1528/2025</v>
      </c>
      <c r="B130" s="5" t="str">
        <f>Sheet1!E130</f>
        <v>AU2065666484125</v>
      </c>
      <c r="C130" s="6" t="str">
        <f>UPPER(Sheet1!B130)</f>
        <v>GURDAAT SINGH SANDHU</v>
      </c>
      <c r="D130" s="7" t="str">
        <f>IF(Sheet1!F130="F","FEMALE","MALE")</f>
        <v>MALE</v>
      </c>
      <c r="E130" s="6" t="str">
        <f>UPPER(Sheet1!G130)</f>
        <v>GAGANDEEP SINGH</v>
      </c>
      <c r="F130" s="6" t="str">
        <f>UPPER(Sheet1!H130)</f>
        <v>DALJEET KAUR </v>
      </c>
      <c r="G130" s="5" t="str">
        <f>TEXT(Sheet1!C130,"dd/mm/yyyy") &amp; "," &amp; Sheet1!D130</f>
        <v xml:space="preserve">07/07/2025,ST ALBANS, AUSTRALIA </v>
      </c>
      <c r="H130" s="57" t="str">
        <f>UPPER(Sheet1!K130 &amp; "," &amp; Sheet1!L130 &amp; "," &amp; Sheet1!M130)</f>
        <v>VILL. JAGGE WALA PO. SHIANPARI,MAKHU,FEROZEPUR,PIN:142044,PUNJAB,INDIA</v>
      </c>
      <c r="I130" s="8">
        <f>Sheet1!J130</f>
        <v>45911</v>
      </c>
      <c r="J130" s="5" t="str">
        <f>Sheet1!N130 &amp; "," &amp; TEXT(Sheet1!O130,"dd/mm/yy")</f>
        <v>202509059855,25/08/25</v>
      </c>
      <c r="K130" s="5" t="s">
        <v>5474</v>
      </c>
      <c r="L130" s="38" t="s">
        <v>15</v>
      </c>
      <c r="M130" s="38">
        <v>45925</v>
      </c>
      <c r="N130" s="38" t="s">
        <v>16</v>
      </c>
    </row>
    <row r="131" spans="1:14" x14ac:dyDescent="0.35">
      <c r="A131" s="4" t="str">
        <f>Sheet1!A131 &amp; "/" &amp; "2025"</f>
        <v>1529/2025</v>
      </c>
      <c r="B131" s="5" t="str">
        <f>Sheet1!E131</f>
        <v>AU2065666484525</v>
      </c>
      <c r="C131" s="6" t="str">
        <f>UPPER(Sheet1!B131)</f>
        <v>RAUNAK KAUR BHANGU</v>
      </c>
      <c r="D131" s="7" t="str">
        <f>IF(Sheet1!F131="F","FEMALE","MALE")</f>
        <v>FEMALE</v>
      </c>
      <c r="E131" s="6" t="str">
        <f>UPPER(Sheet1!G131)</f>
        <v>CHANPREET SINGH</v>
      </c>
      <c r="F131" s="6" t="str">
        <f>UPPER(Sheet1!H131)</f>
        <v>SATWANT KAUR </v>
      </c>
      <c r="G131" s="5" t="str">
        <f>TEXT(Sheet1!C131,"dd/mm/yyyy") &amp; "," &amp; Sheet1!D131</f>
        <v xml:space="preserve">23/05/2025,ST ALBANS, AUSTRALIA  </v>
      </c>
      <c r="H131" s="57" t="str">
        <f>UPPER(Sheet1!K131 &amp; "," &amp; Sheet1!L131 &amp; "," &amp; Sheet1!M131)</f>
        <v>H.NO.475,VPO- BALACHOUR,YAMUNANAGAR,PIN:135103,HARYANA,INDIA</v>
      </c>
      <c r="I131" s="8">
        <f>Sheet1!J131</f>
        <v>45911</v>
      </c>
      <c r="J131" s="5" t="str">
        <f>Sheet1!N131 &amp; "," &amp; TEXT(Sheet1!O131,"dd/mm/yy")</f>
        <v>202509060510,27/08/25</v>
      </c>
      <c r="K131" s="5" t="s">
        <v>5474</v>
      </c>
      <c r="L131" s="38" t="s">
        <v>15</v>
      </c>
      <c r="M131" s="38">
        <v>45925</v>
      </c>
      <c r="N131" s="38" t="s">
        <v>16</v>
      </c>
    </row>
    <row r="132" spans="1:14" x14ac:dyDescent="0.35">
      <c r="A132" s="4" t="str">
        <f>Sheet1!A132 &amp; "/" &amp; "2025"</f>
        <v>1530/2025</v>
      </c>
      <c r="B132" s="5" t="str">
        <f>Sheet1!E132</f>
        <v>AU2065666485125</v>
      </c>
      <c r="C132" s="6" t="str">
        <f>UPPER(Sheet1!B132)</f>
        <v>EKNOOR KAUR BHANDOL</v>
      </c>
      <c r="D132" s="7" t="str">
        <f>IF(Sheet1!F132="F","FEMALE","MALE")</f>
        <v>FEMALE</v>
      </c>
      <c r="E132" s="6" t="str">
        <f>UPPER(Sheet1!G132)</f>
        <v>SATINDERPAL SINGH BHANDOL</v>
      </c>
      <c r="F132" s="6" t="str">
        <f>UPPER(Sheet1!H132)</f>
        <v>HARMANJOT KAUR  BHANDOL</v>
      </c>
      <c r="G132" s="5" t="str">
        <f>TEXT(Sheet1!C132,"dd/mm/yyyy") &amp; "," &amp; Sheet1!D132</f>
        <v xml:space="preserve">22/02/2025,BALLARAT CENTRAL, AUSTRALIA  </v>
      </c>
      <c r="H132" s="57" t="str">
        <f>UPPER(Sheet1!K132 &amp; "," &amp; Sheet1!L132 &amp; "," &amp; Sheet1!M132)</f>
        <v>VPO. RAUWAL,TEHSIL,JAGRAON (LUDHIANA),PIN:142033,PUNJAB,INDIA</v>
      </c>
      <c r="I132" s="8">
        <f>Sheet1!J132</f>
        <v>45911</v>
      </c>
      <c r="J132" s="5" t="str">
        <f>Sheet1!N132 &amp; "," &amp; TEXT(Sheet1!O132,"dd/mm/yy")</f>
        <v>202509034292,19/05/25</v>
      </c>
      <c r="K132" s="5" t="s">
        <v>5474</v>
      </c>
      <c r="L132" s="38" t="s">
        <v>15</v>
      </c>
      <c r="M132" s="38">
        <v>45925</v>
      </c>
      <c r="N132" s="38" t="s">
        <v>16</v>
      </c>
    </row>
    <row r="133" spans="1:14" x14ac:dyDescent="0.35">
      <c r="A133" s="4" t="str">
        <f>Sheet1!A133 &amp; "/" &amp; "2025"</f>
        <v>1531/2025</v>
      </c>
      <c r="B133" s="5" t="str">
        <f>Sheet1!E133</f>
        <v>AU2065666485525</v>
      </c>
      <c r="C133" s="6" t="str">
        <f>UPPER(Sheet1!B133)</f>
        <v>ANGAD SINGH CHEEMA</v>
      </c>
      <c r="D133" s="7" t="str">
        <f>IF(Sheet1!F133="F","FEMALE","MALE")</f>
        <v>MALE</v>
      </c>
      <c r="E133" s="6" t="str">
        <f>UPPER(Sheet1!G133)</f>
        <v>HARPALJEET SINGH</v>
      </c>
      <c r="F133" s="6" t="str">
        <f>UPPER(Sheet1!H133)</f>
        <v>PAWANDEEP KAUR </v>
      </c>
      <c r="G133" s="5" t="str">
        <f>TEXT(Sheet1!C133,"dd/mm/yyyy") &amp; "," &amp; Sheet1!D133</f>
        <v xml:space="preserve">24/01/2025,GEELONG, AUSTRALIA </v>
      </c>
      <c r="H133" s="57" t="str">
        <f>UPPER(Sheet1!K133 &amp; "," &amp; Sheet1!L133 &amp; "," &amp; Sheet1!M133)</f>
        <v>1,KOTLA BAJJA SINGH,GURDASPUR,PIN:143505,PUNJAB,INDIA</v>
      </c>
      <c r="I133" s="8">
        <f>Sheet1!J133</f>
        <v>45911</v>
      </c>
      <c r="J133" s="5" t="str">
        <f>Sheet1!N133 &amp; "," &amp; TEXT(Sheet1!O133,"dd/mm/yy")</f>
        <v>202509056271,10/08/25</v>
      </c>
      <c r="K133" s="5" t="s">
        <v>5474</v>
      </c>
      <c r="L133" s="38" t="s">
        <v>15</v>
      </c>
      <c r="M133" s="38">
        <v>45925</v>
      </c>
      <c r="N133" s="38" t="s">
        <v>16</v>
      </c>
    </row>
    <row r="134" spans="1:14" x14ac:dyDescent="0.35">
      <c r="A134" s="4" t="str">
        <f>Sheet1!A134 &amp; "/" &amp; "2025"</f>
        <v>1532/2025</v>
      </c>
      <c r="B134" s="5" t="str">
        <f>Sheet1!E134</f>
        <v>AU2065666486325</v>
      </c>
      <c r="C134" s="6" t="str">
        <f>UPPER(Sheet1!B134)</f>
        <v>EVA SINGH</v>
      </c>
      <c r="D134" s="7" t="str">
        <f>IF(Sheet1!F134="F","FEMALE","MALE")</f>
        <v>FEMALE</v>
      </c>
      <c r="E134" s="6" t="str">
        <f>UPPER(Sheet1!G134)</f>
        <v>ESHANT SINGH</v>
      </c>
      <c r="F134" s="6" t="str">
        <f>UPPER(Sheet1!H134)</f>
        <v>URVASHI  CHAUHAN</v>
      </c>
      <c r="G134" s="5" t="str">
        <f>TEXT(Sheet1!C134,"dd/mm/yyyy") &amp; "," &amp; Sheet1!D134</f>
        <v xml:space="preserve">21/06/2025,EAST MELBOURNE, AUSTRALIA  </v>
      </c>
      <c r="H134" s="57" t="str">
        <f>UPPER(Sheet1!K134 &amp; "," &amp; Sheet1!L134 &amp; "," &amp; Sheet1!M134)</f>
        <v>FLAT A-502,TOWER 4,SIKKA KIMAYA GREENS,IT PARK,NEAR NABARD BANK,DANDA DHORAN,DEHRADUN,PIN:248001,UTTARAKHAND,INDIA</v>
      </c>
      <c r="I134" s="8">
        <f>Sheet1!J134</f>
        <v>45911</v>
      </c>
      <c r="J134" s="5" t="str">
        <f>Sheet1!N134 &amp; "," &amp; TEXT(Sheet1!O134,"dd/mm/yy")</f>
        <v>202509060206,26/08/25</v>
      </c>
      <c r="K134" s="5" t="s">
        <v>5474</v>
      </c>
      <c r="L134" s="38" t="s">
        <v>15</v>
      </c>
      <c r="M134" s="38">
        <v>45925</v>
      </c>
      <c r="N134" s="38" t="s">
        <v>16</v>
      </c>
    </row>
    <row r="135" spans="1:14" x14ac:dyDescent="0.35">
      <c r="A135" s="4" t="str">
        <f>Sheet1!A135 &amp; "/" &amp; "2025"</f>
        <v>1533/2025</v>
      </c>
      <c r="B135" s="5" t="str">
        <f>Sheet1!E135</f>
        <v>AU2065666486925</v>
      </c>
      <c r="C135" s="6" t="str">
        <f>UPPER(Sheet1!B135)</f>
        <v>ANJNEY RAVI PANCHAL</v>
      </c>
      <c r="D135" s="7" t="str">
        <f>IF(Sheet1!F135="F","FEMALE","MALE")</f>
        <v>MALE</v>
      </c>
      <c r="E135" s="6" t="str">
        <f>UPPER(Sheet1!G135)</f>
        <v>RAVI RAJESHKUMAR PANCHAL</v>
      </c>
      <c r="F135" s="6" t="str">
        <f>UPPER(Sheet1!H135)</f>
        <v>SHRUJAL JAYPRAKASHBHAI  PATEL</v>
      </c>
      <c r="G135" s="5" t="str">
        <f>TEXT(Sheet1!C135,"dd/mm/yyyy") &amp; "," &amp; Sheet1!D135</f>
        <v xml:space="preserve">29/07/2025,BOX HILL, AUSTRALIA  </v>
      </c>
      <c r="H135" s="57" t="str">
        <f>UPPER(Sheet1!K135 &amp; "," &amp; Sheet1!L135 &amp; "," &amp; Sheet1!M135)</f>
        <v>B/804 SATYAMEV SUARYA APARTMENT,KOBA,GANDHINAGAR,PIN:382007,GUJARAT,INDIA</v>
      </c>
      <c r="I135" s="8">
        <f>Sheet1!J135</f>
        <v>45911</v>
      </c>
      <c r="J135" s="5" t="str">
        <f>Sheet1!N135 &amp; "," &amp; TEXT(Sheet1!O135,"dd/mm/yy")</f>
        <v>202509059074,21/08/25</v>
      </c>
      <c r="K135" s="5" t="s">
        <v>5474</v>
      </c>
      <c r="L135" s="38" t="s">
        <v>15</v>
      </c>
      <c r="M135" s="38">
        <v>45925</v>
      </c>
      <c r="N135" s="38" t="s">
        <v>16</v>
      </c>
    </row>
    <row r="136" spans="1:14" x14ac:dyDescent="0.35">
      <c r="A136" s="4" t="str">
        <f>Sheet1!A136 &amp; "/" &amp; "2025"</f>
        <v>1534/2025</v>
      </c>
      <c r="B136" s="5" t="str">
        <f>Sheet1!E136</f>
        <v>AU2065666487925</v>
      </c>
      <c r="C136" s="6" t="str">
        <f>UPPER(Sheet1!B136)</f>
        <v>MEHER KAUR DHILLON</v>
      </c>
      <c r="D136" s="7" t="str">
        <f>IF(Sheet1!F136="F","FEMALE","MALE")</f>
        <v>FEMALE</v>
      </c>
      <c r="E136" s="6" t="str">
        <f>UPPER(Sheet1!G136)</f>
        <v>BALRAJ SINGH DHILLON</v>
      </c>
      <c r="F136" s="6" t="str">
        <f>UPPER(Sheet1!H136)</f>
        <v>HUSANPREET KAUR </v>
      </c>
      <c r="G136" s="5" t="str">
        <f>TEXT(Sheet1!C136,"dd/mm/yyyy") &amp; "," &amp; Sheet1!D136</f>
        <v xml:space="preserve">18/06/2024,BACCHUS MARSH, AUSTRALIA  </v>
      </c>
      <c r="H136" s="57" t="str">
        <f>UPPER(Sheet1!K136 &amp; "," &amp; Sheet1!L136 &amp; "," &amp; Sheet1!M136)</f>
        <v>,RUPAHERI,SANGRUR,PIN:148001,PUNJAB,INDIA</v>
      </c>
      <c r="I136" s="8">
        <f>Sheet1!J136</f>
        <v>45911</v>
      </c>
      <c r="J136" s="5" t="str">
        <f>Sheet1!N136 &amp; "," &amp; TEXT(Sheet1!O136,"dd/mm/yy")</f>
        <v>202509029850,02/05/25</v>
      </c>
      <c r="K136" s="5" t="s">
        <v>5474</v>
      </c>
      <c r="L136" s="38" t="s">
        <v>15</v>
      </c>
      <c r="M136" s="38">
        <v>45925</v>
      </c>
      <c r="N136" s="38" t="s">
        <v>16</v>
      </c>
    </row>
    <row r="137" spans="1:14" x14ac:dyDescent="0.35">
      <c r="A137" s="4" t="str">
        <f>Sheet1!A137 &amp; "/" &amp; "2025"</f>
        <v>1535/2025</v>
      </c>
      <c r="B137" s="5" t="str">
        <f>Sheet1!E137</f>
        <v>AU2065666488125</v>
      </c>
      <c r="C137" s="6" t="str">
        <f>UPPER(Sheet1!B137)</f>
        <v>KRISHVI MAYANKKUMAR PATEL</v>
      </c>
      <c r="D137" s="7" t="str">
        <f>IF(Sheet1!F137="F","FEMALE","MALE")</f>
        <v>FEMALE</v>
      </c>
      <c r="E137" s="6" t="str">
        <f>UPPER(Sheet1!G137)</f>
        <v>MAYANKKUMAR SHAILESHBHAI PATEL</v>
      </c>
      <c r="F137" s="6" t="str">
        <f>UPPER(Sheet1!H137)</f>
        <v>PALAKBEN MAYANKKUMAR PATEL </v>
      </c>
      <c r="G137" s="5" t="str">
        <f>TEXT(Sheet1!C137,"dd/mm/yyyy") &amp; "," &amp; Sheet1!D137</f>
        <v xml:space="preserve">25/06/2025,CLAYTON, AUSTRALIA  </v>
      </c>
      <c r="H137" s="57" t="str">
        <f>UPPER(Sheet1!K137 &amp; "," &amp; Sheet1!L137 &amp; "," &amp; Sheet1!M137)</f>
        <v>AT POST SARDARPUR,VIJAPUR,MEHSANA,PIN:382820,GUJARAT,INDIA</v>
      </c>
      <c r="I137" s="8">
        <f>Sheet1!J137</f>
        <v>45911</v>
      </c>
      <c r="J137" s="5" t="str">
        <f>Sheet1!N137 &amp; "," &amp; TEXT(Sheet1!O137,"dd/mm/yy")</f>
        <v>202509060535,27/08/25</v>
      </c>
      <c r="K137" s="5" t="s">
        <v>5474</v>
      </c>
      <c r="L137" s="38" t="s">
        <v>15</v>
      </c>
      <c r="M137" s="38">
        <v>45925</v>
      </c>
      <c r="N137" s="38" t="s">
        <v>16</v>
      </c>
    </row>
    <row r="138" spans="1:14" x14ac:dyDescent="0.35">
      <c r="A138" s="4" t="str">
        <f>Sheet1!A138 &amp; "/" &amp; "2025"</f>
        <v>1536/2025</v>
      </c>
      <c r="B138" s="5" t="str">
        <f>Sheet1!E138</f>
        <v>AU2065666490525</v>
      </c>
      <c r="C138" s="6" t="str">
        <f>UPPER(Sheet1!B138)</f>
        <v>AGAMPREET SINGH</v>
      </c>
      <c r="D138" s="7" t="str">
        <f>IF(Sheet1!F138="F","FEMALE","MALE")</f>
        <v>MALE</v>
      </c>
      <c r="E138" s="6" t="str">
        <f>UPPER(Sheet1!G138)</f>
        <v>HARPREET SINGH</v>
      </c>
      <c r="F138" s="6" t="str">
        <f>UPPER(Sheet1!H138)</f>
        <v>AMANDEEP  KAUR</v>
      </c>
      <c r="G138" s="5" t="str">
        <f>TEXT(Sheet1!C138,"dd/mm/yyyy") &amp; "," &amp; Sheet1!D138</f>
        <v xml:space="preserve">07/09/2024,BACCHUS MARSH, AUSTRALIA  </v>
      </c>
      <c r="H138" s="57" t="str">
        <f>UPPER(Sheet1!K138 &amp; "," &amp; Sheet1!L138 &amp; "," &amp; Sheet1!M138)</f>
        <v>VILLAGE KOT PATTI,PO. PALLI JHIKKI,TEHSIL NAWANSHAHR,SBS NAGAR,PIN:144512,PUNJAB,INDIA</v>
      </c>
      <c r="I138" s="8">
        <f>Sheet1!J138</f>
        <v>45911</v>
      </c>
      <c r="J138" s="5" t="str">
        <f>Sheet1!N138 &amp; "," &amp; TEXT(Sheet1!O138,"dd/mm/yy")</f>
        <v>202509060567,27/08/25</v>
      </c>
      <c r="K138" s="5" t="s">
        <v>5474</v>
      </c>
      <c r="L138" s="38" t="s">
        <v>15</v>
      </c>
      <c r="M138" s="38">
        <v>45925</v>
      </c>
      <c r="N138" s="38" t="s">
        <v>16</v>
      </c>
    </row>
    <row r="139" spans="1:14" x14ac:dyDescent="0.35">
      <c r="A139" s="4" t="str">
        <f>Sheet1!A139 &amp; "/" &amp; "2025"</f>
        <v>1537/2025</v>
      </c>
      <c r="B139" s="5" t="str">
        <f>Sheet1!E139</f>
        <v>AU2065666491325</v>
      </c>
      <c r="C139" s="6" t="str">
        <f>UPPER(Sheet1!B139)</f>
        <v>ADITI SUMUKH BHARADWAJ</v>
      </c>
      <c r="D139" s="7" t="str">
        <f>IF(Sheet1!F139="F","FEMALE","MALE")</f>
        <v>FEMALE</v>
      </c>
      <c r="E139" s="6" t="str">
        <f>UPPER(Sheet1!G139)</f>
        <v>SUMUKH BHARADWAJ METIKURKE VASUKI</v>
      </c>
      <c r="F139" s="6" t="str">
        <f>UPPER(Sheet1!H139)</f>
        <v>NISCHITHA  TURUVEKERE SRINATH</v>
      </c>
      <c r="G139" s="5" t="str">
        <f>TEXT(Sheet1!C139,"dd/mm/yyyy") &amp; "," &amp; Sheet1!D139</f>
        <v xml:space="preserve">07/08/2025,WERRIBEE, AUSTRALIA  </v>
      </c>
      <c r="H139" s="57" t="str">
        <f>UPPER(Sheet1!K139 &amp; "," &amp; Sheet1!L139 &amp; "," &amp; Sheet1!M139)</f>
        <v>NO. 2477,27TH MAIN,15TH CROSS,HSR LAYOUT SECTOR-1,BENGALURU,BENGALURU,PIN:560102,KARNATAKA,INDIA</v>
      </c>
      <c r="I139" s="8">
        <f>Sheet1!J139</f>
        <v>45911</v>
      </c>
      <c r="J139" s="5" t="str">
        <f>Sheet1!N139 &amp; "," &amp; TEXT(Sheet1!O139,"dd/mm/yy")</f>
        <v>202509059874,25/08/25</v>
      </c>
      <c r="K139" s="5" t="s">
        <v>5474</v>
      </c>
      <c r="L139" s="38" t="s">
        <v>15</v>
      </c>
      <c r="M139" s="38">
        <v>45925</v>
      </c>
      <c r="N139" s="38" t="s">
        <v>16</v>
      </c>
    </row>
    <row r="140" spans="1:14" x14ac:dyDescent="0.35">
      <c r="A140" s="4" t="str">
        <f>Sheet1!A140 &amp; "/" &amp; "2025"</f>
        <v>1538/2025</v>
      </c>
      <c r="B140" s="5" t="str">
        <f>Sheet1!E140</f>
        <v>AU2065666492125</v>
      </c>
      <c r="C140" s="6" t="str">
        <f>UPPER(Sheet1!B140)</f>
        <v>FAAZ HUSSAYN ALI MOHAMMED</v>
      </c>
      <c r="D140" s="7" t="str">
        <f>IF(Sheet1!F140="F","FEMALE","MALE")</f>
        <v>MALE</v>
      </c>
      <c r="E140" s="6" t="str">
        <f>UPPER(Sheet1!G140)</f>
        <v>FAROOQ ALI MOHAMMED</v>
      </c>
      <c r="F140" s="6" t="str">
        <f>UPPER(Sheet1!H140)</f>
        <v>SYEDA AFREEN SULTANA </v>
      </c>
      <c r="G140" s="5" t="str">
        <f>TEXT(Sheet1!C140,"dd/mm/yyyy") &amp; "," &amp; Sheet1!D140</f>
        <v xml:space="preserve">15/08/2024,PARKVILLE, AUSTRALIA  </v>
      </c>
      <c r="H140" s="57" t="str">
        <f>UPPER(Sheet1!K140 &amp; "," &amp; Sheet1!L140 &amp; "," &amp; Sheet1!M140)</f>
        <v>PLOT NO 40 FLAT NO 302 ROYAL ARCH NEAR ROSARY,PRAGATHI NAGAR,MEDCHAL,PIN:500090,TELANGANA,INDIA</v>
      </c>
      <c r="I140" s="8">
        <f>Sheet1!J140</f>
        <v>45911</v>
      </c>
      <c r="J140" s="5" t="str">
        <f>Sheet1!N140 &amp; "," &amp; TEXT(Sheet1!O140,"dd/mm/yy")</f>
        <v>202509056612,12/08/25</v>
      </c>
      <c r="K140" s="5" t="s">
        <v>5474</v>
      </c>
      <c r="L140" s="38" t="s">
        <v>15</v>
      </c>
      <c r="M140" s="38">
        <v>45925</v>
      </c>
      <c r="N140" s="38" t="s">
        <v>16</v>
      </c>
    </row>
    <row r="141" spans="1:14" x14ac:dyDescent="0.35">
      <c r="A141" s="4" t="str">
        <f>Sheet1!A141 &amp; "/" &amp; "2025"</f>
        <v>1539/2025</v>
      </c>
      <c r="B141" s="5" t="str">
        <f>Sheet1!E141</f>
        <v>AU2065666492925</v>
      </c>
      <c r="C141" s="6" t="str">
        <f>UPPER(Sheet1!B141)</f>
        <v>ADVIK NAIN</v>
      </c>
      <c r="D141" s="7" t="str">
        <f>IF(Sheet1!F141="F","FEMALE","MALE")</f>
        <v>MALE</v>
      </c>
      <c r="E141" s="6" t="str">
        <f>UPPER(Sheet1!G141)</f>
        <v>JUGJEET</v>
      </c>
      <c r="F141" s="6" t="str">
        <f>UPPER(Sheet1!H141)</f>
        <v>MANISHA </v>
      </c>
      <c r="G141" s="5" t="str">
        <f>TEXT(Sheet1!C141,"dd/mm/yyyy") &amp; "," &amp; Sheet1!D141</f>
        <v xml:space="preserve">11/04/2025,ST ALBANS, AUSTRALIA  </v>
      </c>
      <c r="H141" s="57" t="str">
        <f>UPPER(Sheet1!K141 &amp; "," &amp; Sheet1!L141 &amp; "," &amp; Sheet1!M141)</f>
        <v>,VPO GULAHRI,SANGRUR,PIN:148027,PUNJAB,INDIA</v>
      </c>
      <c r="I141" s="8">
        <f>Sheet1!J141</f>
        <v>45911</v>
      </c>
      <c r="J141" s="5" t="str">
        <f>Sheet1!N141 &amp; "," &amp; TEXT(Sheet1!O141,"dd/mm/yy")</f>
        <v>202509060485,27/08/25</v>
      </c>
      <c r="K141" s="5" t="s">
        <v>5474</v>
      </c>
      <c r="L141" s="38" t="s">
        <v>15</v>
      </c>
      <c r="M141" s="38">
        <v>45925</v>
      </c>
      <c r="N141" s="38" t="s">
        <v>16</v>
      </c>
    </row>
    <row r="142" spans="1:14" x14ac:dyDescent="0.35">
      <c r="A142" s="4" t="str">
        <f>Sheet1!A142 &amp; "/" &amp; "2025"</f>
        <v>1540/2025</v>
      </c>
      <c r="B142" s="5" t="str">
        <f>Sheet1!E142</f>
        <v>AU2065666493325</v>
      </c>
      <c r="C142" s="6" t="str">
        <f>UPPER(Sheet1!B142)</f>
        <v>LAVANYA SAINI</v>
      </c>
      <c r="D142" s="7" t="str">
        <f>IF(Sheet1!F142="F","FEMALE","MALE")</f>
        <v>FEMALE</v>
      </c>
      <c r="E142" s="6" t="str">
        <f>UPPER(Sheet1!G142)</f>
        <v>NEERAJ SAINI</v>
      </c>
      <c r="F142" s="6" t="str">
        <f>UPPER(Sheet1!H142)</f>
        <v>SHIKHA  SAINI</v>
      </c>
      <c r="G142" s="5" t="str">
        <f>TEXT(Sheet1!C142,"dd/mm/yyyy") &amp; "," &amp; Sheet1!D142</f>
        <v xml:space="preserve">04/02/2025,HEIDELBERG, AUSTRALIA  </v>
      </c>
      <c r="H142" s="57" t="str">
        <f>UPPER(Sheet1!K142 &amp; "," &amp; Sheet1!L142 &amp; "," &amp; Sheet1!M142)</f>
        <v>44,VPO BIR KALWA,KURUKSHETRA,PIN:136156,HARYANA,INDIA</v>
      </c>
      <c r="I142" s="8">
        <f>Sheet1!J142</f>
        <v>45911</v>
      </c>
      <c r="J142" s="5" t="str">
        <f>Sheet1!N142 &amp; "," &amp; TEXT(Sheet1!O142,"dd/mm/yy")</f>
        <v>202509058138,18/08/25</v>
      </c>
      <c r="K142" s="5" t="s">
        <v>5474</v>
      </c>
      <c r="L142" s="38" t="s">
        <v>15</v>
      </c>
      <c r="M142" s="38">
        <v>45925</v>
      </c>
      <c r="N142" s="38" t="s">
        <v>16</v>
      </c>
    </row>
    <row r="143" spans="1:14" x14ac:dyDescent="0.35">
      <c r="A143" s="4" t="str">
        <f>Sheet1!A143 &amp; "/" &amp; "2025"</f>
        <v>1541/2025</v>
      </c>
      <c r="B143" s="5" t="str">
        <f>Sheet1!E143</f>
        <v>AU2065666493925</v>
      </c>
      <c r="C143" s="6" t="str">
        <f>UPPER(Sheet1!B143)</f>
        <v>AMANAT KAUR</v>
      </c>
      <c r="D143" s="7" t="str">
        <f>IF(Sheet1!F143="F","FEMALE","MALE")</f>
        <v>FEMALE</v>
      </c>
      <c r="E143" s="6" t="str">
        <f>UPPER(Sheet1!G143)</f>
        <v>GURDEEP SINGH</v>
      </c>
      <c r="F143" s="6" t="str">
        <f>UPPER(Sheet1!H143)</f>
        <v>KULVINDER KAUR </v>
      </c>
      <c r="G143" s="5" t="str">
        <f>TEXT(Sheet1!C143,"dd/mm/yyyy") &amp; "," &amp; Sheet1!D143</f>
        <v xml:space="preserve">20/06/2025,WERRIBEE, AUSTRALIA  </v>
      </c>
      <c r="H143" s="57" t="str">
        <f>UPPER(Sheet1!K143 &amp; "," &amp; Sheet1!L143 &amp; "," &amp; Sheet1!M143)</f>
        <v>S/O SUCHA SINGH,SAID KHERI SUHRON,PATIALA,PIN:140401,PUNJAB,INDIA</v>
      </c>
      <c r="I143" s="8">
        <f>Sheet1!J143</f>
        <v>45911</v>
      </c>
      <c r="J143" s="5" t="str">
        <f>Sheet1!N143 &amp; "," &amp; TEXT(Sheet1!O143,"dd/mm/yy")</f>
        <v>202509057545,15/08/25</v>
      </c>
      <c r="K143" s="5" t="s">
        <v>5474</v>
      </c>
      <c r="L143" s="38" t="s">
        <v>15</v>
      </c>
      <c r="M143" s="38">
        <v>45925</v>
      </c>
      <c r="N143" s="38" t="s">
        <v>16</v>
      </c>
    </row>
    <row r="144" spans="1:14" x14ac:dyDescent="0.35">
      <c r="A144" s="4" t="str">
        <f>Sheet1!A144 &amp; "/" &amp; "2025"</f>
        <v>1542/2025</v>
      </c>
      <c r="B144" s="5" t="str">
        <f>Sheet1!E144</f>
        <v>AU2065666498125</v>
      </c>
      <c r="C144" s="6" t="str">
        <f>UPPER(Sheet1!B144)</f>
        <v>HARNAAZ KOUR</v>
      </c>
      <c r="D144" s="7" t="str">
        <f>IF(Sheet1!F144="F","FEMALE","MALE")</f>
        <v>FEMALE</v>
      </c>
      <c r="E144" s="6" t="str">
        <f>UPPER(Sheet1!G144)</f>
        <v>PARAMJEET SINGH</v>
      </c>
      <c r="F144" s="6" t="str">
        <f>UPPER(Sheet1!H144)</f>
        <v>PRABHJOT KOUR </v>
      </c>
      <c r="G144" s="5" t="str">
        <f>TEXT(Sheet1!C144,"dd/mm/yyyy") &amp; "," &amp; Sheet1!D144</f>
        <v xml:space="preserve">16/07/2025,ST ALBANS, AUSTRALIA  </v>
      </c>
      <c r="H144" s="57" t="str">
        <f>UPPER(Sheet1!K144 &amp; "," &amp; Sheet1!L144 &amp; "," &amp; Sheet1!M144)</f>
        <v>H NO 498 SEC-3 EXT BASANT VIHAR,TRIKUTA NAGAR,JAMMU,PIN:180012,JAMMU AND KASHMIR,INDIA</v>
      </c>
      <c r="I144" s="8">
        <f>Sheet1!J144</f>
        <v>45911</v>
      </c>
      <c r="J144" s="5" t="str">
        <f>Sheet1!N144 &amp; "," &amp; TEXT(Sheet1!O144,"dd/mm/yy")</f>
        <v>202509058286,19/08/25</v>
      </c>
      <c r="K144" s="5" t="s">
        <v>5474</v>
      </c>
      <c r="L144" s="38" t="s">
        <v>15</v>
      </c>
      <c r="M144" s="38">
        <v>45925</v>
      </c>
      <c r="N144" s="38" t="s">
        <v>16</v>
      </c>
    </row>
    <row r="145" spans="1:14" x14ac:dyDescent="0.35">
      <c r="A145" s="4" t="str">
        <f>Sheet1!A145 &amp; "/" &amp; "2025"</f>
        <v>1543/2025</v>
      </c>
      <c r="B145" s="5" t="str">
        <f>Sheet1!E145</f>
        <v>AU2065666499525</v>
      </c>
      <c r="C145" s="6" t="str">
        <f>UPPER(Sheet1!B145)</f>
        <v>EVELYN KAUR</v>
      </c>
      <c r="D145" s="7" t="str">
        <f>IF(Sheet1!F145="F","FEMALE","MALE")</f>
        <v>FEMALE</v>
      </c>
      <c r="E145" s="6" t="str">
        <f>UPPER(Sheet1!G145)</f>
        <v>AVTAR SINGH</v>
      </c>
      <c r="F145" s="6" t="str">
        <f>UPPER(Sheet1!H145)</f>
        <v>KAMALJEET KAUR </v>
      </c>
      <c r="G145" s="5" t="str">
        <f>TEXT(Sheet1!C145,"dd/mm/yyyy") &amp; "," &amp; Sheet1!D145</f>
        <v xml:space="preserve">12/09/2024,ST ALBANS, AUSTRALIA  </v>
      </c>
      <c r="H145" s="57" t="str">
        <f>UPPER(Sheet1!K145 &amp; "," &amp; Sheet1!L145 &amp; "," &amp; Sheet1!M145)</f>
        <v>H NO 267 SEC 22 C SANGATPURA,MANDI GOBINDGARH,FATEHGARH SAHIB,PIN:147301,PUNJAB,INDIA</v>
      </c>
      <c r="I145" s="8">
        <f>Sheet1!J145</f>
        <v>45911</v>
      </c>
      <c r="J145" s="5" t="str">
        <f>Sheet1!N145 &amp; "," &amp; TEXT(Sheet1!O145,"dd/mm/yy")</f>
        <v>202509059498,23/08/25</v>
      </c>
      <c r="K145" s="5" t="s">
        <v>5474</v>
      </c>
      <c r="L145" s="38" t="s">
        <v>15</v>
      </c>
      <c r="M145" s="38">
        <v>45925</v>
      </c>
      <c r="N145" s="38" t="s">
        <v>16</v>
      </c>
    </row>
    <row r="146" spans="1:14" x14ac:dyDescent="0.35">
      <c r="A146" s="4" t="str">
        <f>Sheet1!A146 &amp; "/" &amp; "2025"</f>
        <v>1544/2025</v>
      </c>
      <c r="B146" s="5" t="str">
        <f>Sheet1!E146</f>
        <v>AU2065666500725</v>
      </c>
      <c r="C146" s="6" t="str">
        <f>UPPER(Sheet1!B146)</f>
        <v>ARZOI KAUR</v>
      </c>
      <c r="D146" s="7" t="str">
        <f>IF(Sheet1!F146="F","FEMALE","MALE")</f>
        <v>FEMALE</v>
      </c>
      <c r="E146" s="6" t="str">
        <f>UPPER(Sheet1!G146)</f>
        <v>KHUSHDEEP SINGH</v>
      </c>
      <c r="F146" s="6" t="str">
        <f>UPPER(Sheet1!H146)</f>
        <v>VEERPAL KAUR </v>
      </c>
      <c r="G146" s="5" t="str">
        <f>TEXT(Sheet1!C146,"dd/mm/yyyy") &amp; "," &amp; Sheet1!D146</f>
        <v xml:space="preserve">22/11/2024,EPPING, AUSTRALIA </v>
      </c>
      <c r="H146" s="57" t="str">
        <f>UPPER(Sheet1!K146 &amp; "," &amp; Sheet1!L146 &amp; "," &amp; Sheet1!M146)</f>
        <v>VPO-24-O-BHUTTIWALA,TEHSIL-SRIKARANPUR,SRI GANGANAGAR,PIN:335073,RAJASTHAN,INDIA</v>
      </c>
      <c r="I146" s="8">
        <f>Sheet1!J146</f>
        <v>45911</v>
      </c>
      <c r="J146" s="5" t="str">
        <f>Sheet1!N146 &amp; "," &amp; TEXT(Sheet1!O146,"dd/mm/yy")</f>
        <v>202509057533,15/08/25</v>
      </c>
      <c r="K146" s="5" t="s">
        <v>14</v>
      </c>
      <c r="L146" s="38" t="s">
        <v>15</v>
      </c>
      <c r="M146" s="38">
        <v>45925</v>
      </c>
      <c r="N146" s="38" t="s">
        <v>16</v>
      </c>
    </row>
    <row r="147" spans="1:14" x14ac:dyDescent="0.35">
      <c r="A147" s="4" t="str">
        <f>Sheet1!A147 &amp; "/" &amp; "2025"</f>
        <v>1545/2025</v>
      </c>
      <c r="B147" s="5" t="str">
        <f>Sheet1!E147</f>
        <v>AU2065666501125</v>
      </c>
      <c r="C147" s="6" t="str">
        <f>UPPER(Sheet1!B147)</f>
        <v>HARNAAZ KAUR CHAHAL</v>
      </c>
      <c r="D147" s="7" t="str">
        <f>IF(Sheet1!F147="F","FEMALE","MALE")</f>
        <v>FEMALE</v>
      </c>
      <c r="E147" s="6" t="str">
        <f>UPPER(Sheet1!G147)</f>
        <v>HARDAS SINGH</v>
      </c>
      <c r="F147" s="6" t="str">
        <f>UPPER(Sheet1!H147)</f>
        <v>SANDEEP KOUR </v>
      </c>
      <c r="G147" s="5" t="str">
        <f>TEXT(Sheet1!C147,"dd/mm/yyyy") &amp; "," &amp; Sheet1!D147</f>
        <v xml:space="preserve">26/12/2024,ST ALBANS, AUSTRALIA  </v>
      </c>
      <c r="H147" s="57" t="str">
        <f>UPPER(Sheet1!K147 &amp; "," &amp; Sheet1!L147 &amp; "," &amp; Sheet1!M147)</f>
        <v>HOUSE NO. 83,KHIWADIALUWALA ,MANSA,MANSA,PIN:151504,PUNJAB,INDIA</v>
      </c>
      <c r="I147" s="8">
        <f>Sheet1!J147</f>
        <v>45911</v>
      </c>
      <c r="J147" s="5" t="str">
        <f>Sheet1!N147 &amp; "," &amp; TEXT(Sheet1!O147,"dd/mm/yy")</f>
        <v>202509021962,30/03/25</v>
      </c>
      <c r="K147" s="5" t="s">
        <v>14</v>
      </c>
      <c r="L147" s="38" t="s">
        <v>15</v>
      </c>
      <c r="M147" s="38">
        <v>45925</v>
      </c>
      <c r="N147" s="38" t="s">
        <v>16</v>
      </c>
    </row>
    <row r="148" spans="1:14" x14ac:dyDescent="0.35">
      <c r="A148" s="4" t="str">
        <f>Sheet1!A148 &amp; "/" &amp; "2025"</f>
        <v>1546/2025</v>
      </c>
      <c r="B148" s="5" t="str">
        <f>Sheet1!E148</f>
        <v>AU2065666501925</v>
      </c>
      <c r="C148" s="6" t="str">
        <f>UPPER(Sheet1!B148)</f>
        <v>ROYCE SINGH</v>
      </c>
      <c r="D148" s="7" t="str">
        <f>IF(Sheet1!F148="F","FEMALE","MALE")</f>
        <v>MALE</v>
      </c>
      <c r="E148" s="6" t="str">
        <f>UPPER(Sheet1!G148)</f>
        <v>ROSEDEEP SINGH</v>
      </c>
      <c r="F148" s="6" t="str">
        <f>UPPER(Sheet1!H148)</f>
        <v>LOVEPREET KAUR </v>
      </c>
      <c r="G148" s="5" t="str">
        <f>TEXT(Sheet1!C148,"dd/mm/yyyy") &amp; "," &amp; Sheet1!D148</f>
        <v xml:space="preserve">03/02/2025,BACCHUS MARSH , AUSTRALIA  </v>
      </c>
      <c r="H148" s="57" t="str">
        <f>UPPER(Sheet1!K148 &amp; "," &amp; Sheet1!L148 &amp; "," &amp; Sheet1!M148)</f>
        <v>VILLAGE ALI CHAK PO SAHOWAL,TEH DINANAGAR,GURDASPUR,PIN:143531,PUNJAB,INDIA</v>
      </c>
      <c r="I148" s="8">
        <f>Sheet1!J148</f>
        <v>45911</v>
      </c>
      <c r="J148" s="5" t="str">
        <f>Sheet1!N148 &amp; "," &amp; TEXT(Sheet1!O148,"dd/mm/yy")</f>
        <v>202509050295,18/07/25</v>
      </c>
      <c r="K148" s="5" t="s">
        <v>14</v>
      </c>
      <c r="L148" s="38" t="s">
        <v>15</v>
      </c>
      <c r="M148" s="38">
        <v>45925</v>
      </c>
      <c r="N148" s="38" t="s">
        <v>16</v>
      </c>
    </row>
    <row r="149" spans="1:14" x14ac:dyDescent="0.35">
      <c r="A149" s="4" t="str">
        <f>Sheet1!A149 &amp; "/" &amp; "2025"</f>
        <v>1547/2025</v>
      </c>
      <c r="B149" s="5" t="str">
        <f>Sheet1!E149</f>
        <v>AU2065666503325</v>
      </c>
      <c r="C149" s="6" t="str">
        <f>UPPER(Sheet1!B149)</f>
        <v>GURBAAZ SINGH UPPAL</v>
      </c>
      <c r="D149" s="7" t="str">
        <f>IF(Sheet1!F149="F","FEMALE","MALE")</f>
        <v>MALE</v>
      </c>
      <c r="E149" s="6" t="str">
        <f>UPPER(Sheet1!G149)</f>
        <v>GURINDER SINGH</v>
      </c>
      <c r="F149" s="6" t="str">
        <f>UPPER(Sheet1!H149)</f>
        <v>JASJOT KAUR </v>
      </c>
      <c r="G149" s="5" t="str">
        <f>TEXT(Sheet1!C149,"dd/mm/yyyy") &amp; "," &amp; Sheet1!D149</f>
        <v xml:space="preserve">13/07/2025,ST ALBANS, AUSTRALIA  </v>
      </c>
      <c r="H149" s="57" t="str">
        <f>UPPER(Sheet1!K149 &amp; "," &amp; Sheet1!L149 &amp; "," &amp; Sheet1!M149)</f>
        <v>VILLAGE-KALAL MAJRA,GANESHPUR,AMBALA,PIN:134202,HARYANA,INDIA</v>
      </c>
      <c r="I149" s="8">
        <f>Sheet1!J149</f>
        <v>45911</v>
      </c>
      <c r="J149" s="5" t="str">
        <f>Sheet1!N149 &amp; "," &amp; TEXT(Sheet1!O149,"dd/mm/yy")</f>
        <v>202509057991,18/08/25</v>
      </c>
      <c r="K149" s="5" t="s">
        <v>14</v>
      </c>
      <c r="L149" s="38" t="s">
        <v>15</v>
      </c>
      <c r="M149" s="38">
        <v>45925</v>
      </c>
      <c r="N149" s="38" t="s">
        <v>16</v>
      </c>
    </row>
    <row r="150" spans="1:14" x14ac:dyDescent="0.35">
      <c r="A150" s="4" t="str">
        <f>Sheet1!A150 &amp; "/" &amp; "2025"</f>
        <v>1548/2025</v>
      </c>
      <c r="B150" s="5" t="str">
        <f>Sheet1!E150</f>
        <v>AU2065666505925</v>
      </c>
      <c r="C150" s="6" t="str">
        <f>UPPER(Sheet1!B150)</f>
        <v>GURNIWAZ SINGH</v>
      </c>
      <c r="D150" s="7" t="str">
        <f>IF(Sheet1!F150="F","FEMALE","MALE")</f>
        <v>MALE</v>
      </c>
      <c r="E150" s="6" t="str">
        <f>UPPER(Sheet1!G150)</f>
        <v>MANDEEP SINGH</v>
      </c>
      <c r="F150" s="6" t="str">
        <f>UPPER(Sheet1!H150)</f>
        <v>RUPINDER KAUR </v>
      </c>
      <c r="G150" s="5" t="str">
        <f>TEXT(Sheet1!C150,"dd/mm/yyyy") &amp; "," &amp; Sheet1!D150</f>
        <v xml:space="preserve">09/04/2025,WODONGA, AUSTRALIA  </v>
      </c>
      <c r="H150" s="57" t="str">
        <f>UPPER(Sheet1!K150 &amp; "," &amp; Sheet1!L150 &amp; "," &amp; Sheet1!M150)</f>
        <v>217,VPO SIWAN MAJRA,AMBALA,PIN:133201,HARYANA,INDIA</v>
      </c>
      <c r="I150" s="8">
        <f>Sheet1!J150</f>
        <v>45911</v>
      </c>
      <c r="J150" s="5" t="str">
        <f>Sheet1!N150 &amp; "," &amp; TEXT(Sheet1!O150,"dd/mm/yy")</f>
        <v>202509061667,01/09/25</v>
      </c>
      <c r="K150" s="5" t="s">
        <v>14</v>
      </c>
      <c r="L150" s="38" t="s">
        <v>15</v>
      </c>
      <c r="M150" s="38">
        <v>45925</v>
      </c>
      <c r="N150" s="38" t="s">
        <v>16</v>
      </c>
    </row>
    <row r="151" spans="1:14" x14ac:dyDescent="0.35">
      <c r="A151" s="4" t="str">
        <f>Sheet1!A151 &amp; "/" &amp; "2025"</f>
        <v>1549/2025</v>
      </c>
      <c r="B151" s="5" t="str">
        <f>Sheet1!E151</f>
        <v>AU2065666507525</v>
      </c>
      <c r="C151" s="6" t="str">
        <f>UPPER(Sheet1!B151)</f>
        <v>LAYAL SHAHEEN</v>
      </c>
      <c r="D151" s="7" t="str">
        <f>IF(Sheet1!F151="F","FEMALE","MALE")</f>
        <v>FEMALE</v>
      </c>
      <c r="E151" s="6" t="str">
        <f>UPPER(Sheet1!G151)</f>
        <v>SHAHEEN MOHAMED URUNIYAN PARAMBAN</v>
      </c>
      <c r="F151" s="6" t="str">
        <f>UPPER(Sheet1!H151)</f>
        <v>FATHIMA RUSHDA  KOLANGARA KANDY</v>
      </c>
      <c r="G151" s="5" t="str">
        <f>TEXT(Sheet1!C151,"dd/mm/yyyy") &amp; "," &amp; Sheet1!D151</f>
        <v xml:space="preserve">15/06/2025,GEELONG, AUSTRALIA  </v>
      </c>
      <c r="H151" s="57" t="str">
        <f>UPPER(Sheet1!K151 &amp; "," &amp; Sheet1!L151 &amp; "," &amp; Sheet1!M151)</f>
        <v>SEENAS HOUSE,GUEST HOUSE ROAD,KAVUNGAL,MALAPPURAM,PIN:676505,KERALA,INDIA</v>
      </c>
      <c r="I151" s="8">
        <f>Sheet1!J151</f>
        <v>45911</v>
      </c>
      <c r="J151" s="5" t="str">
        <f>Sheet1!N151 &amp; "," &amp; TEXT(Sheet1!O151,"dd/mm/yy")</f>
        <v>202509061489,31/08/25</v>
      </c>
      <c r="K151" s="5" t="s">
        <v>14</v>
      </c>
      <c r="L151" s="38" t="s">
        <v>15</v>
      </c>
      <c r="M151" s="38">
        <v>45925</v>
      </c>
      <c r="N151" s="38" t="s">
        <v>16</v>
      </c>
    </row>
    <row r="152" spans="1:14" x14ac:dyDescent="0.35">
      <c r="A152" s="4" t="str">
        <f>Sheet1!A152 &amp; "/" &amp; "2025"</f>
        <v>1550/2025</v>
      </c>
      <c r="B152" s="5" t="str">
        <f>Sheet1!E152</f>
        <v>AU2065666508725</v>
      </c>
      <c r="C152" s="6" t="str">
        <f>UPPER(Sheet1!B152)</f>
        <v>REHMAT KAUR</v>
      </c>
      <c r="D152" s="7" t="str">
        <f>IF(Sheet1!F152="F","FEMALE","MALE")</f>
        <v>FEMALE</v>
      </c>
      <c r="E152" s="6" t="str">
        <f>UPPER(Sheet1!G152)</f>
        <v>PARMINDER SINGH</v>
      </c>
      <c r="F152" s="6" t="str">
        <f>UPPER(Sheet1!H152)</f>
        <v>SIMRANJEET KAUR </v>
      </c>
      <c r="G152" s="5" t="str">
        <f>TEXT(Sheet1!C152,"dd/mm/yyyy") &amp; "," &amp; Sheet1!D152</f>
        <v xml:space="preserve">04/07/2025,EPPING, AUSTRALIA  </v>
      </c>
      <c r="H152" s="57" t="str">
        <f>UPPER(Sheet1!K152 &amp; "," &amp; Sheet1!L152 &amp; "," &amp; Sheet1!M152)</f>
        <v>VILL SULEHRIAN KHURD,PO.TANDA RAM SAHAI,HOSHIARPUR,PIN:144214,PUNJAB,INDIA</v>
      </c>
      <c r="I152" s="8">
        <f>Sheet1!J152</f>
        <v>45911</v>
      </c>
      <c r="J152" s="5" t="str">
        <f>Sheet1!N152 &amp; "," &amp; TEXT(Sheet1!O152,"dd/mm/yy")</f>
        <v>202509061488,31/08/25</v>
      </c>
      <c r="K152" s="5" t="s">
        <v>14</v>
      </c>
      <c r="L152" s="38" t="s">
        <v>15</v>
      </c>
      <c r="M152" s="38">
        <v>45925</v>
      </c>
      <c r="N152" s="38" t="s">
        <v>16</v>
      </c>
    </row>
    <row r="153" spans="1:14" x14ac:dyDescent="0.35">
      <c r="A153" s="4" t="str">
        <f>Sheet1!A153 &amp; "/" &amp; "2025"</f>
        <v>1551/2025</v>
      </c>
      <c r="B153" s="5" t="str">
        <f>Sheet1!E153</f>
        <v>AU2065666509325</v>
      </c>
      <c r="C153" s="6" t="str">
        <f>UPPER(Sheet1!B153)</f>
        <v>HARNOOR KAUR</v>
      </c>
      <c r="D153" s="7" t="str">
        <f>IF(Sheet1!F153="F","FEMALE","MALE")</f>
        <v>FEMALE</v>
      </c>
      <c r="E153" s="6" t="str">
        <f>UPPER(Sheet1!G153)</f>
        <v>BALJINDER SINGH</v>
      </c>
      <c r="F153" s="6" t="str">
        <f>UPPER(Sheet1!H153)</f>
        <v>MANINDERJIT KAUR </v>
      </c>
      <c r="G153" s="5" t="str">
        <f>TEXT(Sheet1!C153,"dd/mm/yyyy") &amp; "," &amp; Sheet1!D153</f>
        <v xml:space="preserve">30/03/2025,CLAYTON, AUSTRALIA  </v>
      </c>
      <c r="H153" s="57" t="str">
        <f>UPPER(Sheet1!K153 &amp; "," &amp; Sheet1!L153 &amp; "," &amp; Sheet1!M153)</f>
        <v>D 17/1092 SANDHU COLONY PI B/S INDO PIPE,CHHEHARTA,AMRITSAR,PIN:143001,PUNJAB,INDIA</v>
      </c>
      <c r="I153" s="8">
        <f>Sheet1!J153</f>
        <v>45911</v>
      </c>
      <c r="J153" s="5" t="str">
        <f>Sheet1!N153 &amp; "," &amp; TEXT(Sheet1!O153,"dd/mm/yy")</f>
        <v>202509039482,08/06/25</v>
      </c>
      <c r="K153" s="5" t="s">
        <v>14</v>
      </c>
      <c r="L153" s="38" t="s">
        <v>15</v>
      </c>
      <c r="M153" s="38">
        <v>45925</v>
      </c>
      <c r="N153" s="38" t="s">
        <v>16</v>
      </c>
    </row>
    <row r="154" spans="1:14" x14ac:dyDescent="0.35">
      <c r="A154" s="4" t="str">
        <f>Sheet1!A154 &amp; "/" &amp; "2025"</f>
        <v>1552/2025</v>
      </c>
      <c r="B154" s="5" t="str">
        <f>Sheet1!E154</f>
        <v>AU2065666509925</v>
      </c>
      <c r="C154" s="6" t="str">
        <f>UPPER(Sheet1!B154)</f>
        <v>MANSHER SINGH SANDHU</v>
      </c>
      <c r="D154" s="7" t="str">
        <f>IF(Sheet1!F154="F","FEMALE","MALE")</f>
        <v>MALE</v>
      </c>
      <c r="E154" s="6" t="str">
        <f>UPPER(Sheet1!G154)</f>
        <v>KARANPREET SINGH</v>
      </c>
      <c r="F154" s="6" t="str">
        <f>UPPER(Sheet1!H154)</f>
        <v>KIRANJOT KAUR </v>
      </c>
      <c r="G154" s="5" t="str">
        <f>TEXT(Sheet1!C154,"dd/mm/yyyy") &amp; "," &amp; Sheet1!D154</f>
        <v xml:space="preserve">04/07/2025,MOUNT WAVERLEY, AUSTRALIA  </v>
      </c>
      <c r="H154" s="57" t="str">
        <f>UPPER(Sheet1!K154 &amp; "," &amp; Sheet1!L154 &amp; "," &amp; Sheet1!M154)</f>
        <v>GURU RAM DAS COLONY,SANGATPURA ROAD,FGC,GURDASPUR,PIN:143602,PUNJAB,INDIA</v>
      </c>
      <c r="I154" s="8">
        <f>Sheet1!J154</f>
        <v>45911</v>
      </c>
      <c r="J154" s="5" t="str">
        <f>Sheet1!N154 &amp; "," &amp; TEXT(Sheet1!O154,"dd/mm/yy")</f>
        <v>202509061705,01/09/25</v>
      </c>
      <c r="K154" s="5" t="s">
        <v>14</v>
      </c>
      <c r="L154" s="38" t="s">
        <v>15</v>
      </c>
      <c r="M154" s="38">
        <v>45925</v>
      </c>
      <c r="N154" s="38" t="s">
        <v>16</v>
      </c>
    </row>
    <row r="155" spans="1:14" x14ac:dyDescent="0.35">
      <c r="A155" s="4" t="str">
        <f>Sheet1!A155 &amp; "/" &amp; "2025"</f>
        <v>1553/2025</v>
      </c>
      <c r="B155" s="5" t="str">
        <f>Sheet1!E155</f>
        <v>AU2065666510325</v>
      </c>
      <c r="C155" s="6" t="str">
        <f>UPPER(Sheet1!B155)</f>
        <v>DIVYANT SHARMA</v>
      </c>
      <c r="D155" s="7" t="str">
        <f>IF(Sheet1!F155="F","FEMALE","MALE")</f>
        <v>MALE</v>
      </c>
      <c r="E155" s="6" t="str">
        <f>UPPER(Sheet1!G155)</f>
        <v>PARDEEP SHARMA</v>
      </c>
      <c r="F155" s="6" t="str">
        <f>UPPER(Sheet1!H155)</f>
        <v>RITURAJ </v>
      </c>
      <c r="G155" s="5" t="str">
        <f>TEXT(Sheet1!C155,"dd/mm/yyyy") &amp; "," &amp; Sheet1!D155</f>
        <v xml:space="preserve">02/02/2025,ST ALBANS, AUSTRALIA  </v>
      </c>
      <c r="H155" s="57" t="str">
        <f>UPPER(Sheet1!K155 &amp; "," &amp; Sheet1!L155 &amp; "," &amp; Sheet1!M155)</f>
        <v>189,AMIN,KURUKSHETRA,PIN:136038,HARYANA,INDIA</v>
      </c>
      <c r="I155" s="8">
        <f>Sheet1!J155</f>
        <v>45911</v>
      </c>
      <c r="J155" s="5" t="str">
        <f>Sheet1!N155 &amp; "," &amp; TEXT(Sheet1!O155,"dd/mm/yy")</f>
        <v>202509052032,25/07/25</v>
      </c>
      <c r="K155" s="5" t="s">
        <v>14</v>
      </c>
      <c r="L155" s="38" t="s">
        <v>15</v>
      </c>
      <c r="M155" s="38">
        <v>45925</v>
      </c>
      <c r="N155" s="38" t="s">
        <v>16</v>
      </c>
    </row>
    <row r="156" spans="1:14" x14ac:dyDescent="0.35">
      <c r="A156" s="4" t="str">
        <f>Sheet1!A156 &amp; "/" &amp; "2025"</f>
        <v>1554/2025</v>
      </c>
      <c r="B156" s="5" t="str">
        <f>Sheet1!E156</f>
        <v>AU2065666510925</v>
      </c>
      <c r="C156" s="6" t="str">
        <f>UPPER(Sheet1!B156)</f>
        <v>IBADAT KAUR BUTTAR</v>
      </c>
      <c r="D156" s="7" t="str">
        <f>IF(Sheet1!F156="F","FEMALE","MALE")</f>
        <v>FEMALE</v>
      </c>
      <c r="E156" s="6" t="str">
        <f>UPPER(Sheet1!G156)</f>
        <v>AMANJOT SINGH BUTTAR</v>
      </c>
      <c r="F156" s="6" t="str">
        <f>UPPER(Sheet1!H156)</f>
        <v>JASDEEP KAUR  THIND</v>
      </c>
      <c r="G156" s="5" t="str">
        <f>TEXT(Sheet1!C156,"dd/mm/yyyy") &amp; "," &amp; Sheet1!D156</f>
        <v>12/07/2025,DANDENONG, AUSTRALIA</v>
      </c>
      <c r="H156" s="57" t="str">
        <f>UPPER(Sheet1!K156 &amp; "," &amp; Sheet1!L156 &amp; "," &amp; Sheet1!M156)</f>
        <v>VILL BURJ NAKLIAN,P.O BINJAL TEHSIL RAIKOT,JAGRAON (LUDHIANA),PIN:142032,PUNJAB,INDIA</v>
      </c>
      <c r="I156" s="8">
        <f>Sheet1!J156</f>
        <v>45911</v>
      </c>
      <c r="J156" s="5" t="str">
        <f>Sheet1!N156 &amp; "," &amp; TEXT(Sheet1!O156,"dd/mm/yy")</f>
        <v>202509059031,21/08/25</v>
      </c>
      <c r="K156" s="5" t="s">
        <v>14</v>
      </c>
      <c r="L156" s="38" t="s">
        <v>15</v>
      </c>
      <c r="M156" s="38">
        <v>45925</v>
      </c>
      <c r="N156" s="38" t="s">
        <v>16</v>
      </c>
    </row>
    <row r="157" spans="1:14" x14ac:dyDescent="0.35">
      <c r="A157" s="4" t="str">
        <f>Sheet1!A157 &amp; "/" &amp; "2025"</f>
        <v>1555/2025</v>
      </c>
      <c r="B157" s="5" t="str">
        <f>Sheet1!E157</f>
        <v>AU2065666511525</v>
      </c>
      <c r="C157" s="6" t="str">
        <f>UPPER(Sheet1!B157)</f>
        <v>AVIRAJ RANDHAWA</v>
      </c>
      <c r="D157" s="7" t="str">
        <f>IF(Sheet1!F157="F","FEMALE","MALE")</f>
        <v>MALE</v>
      </c>
      <c r="E157" s="6" t="str">
        <f>UPPER(Sheet1!G157)</f>
        <v>SARBJEET SINGH</v>
      </c>
      <c r="F157" s="6" t="str">
        <f>UPPER(Sheet1!H157)</f>
        <v>KARAMJOT KAUR </v>
      </c>
      <c r="G157" s="5" t="str">
        <f>TEXT(Sheet1!C157,"dd/mm/yyyy") &amp; "," &amp; Sheet1!D157</f>
        <v xml:space="preserve">07/07/2025,BERWICK , AUSTRALIA  </v>
      </c>
      <c r="H157" s="57" t="str">
        <f>UPPER(Sheet1!K157 &amp; "," &amp; Sheet1!L157 &amp; "," &amp; Sheet1!M157)</f>
        <v>H.NO. 37 VILL: GOWARA,PO FATTUPUR,GURDASPUR,PIN:143512,PUNJAB,INDIA</v>
      </c>
      <c r="I157" s="8">
        <f>Sheet1!J157</f>
        <v>45911</v>
      </c>
      <c r="J157" s="5" t="str">
        <f>Sheet1!N157 &amp; "," &amp; TEXT(Sheet1!O157,"dd/mm/yy")</f>
        <v>202509056956,13/08/25</v>
      </c>
      <c r="K157" s="5" t="s">
        <v>14</v>
      </c>
      <c r="L157" s="38" t="s">
        <v>15</v>
      </c>
      <c r="M157" s="38">
        <v>45925</v>
      </c>
      <c r="N157" s="38" t="s">
        <v>16</v>
      </c>
    </row>
    <row r="158" spans="1:14" x14ac:dyDescent="0.35">
      <c r="A158" s="4" t="str">
        <f>Sheet1!A158 &amp; "/" &amp; "2025"</f>
        <v>1556/2025</v>
      </c>
      <c r="B158" s="5" t="str">
        <f>Sheet1!E158</f>
        <v>AU2065666512125</v>
      </c>
      <c r="C158" s="6" t="str">
        <f>UPPER(Sheet1!B158)</f>
        <v>JIND KAUR</v>
      </c>
      <c r="D158" s="7" t="str">
        <f>IF(Sheet1!F158="F","FEMALE","MALE")</f>
        <v>FEMALE</v>
      </c>
      <c r="E158" s="6" t="str">
        <f>UPPER(Sheet1!G158)</f>
        <v>SUKHPREET SINGH</v>
      </c>
      <c r="F158" s="6" t="str">
        <f>UPPER(Sheet1!H158)</f>
        <v>ARVINDER KAUR  BANGA</v>
      </c>
      <c r="G158" s="5" t="str">
        <f>TEXT(Sheet1!C158,"dd/mm/yyyy") &amp; "," &amp; Sheet1!D158</f>
        <v xml:space="preserve">18/06/2025,MILDURA, AUSTRALIA </v>
      </c>
      <c r="H158" s="57" t="str">
        <f>UPPER(Sheet1!K158 &amp; "," &amp; Sheet1!L158 &amp; "," &amp; Sheet1!M158)</f>
        <v>VILLAGE MULLIANWAL,PO DHARIWAL,GURDASPUR,PIN:143519,PUNJAB,INDIA</v>
      </c>
      <c r="I158" s="8">
        <f>Sheet1!J158</f>
        <v>45911</v>
      </c>
      <c r="J158" s="5" t="str">
        <f>Sheet1!N158 &amp; "," &amp; TEXT(Sheet1!O158,"dd/mm/yy")</f>
        <v>202509061935,02/09/25</v>
      </c>
      <c r="K158" s="5" t="s">
        <v>14</v>
      </c>
      <c r="L158" s="38" t="s">
        <v>15</v>
      </c>
      <c r="M158" s="38">
        <v>45925</v>
      </c>
      <c r="N158" s="38" t="s">
        <v>16</v>
      </c>
    </row>
    <row r="159" spans="1:14" x14ac:dyDescent="0.35">
      <c r="A159" s="4" t="str">
        <f>Sheet1!A159 &amp; "/" &amp; "2025"</f>
        <v>1557/2025</v>
      </c>
      <c r="B159" s="5" t="str">
        <f>Sheet1!E159</f>
        <v>AU2065666512925</v>
      </c>
      <c r="C159" s="6" t="str">
        <f>UPPER(Sheet1!B159)</f>
        <v>ABARNATHI INDU</v>
      </c>
      <c r="D159" s="7" t="str">
        <f>IF(Sheet1!F159="F","FEMALE","MALE")</f>
        <v>FEMALE</v>
      </c>
      <c r="E159" s="6" t="str">
        <f>UPPER(Sheet1!G159)</f>
        <v>NITHEESH KUNNEL SATHIYAN</v>
      </c>
      <c r="F159" s="6" t="str">
        <f>UPPER(Sheet1!H159)</f>
        <v>INDULEKHA  PALAKKAL UNNIKRISHNAN</v>
      </c>
      <c r="G159" s="5" t="str">
        <f>TEXT(Sheet1!C159,"dd/mm/yyyy") &amp; "," &amp; Sheet1!D159</f>
        <v xml:space="preserve">12/05/2025,CLAYTON , AUSTRALIA  </v>
      </c>
      <c r="H159" s="57" t="str">
        <f>UPPER(Sheet1!K159 &amp; "," &amp; Sheet1!L159 &amp; "," &amp; Sheet1!M159)</f>
        <v>KUNNEL HOUSE,KUMBALANGHI SOUTH P O,ERNAKULAM,PIN:682007,KERALA,INDIA</v>
      </c>
      <c r="I159" s="8">
        <f>Sheet1!J159</f>
        <v>45911</v>
      </c>
      <c r="J159" s="5" t="str">
        <f>Sheet1!N159 &amp; "," &amp; TEXT(Sheet1!O159,"dd/mm/yy")</f>
        <v>202509057678,16/08/25</v>
      </c>
      <c r="K159" s="5" t="s">
        <v>14</v>
      </c>
      <c r="L159" s="38" t="s">
        <v>15</v>
      </c>
      <c r="M159" s="38">
        <v>45925</v>
      </c>
      <c r="N159" s="38" t="s">
        <v>16</v>
      </c>
    </row>
    <row r="160" spans="1:14" x14ac:dyDescent="0.35">
      <c r="A160" s="4" t="str">
        <f>Sheet1!A160 &amp; "/" &amp; "2025"</f>
        <v>1558/2025</v>
      </c>
      <c r="B160" s="5" t="str">
        <f>Sheet1!E160</f>
        <v xml:space="preserve">AU2065673726525  </v>
      </c>
      <c r="C160" s="6" t="str">
        <f>UPPER(Sheet1!B160)</f>
        <v xml:space="preserve">SAANVI PUNIA  </v>
      </c>
      <c r="D160" s="7" t="str">
        <f>IF(Sheet1!F160="F","FEMALE","MALE")</f>
        <v>FEMALE</v>
      </c>
      <c r="E160" s="6" t="str">
        <f>UPPER(Sheet1!G160)</f>
        <v xml:space="preserve">SANDEEP KUMAR  </v>
      </c>
      <c r="F160" s="6" t="str">
        <f>UPPER(Sheet1!H160)</f>
        <v xml:space="preserve">PINKY DEVI  </v>
      </c>
      <c r="G160" s="5" t="str">
        <f>TEXT(Sheet1!C160,"dd/mm/yyyy") &amp; "," &amp; Sheet1!D160</f>
        <v xml:space="preserve">07/12/2024,EPPING, AUSTRALIA  </v>
      </c>
      <c r="H160" s="57" t="str">
        <f>UPPER(Sheet1!K160 &amp; "," &amp; Sheet1!L160 &amp; "," &amp; Sheet1!M160)</f>
        <v xml:space="preserve">VPO BAROTA, ,DISTT, KARNAL -132001,,HARYANA, INDIA  </v>
      </c>
      <c r="I160" s="8">
        <f>Sheet1!J160</f>
        <v>45912</v>
      </c>
      <c r="J160" s="5" t="str">
        <f>Sheet1!N160 &amp; "," &amp; TEXT(Sheet1!O160,"dd/mm/yy")</f>
        <v>202509047219,07/07/25</v>
      </c>
      <c r="K160" s="5" t="s">
        <v>14</v>
      </c>
      <c r="L160" s="38" t="s">
        <v>15</v>
      </c>
      <c r="M160" s="38">
        <v>45925</v>
      </c>
      <c r="N160" s="38" t="s">
        <v>16</v>
      </c>
    </row>
    <row r="161" spans="1:14" x14ac:dyDescent="0.35">
      <c r="A161" s="4" t="str">
        <f>Sheet1!A161 &amp; "/" &amp; "2025"</f>
        <v>1559/2025</v>
      </c>
      <c r="B161" s="5" t="str">
        <f>Sheet1!E161</f>
        <v xml:space="preserve">AU2065673728725  </v>
      </c>
      <c r="C161" s="6" t="str">
        <f>UPPER(Sheet1!B161)</f>
        <v xml:space="preserve">ABIJOT KAUR BAATH  </v>
      </c>
      <c r="D161" s="7" t="str">
        <f>IF(Sheet1!F161="F","FEMALE","MALE")</f>
        <v>FEMALE</v>
      </c>
      <c r="E161" s="6" t="str">
        <f>UPPER(Sheet1!G161)</f>
        <v xml:space="preserve">SURJIT SINGH BAATH  </v>
      </c>
      <c r="F161" s="6" t="str">
        <f>UPPER(Sheet1!H161)</f>
        <v xml:space="preserve">SUKHWINDER KAUR   </v>
      </c>
      <c r="G161" s="5" t="str">
        <f>TEXT(Sheet1!C161,"dd/mm/yyyy") &amp; "," &amp; Sheet1!D161</f>
        <v xml:space="preserve">28/03/2020,MILDURA, AUSTRALIA  </v>
      </c>
      <c r="H161" s="57" t="str">
        <f>UPPER(Sheet1!K161 &amp; "," &amp; Sheet1!L161 &amp; "," &amp; Sheet1!M161)</f>
        <v xml:space="preserve">VILLAGE CHAMB, ZIRA,,FEROZEPUR -142044,,  PUNJAB, INDIA  </v>
      </c>
      <c r="I161" s="8">
        <f>Sheet1!J161</f>
        <v>45912</v>
      </c>
      <c r="J161" s="5" t="str">
        <f>Sheet1!N161 &amp; "," &amp; TEXT(Sheet1!O161,"dd/mm/yy")</f>
        <v>202509038251,03/06/25</v>
      </c>
      <c r="K161" s="5" t="s">
        <v>14</v>
      </c>
      <c r="L161" s="38" t="s">
        <v>15</v>
      </c>
      <c r="M161" s="38">
        <v>45925</v>
      </c>
      <c r="N161" s="38" t="s">
        <v>16</v>
      </c>
    </row>
    <row r="162" spans="1:14" x14ac:dyDescent="0.35">
      <c r="A162" s="4" t="str">
        <f>Sheet1!A162 &amp; "/" &amp; "2025"</f>
        <v>1560/2025</v>
      </c>
      <c r="B162" s="5" t="str">
        <f>Sheet1!E162</f>
        <v>AU2065673729325</v>
      </c>
      <c r="C162" s="6" t="str">
        <f>UPPER(Sheet1!B162)</f>
        <v>AGAMJOT KAUR</v>
      </c>
      <c r="D162" s="7" t="str">
        <f>IF(Sheet1!F162="F","FEMALE","MALE")</f>
        <v>FEMALE</v>
      </c>
      <c r="E162" s="6" t="str">
        <f>UPPER(Sheet1!G162)</f>
        <v>GURINDER BIR SINGH</v>
      </c>
      <c r="F162" s="6" t="str">
        <f>UPPER(Sheet1!H162)</f>
        <v>BHUPINDER KAUR </v>
      </c>
      <c r="G162" s="5" t="str">
        <f>TEXT(Sheet1!C162,"dd/mm/yyyy") &amp; "," &amp; Sheet1!D162</f>
        <v xml:space="preserve">09/05/2021,ST ALBANS, AUSTRALIA  </v>
      </c>
      <c r="H162" s="57" t="str">
        <f>UPPER(Sheet1!K162 &amp; "," &amp; Sheet1!L162 &amp; "," &amp; Sheet1!M162)</f>
        <v>VPO. GULALIPUR,DISTT.,TARN TARAN,PIN:143401,PUNJAB,INDIA</v>
      </c>
      <c r="I162" s="8">
        <f>Sheet1!J162</f>
        <v>45912</v>
      </c>
      <c r="J162" s="5" t="str">
        <f>Sheet1!N162 &amp; "," &amp; TEXT(Sheet1!O162,"dd/mm/yy")</f>
        <v>202509054179,02/08/25</v>
      </c>
      <c r="K162" s="5" t="s">
        <v>14</v>
      </c>
      <c r="L162" s="38" t="s">
        <v>15</v>
      </c>
      <c r="M162" s="38">
        <v>45925</v>
      </c>
      <c r="N162" s="38" t="s">
        <v>16</v>
      </c>
    </row>
    <row r="163" spans="1:14" x14ac:dyDescent="0.35">
      <c r="A163" s="4" t="str">
        <f>Sheet1!A163 &amp; "/" &amp; "2025"</f>
        <v>1561/2025</v>
      </c>
      <c r="B163" s="5" t="str">
        <f>Sheet1!E163</f>
        <v>AU2065669986125</v>
      </c>
      <c r="C163" s="6" t="str">
        <f>UPPER(Sheet1!B163)</f>
        <v>DHURUV SAKTHIVEL</v>
      </c>
      <c r="D163" s="7" t="str">
        <f>IF(Sheet1!F163="F","FEMALE","MALE")</f>
        <v>MALE</v>
      </c>
      <c r="E163" s="6" t="str">
        <f>UPPER(Sheet1!G163)</f>
        <v>SAKTHIVEL PANNEER</v>
      </c>
      <c r="F163" s="6" t="str">
        <f>UPPER(Sheet1!H163)</f>
        <v>SARASWATHY  MATHAIYAN</v>
      </c>
      <c r="G163" s="5" t="str">
        <f>TEXT(Sheet1!C163,"dd/mm/yyyy") &amp; "," &amp; Sheet1!D163</f>
        <v xml:space="preserve">12/05/2025,WERIBEE, AUSTRALIA </v>
      </c>
      <c r="H163" s="57" t="str">
        <f>UPPER(Sheet1!K163 &amp; "," &amp; Sheet1!L163 &amp; "," &amp; Sheet1!M163)</f>
        <v>1/174,VENGAPULIYAN KOTTAI,PANNANDUR,KRISHNAGIRI,PIN:635123,TAMIL NADU,INDIA</v>
      </c>
      <c r="I163" s="8">
        <f>Sheet1!J163</f>
        <v>45915</v>
      </c>
      <c r="J163" s="5" t="str">
        <f>Sheet1!N163 &amp; "," &amp; TEXT(Sheet1!O163,"dd/mm/yy")</f>
        <v>202509061700,01/09/25</v>
      </c>
      <c r="K163" s="5" t="s">
        <v>14</v>
      </c>
      <c r="L163" s="38" t="s">
        <v>15</v>
      </c>
      <c r="M163" s="38">
        <v>45925</v>
      </c>
      <c r="N163" s="38" t="s">
        <v>16</v>
      </c>
    </row>
    <row r="164" spans="1:14" x14ac:dyDescent="0.35">
      <c r="A164" s="4" t="str">
        <f>Sheet1!A164 &amp; "/" &amp; "2025"</f>
        <v>1562/2025</v>
      </c>
      <c r="B164" s="5" t="str">
        <f>Sheet1!E164</f>
        <v>AU2065669991725</v>
      </c>
      <c r="C164" s="6" t="str">
        <f>UPPER(Sheet1!B164)</f>
        <v>RUDRANSH KHATRI</v>
      </c>
      <c r="D164" s="7" t="str">
        <f>IF(Sheet1!F164="F","FEMALE","MALE")</f>
        <v>MALE</v>
      </c>
      <c r="E164" s="6" t="str">
        <f>UPPER(Sheet1!G164)</f>
        <v>MOHIT</v>
      </c>
      <c r="F164" s="6" t="str">
        <f>UPPER(Sheet1!H164)</f>
        <v>MUSKAN  GHILORIA</v>
      </c>
      <c r="G164" s="5" t="str">
        <f>TEXT(Sheet1!C164,"dd/mm/yyyy") &amp; "," &amp; Sheet1!D164</f>
        <v xml:space="preserve">06/06/2025,PARKVILLE, AUSTRALIA  </v>
      </c>
      <c r="H164" s="57" t="str">
        <f>UPPER(Sheet1!K164 &amp; "," &amp; Sheet1!L164 &amp; "," &amp; Sheet1!M164)</f>
        <v>HOUSE NO.87 WARD NO.1,MEHAM,ROHTAK,PIN:124112,HARYANA,INDIA</v>
      </c>
      <c r="I164" s="8">
        <f>Sheet1!J164</f>
        <v>45915</v>
      </c>
      <c r="J164" s="5" t="str">
        <f>Sheet1!N164 &amp; "," &amp; TEXT(Sheet1!O164,"dd/mm/yy")</f>
        <v>202509058686,20/08/25</v>
      </c>
      <c r="K164" s="5" t="s">
        <v>14</v>
      </c>
      <c r="L164" s="38" t="s">
        <v>15</v>
      </c>
      <c r="M164" s="38">
        <v>45925</v>
      </c>
      <c r="N164" s="38" t="s">
        <v>16</v>
      </c>
    </row>
    <row r="165" spans="1:14" x14ac:dyDescent="0.35">
      <c r="A165" s="4" t="str">
        <f>Sheet1!A165 &amp; "/" &amp; "2025"</f>
        <v>1563/2025</v>
      </c>
      <c r="B165" s="5" t="str">
        <f>Sheet1!E165</f>
        <v>AU2065669995925</v>
      </c>
      <c r="C165" s="6" t="str">
        <f>UPPER(Sheet1!B165)</f>
        <v>AARZA MONGA</v>
      </c>
      <c r="D165" s="7" t="str">
        <f>IF(Sheet1!F165="F","FEMALE","MALE")</f>
        <v>FEMALE</v>
      </c>
      <c r="E165" s="6" t="str">
        <f>UPPER(Sheet1!G165)</f>
        <v>SAHIL MONGA</v>
      </c>
      <c r="F165" s="6" t="str">
        <f>UPPER(Sheet1!H165)</f>
        <v>RABEENA </v>
      </c>
      <c r="G165" s="5" t="str">
        <f>TEXT(Sheet1!C165,"dd/mm/yyyy") &amp; "," &amp; Sheet1!D165</f>
        <v xml:space="preserve">24/03/2025,GEELONG MELBOURNE, AUSTRALIA  </v>
      </c>
      <c r="H165" s="57" t="str">
        <f>UPPER(Sheet1!K165 &amp; "," &amp; Sheet1!L165 &amp; "," &amp; Sheet1!M165)</f>
        <v>I/S MULTANI GATE,MOHALLA DOLLIAN WALA,FEROZEPUR,FEROZEPUR,PIN:152002,PUNJAB,INDIA</v>
      </c>
      <c r="I165" s="8">
        <f>Sheet1!J165</f>
        <v>45915</v>
      </c>
      <c r="J165" s="5" t="str">
        <f>Sheet1!N165 &amp; "," &amp; TEXT(Sheet1!O165,"dd/mm/yy")</f>
        <v>202509055113,05/08/25</v>
      </c>
      <c r="K165" s="5" t="s">
        <v>14</v>
      </c>
      <c r="L165" s="38" t="s">
        <v>15</v>
      </c>
      <c r="M165" s="38">
        <v>45925</v>
      </c>
      <c r="N165" s="38" t="s">
        <v>16</v>
      </c>
    </row>
    <row r="166" spans="1:14" x14ac:dyDescent="0.35">
      <c r="A166" s="4" t="str">
        <f>Sheet1!A166 &amp; "/" &amp; "2025"</f>
        <v>1564/2025</v>
      </c>
      <c r="B166" s="5" t="str">
        <f>Sheet1!E166</f>
        <v>AU2065669999125</v>
      </c>
      <c r="C166" s="6" t="str">
        <f>UPPER(Sheet1!B166)</f>
        <v>MOMIN HUSSAIN</v>
      </c>
      <c r="D166" s="7" t="str">
        <f>IF(Sheet1!F166="F","FEMALE","MALE")</f>
        <v>MALE</v>
      </c>
      <c r="E166" s="6" t="str">
        <f>UPPER(Sheet1!G166)</f>
        <v>DILSHAD KHAN</v>
      </c>
      <c r="F166" s="6" t="str">
        <f>UPPER(Sheet1!H166)</f>
        <v>KOUSHER </v>
      </c>
      <c r="G166" s="5" t="str">
        <f>TEXT(Sheet1!C166,"dd/mm/yyyy") &amp; "," &amp; Sheet1!D166</f>
        <v xml:space="preserve">19/07/2025,WERRIBEE, AUSTRALIA  </v>
      </c>
      <c r="H166" s="57" t="str">
        <f>UPPER(Sheet1!K166 &amp; "," &amp; Sheet1!L166 &amp; "," &amp; Sheet1!M166)</f>
        <v>HOUSE NO 269,SAROUD ROAD,NEAR CHUNGI,MALERKOTLA,MALERKOTLA,PIN:148023,PUNJAB,INDIA</v>
      </c>
      <c r="I166" s="8">
        <f>Sheet1!J166</f>
        <v>45915</v>
      </c>
      <c r="J166" s="5" t="str">
        <f>Sheet1!N166 &amp; "," &amp; TEXT(Sheet1!O166,"dd/mm/yy")</f>
        <v>202509061766,01/09/25</v>
      </c>
      <c r="K166" s="5" t="s">
        <v>14</v>
      </c>
      <c r="L166" s="38" t="s">
        <v>15</v>
      </c>
      <c r="M166" s="38">
        <v>45925</v>
      </c>
      <c r="N166" s="38" t="s">
        <v>16</v>
      </c>
    </row>
    <row r="167" spans="1:14" x14ac:dyDescent="0.35">
      <c r="A167" s="4" t="str">
        <f>Sheet1!A167 &amp; "/" &amp; "2025"</f>
        <v>1565/2025</v>
      </c>
      <c r="B167" s="5" t="str">
        <f>Sheet1!E167</f>
        <v>AU2065670012325</v>
      </c>
      <c r="C167" s="6" t="str">
        <f>UPPER(Sheet1!B167)</f>
        <v>ANANT SINGH</v>
      </c>
      <c r="D167" s="7" t="str">
        <f>IF(Sheet1!F167="F","FEMALE","MALE")</f>
        <v>MALE</v>
      </c>
      <c r="E167" s="6" t="str">
        <f>UPPER(Sheet1!G167)</f>
        <v>ABHEY SINGH</v>
      </c>
      <c r="F167" s="6" t="str">
        <f>UPPER(Sheet1!H167)</f>
        <v>SNEH  PAL</v>
      </c>
      <c r="G167" s="5" t="str">
        <f>TEXT(Sheet1!C167,"dd/mm/yyyy") &amp; "," &amp; Sheet1!D167</f>
        <v xml:space="preserve">24/04/2025,WERIBEE, AUSTRALIA </v>
      </c>
      <c r="H167" s="57" t="str">
        <f>UPPER(Sheet1!K167 &amp; "," &amp; Sheet1!L167 &amp; "," &amp; Sheet1!M167)</f>
        <v>H.N. 131A,NANAKPUR PO BHAMBHOOR,SIRSA,PIN:125055,HARYANA,INDIA</v>
      </c>
      <c r="I167" s="8">
        <f>Sheet1!J167</f>
        <v>45915</v>
      </c>
      <c r="J167" s="5" t="str">
        <f>Sheet1!N167 &amp; "," &amp; TEXT(Sheet1!O167,"dd/mm/yy")</f>
        <v>202509045009,29/06/25</v>
      </c>
      <c r="K167" s="5" t="s">
        <v>14</v>
      </c>
      <c r="L167" s="38" t="s">
        <v>15</v>
      </c>
      <c r="M167" s="38">
        <v>45925</v>
      </c>
      <c r="N167" s="38" t="s">
        <v>16</v>
      </c>
    </row>
    <row r="168" spans="1:14" x14ac:dyDescent="0.35">
      <c r="A168" s="4" t="str">
        <f>Sheet1!A168 &amp; "/" &amp; "2025"</f>
        <v>1566/2025</v>
      </c>
      <c r="B168" s="5" t="str">
        <f>Sheet1!E168</f>
        <v>AU2065670034725</v>
      </c>
      <c r="C168" s="6" t="str">
        <f>UPPER(Sheet1!B168)</f>
        <v>ABIR SINGH JOSAN</v>
      </c>
      <c r="D168" s="7" t="str">
        <f>IF(Sheet1!F168="F","FEMALE","MALE")</f>
        <v>MALE</v>
      </c>
      <c r="E168" s="6" t="str">
        <f>UPPER(Sheet1!G168)</f>
        <v>MANPREET SINGH JOSAN</v>
      </c>
      <c r="F168" s="6" t="str">
        <f>UPPER(Sheet1!H168)</f>
        <v>NAVNEET  JOSAN</v>
      </c>
      <c r="G168" s="5" t="str">
        <f>TEXT(Sheet1!C168,"dd/mm/yyyy") &amp; "," &amp; Sheet1!D168</f>
        <v xml:space="preserve">03/03/2025,WERIBEE, AUSTRALIA </v>
      </c>
      <c r="H168" s="57" t="str">
        <f>UPPER(Sheet1!K168 &amp; "," &amp; Sheet1!L168 &amp; "," &amp; Sheet1!M168)</f>
        <v>VILL-11-O,PO- BARINGAN,TEH-SRIKARANPUR,SRI GANGANAGAR,PIN:335073,RAJASTHAN,INDIA</v>
      </c>
      <c r="I168" s="8">
        <f>Sheet1!J168</f>
        <v>45915</v>
      </c>
      <c r="J168" s="5" t="str">
        <f>Sheet1!N168 &amp; "," &amp; TEXT(Sheet1!O168,"dd/mm/yy")</f>
        <v>202509059996,25/08/25</v>
      </c>
      <c r="K168" s="5" t="s">
        <v>14</v>
      </c>
      <c r="L168" s="38" t="s">
        <v>15</v>
      </c>
      <c r="M168" s="38">
        <v>45925</v>
      </c>
      <c r="N168" s="38" t="s">
        <v>16</v>
      </c>
    </row>
    <row r="169" spans="1:14" x14ac:dyDescent="0.35">
      <c r="A169" s="4" t="str">
        <f>Sheet1!A169 &amp; "/" &amp; "2025"</f>
        <v>1567/2025</v>
      </c>
      <c r="B169" s="5" t="str">
        <f>Sheet1!E169</f>
        <v>AU2065670055925</v>
      </c>
      <c r="C169" s="6" t="str">
        <f>UPPER(Sheet1!B169)</f>
        <v>GURDIDAAR SINGH BEDI</v>
      </c>
      <c r="D169" s="7" t="str">
        <f>IF(Sheet1!F169="F","FEMALE","MALE")</f>
        <v>MALE</v>
      </c>
      <c r="E169" s="6" t="str">
        <f>UPPER(Sheet1!G169)</f>
        <v>PARMINDER SINGH</v>
      </c>
      <c r="F169" s="6" t="str">
        <f>UPPER(Sheet1!H169)</f>
        <v>NAVJOT  KAUR</v>
      </c>
      <c r="G169" s="5" t="str">
        <f>TEXT(Sheet1!C169,"dd/mm/yyyy") &amp; "," &amp; Sheet1!D169</f>
        <v xml:space="preserve">18/04/2025,BOX HILL, AUSTRALIA  </v>
      </c>
      <c r="H169" s="57" t="str">
        <f>UPPER(Sheet1!K169 &amp; "," &amp; Sheet1!L169 &amp; "," &amp; Sheet1!M169)</f>
        <v>H.NO.114,STREET NO.3,SHAHEED BABU LABH SINGH NAGAR,JALANDHAR,PIN:144001,PUNJAB,INDIA</v>
      </c>
      <c r="I169" s="8">
        <f>Sheet1!J169</f>
        <v>45915</v>
      </c>
      <c r="J169" s="5" t="str">
        <f>Sheet1!N169 &amp; "," &amp; TEXT(Sheet1!O169,"dd/mm/yy")</f>
        <v>202509062138,02/09/25</v>
      </c>
      <c r="K169" s="5" t="s">
        <v>14</v>
      </c>
      <c r="L169" s="38" t="s">
        <v>15</v>
      </c>
      <c r="M169" s="38">
        <v>45925</v>
      </c>
      <c r="N169" s="38" t="s">
        <v>16</v>
      </c>
    </row>
    <row r="170" spans="1:14" x14ac:dyDescent="0.35">
      <c r="A170" s="4" t="str">
        <f>Sheet1!A170 &amp; "/" &amp; "2025"</f>
        <v>1568/2025</v>
      </c>
      <c r="B170" s="5" t="str">
        <f>Sheet1!E170</f>
        <v>AU2065671197725</v>
      </c>
      <c r="C170" s="6" t="str">
        <f>UPPER(Sheet1!B170)</f>
        <v>RIYAN SINGAREDDY</v>
      </c>
      <c r="D170" s="7" t="str">
        <f>IF(Sheet1!F170="F","FEMALE","MALE")</f>
        <v>MALE</v>
      </c>
      <c r="E170" s="6" t="str">
        <f>UPPER(Sheet1!G170)</f>
        <v>GOWTHAM REDDY SINGAREDDY</v>
      </c>
      <c r="F170" s="6" t="str">
        <f>UPPER(Sheet1!H170)</f>
        <v>MAHA LAKSHMI  KOTHAKOTA</v>
      </c>
      <c r="G170" s="5" t="str">
        <f>TEXT(Sheet1!C170,"dd/mm/yyyy") &amp; "," &amp; Sheet1!D170</f>
        <v xml:space="preserve">02/05/2025,BALLARAT CENTRAL, AUSTRALIA </v>
      </c>
      <c r="H170" s="57" t="str">
        <f>UPPER(Sheet1!K170 &amp; "," &amp; Sheet1!L170 &amp; "," &amp; Sheet1!M170)</f>
        <v>1-215-B1,N.S NAGAR,MARKAPUR,PRAKASAM,PIN:523316,ANDHRA PRADESH,INDIA</v>
      </c>
      <c r="I170" s="8">
        <f>Sheet1!J170</f>
        <v>45915</v>
      </c>
      <c r="J170" s="5" t="str">
        <f>Sheet1!N170 &amp; "," &amp; TEXT(Sheet1!O170,"dd/mm/yy")</f>
        <v>202509041103,16/06/25</v>
      </c>
      <c r="K170" s="5" t="s">
        <v>14</v>
      </c>
      <c r="L170" s="38" t="s">
        <v>15</v>
      </c>
      <c r="M170" s="38">
        <v>45925</v>
      </c>
      <c r="N170" s="38" t="s">
        <v>16</v>
      </c>
    </row>
    <row r="171" spans="1:14" x14ac:dyDescent="0.35">
      <c r="A171" s="4" t="str">
        <f>Sheet1!A171 &amp; "/" &amp; "2025"</f>
        <v>1569/2025</v>
      </c>
      <c r="B171" s="5" t="str">
        <f>Sheet1!E171</f>
        <v>AU2065671197925</v>
      </c>
      <c r="C171" s="6" t="str">
        <f>UPPER(Sheet1!B171)</f>
        <v>AMAIRA HARSH PATEL</v>
      </c>
      <c r="D171" s="7" t="str">
        <f>IF(Sheet1!F171="F","FEMALE","MALE")</f>
        <v>FEMALE</v>
      </c>
      <c r="E171" s="6" t="str">
        <f>UPPER(Sheet1!G171)</f>
        <v>HARSH JIGNASUKUMAR PATEL</v>
      </c>
      <c r="F171" s="6" t="str">
        <f>UPPER(Sheet1!H171)</f>
        <v>RUTU KETAN  GANDHI</v>
      </c>
      <c r="G171" s="5" t="str">
        <f>TEXT(Sheet1!C171,"dd/mm/yyyy") &amp; "," &amp; Sheet1!D171</f>
        <v xml:space="preserve">15/08/2025,GEELONG, AUSTRALIA </v>
      </c>
      <c r="H171" s="57" t="str">
        <f>UPPER(Sheet1!K171 &amp; "," &amp; Sheet1!L171 &amp; "," &amp; Sheet1!M171)</f>
        <v>A-203 SAHAJBAG APP.,OPP GITABAG SOCIETY,PALDI,AHMEDABAD,PIN:380007,GUJARAT,INDIA</v>
      </c>
      <c r="I171" s="8">
        <f>Sheet1!J171</f>
        <v>45915</v>
      </c>
      <c r="J171" s="5" t="str">
        <f>Sheet1!N171 &amp; "," &amp; TEXT(Sheet1!O171,"dd/mm/yy")</f>
        <v>202509062043,02/09/25</v>
      </c>
      <c r="K171" s="5" t="s">
        <v>14</v>
      </c>
      <c r="L171" s="38" t="s">
        <v>15</v>
      </c>
      <c r="M171" s="38">
        <v>45925</v>
      </c>
      <c r="N171" s="38" t="s">
        <v>16</v>
      </c>
    </row>
    <row r="172" spans="1:14" x14ac:dyDescent="0.35">
      <c r="A172" s="4" t="str">
        <f>Sheet1!A172 &amp; "/" &amp; "2025"</f>
        <v>1570/2025</v>
      </c>
      <c r="B172" s="5" t="str">
        <f>Sheet1!E172</f>
        <v>AU2065671198125</v>
      </c>
      <c r="C172" s="6" t="str">
        <f>UPPER(Sheet1!B172)</f>
        <v>DIKSHAN SHISHIRKUMAR PATEL</v>
      </c>
      <c r="D172" s="7" t="str">
        <f>IF(Sheet1!F172="F","FEMALE","MALE")</f>
        <v>MALE</v>
      </c>
      <c r="E172" s="6" t="str">
        <f>UPPER(Sheet1!G172)</f>
        <v>SHISHIRKUMAR BHARATBHAI PATEL</v>
      </c>
      <c r="F172" s="6" t="str">
        <f>UPPER(Sheet1!H172)</f>
        <v>PAYAL SHISHIRKUMAR  PATEL</v>
      </c>
      <c r="G172" s="5" t="str">
        <f>TEXT(Sheet1!C172,"dd/mm/yyyy") &amp; "," &amp; Sheet1!D172</f>
        <v xml:space="preserve">13/08/2025,CLAYTON, AUSTRALIA  </v>
      </c>
      <c r="H172" s="57" t="str">
        <f>UPPER(Sheet1!K172 &amp; "," &amp; Sheet1!L172 &amp; "," &amp; Sheet1!M172)</f>
        <v>B/57 SHAKUNTAL SOCIETY,VIJAPUR,MEHSANA,PIN:382870,GUJARAT,INDIA</v>
      </c>
      <c r="I172" s="8">
        <f>Sheet1!J172</f>
        <v>45915</v>
      </c>
      <c r="J172" s="5" t="str">
        <f>Sheet1!N172 &amp; "," &amp; TEXT(Sheet1!O172,"dd/mm/yy")</f>
        <v>202509062039,02/09/25</v>
      </c>
      <c r="K172" s="5" t="s">
        <v>14</v>
      </c>
      <c r="L172" s="38" t="s">
        <v>15</v>
      </c>
      <c r="M172" s="38">
        <v>45925</v>
      </c>
      <c r="N172" s="38" t="s">
        <v>16</v>
      </c>
    </row>
    <row r="173" spans="1:14" x14ac:dyDescent="0.35">
      <c r="A173" s="4" t="str">
        <f>Sheet1!A173 &amp; "/" &amp; "2025"</f>
        <v>1571/2025</v>
      </c>
      <c r="B173" s="5" t="str">
        <f>Sheet1!E173</f>
        <v>AU2065671198725</v>
      </c>
      <c r="C173" s="6" t="str">
        <f>UPPER(Sheet1!B173)</f>
        <v>NUSAIBAH AIMAN</v>
      </c>
      <c r="D173" s="7" t="str">
        <f>IF(Sheet1!F173="F","FEMALE","MALE")</f>
        <v>FEMALE</v>
      </c>
      <c r="E173" s="6" t="str">
        <f>UPPER(Sheet1!G173)</f>
        <v>GHUFRAN UDDIN MOHAMMED</v>
      </c>
      <c r="F173" s="6" t="str">
        <f>UPPER(Sheet1!H173)</f>
        <v>RAHELA </v>
      </c>
      <c r="G173" s="5" t="str">
        <f>TEXT(Sheet1!C173,"dd/mm/yyyy") &amp; "," &amp; Sheet1!D173</f>
        <v xml:space="preserve">24/04/2025,ST ALBANS, AUSTRALIA </v>
      </c>
      <c r="H173" s="57" t="str">
        <f>UPPER(Sheet1!K173 &amp; "," &amp; Sheet1!L173 &amp; "," &amp; Sheet1!M173)</f>
        <v>PLOT NO 55,OPP FORTUNE VAJRA,BADANGPET,KANCHANBAGH,HYDERABAD,PIN:500058,TELANGANA,INDIA</v>
      </c>
      <c r="I173" s="8">
        <f>Sheet1!J173</f>
        <v>45915</v>
      </c>
      <c r="J173" s="5" t="str">
        <f>Sheet1!N173 &amp; "," &amp; TEXT(Sheet1!O173,"dd/mm/yy")</f>
        <v>202509047909,09/07/25</v>
      </c>
      <c r="K173" s="5" t="s">
        <v>14</v>
      </c>
      <c r="L173" s="38" t="s">
        <v>15</v>
      </c>
      <c r="M173" s="38">
        <v>45925</v>
      </c>
      <c r="N173" s="38" t="s">
        <v>16</v>
      </c>
    </row>
    <row r="174" spans="1:14" x14ac:dyDescent="0.35">
      <c r="A174" s="4" t="str">
        <f>Sheet1!A174 &amp; "/" &amp; "2025"</f>
        <v>1572/2025</v>
      </c>
      <c r="B174" s="5" t="str">
        <f>Sheet1!E174</f>
        <v>AU2065671326325</v>
      </c>
      <c r="C174" s="6" t="str">
        <f>UPPER(Sheet1!B174)</f>
        <v>RABAB KAUR</v>
      </c>
      <c r="D174" s="7" t="str">
        <f>IF(Sheet1!F174="F","FEMALE","MALE")</f>
        <v>FEMALE</v>
      </c>
      <c r="E174" s="6" t="str">
        <f>UPPER(Sheet1!G174)</f>
        <v>GURBAKASH SINGH</v>
      </c>
      <c r="F174" s="6" t="str">
        <f>UPPER(Sheet1!H174)</f>
        <v>SANDEEP KAUR </v>
      </c>
      <c r="G174" s="5" t="str">
        <f>TEXT(Sheet1!C174,"dd/mm/yyyy") &amp; "," &amp; Sheet1!D174</f>
        <v xml:space="preserve">21/04/2025,BERWICK, AUSTRALIA </v>
      </c>
      <c r="H174" s="57" t="str">
        <f>UPPER(Sheet1!K174 &amp; "," &amp; Sheet1!L174 &amp; "," &amp; Sheet1!M174)</f>
        <v>H NO 76,VPO ATTARI,AMRITSAR,PIN:143108,PUNJAB,INDIA</v>
      </c>
      <c r="I174" s="8">
        <f>Sheet1!J174</f>
        <v>45915</v>
      </c>
      <c r="J174" s="5" t="str">
        <f>Sheet1!N174 &amp; "," &amp; TEXT(Sheet1!O174,"dd/mm/yy")</f>
        <v>202509059307,22/08/25</v>
      </c>
      <c r="K174" s="5" t="s">
        <v>14</v>
      </c>
      <c r="L174" s="38" t="s">
        <v>15</v>
      </c>
      <c r="M174" s="38">
        <v>45925</v>
      </c>
      <c r="N174" s="38" t="s">
        <v>16</v>
      </c>
    </row>
    <row r="175" spans="1:14" x14ac:dyDescent="0.35">
      <c r="A175" s="4" t="str">
        <f>Sheet1!A175 &amp; "/" &amp; "2025"</f>
        <v>1573/2025</v>
      </c>
      <c r="B175" s="5" t="str">
        <f>Sheet1!E175</f>
        <v>AU2065671327725</v>
      </c>
      <c r="C175" s="6" t="str">
        <f>UPPER(Sheet1!B175)</f>
        <v>ASEES KAUR</v>
      </c>
      <c r="D175" s="7" t="str">
        <f>IF(Sheet1!F175="F","FEMALE","MALE")</f>
        <v>FEMALE</v>
      </c>
      <c r="E175" s="6" t="str">
        <f>UPPER(Sheet1!G175)</f>
        <v>LOVEPREET SINGH</v>
      </c>
      <c r="F175" s="6" t="str">
        <f>UPPER(Sheet1!H175)</f>
        <v>SIMRANJEET  KAUR</v>
      </c>
      <c r="G175" s="5" t="str">
        <f>TEXT(Sheet1!C175,"dd/mm/yyyy") &amp; "," &amp; Sheet1!D175</f>
        <v xml:space="preserve">10/07/2025,ST ALBANS , AUSTRALIA </v>
      </c>
      <c r="H175" s="57" t="str">
        <f>UPPER(Sheet1!K175 &amp; "," &amp; Sheet1!L175 &amp; "," &amp; Sheet1!M175)</f>
        <v>04 TAPA MAKRANDPUR,PURANPUR,PILIBHIT,PIN:262122,UTTAR PRADESH,INDIA</v>
      </c>
      <c r="I175" s="8">
        <f>Sheet1!J175</f>
        <v>45915</v>
      </c>
      <c r="J175" s="5" t="str">
        <f>Sheet1!N175 &amp; "," &amp; TEXT(Sheet1!O175,"dd/mm/yy")</f>
        <v>202509058476,19/08/25</v>
      </c>
      <c r="K175" s="5" t="s">
        <v>14</v>
      </c>
      <c r="L175" s="38" t="s">
        <v>15</v>
      </c>
      <c r="M175" s="38">
        <v>45925</v>
      </c>
      <c r="N175" s="38" t="s">
        <v>16</v>
      </c>
    </row>
    <row r="176" spans="1:14" x14ac:dyDescent="0.35">
      <c r="A176" s="4" t="str">
        <f>Sheet1!A176 &amp; "/" &amp; "2025"</f>
        <v>1574/2025</v>
      </c>
      <c r="B176" s="5" t="str">
        <f>Sheet1!E176</f>
        <v>AU2065661600325</v>
      </c>
      <c r="C176" s="6" t="str">
        <f>UPPER(Sheet1!B176)</f>
        <v>ANAYA KADIAN</v>
      </c>
      <c r="D176" s="7" t="str">
        <f>IF(Sheet1!F176="F","FEMALE","MALE")</f>
        <v>FEMALE</v>
      </c>
      <c r="E176" s="6" t="str">
        <f>UPPER(Sheet1!G176)</f>
        <v>SUDHIR</v>
      </c>
      <c r="F176" s="6" t="str">
        <f>UPPER(Sheet1!H176)</f>
        <v>SUNAINA </v>
      </c>
      <c r="G176" s="5" t="str">
        <f>TEXT(Sheet1!C176,"dd/mm/yyyy") &amp; "," &amp; Sheet1!D176</f>
        <v>23/07/2025,DANDENONG, AUSTRALIA</v>
      </c>
      <c r="H176" s="57" t="str">
        <f>UPPER(Sheet1!K176 &amp; "," &amp; Sheet1!L176 &amp; "," &amp; Sheet1!M176)</f>
        <v>384,NARKATARI,KURUKSHETRA,PIN:136119,HARYANA,INDIA</v>
      </c>
      <c r="I176" s="8">
        <f>Sheet1!J176</f>
        <v>45915</v>
      </c>
      <c r="J176" s="5" t="str">
        <f>Sheet1!N176 &amp; "," &amp; TEXT(Sheet1!O176,"dd/mm/yy")</f>
        <v>202509057810,17/08/25</v>
      </c>
      <c r="K176" s="5" t="s">
        <v>14</v>
      </c>
      <c r="L176" s="38" t="s">
        <v>15</v>
      </c>
      <c r="M176" s="38">
        <v>45925</v>
      </c>
      <c r="N176" s="38" t="s">
        <v>16</v>
      </c>
    </row>
    <row r="177" spans="1:14" x14ac:dyDescent="0.35">
      <c r="A177" s="4" t="str">
        <f>Sheet1!A177 &amp; "/" &amp; "2025"</f>
        <v>1575/2025</v>
      </c>
      <c r="B177" s="5" t="str">
        <f>Sheet1!E177</f>
        <v>AU2065671330125</v>
      </c>
      <c r="C177" s="6" t="str">
        <f>UPPER(Sheet1!B177)</f>
        <v>KARTHIK CHALUVADI</v>
      </c>
      <c r="D177" s="7" t="str">
        <f>IF(Sheet1!F177="F","FEMALE","MALE")</f>
        <v>MALE</v>
      </c>
      <c r="E177" s="6" t="str">
        <f>UPPER(Sheet1!G177)</f>
        <v>EASWAR VENKATA GOWTHAM CHALUVADI</v>
      </c>
      <c r="F177" s="6" t="str">
        <f>UPPER(Sheet1!H177)</f>
        <v>LAKSHMI PRIYANKA  CHALUVADI</v>
      </c>
      <c r="G177" s="5" t="str">
        <f>TEXT(Sheet1!C177,"dd/mm/yyyy") &amp; "," &amp; Sheet1!D177</f>
        <v xml:space="preserve">27/11/2024,WERRIBEE, AUSTRALIA </v>
      </c>
      <c r="H177" s="57" t="str">
        <f>UPPER(Sheet1!K177 &amp; "," &amp; Sheet1!L177 &amp; "," &amp; Sheet1!M177)</f>
        <v>6-2-3/1 NYAPATHIVARI STREET,RAJAHMUNDRY,EAST GODAVARI,PIN:533101,ANDHRA PRADESH,INDIA</v>
      </c>
      <c r="I177" s="8">
        <f>Sheet1!J177</f>
        <v>45915</v>
      </c>
      <c r="J177" s="5" t="str">
        <f>Sheet1!N177 &amp; "," &amp; TEXT(Sheet1!O177,"dd/mm/yy")</f>
        <v>202509062549,04/09/25</v>
      </c>
      <c r="K177" s="5" t="s">
        <v>14</v>
      </c>
      <c r="L177" s="38" t="s">
        <v>15</v>
      </c>
      <c r="M177" s="38">
        <v>45925</v>
      </c>
      <c r="N177" s="38" t="s">
        <v>16</v>
      </c>
    </row>
    <row r="178" spans="1:14" x14ac:dyDescent="0.35">
      <c r="A178" s="4" t="str">
        <f>Sheet1!A178 &amp; "/" &amp; "2025"</f>
        <v>1576/2025</v>
      </c>
      <c r="B178" s="5" t="str">
        <f>Sheet1!E178</f>
        <v>AU2065671332925</v>
      </c>
      <c r="C178" s="6" t="str">
        <f>UPPER(Sheet1!B178)</f>
        <v>VRISHANK REDDY DASARI</v>
      </c>
      <c r="D178" s="7" t="str">
        <f>IF(Sheet1!F178="F","FEMALE","MALE")</f>
        <v>MALE</v>
      </c>
      <c r="E178" s="6" t="str">
        <f>UPPER(Sheet1!G178)</f>
        <v>DHANA VARDHAN REDDY DASARI</v>
      </c>
      <c r="F178" s="6" t="str">
        <f>UPPER(Sheet1!H178)</f>
        <v>NAVYA REDDY  SAMA</v>
      </c>
      <c r="G178" s="5" t="str">
        <f>TEXT(Sheet1!C178,"dd/mm/yyyy") &amp; "," &amp; Sheet1!D178</f>
        <v xml:space="preserve">18/06/2025,CLAYTON , AUSTRALIA  </v>
      </c>
      <c r="H178" s="57" t="str">
        <f>UPPER(Sheet1!K178 &amp; "," &amp; Sheet1!L178 &amp; "," &amp; Sheet1!M178)</f>
        <v>12-8/3 PLOT NO 52,SAI SAMRAT NAGAR,JILLELGUDA,RANGAREDDY,PIN:500097,TELANGANA,INDIA</v>
      </c>
      <c r="I178" s="8">
        <f>Sheet1!J178</f>
        <v>45915</v>
      </c>
      <c r="J178" s="5" t="str">
        <f>Sheet1!N178 &amp; "," &amp; TEXT(Sheet1!O178,"dd/mm/yy")</f>
        <v>202509057656,16/08/25</v>
      </c>
      <c r="K178" s="5" t="s">
        <v>14</v>
      </c>
      <c r="L178" s="38" t="s">
        <v>15</v>
      </c>
      <c r="M178" s="38">
        <v>45925</v>
      </c>
      <c r="N178" s="38" t="s">
        <v>16</v>
      </c>
    </row>
    <row r="179" spans="1:14" x14ac:dyDescent="0.35">
      <c r="A179" s="4" t="str">
        <f>Sheet1!A179 &amp; "/" &amp; "2025"</f>
        <v>1577/2025</v>
      </c>
      <c r="B179" s="5" t="str">
        <f>Sheet1!E179</f>
        <v>AU2065671336725</v>
      </c>
      <c r="C179" s="6" t="str">
        <f>UPPER(Sheet1!B179)</f>
        <v>ANAND KAUR</v>
      </c>
      <c r="D179" s="7" t="str">
        <f>IF(Sheet1!F179="F","FEMALE","MALE")</f>
        <v>FEMALE</v>
      </c>
      <c r="E179" s="6" t="str">
        <f>UPPER(Sheet1!G179)</f>
        <v>GURINDER SINGH BRAR</v>
      </c>
      <c r="F179" s="6" t="str">
        <f>UPPER(Sheet1!H179)</f>
        <v>AMANDEEP KAUR </v>
      </c>
      <c r="G179" s="5" t="str">
        <f>TEXT(Sheet1!C179,"dd/mm/yyyy") &amp; "," &amp; Sheet1!D179</f>
        <v xml:space="preserve">19/06/2025,FOSTER, AUSTRALIA </v>
      </c>
      <c r="H179" s="57" t="str">
        <f>UPPER(Sheet1!K179 &amp; "," &amp; Sheet1!L179 &amp; "," &amp; Sheet1!M179)</f>
        <v>48,VPO DHINDSA,FEROZEPUR,PIN:142052,PUNJAB,INDIA</v>
      </c>
      <c r="I179" s="8">
        <f>Sheet1!J179</f>
        <v>45915</v>
      </c>
      <c r="J179" s="5" t="str">
        <f>Sheet1!N179 &amp; "," &amp; TEXT(Sheet1!O179,"dd/mm/yy")</f>
        <v>202509057653,16/08/25</v>
      </c>
      <c r="K179" s="5" t="s">
        <v>14</v>
      </c>
      <c r="L179" s="38" t="s">
        <v>15</v>
      </c>
      <c r="M179" s="38">
        <v>45925</v>
      </c>
      <c r="N179" s="38" t="s">
        <v>16</v>
      </c>
    </row>
    <row r="180" spans="1:14" x14ac:dyDescent="0.35">
      <c r="A180" s="4" t="str">
        <f>Sheet1!A180 &amp; "/" &amp; "2025"</f>
        <v>1578/2025</v>
      </c>
      <c r="B180" s="5" t="str">
        <f>Sheet1!E180</f>
        <v>AU2065671337525</v>
      </c>
      <c r="C180" s="6" t="str">
        <f>UPPER(Sheet1!B180)</f>
        <v>MANSIFAT KAUR</v>
      </c>
      <c r="D180" s="7" t="str">
        <f>IF(Sheet1!F180="F","FEMALE","MALE")</f>
        <v>FEMALE</v>
      </c>
      <c r="E180" s="6" t="str">
        <f>UPPER(Sheet1!G180)</f>
        <v>INDER PAL SINGH</v>
      </c>
      <c r="F180" s="6" t="str">
        <f>UPPER(Sheet1!H180)</f>
        <v>INDERPREET  KAUR</v>
      </c>
      <c r="G180" s="5" t="str">
        <f>TEXT(Sheet1!C180,"dd/mm/yyyy") &amp; "," &amp; Sheet1!D180</f>
        <v xml:space="preserve">04/07/2025,HOBART, AUSTRALIA  </v>
      </c>
      <c r="H180" s="57" t="str">
        <f>UPPER(Sheet1!K180 &amp; "," &amp; Sheet1!L180 &amp; "," &amp; Sheet1!M180)</f>
        <v>A-78,PANDAV NAGAR OPP MOTHER DAIRY,DELHI,PIN:110092,DELHI,INDIA</v>
      </c>
      <c r="I180" s="8">
        <f>Sheet1!J180</f>
        <v>45915</v>
      </c>
      <c r="J180" s="5" t="str">
        <f>Sheet1!N180 &amp; "," &amp; TEXT(Sheet1!O180,"dd/mm/yy")</f>
        <v>202509056628,12/08/25</v>
      </c>
      <c r="K180" s="5" t="s">
        <v>14</v>
      </c>
      <c r="L180" s="38" t="s">
        <v>15</v>
      </c>
      <c r="M180" s="38">
        <v>45925</v>
      </c>
      <c r="N180" s="38" t="s">
        <v>16</v>
      </c>
    </row>
    <row r="181" spans="1:14" x14ac:dyDescent="0.35">
      <c r="A181" s="4" t="str">
        <f>Sheet1!A181 &amp; "/" &amp; "2025"</f>
        <v>1579/2025</v>
      </c>
      <c r="B181" s="5" t="str">
        <f>Sheet1!E181</f>
        <v>AU2065672394925</v>
      </c>
      <c r="C181" s="6" t="str">
        <f>UPPER(Sheet1!B181)</f>
        <v>JASMAIRA KOUR</v>
      </c>
      <c r="D181" s="7" t="str">
        <f>IF(Sheet1!F181="F","FEMALE","MALE")</f>
        <v>FEMALE</v>
      </c>
      <c r="E181" s="6" t="str">
        <f>UPPER(Sheet1!G181)</f>
        <v>JATINDERPAL SINGH</v>
      </c>
      <c r="F181" s="6" t="str">
        <f>UPPER(Sheet1!H181)</f>
        <v>GURJOT KOUR </v>
      </c>
      <c r="G181" s="5" t="str">
        <f>TEXT(Sheet1!C181,"dd/mm/yyyy") &amp; "," &amp; Sheet1!D181</f>
        <v xml:space="preserve">04/01/2025,BELLA VISTA, AUSTRALIA  </v>
      </c>
      <c r="H181" s="57" t="str">
        <f>UPPER(Sheet1!K181 &amp; "," &amp; Sheet1!L181 &amp; "," &amp; Sheet1!M181)</f>
        <v>R/O LINK ROAD SIMBAL,P.O RATTIAN,TEH R S PURA,JAMMU,PIN:181105,JAMMU AND KASHMIR,INDIA</v>
      </c>
      <c r="I181" s="8">
        <f>Sheet1!J181</f>
        <v>45915</v>
      </c>
      <c r="J181" s="5" t="str">
        <f>Sheet1!N181 &amp; "," &amp; TEXT(Sheet1!O181,"dd/mm/yy")</f>
        <v>202509061073,29/08/25</v>
      </c>
      <c r="K181" s="5" t="s">
        <v>14</v>
      </c>
      <c r="L181" s="38" t="s">
        <v>15</v>
      </c>
      <c r="M181" s="38">
        <v>45925</v>
      </c>
      <c r="N181" s="38" t="s">
        <v>16</v>
      </c>
    </row>
    <row r="182" spans="1:14" x14ac:dyDescent="0.35">
      <c r="A182" s="4" t="str">
        <f>Sheet1!A182 &amp; "/" &amp; "2025"</f>
        <v>1580/2025</v>
      </c>
      <c r="B182" s="5" t="str">
        <f>Sheet1!E182</f>
        <v>AU2065672395525</v>
      </c>
      <c r="C182" s="6" t="str">
        <f>UPPER(Sheet1!B182)</f>
        <v>SAHIRA PANJLA</v>
      </c>
      <c r="D182" s="7" t="str">
        <f>IF(Sheet1!F182="F","FEMALE","MALE")</f>
        <v>FEMALE</v>
      </c>
      <c r="E182" s="6" t="str">
        <f>UPPER(Sheet1!G182)</f>
        <v>RITISH PANJLA</v>
      </c>
      <c r="F182" s="6" t="str">
        <f>UPPER(Sheet1!H182)</f>
        <v>PREETI  BAMBA</v>
      </c>
      <c r="G182" s="5" t="str">
        <f>TEXT(Sheet1!C182,"dd/mm/yyyy") &amp; "," &amp; Sheet1!D182</f>
        <v xml:space="preserve">11/07/2025,ST ALBANS, AUSTRALIA  </v>
      </c>
      <c r="H182" s="57" t="str">
        <f>UPPER(Sheet1!K182 &amp; "," &amp; Sheet1!L182 &amp; "," &amp; Sheet1!M182)</f>
        <v>H.NO. 49,GALI NO. 14,GOBINDPURA,PO RAYON AND SILK MILLS,AMRITSAR,PIN:143104,PUNJAB,INDIA</v>
      </c>
      <c r="I182" s="8">
        <f>Sheet1!J182</f>
        <v>45915</v>
      </c>
      <c r="J182" s="5" t="str">
        <f>Sheet1!N182 &amp; "," &amp; TEXT(Sheet1!O182,"dd/mm/yy")</f>
        <v>202509062851,05/09/25</v>
      </c>
      <c r="K182" s="5" t="s">
        <v>14</v>
      </c>
      <c r="L182" s="38" t="s">
        <v>15</v>
      </c>
      <c r="M182" s="38">
        <v>45925</v>
      </c>
      <c r="N182" s="38" t="s">
        <v>16</v>
      </c>
    </row>
    <row r="183" spans="1:14" x14ac:dyDescent="0.35">
      <c r="A183" s="4" t="str">
        <f>Sheet1!A183 &amp; "/" &amp; "2025"</f>
        <v>1581/2025</v>
      </c>
      <c r="B183" s="5" t="str">
        <f>Sheet1!E183</f>
        <v>AU2065672395925</v>
      </c>
      <c r="C183" s="6" t="str">
        <f>UPPER(Sheet1!B183)</f>
        <v>DHRITI YEMULA</v>
      </c>
      <c r="D183" s="7" t="str">
        <f>IF(Sheet1!F183="F","FEMALE","MALE")</f>
        <v>FEMALE</v>
      </c>
      <c r="E183" s="6" t="str">
        <f>UPPER(Sheet1!G183)</f>
        <v>NAGENDRA BABU YEMULA</v>
      </c>
      <c r="F183" s="6" t="str">
        <f>UPPER(Sheet1!H183)</f>
        <v>SHRUTHI  KUDEKALA</v>
      </c>
      <c r="G183" s="5" t="str">
        <f>TEXT(Sheet1!C183,"dd/mm/yyyy") &amp; "," &amp; Sheet1!D183</f>
        <v xml:space="preserve">10/07/2025,HEIDELBERG, AUSTRALIA  </v>
      </c>
      <c r="H183" s="57" t="str">
        <f>UPPER(Sheet1!K183 &amp; "," &amp; Sheet1!L183 &amp; "," &amp; Sheet1!M183)</f>
        <v>1-105/4,SIRPOOR VILLAGE,NIZAMABAD,PIN:503230,TELANGANA,INDIA</v>
      </c>
      <c r="I183" s="8">
        <f>Sheet1!J183</f>
        <v>45915</v>
      </c>
      <c r="J183" s="5" t="str">
        <f>Sheet1!N183 &amp; "," &amp; TEXT(Sheet1!O183,"dd/mm/yy")</f>
        <v>202509062834,05/09/25</v>
      </c>
      <c r="K183" s="5" t="s">
        <v>14</v>
      </c>
      <c r="L183" s="38" t="s">
        <v>15</v>
      </c>
      <c r="M183" s="38">
        <v>45925</v>
      </c>
      <c r="N183" s="38" t="s">
        <v>16</v>
      </c>
    </row>
    <row r="184" spans="1:14" x14ac:dyDescent="0.35">
      <c r="A184" s="4" t="str">
        <f>Sheet1!A184 &amp; "/" &amp; "2025"</f>
        <v>1582/2025</v>
      </c>
      <c r="B184" s="5" t="str">
        <f>Sheet1!E184</f>
        <v>AU2065672396325</v>
      </c>
      <c r="C184" s="6" t="str">
        <f>UPPER(Sheet1!B184)</f>
        <v>AMBER KAUR</v>
      </c>
      <c r="D184" s="7" t="str">
        <f>IF(Sheet1!F184="F","FEMALE","MALE")</f>
        <v>FEMALE</v>
      </c>
      <c r="E184" s="6" t="str">
        <f>UPPER(Sheet1!G184)</f>
        <v>RAVIPAL</v>
      </c>
      <c r="F184" s="6" t="str">
        <f>UPPER(Sheet1!H184)</f>
        <v>MONIKA </v>
      </c>
      <c r="G184" s="5" t="str">
        <f>TEXT(Sheet1!C184,"dd/mm/yyyy") &amp; "," &amp; Sheet1!D184</f>
        <v>22/07/2025,SHEPPARTON, AUSTRALIA</v>
      </c>
      <c r="H184" s="57" t="str">
        <f>UPPER(Sheet1!K184 &amp; "," &amp; Sheet1!L184 &amp; "," &amp; Sheet1!M184)</f>
        <v>VPO MALRI,NAKODAR,JALANDHAR,PIN:144042,PUNJAB,INDIA</v>
      </c>
      <c r="I184" s="8">
        <f>Sheet1!J184</f>
        <v>45915</v>
      </c>
      <c r="J184" s="5" t="str">
        <f>Sheet1!N184 &amp; "," &amp; TEXT(Sheet1!O184,"dd/mm/yy")</f>
        <v>202509062611,14/09/25</v>
      </c>
      <c r="K184" s="5" t="s">
        <v>14</v>
      </c>
      <c r="L184" s="38" t="s">
        <v>15</v>
      </c>
      <c r="M184" s="38">
        <v>45925</v>
      </c>
      <c r="N184" s="38" t="s">
        <v>16</v>
      </c>
    </row>
    <row r="185" spans="1:14" x14ac:dyDescent="0.35">
      <c r="A185" s="4" t="str">
        <f>Sheet1!A185 &amp; "/" &amp; "2025"</f>
        <v>1583/2025</v>
      </c>
      <c r="B185" s="5" t="str">
        <f>Sheet1!E185</f>
        <v>AU2065672397125</v>
      </c>
      <c r="C185" s="6" t="str">
        <f>UPPER(Sheet1!B185)</f>
        <v>DEVISHREE TATSAT BRAHMBHATT</v>
      </c>
      <c r="D185" s="7" t="str">
        <f>IF(Sheet1!F185="F","FEMALE","MALE")</f>
        <v>FEMALE</v>
      </c>
      <c r="E185" s="6" t="str">
        <f>UPPER(Sheet1!G185)</f>
        <v>TATSAT MAYANKBHAI BRAHMBHATT</v>
      </c>
      <c r="F185" s="6" t="str">
        <f>UPPER(Sheet1!H185)</f>
        <v>CHINTAL TATSAT  BRAHMBHATT</v>
      </c>
      <c r="G185" s="5" t="str">
        <f>TEXT(Sheet1!C185,"dd/mm/yyyy") &amp; "," &amp; Sheet1!D185</f>
        <v xml:space="preserve">25/04/2025,MALVERN, AUSTRALIA </v>
      </c>
      <c r="H185" s="57" t="str">
        <f>UPPER(Sheet1!K185 &amp; "," &amp; Sheet1!L185 &amp; "," &amp; Sheet1!M185)</f>
        <v>41,JAYNAGAR SOCIETY NR. RAMBAUG,MANINAGAR,AHMEDABAD,PIN:380008,GUJARAT,INDIA</v>
      </c>
      <c r="I185" s="8">
        <f>Sheet1!J185</f>
        <v>45915</v>
      </c>
      <c r="J185" s="5" t="str">
        <f>Sheet1!N185 &amp; "," &amp; TEXT(Sheet1!O185,"dd/mm/yy")</f>
        <v>202509062841,05/09/25</v>
      </c>
      <c r="K185" s="5" t="s">
        <v>14</v>
      </c>
      <c r="L185" s="38" t="s">
        <v>15</v>
      </c>
      <c r="M185" s="38">
        <v>45925</v>
      </c>
      <c r="N185" s="38" t="s">
        <v>16</v>
      </c>
    </row>
    <row r="186" spans="1:14" x14ac:dyDescent="0.35">
      <c r="A186" s="4" t="str">
        <f>Sheet1!A186 &amp; "/" &amp; "2025"</f>
        <v>1584/2025</v>
      </c>
      <c r="B186" s="5" t="str">
        <f>Sheet1!E186</f>
        <v>AU2065672434325</v>
      </c>
      <c r="C186" s="6" t="str">
        <f>UPPER(Sheet1!B186)</f>
        <v>GURNAV SINGH PANNU</v>
      </c>
      <c r="D186" s="7" t="str">
        <f>IF(Sheet1!F186="F","FEMALE","MALE")</f>
        <v>MALE</v>
      </c>
      <c r="E186" s="6" t="str">
        <f>UPPER(Sheet1!G186)</f>
        <v>TAJINDERPAL SINGH PANNU</v>
      </c>
      <c r="F186" s="6" t="str">
        <f>UPPER(Sheet1!H186)</f>
        <v>NAVNEET  KAUR</v>
      </c>
      <c r="G186" s="5" t="str">
        <f>TEXT(Sheet1!C186,"dd/mm/yyyy") &amp; "," &amp; Sheet1!D186</f>
        <v xml:space="preserve">15/07/2025,ST ALBANS , AUSTRALIA </v>
      </c>
      <c r="H186" s="57" t="str">
        <f>UPPER(Sheet1!K186 &amp; "," &amp; Sheet1!L186 &amp; "," &amp; Sheet1!M186)</f>
        <v>VILL. MOHAN BHANDARIAN,PO CHETANPURA TEH. AJNALA,AMRITSAR,PIN:143001,PUNJAB,INDIA</v>
      </c>
      <c r="I186" s="8">
        <f>Sheet1!J186</f>
        <v>45915</v>
      </c>
      <c r="J186" s="5" t="str">
        <f>Sheet1!N186 &amp; "," &amp; TEXT(Sheet1!O186,"dd/mm/yy")</f>
        <v>202509063040,08/09/25</v>
      </c>
      <c r="K186" s="5" t="s">
        <v>14</v>
      </c>
      <c r="L186" s="38" t="s">
        <v>15</v>
      </c>
      <c r="M186" s="38">
        <v>45925</v>
      </c>
      <c r="N186" s="38" t="s">
        <v>16</v>
      </c>
    </row>
    <row r="187" spans="1:14" x14ac:dyDescent="0.35">
      <c r="A187" s="4" t="str">
        <f>Sheet1!A187 &amp; "/" &amp; "2025"</f>
        <v>1585/2025</v>
      </c>
      <c r="B187" s="5" t="str">
        <f>Sheet1!E187</f>
        <v>AU2065672434525</v>
      </c>
      <c r="C187" s="6" t="str">
        <f>UPPER(Sheet1!B187)</f>
        <v>JISHNU BETHAPUDI</v>
      </c>
      <c r="D187" s="7" t="str">
        <f>IF(Sheet1!F187="F","FEMALE","MALE")</f>
        <v>MALE</v>
      </c>
      <c r="E187" s="6" t="str">
        <f>UPPER(Sheet1!G187)</f>
        <v>HARISH KUMAR BETHAPUDI</v>
      </c>
      <c r="F187" s="6" t="str">
        <f>UPPER(Sheet1!H187)</f>
        <v>CHINMAI SWARAJ  CHEPURI</v>
      </c>
      <c r="G187" s="5" t="str">
        <f>TEXT(Sheet1!C187,"dd/mm/yyyy") &amp; "," &amp; Sheet1!D187</f>
        <v xml:space="preserve">13/07/2025,WERRIBEE, AUSTRALIA </v>
      </c>
      <c r="H187" s="57" t="str">
        <f>UPPER(Sheet1!K187 &amp; "," &amp; Sheet1!L187 &amp; "," &amp; Sheet1!M187)</f>
        <v>FLAT NO 204,VIJAYA TOWERS 1ST LINE,LAKSHMIPURAM,GUNTUR,GUNTUR,PIN:522007,ANDHRA PRADESH,INDIA</v>
      </c>
      <c r="I187" s="8">
        <f>Sheet1!J187</f>
        <v>45915</v>
      </c>
      <c r="J187" s="5" t="str">
        <f>Sheet1!N187 &amp; "," &amp; TEXT(Sheet1!O187,"dd/mm/yy")</f>
        <v>202509063496,09/09/25</v>
      </c>
      <c r="K187" s="5" t="s">
        <v>14</v>
      </c>
      <c r="L187" s="38" t="s">
        <v>15</v>
      </c>
      <c r="M187" s="38">
        <v>45925</v>
      </c>
      <c r="N187" s="38" t="s">
        <v>16</v>
      </c>
    </row>
    <row r="188" spans="1:14" x14ac:dyDescent="0.35">
      <c r="A188" s="4" t="str">
        <f>Sheet1!A188 &amp; "/" &amp; "2025"</f>
        <v>1586/2025</v>
      </c>
      <c r="B188" s="5" t="str">
        <f>Sheet1!E188</f>
        <v>AU2065672434725</v>
      </c>
      <c r="C188" s="6" t="str">
        <f>UPPER(Sheet1!B188)</f>
        <v>AVIRA RISHI</v>
      </c>
      <c r="D188" s="7" t="str">
        <f>IF(Sheet1!F188="F","FEMALE","MALE")</f>
        <v>FEMALE</v>
      </c>
      <c r="E188" s="6" t="str">
        <f>UPPER(Sheet1!G188)</f>
        <v>NITIN RISHI</v>
      </c>
      <c r="F188" s="6" t="str">
        <f>UPPER(Sheet1!H188)</f>
        <v>SAGARIKA  SETHI</v>
      </c>
      <c r="G188" s="5" t="str">
        <f>TEXT(Sheet1!C188,"dd/mm/yyyy") &amp; "," &amp; Sheet1!D188</f>
        <v xml:space="preserve">02/07/2025,BALLARAT CENTRAL, AUSTRALIA  </v>
      </c>
      <c r="H188" s="57" t="str">
        <f>UPPER(Sheet1!K188 &amp; "," &amp; Sheet1!L188 &amp; "," &amp; Sheet1!M188)</f>
        <v>A704 THE BPTP RESORT,SECTOR 75,FARIDABAD,PIN:121002,HARYANA,INDIA</v>
      </c>
      <c r="I188" s="8">
        <f>Sheet1!J188</f>
        <v>45915</v>
      </c>
      <c r="J188" s="5" t="str">
        <f>Sheet1!N188 &amp; "," &amp; TEXT(Sheet1!O188,"dd/mm/yy")</f>
        <v>202509051654,23/07/25</v>
      </c>
      <c r="K188" s="5" t="s">
        <v>14</v>
      </c>
      <c r="L188" s="38" t="s">
        <v>15</v>
      </c>
      <c r="M188" s="38">
        <v>45925</v>
      </c>
      <c r="N188" s="38" t="s">
        <v>16</v>
      </c>
    </row>
    <row r="189" spans="1:14" x14ac:dyDescent="0.35">
      <c r="A189" s="4" t="str">
        <f>Sheet1!A189 &amp; "/" &amp; "2025"</f>
        <v>1587/2025</v>
      </c>
      <c r="B189" s="5" t="str">
        <f>Sheet1!E189</f>
        <v>AU2065672434925</v>
      </c>
      <c r="C189" s="6" t="str">
        <f>UPPER(Sheet1!B189)</f>
        <v>NIDHAAN SINGH KHEHRA</v>
      </c>
      <c r="D189" s="7" t="str">
        <f>IF(Sheet1!F189="F","FEMALE","MALE")</f>
        <v>MALE</v>
      </c>
      <c r="E189" s="6" t="str">
        <f>UPPER(Sheet1!G189)</f>
        <v>SARBJIT SINGH</v>
      </c>
      <c r="F189" s="6" t="str">
        <f>UPPER(Sheet1!H189)</f>
        <v>HARPREET KAUR </v>
      </c>
      <c r="G189" s="5" t="str">
        <f>TEXT(Sheet1!C189,"dd/mm/yyyy") &amp; "," &amp; Sheet1!D189</f>
        <v xml:space="preserve">19/12/2024,ST ALBANS, AUSTRALIA  </v>
      </c>
      <c r="H189" s="57" t="str">
        <f>UPPER(Sheet1!K189 &amp; "," &amp; Sheet1!L189 &amp; "," &amp; Sheet1!M189)</f>
        <v>VPO NAGOKE,TEH KHADOOR SAHIB,TARN TARAN,PIN:143117,PUNJAB,INDIA</v>
      </c>
      <c r="I189" s="8">
        <f>Sheet1!J189</f>
        <v>45915</v>
      </c>
      <c r="J189" s="5" t="str">
        <f>Sheet1!N189 &amp; "," &amp; TEXT(Sheet1!O189,"dd/mm/yy")</f>
        <v>202509048757,13/07/25</v>
      </c>
      <c r="K189" s="5" t="s">
        <v>14</v>
      </c>
      <c r="L189" s="38" t="s">
        <v>15</v>
      </c>
      <c r="M189" s="38">
        <v>45925</v>
      </c>
      <c r="N189" s="38" t="s">
        <v>16</v>
      </c>
    </row>
    <row r="190" spans="1:14" x14ac:dyDescent="0.35">
      <c r="A190" s="4" t="str">
        <f>Sheet1!A190 &amp; "/" &amp; "2025"</f>
        <v>1588/2025</v>
      </c>
      <c r="B190" s="5" t="str">
        <f>Sheet1!E190</f>
        <v>AU2065672435125</v>
      </c>
      <c r="C190" s="6" t="str">
        <f>UPPER(Sheet1!B190)</f>
        <v>DEVANSH SINGH</v>
      </c>
      <c r="D190" s="7" t="str">
        <f>IF(Sheet1!F190="F","FEMALE","MALE")</f>
        <v>MALE</v>
      </c>
      <c r="E190" s="6" t="str">
        <f>UPPER(Sheet1!G190)</f>
        <v>AZAD SINGH</v>
      </c>
      <c r="F190" s="6" t="str">
        <f>UPPER(Sheet1!H190)</f>
        <v>SARITA DEVI </v>
      </c>
      <c r="G190" s="5" t="str">
        <f>TEXT(Sheet1!C190,"dd/mm/yyyy") &amp; "," &amp; Sheet1!D190</f>
        <v xml:space="preserve">22/05/2025,WARRNAMBOOL, AUSTRALIA  </v>
      </c>
      <c r="H190" s="57" t="str">
        <f>UPPER(Sheet1!K190 &amp; "," &amp; Sheet1!L190 &amp; "," &amp; Sheet1!M190)</f>
        <v>NEAR WATER TANK,VPO KAIMLA,KARNAL,PIN:132114,HARYANA,INDIA</v>
      </c>
      <c r="I190" s="8">
        <f>Sheet1!J190</f>
        <v>45915</v>
      </c>
      <c r="J190" s="5" t="str">
        <f>Sheet1!N190 &amp; "," &amp; TEXT(Sheet1!O190,"dd/mm/yy")</f>
        <v>202509062653,04/09/25</v>
      </c>
      <c r="K190" s="5" t="s">
        <v>14</v>
      </c>
      <c r="L190" s="38" t="s">
        <v>15</v>
      </c>
      <c r="M190" s="38">
        <v>45925</v>
      </c>
      <c r="N190" s="38" t="s">
        <v>16</v>
      </c>
    </row>
    <row r="191" spans="1:14" x14ac:dyDescent="0.35">
      <c r="A191" s="4" t="str">
        <f>Sheet1!A191 &amp; "/" &amp; "2025"</f>
        <v>1589/2025</v>
      </c>
      <c r="B191" s="5" t="str">
        <f>Sheet1!E191</f>
        <v>AU2065672435525</v>
      </c>
      <c r="C191" s="6" t="str">
        <f>UPPER(Sheet1!B191)</f>
        <v>AARNIKA REDDY KOTHAPALLY</v>
      </c>
      <c r="D191" s="7" t="str">
        <f>IF(Sheet1!F191="F","FEMALE","MALE")</f>
        <v>FEMALE</v>
      </c>
      <c r="E191" s="6" t="str">
        <f>UPPER(Sheet1!G191)</f>
        <v>CHANDRAVARUN REDDY KOTHAPALLY</v>
      </c>
      <c r="F191" s="6" t="str">
        <f>UPPER(Sheet1!H191)</f>
        <v>PRATHYUSHA  MALLAPALLY</v>
      </c>
      <c r="G191" s="5" t="str">
        <f>TEXT(Sheet1!C191,"dd/mm/yyyy") &amp; "," &amp; Sheet1!D191</f>
        <v xml:space="preserve">09/05/2025,BACCHUS MARSH , AUSTRALIA  </v>
      </c>
      <c r="H191" s="57" t="str">
        <f>UPPER(Sheet1!K191 &amp; "," &amp; Sheet1!L191 &amp; "," &amp; Sheet1!M191)</f>
        <v>15/108/12 BEHIND TELEPHONE EXCHANGE OFFICE,NAGARKURNOOL,NAGARKURNOOL,PIN:509209,TELANGANA,INDIA</v>
      </c>
      <c r="I191" s="8">
        <f>Sheet1!J191</f>
        <v>45915</v>
      </c>
      <c r="J191" s="5" t="str">
        <f>Sheet1!N191 &amp; "," &amp; TEXT(Sheet1!O191,"dd/mm/yy")</f>
        <v>202509063501,09/09/25</v>
      </c>
      <c r="K191" s="5" t="s">
        <v>14</v>
      </c>
      <c r="L191" s="38" t="s">
        <v>15</v>
      </c>
      <c r="M191" s="38">
        <v>45925</v>
      </c>
      <c r="N191" s="38" t="s">
        <v>16</v>
      </c>
    </row>
    <row r="192" spans="1:14" x14ac:dyDescent="0.35">
      <c r="A192" s="4" t="str">
        <f>Sheet1!A192 &amp; "/" &amp; "2025"</f>
        <v>1590/2025</v>
      </c>
      <c r="B192" s="5" t="str">
        <f>Sheet1!E192</f>
        <v>AU2065672435725</v>
      </c>
      <c r="C192" s="6" t="str">
        <f>UPPER(Sheet1!B192)</f>
        <v>AARAV BUJUNURU</v>
      </c>
      <c r="D192" s="7" t="str">
        <f>IF(Sheet1!F192="F","FEMALE","MALE")</f>
        <v>MALE</v>
      </c>
      <c r="E192" s="6" t="str">
        <f>UPPER(Sheet1!G192)</f>
        <v>SAI SAGAR BUJUNURU</v>
      </c>
      <c r="F192" s="6" t="str">
        <f>UPPER(Sheet1!H192)</f>
        <v>SHIVA PRIYA  VINUKONDA</v>
      </c>
      <c r="G192" s="5" t="str">
        <f>TEXT(Sheet1!C192,"dd/mm/yyyy") &amp; "," &amp; Sheet1!D192</f>
        <v xml:space="preserve">24/01/2025,HEIDELBERG , AUSTRALIA </v>
      </c>
      <c r="H192" s="57" t="str">
        <f>UPPER(Sheet1!K192 &amp; "," &amp; Sheet1!L192 &amp; "," &amp; Sheet1!M192)</f>
        <v>H.NO:- 1-1-192/1,GANDHI NAGAR,KAPRA,ECIL POST,MEDCHAL,PIN:500062,TELANGANA,INDIA</v>
      </c>
      <c r="I192" s="8">
        <f>Sheet1!J192</f>
        <v>45915</v>
      </c>
      <c r="J192" s="5" t="str">
        <f>Sheet1!N192 &amp; "," &amp; TEXT(Sheet1!O192,"dd/mm/yy")</f>
        <v>202509062481,03/09/25</v>
      </c>
      <c r="K192" s="5" t="s">
        <v>14</v>
      </c>
      <c r="L192" s="38" t="s">
        <v>15</v>
      </c>
      <c r="M192" s="38">
        <v>45925</v>
      </c>
      <c r="N192" s="38" t="s">
        <v>16</v>
      </c>
    </row>
    <row r="193" spans="1:14" x14ac:dyDescent="0.35">
      <c r="A193" s="4" t="str">
        <f>Sheet1!A193 &amp; "/" &amp; "2025"</f>
        <v>1591/2025</v>
      </c>
      <c r="B193" s="5" t="str">
        <f>Sheet1!E193</f>
        <v>AU2065666501325</v>
      </c>
      <c r="C193" s="6" t="str">
        <f>UPPER(Sheet1!B193)</f>
        <v>MEHAR KAUR SANDHU</v>
      </c>
      <c r="D193" s="7" t="str">
        <f>IF(Sheet1!F193="F","FEMALE","MALE")</f>
        <v>FEMALE</v>
      </c>
      <c r="E193" s="6" t="str">
        <f>UPPER(Sheet1!G193)</f>
        <v>AMRITDEEP SINGH SANDHU</v>
      </c>
      <c r="F193" s="6" t="str">
        <f>UPPER(Sheet1!H193)</f>
        <v>RAMANPREET KAUR </v>
      </c>
      <c r="G193" s="5" t="str">
        <f>TEXT(Sheet1!C193,"dd/mm/yyyy") &amp; "," &amp; Sheet1!D193</f>
        <v xml:space="preserve">09/07/2025,BERWICK MELBOURNE, AUSTRALIA  </v>
      </c>
      <c r="H193" s="57" t="str">
        <f>UPPER(Sheet1!K193 &amp; "," &amp; Sheet1!L193 &amp; "," &amp; Sheet1!M193)</f>
        <v>VPO. BHAKHA TARA SINGH,TEH. AJNALA,AMRITSAR,PIN:143102,PUNJAB,INDIA</v>
      </c>
      <c r="I193" s="8">
        <f>Sheet1!J193</f>
        <v>45916</v>
      </c>
      <c r="J193" s="5" t="str">
        <f>Sheet1!N193 &amp; "," &amp; TEXT(Sheet1!O193,"dd/mm/yy")</f>
        <v>202509052922,29/07/25</v>
      </c>
      <c r="K193" s="5" t="s">
        <v>14</v>
      </c>
      <c r="L193" s="38" t="s">
        <v>15</v>
      </c>
      <c r="M193" s="38">
        <v>45925</v>
      </c>
      <c r="N193" s="38" t="s">
        <v>16</v>
      </c>
    </row>
    <row r="194" spans="1:14" x14ac:dyDescent="0.35">
      <c r="A194" s="4" t="str">
        <f>Sheet1!A194 &amp; "/" &amp; "2025"</f>
        <v>1592/2025</v>
      </c>
      <c r="B194" s="5" t="str">
        <f>Sheet1!E194</f>
        <v>AU2065666498925</v>
      </c>
      <c r="C194" s="6" t="str">
        <f>UPPER(Sheet1!B194)</f>
        <v>ASEES GURBAKSH KAUR</v>
      </c>
      <c r="D194" s="7" t="str">
        <f>IF(Sheet1!F194="F","FEMALE","MALE")</f>
        <v>FEMALE</v>
      </c>
      <c r="E194" s="6" t="str">
        <f>UPPER(Sheet1!G194)</f>
        <v>RANJIT SINGH</v>
      </c>
      <c r="F194" s="6" t="str">
        <f>UPPER(Sheet1!H194)</f>
        <v>PRIYANKA </v>
      </c>
      <c r="G194" s="5" t="str">
        <f>TEXT(Sheet1!C194,"dd/mm/yyyy") &amp; "," &amp; Sheet1!D194</f>
        <v xml:space="preserve">10/03/2025,BACCHUS MARSH VIC, AUSTRALIA </v>
      </c>
      <c r="H194" s="57" t="str">
        <f>UPPER(Sheet1!K194 &amp; "," &amp; Sheet1!L194 &amp; "," &amp; Sheet1!M194)</f>
        <v>VPO,BALER KHAN PUR,KAPURTHALA,PIN:144601,PUNJAB,INDIA</v>
      </c>
      <c r="I194" s="8">
        <f>Sheet1!J194</f>
        <v>45919</v>
      </c>
      <c r="J194" s="5" t="str">
        <f>Sheet1!N194 &amp; "," &amp; TEXT(Sheet1!O194,"dd/mm/yy")</f>
        <v>202509059705,24/08/25</v>
      </c>
      <c r="K194" s="5" t="s">
        <v>14</v>
      </c>
      <c r="L194" s="38" t="s">
        <v>15</v>
      </c>
      <c r="M194" s="38">
        <v>45925</v>
      </c>
      <c r="N194" s="38" t="s">
        <v>16</v>
      </c>
    </row>
    <row r="195" spans="1:14" x14ac:dyDescent="0.35">
      <c r="A195" s="4" t="str">
        <f>Sheet1!A195 &amp; "/" &amp; "2025"</f>
        <v>1593/2025</v>
      </c>
      <c r="B195" s="5" t="str">
        <f>Sheet1!E195</f>
        <v>AU2065671334725</v>
      </c>
      <c r="C195" s="6" t="str">
        <f>UPPER(Sheet1!B195)</f>
        <v>AAVYA TANWAR</v>
      </c>
      <c r="D195" s="7" t="str">
        <f>IF(Sheet1!F195="F","FEMALE","MALE")</f>
        <v>FEMALE</v>
      </c>
      <c r="E195" s="6" t="str">
        <f>UPPER(Sheet1!G195)</f>
        <v>SHUBHAM TANWAR</v>
      </c>
      <c r="F195" s="6" t="str">
        <f>UPPER(Sheet1!H195)</f>
        <v>NISHA  RANI</v>
      </c>
      <c r="G195" s="5" t="str">
        <f>TEXT(Sheet1!C195,"dd/mm/yyyy") &amp; "," &amp; Sheet1!D195</f>
        <v xml:space="preserve">11/07/2025,HOBART, AUSTRALIA  </v>
      </c>
      <c r="H195" s="57" t="str">
        <f>UPPER(Sheet1!K195 &amp; "," &amp; Sheet1!L195 &amp; "," &amp; Sheet1!M195)</f>
        <v>H NO. 381 KEORAK,BHAYANKAR PATTI,KAITHAL,PIN:136027,HARYANA,INDIA</v>
      </c>
      <c r="I195" s="8">
        <f>Sheet1!J195</f>
        <v>45919</v>
      </c>
      <c r="J195" s="5" t="str">
        <f>Sheet1!N195 &amp; "," &amp; TEXT(Sheet1!O195,"dd/mm/yy")</f>
        <v>202509056620,12/08/25</v>
      </c>
      <c r="K195" s="5" t="s">
        <v>14</v>
      </c>
      <c r="L195" s="38" t="s">
        <v>15</v>
      </c>
      <c r="M195" s="38">
        <v>45925</v>
      </c>
      <c r="N195" s="38" t="s">
        <v>16</v>
      </c>
    </row>
    <row r="196" spans="1:14" x14ac:dyDescent="0.35">
      <c r="A196" s="4" t="str">
        <f>Sheet1!A196 &amp; "/" &amp; "2025"</f>
        <v>1594/2025</v>
      </c>
      <c r="B196" s="5" t="str">
        <f>Sheet1!E196</f>
        <v>AU2065677662125</v>
      </c>
      <c r="C196" s="6" t="str">
        <f>UPPER(Sheet1!B196)</f>
        <v>ADVIK MANDAL</v>
      </c>
      <c r="D196" s="7" t="str">
        <f>IF(Sheet1!F196="F","FEMALE","MALE")</f>
        <v>MALE</v>
      </c>
      <c r="E196" s="6" t="str">
        <f>UPPER(Sheet1!G196)</f>
        <v>ABHISEK MANDAL</v>
      </c>
      <c r="F196" s="6" t="str">
        <f>UPPER(Sheet1!H196)</f>
        <v>SANGEETA  SEN</v>
      </c>
      <c r="G196" s="5" t="str">
        <f>TEXT(Sheet1!C196,"dd/mm/yyyy") &amp; "," &amp; Sheet1!D196</f>
        <v xml:space="preserve">01/08/2025,WERRIBEE, AUSTRALIA  </v>
      </c>
      <c r="H196" s="57" t="str">
        <f>UPPER(Sheet1!K196 &amp; "," &amp; Sheet1!L196 &amp; "," &amp; Sheet1!M196)</f>
        <v>NEAR KASHMAR PRIMARY SCHOOL,VILL - KASHMAR,P.O. - CHAKADOBA,JHARGRAM,PIN:721501,WEST BENGAL,INDIA</v>
      </c>
      <c r="I196" s="8">
        <f>Sheet1!J196</f>
        <v>45919</v>
      </c>
      <c r="J196" s="5" t="str">
        <f>Sheet1!N196 &amp; "," &amp; TEXT(Sheet1!O196,"dd/mm/yy")</f>
        <v>202509063246,08/09/25</v>
      </c>
      <c r="K196" s="5" t="s">
        <v>14</v>
      </c>
      <c r="L196" s="38" t="s">
        <v>15</v>
      </c>
      <c r="M196" s="38">
        <v>45925</v>
      </c>
      <c r="N196" s="38" t="s">
        <v>16</v>
      </c>
    </row>
    <row r="197" spans="1:14" x14ac:dyDescent="0.35">
      <c r="A197" s="4" t="str">
        <f>Sheet1!A197 &amp; "/" &amp; "2025"</f>
        <v>1595/2025</v>
      </c>
      <c r="B197" s="5" t="str">
        <f>Sheet1!E197</f>
        <v>AU2065677662925</v>
      </c>
      <c r="C197" s="6" t="str">
        <f>UPPER(Sheet1!B197)</f>
        <v>AYVENBIR SINGH KHAROUD</v>
      </c>
      <c r="D197" s="7" t="str">
        <f>IF(Sheet1!F197="F","FEMALE","MALE")</f>
        <v>MALE</v>
      </c>
      <c r="E197" s="6" t="str">
        <f>UPPER(Sheet1!G197)</f>
        <v>LAKHWINDER SINGH</v>
      </c>
      <c r="F197" s="6" t="str">
        <f>UPPER(Sheet1!H197)</f>
        <v>PRABHJOT KAUR </v>
      </c>
      <c r="G197" s="5" t="str">
        <f>TEXT(Sheet1!C197,"dd/mm/yyyy") &amp; "," &amp; Sheet1!D197</f>
        <v xml:space="preserve">28/04/2025,MILDURA, AUSTRALIA  </v>
      </c>
      <c r="H197" s="57" t="str">
        <f>UPPER(Sheet1!K197 &amp; "," &amp; Sheet1!L197 &amp; "," &amp; Sheet1!M197)</f>
        <v>VILL- DANDRALA KHAROUD,P.O-DAKAUNDA,PATIALA,PIN:147104,PUNJAB,INDIA</v>
      </c>
      <c r="I197" s="8">
        <f>Sheet1!J197</f>
        <v>45919</v>
      </c>
      <c r="J197" s="5" t="str">
        <f>Sheet1!N197 &amp; "," &amp; TEXT(Sheet1!O197,"dd/mm/yy")</f>
        <v>202509063645,09/09/25</v>
      </c>
      <c r="K197" s="5" t="s">
        <v>14</v>
      </c>
      <c r="L197" s="38" t="s">
        <v>15</v>
      </c>
      <c r="M197" s="38">
        <v>45925</v>
      </c>
      <c r="N197" s="38" t="s">
        <v>16</v>
      </c>
    </row>
    <row r="198" spans="1:14" x14ac:dyDescent="0.35">
      <c r="A198" s="4" t="str">
        <f>Sheet1!A198 &amp; "/" &amp; "2025"</f>
        <v>1596/2025</v>
      </c>
      <c r="B198" s="5" t="str">
        <f>Sheet1!E198</f>
        <v>AU2065677665725</v>
      </c>
      <c r="C198" s="6" t="str">
        <f>UPPER(Sheet1!B198)</f>
        <v>RABAB KAUR PANNU</v>
      </c>
      <c r="D198" s="7" t="str">
        <f>IF(Sheet1!F198="F","FEMALE","MALE")</f>
        <v>FEMALE</v>
      </c>
      <c r="E198" s="6" t="str">
        <f>UPPER(Sheet1!G198)</f>
        <v>YUGRAJ SINGH</v>
      </c>
      <c r="F198" s="6" t="str">
        <f>UPPER(Sheet1!H198)</f>
        <v>HUSANPREET KAUR </v>
      </c>
      <c r="G198" s="5" t="str">
        <f>TEXT(Sheet1!C198,"dd/mm/yyyy") &amp; "," &amp; Sheet1!D198</f>
        <v>25/07/2025,HOBART, TASMANIA, AUSTRALIA</v>
      </c>
      <c r="H198" s="57" t="str">
        <f>UPPER(Sheet1!K198 &amp; "," &amp; Sheet1!L198 &amp; "," &amp; Sheet1!M198)</f>
        <v>VILLAGE,MUGHAL CHAK PANNUAN,TEH &amp; DISTT,TARN TARAN,PIN:143401,PUNJAB,INDIA</v>
      </c>
      <c r="I198" s="8">
        <f>Sheet1!J198</f>
        <v>45919</v>
      </c>
      <c r="J198" s="5" t="str">
        <f>Sheet1!N198 &amp; "," &amp; TEXT(Sheet1!O198,"dd/mm/yy")</f>
        <v>202509059362,22/08/25</v>
      </c>
      <c r="K198" s="5" t="s">
        <v>14</v>
      </c>
      <c r="L198" s="38" t="s">
        <v>15</v>
      </c>
      <c r="M198" s="38">
        <v>45925</v>
      </c>
      <c r="N198" s="38" t="s">
        <v>16</v>
      </c>
    </row>
    <row r="199" spans="1:14" x14ac:dyDescent="0.35">
      <c r="A199" s="4" t="str">
        <f>Sheet1!A199 &amp; "/" &amp; "2025"</f>
        <v>1597/2025</v>
      </c>
      <c r="B199" s="5" t="str">
        <f>Sheet1!E199</f>
        <v>AU2065677667725</v>
      </c>
      <c r="C199" s="6" t="str">
        <f>UPPER(Sheet1!B199)</f>
        <v>ALISHA SHARMA</v>
      </c>
      <c r="D199" s="7" t="str">
        <f>IF(Sheet1!F199="F","FEMALE","MALE")</f>
        <v>FEMALE</v>
      </c>
      <c r="E199" s="6" t="str">
        <f>UPPER(Sheet1!G199)</f>
        <v>SOURABH SHARMA</v>
      </c>
      <c r="F199" s="6" t="str">
        <f>UPPER(Sheet1!H199)</f>
        <v>NEHA  THAKUR</v>
      </c>
      <c r="G199" s="5" t="str">
        <f>TEXT(Sheet1!C199,"dd/mm/yyyy") &amp; "," &amp; Sheet1!D199</f>
        <v xml:space="preserve">09/01/2025,WERIBEE, AUSTRALIA </v>
      </c>
      <c r="H199" s="57" t="str">
        <f>UPPER(Sheet1!K199 &amp; "," &amp; Sheet1!L199 &amp; "," &amp; Sheet1!M199)</f>
        <v>T-3/143 RSD COLONY,SHAHPURKANDI TOWNSHIP,PATHANKOT,PIN:145029,PUNJAB,INDIA</v>
      </c>
      <c r="I199" s="8">
        <f>Sheet1!J199</f>
        <v>45919</v>
      </c>
      <c r="J199" s="5" t="str">
        <f>Sheet1!N199 &amp; "," &amp; TEXT(Sheet1!O199,"dd/mm/yy")</f>
        <v>202509059248,22/08/25</v>
      </c>
      <c r="K199" s="5" t="s">
        <v>14</v>
      </c>
      <c r="L199" s="38" t="s">
        <v>15</v>
      </c>
      <c r="M199" s="38">
        <v>45925</v>
      </c>
      <c r="N199" s="38" t="s">
        <v>16</v>
      </c>
    </row>
    <row r="200" spans="1:14" x14ac:dyDescent="0.35">
      <c r="A200" s="4" t="str">
        <f>Sheet1!A200 &amp; "/" &amp; "2025"</f>
        <v>1598/2025</v>
      </c>
      <c r="B200" s="5" t="str">
        <f>Sheet1!E200</f>
        <v>AU2065677668525</v>
      </c>
      <c r="C200" s="6" t="str">
        <f>UPPER(Sheet1!B200)</f>
        <v>AGAM SINGH BHINDER</v>
      </c>
      <c r="D200" s="7" t="str">
        <f>IF(Sheet1!F200="F","FEMALE","MALE")</f>
        <v>MALE</v>
      </c>
      <c r="E200" s="6" t="str">
        <f>UPPER(Sheet1!G200)</f>
        <v>HARJAP SINGH BHINDER</v>
      </c>
      <c r="F200" s="6" t="str">
        <f>UPPER(Sheet1!H200)</f>
        <v>HARJINDER KAUR </v>
      </c>
      <c r="G200" s="5" t="str">
        <f>TEXT(Sheet1!C200,"dd/mm/yyyy") &amp; "," &amp; Sheet1!D200</f>
        <v xml:space="preserve">15/05/2025,BERWICK , AUSTRALIA  </v>
      </c>
      <c r="H200" s="57" t="str">
        <f>UPPER(Sheet1!K200 &amp; "," &amp; Sheet1!L200 &amp; "," &amp; Sheet1!M200)</f>
        <v>51/52,GALI NO.9,AMRIT VIHAR COLONY,CHHEHARTA,AMRITSAR,PIN:143105,PUNJAB,INDIA</v>
      </c>
      <c r="I200" s="8">
        <f>Sheet1!J200</f>
        <v>45919</v>
      </c>
      <c r="J200" s="5" t="str">
        <f>Sheet1!N200 &amp; "," &amp; TEXT(Sheet1!O200,"dd/mm/yy")</f>
        <v>202509059022,21/08/25</v>
      </c>
      <c r="K200" s="5" t="s">
        <v>14</v>
      </c>
      <c r="L200" s="38" t="s">
        <v>15</v>
      </c>
      <c r="M200" s="38">
        <v>45925</v>
      </c>
      <c r="N200" s="38" t="s">
        <v>16</v>
      </c>
    </row>
    <row r="201" spans="1:14" x14ac:dyDescent="0.35">
      <c r="A201" s="4" t="str">
        <f>Sheet1!A201 &amp; "/" &amp; "2025"</f>
        <v>1599/2025</v>
      </c>
      <c r="B201" s="5" t="str">
        <f>Sheet1!E201</f>
        <v>AU2065677669525</v>
      </c>
      <c r="C201" s="6" t="str">
        <f>UPPER(Sheet1!B201)</f>
        <v>NIRVAIR SINGH SANDHU</v>
      </c>
      <c r="D201" s="7" t="str">
        <f>IF(Sheet1!F201="F","FEMALE","MALE")</f>
        <v>MALE</v>
      </c>
      <c r="E201" s="6" t="str">
        <f>UPPER(Sheet1!G201)</f>
        <v>MANDEEP SINGH SANDHU</v>
      </c>
      <c r="F201" s="6" t="str">
        <f>UPPER(Sheet1!H201)</f>
        <v>MANPREET KAUR  SANDHU</v>
      </c>
      <c r="G201" s="5" t="str">
        <f>TEXT(Sheet1!C201,"dd/mm/yyyy") &amp; "," &amp; Sheet1!D201</f>
        <v xml:space="preserve">27/04/2025,DANDENONG, AUSTRALIA  </v>
      </c>
      <c r="H201" s="57" t="str">
        <f>UPPER(Sheet1!K201 &amp; "," &amp; Sheet1!L201 &amp; "," &amp; Sheet1!M201)</f>
        <v>ZIRA ROAD,KOT ISE KHAN,MOGA,PIN:142043,PUNJAB,INDIA</v>
      </c>
      <c r="I201" s="8">
        <f>Sheet1!J201</f>
        <v>45919</v>
      </c>
      <c r="J201" s="5" t="str">
        <f>Sheet1!N201 &amp; "," &amp; TEXT(Sheet1!O201,"dd/mm/yy")</f>
        <v>202509061076,29/08/25</v>
      </c>
      <c r="K201" s="5" t="s">
        <v>14</v>
      </c>
      <c r="L201" s="38" t="s">
        <v>15</v>
      </c>
      <c r="M201" s="38">
        <v>45925</v>
      </c>
      <c r="N201" s="38" t="s">
        <v>16</v>
      </c>
    </row>
    <row r="202" spans="1:14" x14ac:dyDescent="0.35">
      <c r="A202" s="4" t="str">
        <f>Sheet1!A202 &amp; "/" &amp; "2025"</f>
        <v>1600/2025</v>
      </c>
      <c r="B202" s="5" t="str">
        <f>Sheet1!E202</f>
        <v>AU2065679856925</v>
      </c>
      <c r="C202" s="6" t="str">
        <f>UPPER(Sheet1!B202)</f>
        <v>VRINDA CHAKRAVERTY</v>
      </c>
      <c r="D202" s="7" t="str">
        <f>IF(Sheet1!F202="F","FEMALE","MALE")</f>
        <v>FEMALE</v>
      </c>
      <c r="E202" s="6" t="str">
        <f>UPPER(Sheet1!G202)</f>
        <v>ARNAB CHAKRAVERTY</v>
      </c>
      <c r="F202" s="6" t="str">
        <f>UPPER(Sheet1!H202)</f>
        <v>SHREYOSI  CHAKRABORTY</v>
      </c>
      <c r="G202" s="5" t="str">
        <f>TEXT(Sheet1!C202,"dd/mm/yyyy") &amp; "," &amp; Sheet1!D202</f>
        <v xml:space="preserve">26/03/2025,CLAYTON , AUSTRALIA  </v>
      </c>
      <c r="H202" s="57" t="str">
        <f>UPPER(Sheet1!K202 &amp; "," &amp; Sheet1!L202 &amp; "," &amp; Sheet1!M202)</f>
        <v>124A VIVEKANANDA ROAD,KOLKATA,KOLKATA,PIN:700006,WEST BENGAL,INDIA</v>
      </c>
      <c r="I202" s="8">
        <f>Sheet1!J202</f>
        <v>45919</v>
      </c>
      <c r="J202" s="5" t="str">
        <f>Sheet1!N202 &amp; "," &amp; TEXT(Sheet1!O202,"dd/mm/yy")</f>
        <v>202509064234,11/09/25</v>
      </c>
      <c r="K202" s="5" t="s">
        <v>14</v>
      </c>
      <c r="L202" s="38" t="s">
        <v>15</v>
      </c>
      <c r="M202" s="38">
        <v>45925</v>
      </c>
      <c r="N202" s="38" t="s">
        <v>16</v>
      </c>
    </row>
    <row r="203" spans="1:14" x14ac:dyDescent="0.35">
      <c r="A203" s="4" t="str">
        <f>Sheet1!A203 &amp; "/" &amp; "2025"</f>
        <v>1601/2025</v>
      </c>
      <c r="B203" s="5" t="str">
        <f>Sheet1!E203</f>
        <v>AU2065679857525</v>
      </c>
      <c r="C203" s="6" t="str">
        <f>UPPER(Sheet1!B203)</f>
        <v>UMAIMA MUQEETH</v>
      </c>
      <c r="D203" s="7" t="str">
        <f>IF(Sheet1!F203="F","FEMALE","MALE")</f>
        <v>FEMALE</v>
      </c>
      <c r="E203" s="6" t="str">
        <f>UPPER(Sheet1!G203)</f>
        <v>MOHAMMED ABDUL MUQEETH</v>
      </c>
      <c r="F203" s="6" t="str">
        <f>UPPER(Sheet1!H203)</f>
        <v>FIRDOUS  FATIMA</v>
      </c>
      <c r="G203" s="5" t="str">
        <f>TEXT(Sheet1!C203,"dd/mm/yyyy") &amp; "," &amp; Sheet1!D203</f>
        <v>17/05/2025,BALLARAT CENTRAL, AUSTRALIA</v>
      </c>
      <c r="H203" s="57" t="str">
        <f>UPPER(Sheet1!K203 &amp; "," &amp; Sheet1!L203 &amp; "," &amp; Sheet1!M203)</f>
        <v>20-3-250/1/A,FLAT NO : 104,RKS MEHER RESIDENCY,HUSSAINI ALAM,BAHADURPURA,HYDERABAD,PIN:500064,TELANGANA,INDIA</v>
      </c>
      <c r="I203" s="8">
        <f>Sheet1!J203</f>
        <v>45919</v>
      </c>
      <c r="J203" s="5" t="str">
        <f>Sheet1!N203 &amp; "," &amp; TEXT(Sheet1!O203,"dd/mm/yy")</f>
        <v>202509060881,28/08/25</v>
      </c>
      <c r="K203" s="5" t="s">
        <v>14</v>
      </c>
      <c r="L203" s="38" t="s">
        <v>15</v>
      </c>
      <c r="M203" s="38">
        <v>45925</v>
      </c>
      <c r="N203" s="38" t="s">
        <v>16</v>
      </c>
    </row>
    <row r="204" spans="1:14" x14ac:dyDescent="0.35">
      <c r="A204" s="4" t="str">
        <f>Sheet1!A204 &amp; "/" &amp; "2025"</f>
        <v>1602/2025</v>
      </c>
      <c r="B204" s="5" t="str">
        <f>Sheet1!E204</f>
        <v>AU2065679858125</v>
      </c>
      <c r="C204" s="6" t="str">
        <f>UPPER(Sheet1!B204)</f>
        <v>JAPNAAZ KAUR</v>
      </c>
      <c r="D204" s="7" t="str">
        <f>IF(Sheet1!F204="F","FEMALE","MALE")</f>
        <v>FEMALE</v>
      </c>
      <c r="E204" s="6" t="str">
        <f>UPPER(Sheet1!G204)</f>
        <v>BALVINDER SINGH</v>
      </c>
      <c r="F204" s="6" t="str">
        <f>UPPER(Sheet1!H204)</f>
        <v>BANNY  SHARMA</v>
      </c>
      <c r="G204" s="5" t="str">
        <f>TEXT(Sheet1!C204,"dd/mm/yyyy") &amp; "," &amp; Sheet1!D204</f>
        <v xml:space="preserve">19/02/2025,ST ALBANS , AUSTRALIA </v>
      </c>
      <c r="H204" s="57" t="str">
        <f>UPPER(Sheet1!K204 &amp; "," &amp; Sheet1!L204 &amp; "," &amp; Sheet1!M204)</f>
        <v>66,KATRON,SANGRUR,PIN:148025,PUNJAB,INDIA</v>
      </c>
      <c r="I204" s="8">
        <f>Sheet1!J204</f>
        <v>45919</v>
      </c>
      <c r="J204" s="5" t="str">
        <f>Sheet1!N204 &amp; "," &amp; TEXT(Sheet1!O204,"dd/mm/yy")</f>
        <v>202509060245,26/08/25</v>
      </c>
      <c r="K204" s="5" t="s">
        <v>14</v>
      </c>
      <c r="L204" s="38" t="s">
        <v>15</v>
      </c>
      <c r="M204" s="38">
        <v>45925</v>
      </c>
      <c r="N204" s="38" t="s">
        <v>16</v>
      </c>
    </row>
    <row r="205" spans="1:14" x14ac:dyDescent="0.35">
      <c r="A205" s="4" t="str">
        <f>Sheet1!A205 &amp; "/" &amp; "2025"</f>
        <v>1603/2025</v>
      </c>
      <c r="B205" s="5" t="str">
        <f>Sheet1!E205</f>
        <v>AU2065681053525</v>
      </c>
      <c r="C205" s="6" t="str">
        <f>UPPER(Sheet1!B205)</f>
        <v>ANAHAT KAUR KALSI</v>
      </c>
      <c r="D205" s="7" t="str">
        <f>IF(Sheet1!F205="F","FEMALE","MALE")</f>
        <v>FEMALE</v>
      </c>
      <c r="E205" s="6" t="str">
        <f>UPPER(Sheet1!G205)</f>
        <v>JAGDEEP SINGH</v>
      </c>
      <c r="F205" s="6" t="str">
        <f>UPPER(Sheet1!H205)</f>
        <v>MANDEEP KAUR </v>
      </c>
      <c r="G205" s="5" t="str">
        <f>TEXT(Sheet1!C205,"dd/mm/yyyy") &amp; "," &amp; Sheet1!D205</f>
        <v xml:space="preserve">02/02/2025,ST ALBANS , AUSTRALIA </v>
      </c>
      <c r="H205" s="57" t="str">
        <f>UPPER(Sheet1!K205 &amp; "," &amp; Sheet1!L205 &amp; "," &amp; Sheet1!M205)</f>
        <v>VPO NARDU,DISTT,PATIALA,PIN:140701,PUNJAB,INDIA</v>
      </c>
      <c r="I205" s="8">
        <f>Sheet1!J205</f>
        <v>45919</v>
      </c>
      <c r="J205" s="5" t="str">
        <f>Sheet1!N205 &amp; "," &amp; TEXT(Sheet1!O205,"dd/mm/yy")</f>
        <v>202509050599,19/07/25</v>
      </c>
      <c r="K205" s="5" t="s">
        <v>14</v>
      </c>
      <c r="L205" s="38" t="s">
        <v>15</v>
      </c>
      <c r="M205" s="38">
        <v>45925</v>
      </c>
      <c r="N205" s="38" t="s">
        <v>16</v>
      </c>
    </row>
    <row r="206" spans="1:14" x14ac:dyDescent="0.35">
      <c r="A206" s="4" t="str">
        <f>Sheet1!A206 &amp; "/" &amp; "2025"</f>
        <v>1604/2025</v>
      </c>
      <c r="B206" s="5" t="str">
        <f>Sheet1!E206</f>
        <v>AU2065681053725</v>
      </c>
      <c r="C206" s="6" t="str">
        <f>UPPER(Sheet1!B206)</f>
        <v>YUVAAN CHAUHAN</v>
      </c>
      <c r="D206" s="7" t="str">
        <f>IF(Sheet1!F206="F","FEMALE","MALE")</f>
        <v>MALE</v>
      </c>
      <c r="E206" s="6" t="str">
        <f>UPPER(Sheet1!G206)</f>
        <v>DEEPAK CHAUHAN</v>
      </c>
      <c r="F206" s="6" t="str">
        <f>UPPER(Sheet1!H206)</f>
        <v>DEEPALI  CHAUHAN</v>
      </c>
      <c r="G206" s="5" t="str">
        <f>TEXT(Sheet1!C206,"dd/mm/yyyy") &amp; "," &amp; Sheet1!D206</f>
        <v>27/12/2024,MOUNT WAVERLEY, AUSTRALIA</v>
      </c>
      <c r="H206" s="57" t="str">
        <f>UPPER(Sheet1!K206 &amp; "," &amp; Sheet1!L206 &amp; "," &amp; Sheet1!M206)</f>
        <v>A-185,SECTOR-47,NOIDA,GAUTAM BUDH NAGAR,PIN:201301,UTTAR PRADESH,INDIA</v>
      </c>
      <c r="I206" s="8">
        <f>Sheet1!J206</f>
        <v>45919</v>
      </c>
      <c r="J206" s="5" t="str">
        <f>Sheet1!N206 &amp; "," &amp; TEXT(Sheet1!O206,"dd/mm/yy")</f>
        <v>202509053679,31/07/25</v>
      </c>
      <c r="K206" s="5" t="s">
        <v>14</v>
      </c>
      <c r="L206" s="38" t="s">
        <v>15</v>
      </c>
      <c r="M206" s="38">
        <v>45925</v>
      </c>
      <c r="N206" s="38" t="s">
        <v>16</v>
      </c>
    </row>
    <row r="207" spans="1:14" x14ac:dyDescent="0.35">
      <c r="A207" s="4" t="str">
        <f>Sheet1!A207 &amp; "/" &amp; "2025"</f>
        <v>1605/2025</v>
      </c>
      <c r="B207" s="5" t="str">
        <f>Sheet1!E207</f>
        <v>AU2065681053925</v>
      </c>
      <c r="C207" s="6" t="str">
        <f>UPPER(Sheet1!B207)</f>
        <v>MARVICK REDDY BEEREDDY</v>
      </c>
      <c r="D207" s="7" t="str">
        <f>IF(Sheet1!F207="F","FEMALE","MALE")</f>
        <v>MALE</v>
      </c>
      <c r="E207" s="6" t="str">
        <f>UPPER(Sheet1!G207)</f>
        <v>BALA DEEKSHITH REDDY BEEREDDY</v>
      </c>
      <c r="F207" s="6" t="str">
        <f>UPPER(Sheet1!H207)</f>
        <v>MANEESHA  DAGGULA</v>
      </c>
      <c r="G207" s="5" t="str">
        <f>TEXT(Sheet1!C207,"dd/mm/yyyy") &amp; "," &amp; Sheet1!D207</f>
        <v xml:space="preserve">10/05/2025,WERIBEE, AUSTRALIA </v>
      </c>
      <c r="H207" s="57" t="str">
        <f>UPPER(Sheet1!K207 &amp; "," &amp; Sheet1!L207 &amp; "," &amp; Sheet1!M207)</f>
        <v>11-57,NARMETTA,JANGOAN,PIN:506167,TELANGANA,INDIA</v>
      </c>
      <c r="I207" s="8">
        <f>Sheet1!J207</f>
        <v>45919</v>
      </c>
      <c r="J207" s="5" t="str">
        <f>Sheet1!N207 &amp; "," &amp; TEXT(Sheet1!O207,"dd/mm/yy")</f>
        <v>202509062325,03/09/25</v>
      </c>
      <c r="K207" s="5" t="s">
        <v>14</v>
      </c>
      <c r="L207" s="38" t="s">
        <v>15</v>
      </c>
      <c r="M207" s="38">
        <v>45925</v>
      </c>
      <c r="N207" s="38" t="s">
        <v>16</v>
      </c>
    </row>
    <row r="208" spans="1:14" x14ac:dyDescent="0.35">
      <c r="A208" s="4" t="str">
        <f>Sheet1!A208 &amp; "/" &amp; "2025"</f>
        <v>1606/2025</v>
      </c>
      <c r="B208" s="5" t="str">
        <f>Sheet1!E208</f>
        <v>AU2065681057925</v>
      </c>
      <c r="C208" s="6" t="str">
        <f>UPPER(Sheet1!B208)</f>
        <v>DHARVIK HARDIKKUMAR PATEL</v>
      </c>
      <c r="D208" s="7" t="str">
        <f>IF(Sheet1!F208="F","FEMALE","MALE")</f>
        <v>MALE</v>
      </c>
      <c r="E208" s="6" t="str">
        <f>UPPER(Sheet1!G208)</f>
        <v>HARDIKKUMAR VISHNUBHAI PATEL</v>
      </c>
      <c r="F208" s="6" t="str">
        <f>UPPER(Sheet1!H208)</f>
        <v>AMI HARDIKKUMAR PATEL </v>
      </c>
      <c r="G208" s="5" t="str">
        <f>TEXT(Sheet1!C208,"dd/mm/yyyy") &amp; "," &amp; Sheet1!D208</f>
        <v xml:space="preserve">10/07/2025,BERWICK , AUSTRALIA  </v>
      </c>
      <c r="H208" s="57" t="str">
        <f>UPPER(Sheet1!K208 &amp; "," &amp; Sheet1!L208 &amp; "," &amp; Sheet1!M208)</f>
        <v>AT. GANESHPURA,TA. VIJAPUR,MEHSANA,PIN:382870,GUJARAT,INDIA</v>
      </c>
      <c r="I208" s="8">
        <f>Sheet1!J208</f>
        <v>45919</v>
      </c>
      <c r="J208" s="5" t="str">
        <f>Sheet1!N208 &amp; "," &amp; TEXT(Sheet1!O208,"dd/mm/yy")</f>
        <v>202509065197,15/09/25</v>
      </c>
      <c r="K208" s="5" t="s">
        <v>14</v>
      </c>
      <c r="L208" s="38" t="s">
        <v>15</v>
      </c>
      <c r="M208" s="38">
        <v>45925</v>
      </c>
      <c r="N208" s="38" t="s">
        <v>16</v>
      </c>
    </row>
    <row r="209" spans="1:14" x14ac:dyDescent="0.35">
      <c r="A209" s="4" t="str">
        <f>Sheet1!A209 &amp; "/" &amp; "2025"</f>
        <v>1607/2025</v>
      </c>
      <c r="B209" s="5" t="str">
        <f>Sheet1!E209</f>
        <v>AU2065681058125</v>
      </c>
      <c r="C209" s="6" t="str">
        <f>UPPER(Sheet1!B209)</f>
        <v>AIRA DEHLIA</v>
      </c>
      <c r="D209" s="7" t="str">
        <f>IF(Sheet1!F209="F","FEMALE","MALE")</f>
        <v>FEMALE</v>
      </c>
      <c r="E209" s="6" t="str">
        <f>UPPER(Sheet1!G209)</f>
        <v>ANKUSH DEHLIA</v>
      </c>
      <c r="F209" s="6" t="str">
        <f>UPPER(Sheet1!H209)</f>
        <v>PALAK  MITTAL</v>
      </c>
      <c r="G209" s="5" t="str">
        <f>TEXT(Sheet1!C209,"dd/mm/yyyy") &amp; "," &amp; Sheet1!D209</f>
        <v>18/07/2025,MOUNT WAVERLEY, AUSTRALIA</v>
      </c>
      <c r="H209" s="57" t="str">
        <f>UPPER(Sheet1!K209 &amp; "," &amp; Sheet1!L209 &amp; "," &amp; Sheet1!M209)</f>
        <v>H.NO. 943,FRIENDS COLONY,MODEL TOWN,AMBALA CITY,AMBALA,PIN:134003,HARYANA,INDIA</v>
      </c>
      <c r="I209" s="8">
        <f>Sheet1!J209</f>
        <v>45919</v>
      </c>
      <c r="J209" s="5" t="str">
        <f>Sheet1!N209 &amp; "," &amp; TEXT(Sheet1!O209,"dd/mm/yy")</f>
        <v>202509064013,10/09/25</v>
      </c>
      <c r="K209" s="5" t="s">
        <v>14</v>
      </c>
      <c r="L209" s="38" t="s">
        <v>15</v>
      </c>
      <c r="M209" s="38">
        <v>45925</v>
      </c>
      <c r="N209" s="38" t="s">
        <v>16</v>
      </c>
    </row>
    <row r="210" spans="1:14" x14ac:dyDescent="0.35">
      <c r="A210" s="4" t="str">
        <f>Sheet1!A210 &amp; "/" &amp; "2025"</f>
        <v>1608/2025</v>
      </c>
      <c r="B210" s="5" t="str">
        <f>Sheet1!E210</f>
        <v>AU2065681058525</v>
      </c>
      <c r="C210" s="6" t="str">
        <f>UPPER(Sheet1!B210)</f>
        <v>VANI CHAUDHARI</v>
      </c>
      <c r="D210" s="7" t="str">
        <f>IF(Sheet1!F210="F","FEMALE","MALE")</f>
        <v>FEMALE</v>
      </c>
      <c r="E210" s="6" t="str">
        <f>UPPER(Sheet1!G210)</f>
        <v>ILESH SHANKARBHAI CHAUDHARI</v>
      </c>
      <c r="F210" s="6" t="str">
        <f>UPPER(Sheet1!H210)</f>
        <v>RASNABEN ILESH  CHAUDHARI</v>
      </c>
      <c r="G210" s="5" t="str">
        <f>TEXT(Sheet1!C210,"dd/mm/yyyy") &amp; "," &amp; Sheet1!D210</f>
        <v xml:space="preserve">17/02/2025,HEIDELBERG , AUSTRALIA </v>
      </c>
      <c r="H210" s="57" t="str">
        <f>UPPER(Sheet1!K210 &amp; "," &amp; Sheet1!L210 &amp; "," &amp; Sheet1!M210)</f>
        <v>1556,MAHAKALI SOCIETY,PAMOL,MEHSANA,PIN:382820,GUJARAT,INDIA</v>
      </c>
      <c r="I210" s="8">
        <f>Sheet1!J210</f>
        <v>45919</v>
      </c>
      <c r="J210" s="5" t="str">
        <f>Sheet1!N210 &amp; "," &amp; TEXT(Sheet1!O210,"dd/mm/yy")</f>
        <v>202509064554,12/09/25</v>
      </c>
      <c r="K210" s="5" t="s">
        <v>14</v>
      </c>
      <c r="L210" s="38" t="s">
        <v>15</v>
      </c>
      <c r="M210" s="38">
        <v>45925</v>
      </c>
      <c r="N210" s="38" t="s">
        <v>16</v>
      </c>
    </row>
    <row r="211" spans="1:14" x14ac:dyDescent="0.35">
      <c r="A211" s="4" t="str">
        <f>Sheet1!A211 &amp; "/" &amp; "2025"</f>
        <v>1609/2025</v>
      </c>
      <c r="B211" s="5" t="str">
        <f>Sheet1!E211</f>
        <v>AU2065681059125</v>
      </c>
      <c r="C211" s="6" t="str">
        <f>UPPER(Sheet1!B211)</f>
        <v>AIZEL KAMBOJ</v>
      </c>
      <c r="D211" s="7" t="str">
        <f>IF(Sheet1!F211="F","FEMALE","MALE")</f>
        <v>FEMALE</v>
      </c>
      <c r="E211" s="6" t="str">
        <f>UPPER(Sheet1!G211)</f>
        <v>KARAN DEEP SINGH</v>
      </c>
      <c r="F211" s="6" t="str">
        <f>UPPER(Sheet1!H211)</f>
        <v>NAVPREET KAUR </v>
      </c>
      <c r="G211" s="5" t="str">
        <f>TEXT(Sheet1!C211,"dd/mm/yyyy") &amp; "," &amp; Sheet1!D211</f>
        <v>08/01/2025,DANDENONG, AUSTRALIA</v>
      </c>
      <c r="H211" s="57" t="str">
        <f>UPPER(Sheet1!K211 &amp; "," &amp; Sheet1!L211 &amp; "," &amp; Sheet1!M211)</f>
        <v>H.NO.543/5 GALI KAMBOJ WALI,CHOWNK LACCHMANSAR,AMRITSAR,PIN:143001,PUNJAB,INDIA</v>
      </c>
      <c r="I211" s="8">
        <f>Sheet1!J211</f>
        <v>45919</v>
      </c>
      <c r="J211" s="5" t="str">
        <f>Sheet1!N211 &amp; "," &amp; TEXT(Sheet1!O211,"dd/mm/yy")</f>
        <v>202509048195,10/07/25</v>
      </c>
      <c r="K211" s="5" t="s">
        <v>14</v>
      </c>
      <c r="L211" s="38" t="s">
        <v>15</v>
      </c>
      <c r="M211" s="38">
        <v>45925</v>
      </c>
      <c r="N211" s="38" t="s">
        <v>16</v>
      </c>
    </row>
    <row r="212" spans="1:14" x14ac:dyDescent="0.35">
      <c r="A212" s="4" t="str">
        <f>Sheet1!A212 &amp; "/" &amp; "2025"</f>
        <v>1610/2025</v>
      </c>
      <c r="B212" s="5" t="str">
        <f>Sheet1!E212</f>
        <v>AU2065681059525</v>
      </c>
      <c r="C212" s="6" t="str">
        <f>UPPER(Sheet1!B212)</f>
        <v>ERAYA BHAGI</v>
      </c>
      <c r="D212" s="7" t="str">
        <f>IF(Sheet1!F212="F","FEMALE","MALE")</f>
        <v>FEMALE</v>
      </c>
      <c r="E212" s="6" t="str">
        <f>UPPER(Sheet1!G212)</f>
        <v>PRINCE BHAGI</v>
      </c>
      <c r="F212" s="6" t="str">
        <f>UPPER(Sheet1!H212)</f>
        <v>ANU  BHANOT</v>
      </c>
      <c r="G212" s="5" t="str">
        <f>TEXT(Sheet1!C212,"dd/mm/yyyy") &amp; "," &amp; Sheet1!D212</f>
        <v xml:space="preserve">25/06/2025,ST ALBANS , AUSTRALIA </v>
      </c>
      <c r="H212" s="57" t="str">
        <f>UPPER(Sheet1!K212 &amp; "," &amp; Sheet1!L212 &amp; "," &amp; Sheet1!M212)</f>
        <v>H. NO 22 MODERN ESTATE TALHAN ROAD,DAKOHA,JALANDHAR,PIN:144023,PUNJAB,INDIA</v>
      </c>
      <c r="I212" s="8">
        <f>Sheet1!J212</f>
        <v>45919</v>
      </c>
      <c r="J212" s="5" t="str">
        <f>Sheet1!N212 &amp; "," &amp; TEXT(Sheet1!O212,"dd/mm/yy")</f>
        <v>202509065064,14/09/25</v>
      </c>
      <c r="K212" s="5" t="s">
        <v>14</v>
      </c>
      <c r="L212" s="38" t="s">
        <v>15</v>
      </c>
      <c r="M212" s="38">
        <v>45925</v>
      </c>
      <c r="N212" s="38" t="s">
        <v>16</v>
      </c>
    </row>
    <row r="213" spans="1:14" x14ac:dyDescent="0.35">
      <c r="A213" s="4" t="str">
        <f>Sheet1!A213 &amp; "/" &amp; "2025"</f>
        <v>1611/2025</v>
      </c>
      <c r="B213" s="5" t="str">
        <f>Sheet1!E213</f>
        <v>AU2065681060125</v>
      </c>
      <c r="C213" s="6" t="str">
        <f>UPPER(Sheet1!B213)</f>
        <v>YASHREE PATEL</v>
      </c>
      <c r="D213" s="7" t="str">
        <f>IF(Sheet1!F213="F","FEMALE","MALE")</f>
        <v>FEMALE</v>
      </c>
      <c r="E213" s="6" t="str">
        <f>UPPER(Sheet1!G213)</f>
        <v>DISHANTKUMAR SATISHCHANDRA PATEL</v>
      </c>
      <c r="F213" s="6" t="str">
        <f>UPPER(Sheet1!H213)</f>
        <v>RUTVI NANDITKUMAR  THAKOR</v>
      </c>
      <c r="G213" s="5" t="str">
        <f>TEXT(Sheet1!C213,"dd/mm/yyyy") &amp; "," &amp; Sheet1!D213</f>
        <v xml:space="preserve">04/08/2025,GEELONG , AUSTRALIA </v>
      </c>
      <c r="H213" s="57" t="str">
        <f>UPPER(Sheet1!K213 &amp; "," &amp; Sheet1!L213 &amp; "," &amp; Sheet1!M213)</f>
        <v>BEHIND MAHADEV,LIMBASI,KHEDA,PIN:387520,GUJARAT,INDIA</v>
      </c>
      <c r="I213" s="8">
        <f>Sheet1!J213</f>
        <v>45919</v>
      </c>
      <c r="J213" s="5" t="str">
        <f>Sheet1!N213 &amp; "," &amp; TEXT(Sheet1!O213,"dd/mm/yy")</f>
        <v>202509064051,10/09/25</v>
      </c>
      <c r="K213" s="5" t="s">
        <v>14</v>
      </c>
      <c r="L213" s="38" t="s">
        <v>15</v>
      </c>
      <c r="M213" s="38">
        <v>45925</v>
      </c>
      <c r="N213" s="38" t="s">
        <v>16</v>
      </c>
    </row>
    <row r="214" spans="1:14" x14ac:dyDescent="0.35">
      <c r="A214" s="4" t="str">
        <f>Sheet1!A214 &amp; "/" &amp; "2025"</f>
        <v>1612/2025</v>
      </c>
      <c r="B214" s="5" t="str">
        <f>Sheet1!E214</f>
        <v>AU2065681060525</v>
      </c>
      <c r="C214" s="6" t="str">
        <f>UPPER(Sheet1!B214)</f>
        <v>RUBAB KAUR</v>
      </c>
      <c r="D214" s="7" t="str">
        <f>IF(Sheet1!F214="F","FEMALE","MALE")</f>
        <v>FEMALE</v>
      </c>
      <c r="E214" s="6" t="str">
        <f>UPPER(Sheet1!G214)</f>
        <v>SUKHTEJ SINGH</v>
      </c>
      <c r="F214" s="6" t="str">
        <f>UPPER(Sheet1!H214)</f>
        <v>KIRANDEEP  KAUR</v>
      </c>
      <c r="G214" s="5" t="str">
        <f>TEXT(Sheet1!C214,"dd/mm/yyyy") &amp; "," &amp; Sheet1!D214</f>
        <v xml:space="preserve">28/07/2025,GEELONG , AUSTRALIA </v>
      </c>
      <c r="H214" s="57" t="str">
        <f>UPPER(Sheet1!K214 &amp; "," &amp; Sheet1!L214 &amp; "," &amp; Sheet1!M214)</f>
        <v>DERA AMRITSARIA,VPO LUKHI,KURUKSHETRA,PIN:136119,HARYANA,INDIA</v>
      </c>
      <c r="I214" s="8">
        <f>Sheet1!J214</f>
        <v>45919</v>
      </c>
      <c r="J214" s="5" t="str">
        <f>Sheet1!N214 &amp; "," &amp; TEXT(Sheet1!O214,"dd/mm/yy")</f>
        <v>202509063643,09/09/25</v>
      </c>
      <c r="K214" s="5" t="s">
        <v>14</v>
      </c>
      <c r="L214" s="38" t="s">
        <v>15</v>
      </c>
      <c r="M214" s="38">
        <v>45925</v>
      </c>
      <c r="N214" s="38" t="s">
        <v>16</v>
      </c>
    </row>
    <row r="215" spans="1:14" x14ac:dyDescent="0.35">
      <c r="A215" s="4" t="str">
        <f>Sheet1!A215 &amp; "/" &amp; "2025"</f>
        <v>1613/2025</v>
      </c>
      <c r="B215" s="5" t="str">
        <f>Sheet1!E215</f>
        <v>AU2065681061525</v>
      </c>
      <c r="C215" s="6" t="str">
        <f>UPPER(Sheet1!B215)</f>
        <v>KIAAN KASHYAPKUMAR PATEL</v>
      </c>
      <c r="D215" s="7" t="str">
        <f>IF(Sheet1!F215="F","FEMALE","MALE")</f>
        <v>MALE</v>
      </c>
      <c r="E215" s="6" t="str">
        <f>UPPER(Sheet1!G215)</f>
        <v>KASHYAPKUMAR CHANDULAL PATEL</v>
      </c>
      <c r="F215" s="6" t="str">
        <f>UPPER(Sheet1!H215)</f>
        <v>KRIMABEN KASHYAPKUMAR  PATEL</v>
      </c>
      <c r="G215" s="5" t="str">
        <f>TEXT(Sheet1!C215,"dd/mm/yyyy") &amp; "," &amp; Sheet1!D215</f>
        <v xml:space="preserve">19/08/2025,BERWICK, AUSTRALIA  </v>
      </c>
      <c r="H215" s="57" t="str">
        <f>UPPER(Sheet1!K215 &amp; "," &amp; Sheet1!L215 &amp; "," &amp; Sheet1!M215)</f>
        <v>58 SARDARPATEL SOCIETY BHAUPURA,KADI,MEHSANA,PIN:382715,GUJARAT,INDIA</v>
      </c>
      <c r="I215" s="8">
        <f>Sheet1!J215</f>
        <v>45919</v>
      </c>
      <c r="J215" s="5" t="str">
        <f>Sheet1!N215 &amp; "," &amp; TEXT(Sheet1!O215,"dd/mm/yy")</f>
        <v>202509064552,12/09/25</v>
      </c>
      <c r="K215" s="5" t="s">
        <v>14</v>
      </c>
      <c r="L215" s="38" t="s">
        <v>15</v>
      </c>
      <c r="M215" s="38">
        <v>45925</v>
      </c>
      <c r="N215" s="38" t="s">
        <v>16</v>
      </c>
    </row>
    <row r="216" spans="1:14" x14ac:dyDescent="0.35">
      <c r="A216" s="4" t="str">
        <f>Sheet1!A216 &amp; "/" &amp; "2025"</f>
        <v>1614/2025</v>
      </c>
      <c r="B216" s="5" t="str">
        <f>Sheet1!E216</f>
        <v>AU2065681062125</v>
      </c>
      <c r="C216" s="6" t="str">
        <f>UPPER(Sheet1!B216)</f>
        <v>ARJAN SINGH</v>
      </c>
      <c r="D216" s="7" t="str">
        <f>IF(Sheet1!F216="F","FEMALE","MALE")</f>
        <v>MALE</v>
      </c>
      <c r="E216" s="6" t="str">
        <f>UPPER(Sheet1!G216)</f>
        <v>JEEWAN SINGH</v>
      </c>
      <c r="F216" s="6" t="str">
        <f>UPPER(Sheet1!H216)</f>
        <v>RAJWINDER KAUR </v>
      </c>
      <c r="G216" s="5" t="str">
        <f>TEXT(Sheet1!C216,"dd/mm/yyyy") &amp; "," &amp; Sheet1!D216</f>
        <v xml:space="preserve">22/01/2025,FITZROY, AUSTRALIA </v>
      </c>
      <c r="H216" s="57" t="str">
        <f>UPPER(Sheet1!K216 &amp; "," &amp; Sheet1!L216 &amp; "," &amp; Sheet1!M216)</f>
        <v>VPO BAJEKAN,DISTT,SIRSA,PIN:125055,HARYANA,INDIA</v>
      </c>
      <c r="I216" s="8">
        <f>Sheet1!J216</f>
        <v>45919</v>
      </c>
      <c r="J216" s="5" t="str">
        <f>Sheet1!N216 &amp; "," &amp; TEXT(Sheet1!O216,"dd/mm/yy")</f>
        <v>202509049349,15/07/25</v>
      </c>
      <c r="K216" s="5" t="s">
        <v>14</v>
      </c>
      <c r="L216" s="38" t="s">
        <v>15</v>
      </c>
      <c r="M216" s="38">
        <v>45925</v>
      </c>
      <c r="N216" s="38" t="s">
        <v>16</v>
      </c>
    </row>
    <row r="217" spans="1:14" x14ac:dyDescent="0.35">
      <c r="A217" s="4" t="str">
        <f>Sheet1!A217 &amp; "/" &amp; "2025"</f>
        <v>1615/2025</v>
      </c>
      <c r="B217" s="5" t="str">
        <f>Sheet1!E217</f>
        <v>AU2065681082325</v>
      </c>
      <c r="C217" s="6" t="str">
        <f>UPPER(Sheet1!B217)</f>
        <v>VAANI KAUR</v>
      </c>
      <c r="D217" s="7" t="str">
        <f>IF(Sheet1!F217="F","FEMALE","MALE")</f>
        <v>FEMALE</v>
      </c>
      <c r="E217" s="6" t="str">
        <f>UPPER(Sheet1!G217)</f>
        <v>TEJINDER SINGH</v>
      </c>
      <c r="F217" s="6" t="str">
        <f>UPPER(Sheet1!H217)</f>
        <v>BALJINDER  KAUR</v>
      </c>
      <c r="G217" s="5" t="str">
        <f>TEXT(Sheet1!C217,"dd/mm/yyyy") &amp; "," &amp; Sheet1!D217</f>
        <v xml:space="preserve">25/03/2025,BACCHUS MARSH , AUSTRALIA  </v>
      </c>
      <c r="H217" s="57" t="str">
        <f>UPPER(Sheet1!K217 &amp; "," &amp; Sheet1!L217 &amp; "," &amp; Sheet1!M217)</f>
        <v>54 INDUSTRIAL AREA,AMBALA CANTT,AMBALA,PIN:133001,HARYANA,INDIA</v>
      </c>
      <c r="I217" s="8">
        <f>Sheet1!J217</f>
        <v>45922</v>
      </c>
      <c r="J217" s="5" t="str">
        <f>Sheet1!N217 &amp; "," &amp; TEXT(Sheet1!O217,"dd/mm/yy")</f>
        <v>202509046928,06/07/25</v>
      </c>
      <c r="K217" s="5" t="s">
        <v>14</v>
      </c>
      <c r="L217" s="38" t="s">
        <v>15</v>
      </c>
      <c r="M217" s="38">
        <v>45925</v>
      </c>
      <c r="N217" s="38" t="s">
        <v>16</v>
      </c>
    </row>
    <row r="218" spans="1:14" x14ac:dyDescent="0.35">
      <c r="A218" s="4" t="str">
        <f>Sheet1!A218 &amp; "/" &amp; "2025"</f>
        <v>1616/2025</v>
      </c>
      <c r="B218" s="5" t="str">
        <f>Sheet1!E218</f>
        <v>AU2065681082525</v>
      </c>
      <c r="C218" s="6" t="str">
        <f>UPPER(Sheet1!B218)</f>
        <v>KRISHA PRITESHBHAI PATEL</v>
      </c>
      <c r="D218" s="7" t="str">
        <f>IF(Sheet1!F218="F","FEMALE","MALE")</f>
        <v>FEMALE</v>
      </c>
      <c r="E218" s="6" t="str">
        <f>UPPER(Sheet1!G218)</f>
        <v>PRITESHBHAI JOGESHKUMAR PATEL</v>
      </c>
      <c r="F218" s="6" t="str">
        <f>UPPER(Sheet1!H218)</f>
        <v>KRISHNABEN PRITESHBHAI  PATEL</v>
      </c>
      <c r="G218" s="5" t="str">
        <f>TEXT(Sheet1!C218,"dd/mm/yyyy") &amp; "," &amp; Sheet1!D218</f>
        <v xml:space="preserve">20/06/2025,FITZROY, AUSTRALIA </v>
      </c>
      <c r="H218" s="57" t="str">
        <f>UPPER(Sheet1!K218 &amp; "," &amp; Sheet1!L218 &amp; "," &amp; Sheet1!M218)</f>
        <v>MAHADEV FALIYA,AT POST SOKHDA,VADODARA,PIN:391745,GUJARAT,INDIA</v>
      </c>
      <c r="I218" s="8">
        <f>Sheet1!J218</f>
        <v>45922</v>
      </c>
      <c r="J218" s="5" t="str">
        <f>Sheet1!N218 &amp; "," &amp; TEXT(Sheet1!O218,"dd/mm/yy")</f>
        <v>202509063986,10/09/25</v>
      </c>
      <c r="K218" s="5" t="s">
        <v>14</v>
      </c>
      <c r="L218" s="38" t="s">
        <v>15</v>
      </c>
      <c r="M218" s="38">
        <v>45925</v>
      </c>
      <c r="N218" s="38" t="s">
        <v>16</v>
      </c>
    </row>
    <row r="219" spans="1:14" x14ac:dyDescent="0.35">
      <c r="A219" s="4" t="str">
        <f>Sheet1!A219 &amp; "/" &amp; "2025"</f>
        <v>1617/2025</v>
      </c>
      <c r="B219" s="5" t="str">
        <f>Sheet1!E219</f>
        <v>AU2065681083125</v>
      </c>
      <c r="C219" s="6" t="str">
        <f>UPPER(Sheet1!B219)</f>
        <v>JIND KAUR SANDHU</v>
      </c>
      <c r="D219" s="7" t="str">
        <f>IF(Sheet1!F219="F","FEMALE","MALE")</f>
        <v>FEMALE</v>
      </c>
      <c r="E219" s="6" t="str">
        <f>UPPER(Sheet1!G219)</f>
        <v>NAVNEET SINGH SANDHU</v>
      </c>
      <c r="F219" s="6" t="str">
        <f>UPPER(Sheet1!H219)</f>
        <v>VIPANVEER KAUR </v>
      </c>
      <c r="G219" s="5" t="str">
        <f>TEXT(Sheet1!C219,"dd/mm/yyyy") &amp; "," &amp; Sheet1!D219</f>
        <v xml:space="preserve">25/09/2024,ST ALBANS , AUSTRALIA </v>
      </c>
      <c r="H219" s="57" t="str">
        <f>UPPER(Sheet1!K219 &amp; "," &amp; Sheet1!L219 &amp; "," &amp; Sheet1!M219)</f>
        <v>VPO RAJOMAJRA,DHURI,SANGRUR,PIN:148024,PUNJAB,INDIA</v>
      </c>
      <c r="I219" s="8">
        <f>Sheet1!J219</f>
        <v>45922</v>
      </c>
      <c r="J219" s="5" t="str">
        <f>Sheet1!N219 &amp; "," &amp; TEXT(Sheet1!O219,"dd/mm/yy")</f>
        <v>202509063492,09/09/25</v>
      </c>
      <c r="K219" s="5" t="s">
        <v>14</v>
      </c>
      <c r="L219" s="38" t="s">
        <v>15</v>
      </c>
      <c r="M219" s="38">
        <v>45925</v>
      </c>
      <c r="N219" s="38" t="s">
        <v>16</v>
      </c>
    </row>
    <row r="220" spans="1:14" x14ac:dyDescent="0.35">
      <c r="A220" s="4" t="str">
        <f>Sheet1!A220 &amp; "/" &amp; "2025"</f>
        <v>1618/2025</v>
      </c>
      <c r="B220" s="5" t="str">
        <f>Sheet1!E220</f>
        <v>AU2065681084125</v>
      </c>
      <c r="C220" s="6" t="str">
        <f>UPPER(Sheet1!B220)</f>
        <v>ANGADVEER SINGH</v>
      </c>
      <c r="D220" s="7" t="str">
        <f>IF(Sheet1!F220="F","FEMALE","MALE")</f>
        <v>MALE</v>
      </c>
      <c r="E220" s="6" t="str">
        <f>UPPER(Sheet1!G220)</f>
        <v>HARINDER SINGH</v>
      </c>
      <c r="F220" s="6" t="str">
        <f>UPPER(Sheet1!H220)</f>
        <v>NAVJOT  KAUR</v>
      </c>
      <c r="G220" s="5" t="str">
        <f>TEXT(Sheet1!C220,"dd/mm/yyyy") &amp; "," &amp; Sheet1!D220</f>
        <v xml:space="preserve">16/04/2025,WODONGA , AUSTRALIA  </v>
      </c>
      <c r="H220" s="57" t="str">
        <f>UPPER(Sheet1!K220 &amp; "," &amp; Sheet1!L220 &amp; "," &amp; Sheet1!M220)</f>
        <v>VILLAGE JATTIWAL,PO ,PANJGRAIN,TEH,SAMRALA,KHANNA (LUDHIANA),PIN:141115,PUNJAB,INDIA</v>
      </c>
      <c r="I220" s="8">
        <f>Sheet1!J220</f>
        <v>45922</v>
      </c>
      <c r="J220" s="5" t="str">
        <f>Sheet1!N220 &amp; "," &amp; TEXT(Sheet1!O220,"dd/mm/yy")</f>
        <v>202509062832,05/09/25</v>
      </c>
      <c r="K220" s="5" t="s">
        <v>14</v>
      </c>
      <c r="L220" s="38" t="s">
        <v>15</v>
      </c>
      <c r="M220" s="38">
        <v>45925</v>
      </c>
      <c r="N220" s="38" t="s">
        <v>16</v>
      </c>
    </row>
    <row r="221" spans="1:14" x14ac:dyDescent="0.35">
      <c r="A221" s="4" t="str">
        <f>Sheet1!A221 &amp; "/" &amp; "2025"</f>
        <v>1619/2025</v>
      </c>
      <c r="B221" s="5" t="str">
        <f>Sheet1!E221</f>
        <v>AU2065681102125</v>
      </c>
      <c r="C221" s="6" t="str">
        <f>UPPER(Sheet1!B221)</f>
        <v>JASVITH TALLAPAREDDY</v>
      </c>
      <c r="D221" s="7" t="str">
        <f>IF(Sheet1!F221="F","FEMALE","MALE")</f>
        <v>MALE</v>
      </c>
      <c r="E221" s="6" t="str">
        <f>UPPER(Sheet1!G221)</f>
        <v>SIVA TALLAPAREDDY</v>
      </c>
      <c r="F221" s="6" t="str">
        <f>UPPER(Sheet1!H221)</f>
        <v>HIMA PRAVALLIKA  BEESABATHUNI</v>
      </c>
      <c r="G221" s="5" t="str">
        <f>TEXT(Sheet1!C221,"dd/mm/yyyy") &amp; "," &amp; Sheet1!D221</f>
        <v xml:space="preserve">08/08/2025,CLAYTON , AUSTRALIA  </v>
      </c>
      <c r="H221" s="57" t="str">
        <f>UPPER(Sheet1!K221 &amp; "," &amp; Sheet1!L221 &amp; "," &amp; Sheet1!M221)</f>
        <v>43-106/1-14A/1,PLOT 107 AYYAPPASWAMY TEMPLEROAD,SINGHNAGAR,VIJAYAWADA,NTR DISTRICT,PIN:520015,ANDHRA PRADESH,INDIA</v>
      </c>
      <c r="I221" s="8">
        <f>Sheet1!J221</f>
        <v>45922</v>
      </c>
      <c r="J221" s="5" t="str">
        <f>Sheet1!N221 &amp; "," &amp; TEXT(Sheet1!O221,"dd/mm/yy")</f>
        <v>202509063575,09/09/25</v>
      </c>
      <c r="K221" s="5" t="s">
        <v>14</v>
      </c>
      <c r="L221" s="38" t="s">
        <v>15</v>
      </c>
      <c r="M221" s="38">
        <v>45925</v>
      </c>
      <c r="N221" s="38" t="s">
        <v>16</v>
      </c>
    </row>
    <row r="222" spans="1:14" x14ac:dyDescent="0.35">
      <c r="A222" s="4" t="str">
        <f>Sheet1!A222 &amp; "/" &amp; "2025"</f>
        <v>1620/2025</v>
      </c>
      <c r="B222" s="5" t="str">
        <f>Sheet1!E222</f>
        <v>AU2065681102925</v>
      </c>
      <c r="C222" s="6" t="str">
        <f>UPPER(Sheet1!B222)</f>
        <v>LAHNA ZAINAB PARAKKAL</v>
      </c>
      <c r="D222" s="7" t="str">
        <f>IF(Sheet1!F222="F","FEMALE","MALE")</f>
        <v>FEMALE</v>
      </c>
      <c r="E222" s="6" t="str">
        <f>UPPER(Sheet1!G222)</f>
        <v>UMAR FAROOQUE PARAKKAL</v>
      </c>
      <c r="F222" s="6" t="str">
        <f>UPPER(Sheet1!H222)</f>
        <v>JASMIN  PALARA KIZHAKKETHIL</v>
      </c>
      <c r="G222" s="5" t="str">
        <f>TEXT(Sheet1!C222,"dd/mm/yyyy") &amp; "," &amp; Sheet1!D222</f>
        <v xml:space="preserve">29/07/2025,ST ALBANS , AUSTRALIA </v>
      </c>
      <c r="H222" s="57" t="str">
        <f>UPPER(Sheet1!K222 &amp; "," &amp; Sheet1!L222 &amp; "," &amp; Sheet1!M222)</f>
        <v>PARAKKAL HOUSE,KOLATHUR POST,MALAPPURAM,PIN:679338,KERALA,INDIA</v>
      </c>
      <c r="I222" s="8">
        <f>Sheet1!J222</f>
        <v>45922</v>
      </c>
      <c r="J222" s="5" t="str">
        <f>Sheet1!N222 &amp; "," &amp; TEXT(Sheet1!O222,"dd/mm/yy")</f>
        <v>202509060380,26/08/25</v>
      </c>
      <c r="K222" s="5" t="s">
        <v>14</v>
      </c>
      <c r="L222" s="38" t="s">
        <v>15</v>
      </c>
      <c r="M222" s="38">
        <v>45925</v>
      </c>
      <c r="N222" s="38" t="s">
        <v>16</v>
      </c>
    </row>
    <row r="223" spans="1:14" x14ac:dyDescent="0.35">
      <c r="A223" s="4" t="str">
        <f>Sheet1!A223 &amp; "/" &amp; "2025"</f>
        <v>1621/2025</v>
      </c>
      <c r="B223" s="5" t="str">
        <f>Sheet1!E223</f>
        <v>AU2065681104125</v>
      </c>
      <c r="C223" s="6" t="str">
        <f>UPPER(Sheet1!B223)</f>
        <v>AVNOOR SINGH KANG</v>
      </c>
      <c r="D223" s="7" t="str">
        <f>IF(Sheet1!F223="F","FEMALE","MALE")</f>
        <v>MALE</v>
      </c>
      <c r="E223" s="6" t="str">
        <f>UPPER(Sheet1!G223)</f>
        <v>JAGROOP SINGH</v>
      </c>
      <c r="F223" s="6" t="str">
        <f>UPPER(Sheet1!H223)</f>
        <v>SUPREET KAUR </v>
      </c>
      <c r="G223" s="5" t="str">
        <f>TEXT(Sheet1!C223,"dd/mm/yyyy") &amp; "," &amp; Sheet1!D223</f>
        <v xml:space="preserve">25/07/2025,BERWICK , AUSTRALIA  </v>
      </c>
      <c r="H223" s="57" t="str">
        <f>UPPER(Sheet1!K223 &amp; "," &amp; Sheet1!L223 &amp; "," &amp; Sheet1!M223)</f>
        <v>HNO 5391 GALI NO 1 GOBIND NAGAR MANDIR WALA,BAZAR SULTANWIND ROAD P S B DIV,AMRITSAR,PIN:143001,PUNJAB,INDIA</v>
      </c>
      <c r="I223" s="8">
        <f>Sheet1!J223</f>
        <v>45922</v>
      </c>
      <c r="J223" s="5" t="str">
        <f>Sheet1!N223 &amp; "," &amp; TEXT(Sheet1!O223,"dd/mm/yy")</f>
        <v>202509060125,25/08/25</v>
      </c>
      <c r="K223" s="5" t="s">
        <v>14</v>
      </c>
      <c r="L223" s="38" t="s">
        <v>15</v>
      </c>
      <c r="M223" s="38">
        <v>45925</v>
      </c>
      <c r="N223" s="38" t="s">
        <v>16</v>
      </c>
    </row>
    <row r="224" spans="1:14" x14ac:dyDescent="0.35">
      <c r="A224" s="4" t="str">
        <f>Sheet1!A224 &amp; "/" &amp; "2025"</f>
        <v>1622/2025</v>
      </c>
      <c r="B224" s="5" t="str">
        <f>Sheet1!E224</f>
        <v>AU2065681104925</v>
      </c>
      <c r="C224" s="6" t="str">
        <f>UPPER(Sheet1!B224)</f>
        <v>RAKSHAN SIVAJI SAIRAM</v>
      </c>
      <c r="D224" s="7" t="str">
        <f>IF(Sheet1!F224="F","FEMALE","MALE")</f>
        <v>MALE</v>
      </c>
      <c r="E224" s="6" t="str">
        <f>UPPER(Sheet1!G224)</f>
        <v>SAIRAM PARAMASIVAM</v>
      </c>
      <c r="F224" s="6" t="str">
        <f>UPPER(Sheet1!H224)</f>
        <v>SURYA  SELVAM</v>
      </c>
      <c r="G224" s="5" t="str">
        <f>TEXT(Sheet1!C224,"dd/mm/yyyy") &amp; "," &amp; Sheet1!D224</f>
        <v xml:space="preserve">20/08/2025,GEELONG , AUSTRALIA </v>
      </c>
      <c r="H224" s="57" t="str">
        <f>UPPER(Sheet1!K224 &amp; "," &amp; Sheet1!L224 &amp; "," &amp; Sheet1!M224)</f>
        <v>3/420,MAIN ST,THIRU ILANJI KUMARAN ROYAL CITY,ILANJI - POST,TENKASI,PIN:627805,TAMIL NADU,INDIA</v>
      </c>
      <c r="I224" s="8">
        <f>Sheet1!J224</f>
        <v>45922</v>
      </c>
      <c r="J224" s="5" t="str">
        <f>Sheet1!N224 &amp; "," &amp; TEXT(Sheet1!O224,"dd/mm/yy")</f>
        <v>202509063502,09/09/25</v>
      </c>
      <c r="K224" s="5" t="s">
        <v>14</v>
      </c>
      <c r="L224" s="38" t="s">
        <v>15</v>
      </c>
      <c r="M224" s="38">
        <v>45925</v>
      </c>
      <c r="N224" s="38" t="s">
        <v>16</v>
      </c>
    </row>
    <row r="225" spans="1:14" x14ac:dyDescent="0.35">
      <c r="A225" s="4" t="str">
        <f>Sheet1!A225 &amp; "/" &amp; "2025"</f>
        <v>1623/2025</v>
      </c>
      <c r="B225" s="5" t="str">
        <f>Sheet1!E225</f>
        <v>AU2065681114125</v>
      </c>
      <c r="C225" s="6" t="str">
        <f>UPPER(Sheet1!B225)</f>
        <v>VANYA MAYURBHAI SOLANKI</v>
      </c>
      <c r="D225" s="7" t="str">
        <f>IF(Sheet1!F225="F","FEMALE","MALE")</f>
        <v>FEMALE</v>
      </c>
      <c r="E225" s="6" t="str">
        <f>UPPER(Sheet1!G225)</f>
        <v>MAYURBHAI BIPINBHAI SOLANKI</v>
      </c>
      <c r="F225" s="6" t="str">
        <f>UPPER(Sheet1!H225)</f>
        <v>YASHASWI MAYURBHAI  SOLANKI</v>
      </c>
      <c r="G225" s="5" t="str">
        <f>TEXT(Sheet1!C225,"dd/mm/yyyy") &amp; "," &amp; Sheet1!D225</f>
        <v xml:space="preserve">17/08/2025,NORTH ADELAIDE, AUSTRALIA </v>
      </c>
      <c r="H225" s="57" t="str">
        <f>UPPER(Sheet1!K225 &amp; "," &amp; Sheet1!L225 &amp; "," &amp; Sheet1!M225)</f>
        <v>16 SHREEJI NAGAR SOCIETY EAST RAILWAY,KALOL,GANDHINAGAR,PIN:382721,GUJARAT,INDIA</v>
      </c>
      <c r="I225" s="8">
        <f>Sheet1!J225</f>
        <v>45922</v>
      </c>
      <c r="J225" s="5" t="str">
        <f>Sheet1!N225 &amp; "," &amp; TEXT(Sheet1!O225,"dd/mm/yy")</f>
        <v>202509063932,10/09/25</v>
      </c>
      <c r="K225" s="5" t="s">
        <v>14</v>
      </c>
      <c r="L225" s="38" t="s">
        <v>15</v>
      </c>
      <c r="M225" s="38">
        <v>45925</v>
      </c>
      <c r="N225" s="38" t="s">
        <v>16</v>
      </c>
    </row>
    <row r="226" spans="1:14" x14ac:dyDescent="0.35">
      <c r="A226" s="4" t="str">
        <f>Sheet1!A226 &amp; "/" &amp; "2025"</f>
        <v>1624/2025</v>
      </c>
      <c r="B226" s="5" t="str">
        <f>Sheet1!E226</f>
        <v>AU2065681116525</v>
      </c>
      <c r="C226" s="6" t="str">
        <f>UPPER(Sheet1!B226)</f>
        <v>CHRIS MISQUITTA</v>
      </c>
      <c r="D226" s="7" t="str">
        <f>IF(Sheet1!F226="F","FEMALE","MALE")</f>
        <v>MALE</v>
      </c>
      <c r="E226" s="6" t="str">
        <f>UPPER(Sheet1!G226)</f>
        <v>SUNIL MISQUITTA</v>
      </c>
      <c r="F226" s="6" t="str">
        <f>UPPER(Sheet1!H226)</f>
        <v>SHARMILA SHARON  LOBO</v>
      </c>
      <c r="G226" s="5" t="str">
        <f>TEXT(Sheet1!C226,"dd/mm/yyyy") &amp; "," &amp; Sheet1!D226</f>
        <v xml:space="preserve">13/07/2025,HEIDELBERG , AUSTRALIA </v>
      </c>
      <c r="H226" s="57" t="str">
        <f>UPPER(Sheet1!K226 &amp; "," &amp; Sheet1!L226 &amp; "," &amp; Sheet1!M226)</f>
        <v>11-93 P,NEAR YASHNI BUS STAND,PRATHYA VILLAGE,MOODBIDRI TALUK,MANGALURU CITY,PIN:574197,KARNATAKA,INDIA</v>
      </c>
      <c r="I226" s="8">
        <f>Sheet1!J226</f>
        <v>45922</v>
      </c>
      <c r="J226" s="5" t="str">
        <f>Sheet1!N226 &amp; "," &amp; TEXT(Sheet1!O226,"dd/mm/yy")</f>
        <v>202509064226,11/09/25</v>
      </c>
      <c r="K226" s="5" t="s">
        <v>14</v>
      </c>
      <c r="L226" s="38" t="s">
        <v>15</v>
      </c>
      <c r="M226" s="38">
        <v>45925</v>
      </c>
      <c r="N226" s="38" t="s">
        <v>16</v>
      </c>
    </row>
    <row r="227" spans="1:14" x14ac:dyDescent="0.35">
      <c r="A227" s="4" t="str">
        <f>Sheet1!A227 &amp; "/" &amp; "2025"</f>
        <v>1625/2025</v>
      </c>
      <c r="B227" s="5" t="str">
        <f>Sheet1!E227</f>
        <v>AU2065681121125</v>
      </c>
      <c r="C227" s="6" t="str">
        <f>UPPER(Sheet1!B227)</f>
        <v>SIDAK KAUR DHALIWAL</v>
      </c>
      <c r="D227" s="7" t="str">
        <f>IF(Sheet1!F227="F","FEMALE","MALE")</f>
        <v>FEMALE</v>
      </c>
      <c r="E227" s="6" t="str">
        <f>UPPER(Sheet1!G227)</f>
        <v>RUPINDER SINGH</v>
      </c>
      <c r="F227" s="6" t="str">
        <f>UPPER(Sheet1!H227)</f>
        <v>MANDEEP  KAUR</v>
      </c>
      <c r="G227" s="5" t="str">
        <f>TEXT(Sheet1!C227,"dd/mm/yyyy") &amp; "," &amp; Sheet1!D227</f>
        <v xml:space="preserve">01/07/2025,WERIBEE, AUSTRALIA </v>
      </c>
      <c r="H227" s="57" t="str">
        <f>UPPER(Sheet1!K227 &amp; "," &amp; Sheet1!L227 &amp; "," &amp; Sheet1!M227)</f>
        <v>HNO.63,VILL CHUPKI TEH PATRAN,PATIALA,PIN:147102,PUNJAB,INDIA</v>
      </c>
      <c r="I227" s="8">
        <f>Sheet1!J227</f>
        <v>45922</v>
      </c>
      <c r="J227" s="5" t="str">
        <f>Sheet1!N227 &amp; "," &amp; TEXT(Sheet1!O227,"dd/mm/yy")</f>
        <v>202509058284,19/08/25</v>
      </c>
      <c r="K227" s="5" t="s">
        <v>14</v>
      </c>
      <c r="L227" s="38" t="s">
        <v>15</v>
      </c>
      <c r="M227" s="38">
        <v>45925</v>
      </c>
      <c r="N227" s="38" t="s">
        <v>16</v>
      </c>
    </row>
    <row r="228" spans="1:14" x14ac:dyDescent="0.35">
      <c r="A228" s="4" t="str">
        <f>Sheet1!A228 &amp; "/" &amp; "2025"</f>
        <v>1626/2025</v>
      </c>
      <c r="B228" s="5" t="str">
        <f>Sheet1!E228</f>
        <v>AU2065681122125</v>
      </c>
      <c r="C228" s="6" t="str">
        <f>UPPER(Sheet1!B228)</f>
        <v>HOORAIN KHAN</v>
      </c>
      <c r="D228" s="7" t="str">
        <f>IF(Sheet1!F228="F","FEMALE","MALE")</f>
        <v>FEMALE</v>
      </c>
      <c r="E228" s="6" t="str">
        <f>UPPER(Sheet1!G228)</f>
        <v>IZAZ AHMAD KHAN</v>
      </c>
      <c r="F228" s="6" t="str">
        <f>UPPER(Sheet1!H228)</f>
        <v>NEHA  KHANAM</v>
      </c>
      <c r="G228" s="5" t="str">
        <f>TEXT(Sheet1!C228,"dd/mm/yyyy") &amp; "," &amp; Sheet1!D228</f>
        <v xml:space="preserve">27/02/2025,WERIBEE, AUSTRALIA </v>
      </c>
      <c r="H228" s="57" t="str">
        <f>UPPER(Sheet1!K228 &amp; "," &amp; Sheet1!L228 &amp; "," &amp; Sheet1!M228)</f>
        <v>26 RAM KRISHNA ROAD,RISHRA,HOOGHLY,PIN:712248,WEST BENGAL,INDIA</v>
      </c>
      <c r="I228" s="8">
        <f>Sheet1!J228</f>
        <v>45922</v>
      </c>
      <c r="J228" s="5" t="str">
        <f>Sheet1!N228 &amp; "," &amp; TEXT(Sheet1!O228,"dd/mm/yy")</f>
        <v>202509058730,20/08/25</v>
      </c>
      <c r="K228" s="5" t="s">
        <v>14</v>
      </c>
      <c r="L228" s="38" t="s">
        <v>15</v>
      </c>
      <c r="M228" s="38">
        <v>45925</v>
      </c>
      <c r="N228" s="38" t="s">
        <v>16</v>
      </c>
    </row>
    <row r="229" spans="1:14" x14ac:dyDescent="0.35">
      <c r="A229" s="4" t="str">
        <f>Sheet1!A229 &amp; "/" &amp; "2025"</f>
        <v>1627/2025</v>
      </c>
      <c r="B229" s="5" t="str">
        <f>Sheet1!E229</f>
        <v>AU2065681206125</v>
      </c>
      <c r="C229" s="6" t="str">
        <f>UPPER(Sheet1!B229)</f>
        <v>PAHAL PATEL</v>
      </c>
      <c r="D229" s="7" t="str">
        <f>IF(Sheet1!F229="F","FEMALE","MALE")</f>
        <v>FEMALE</v>
      </c>
      <c r="E229" s="6" t="str">
        <f>UPPER(Sheet1!G229)</f>
        <v>UTSAVKUMAR AMRUTBHAI PATEL</v>
      </c>
      <c r="F229" s="6" t="str">
        <f>UPPER(Sheet1!H229)</f>
        <v>CHETALIBEN UTSAVKUMAR PATEL </v>
      </c>
      <c r="G229" s="5" t="str">
        <f>TEXT(Sheet1!C229,"dd/mm/yyyy") &amp; "," &amp; Sheet1!D229</f>
        <v xml:space="preserve">06/06/2025,CLAYTON , AUSTRALIA  </v>
      </c>
      <c r="H229" s="57" t="str">
        <f>UPPER(Sheet1!K229 &amp; "," &amp; Sheet1!L229 &amp; "," &amp; Sheet1!M229)</f>
        <v>C/203,SAI FLORA,NEAR GOKUL PARTY PLOT,NR KUNJMALL,NIKOL,AHMEDABAD,PIN:382350,GUJARAT,INDIA</v>
      </c>
      <c r="I229" s="8">
        <f>Sheet1!J229</f>
        <v>45922</v>
      </c>
      <c r="J229" s="5" t="str">
        <f>Sheet1!N229 &amp; "," &amp; TEXT(Sheet1!O229,"dd/mm/yy")</f>
        <v>202509062275,03/09/25</v>
      </c>
      <c r="K229" s="5" t="s">
        <v>14</v>
      </c>
      <c r="L229" s="38" t="s">
        <v>15</v>
      </c>
      <c r="M229" s="38">
        <v>45925</v>
      </c>
      <c r="N229" s="38" t="s">
        <v>16</v>
      </c>
    </row>
    <row r="230" spans="1:14" x14ac:dyDescent="0.35">
      <c r="A230" s="4" t="str">
        <f>Sheet1!A230 &amp; "/" &amp; "2025"</f>
        <v>1628/2025</v>
      </c>
      <c r="B230" s="5" t="str">
        <f>Sheet1!E230</f>
        <v>AU2065681210925</v>
      </c>
      <c r="C230" s="6" t="str">
        <f>UPPER(Sheet1!B230)</f>
        <v>JAASIEL SUBHAKAR VATTIPROLU</v>
      </c>
      <c r="D230" s="7" t="str">
        <f>IF(Sheet1!F230="F","FEMALE","MALE")</f>
        <v>MALE</v>
      </c>
      <c r="E230" s="6" t="str">
        <f>UPPER(Sheet1!G230)</f>
        <v>VIJAY VATTIPROLU</v>
      </c>
      <c r="F230" s="6" t="str">
        <f>UPPER(Sheet1!H230)</f>
        <v>BINDU MADHURI  DUPPADA</v>
      </c>
      <c r="G230" s="5" t="str">
        <f>TEXT(Sheet1!C230,"dd/mm/yyyy") &amp; "," &amp; Sheet1!D230</f>
        <v xml:space="preserve">11/12/2024,CLAYTON , AUSTRALIA  </v>
      </c>
      <c r="H230" s="57" t="str">
        <f>UPPER(Sheet1!K230 &amp; "," &amp; Sheet1!L230 &amp; "," &amp; Sheet1!M230)</f>
        <v>H NO. 20/659-5-3/2,LAKSHAMANARAO PURAM,RTC COLONY,MACHILIPATNAM,KRISHNA,PIN:521002,ANDHRA PRADESH,INDIA</v>
      </c>
      <c r="I230" s="8">
        <f>Sheet1!J230</f>
        <v>45922</v>
      </c>
      <c r="J230" s="5" t="str">
        <f>Sheet1!N230 &amp; "," &amp; TEXT(Sheet1!O230,"dd/mm/yy")</f>
        <v>202509065490,16/09/25</v>
      </c>
      <c r="K230" s="5" t="s">
        <v>14</v>
      </c>
      <c r="L230" s="38" t="s">
        <v>15</v>
      </c>
      <c r="M230" s="38">
        <v>45925</v>
      </c>
      <c r="N230" s="38" t="s">
        <v>16</v>
      </c>
    </row>
    <row r="231" spans="1:14" x14ac:dyDescent="0.35">
      <c r="A231" s="4" t="str">
        <f>Sheet1!A231 &amp; "/" &amp; "2025"</f>
        <v>1629/2025</v>
      </c>
      <c r="B231" s="5" t="str">
        <f>Sheet1!E231</f>
        <v>AU2065681212125</v>
      </c>
      <c r="C231" s="6" t="str">
        <f>UPPER(Sheet1!B231)</f>
        <v>KASHVIN KAUR</v>
      </c>
      <c r="D231" s="7" t="str">
        <f>IF(Sheet1!F231="F","FEMALE","MALE")</f>
        <v>FEMALE</v>
      </c>
      <c r="E231" s="6" t="str">
        <f>UPPER(Sheet1!G231)</f>
        <v>DEEPINDER SINGH</v>
      </c>
      <c r="F231" s="6" t="str">
        <f>UPPER(Sheet1!H231)</f>
        <v>PAVANDEEP KAUR  DHILLON</v>
      </c>
      <c r="G231" s="5" t="str">
        <f>TEXT(Sheet1!C231,"dd/mm/yyyy") &amp; "," &amp; Sheet1!D231</f>
        <v xml:space="preserve">03/06/2025,ST ALBANS , AUSTRALIA </v>
      </c>
      <c r="H231" s="57" t="str">
        <f>UPPER(Sheet1!K231 &amp; "," &amp; Sheet1!L231 &amp; "," &amp; Sheet1!M231)</f>
        <v>HNO.602 W.NO. 31,NEAR KHOONI MASJID MEHLA SINGH,MOGA,PIN:142001,PUNJAB,INDIA</v>
      </c>
      <c r="I231" s="8">
        <f>Sheet1!J231</f>
        <v>45922</v>
      </c>
      <c r="J231" s="5" t="str">
        <f>Sheet1!N231 &amp; "," &amp; TEXT(Sheet1!O231,"dd/mm/yy")</f>
        <v>202509053753,31/07/25</v>
      </c>
      <c r="K231" s="5" t="s">
        <v>14</v>
      </c>
      <c r="L231" s="38" t="s">
        <v>15</v>
      </c>
      <c r="M231" s="38">
        <v>45925</v>
      </c>
      <c r="N231" s="38" t="s">
        <v>16</v>
      </c>
    </row>
    <row r="232" spans="1:14" x14ac:dyDescent="0.35">
      <c r="A232" s="4" t="str">
        <f>Sheet1!A232 &amp; "/" &amp; "2025"</f>
        <v>1630/2025</v>
      </c>
      <c r="B232" s="5" t="str">
        <f>Sheet1!E232</f>
        <v>AU2065681213525</v>
      </c>
      <c r="C232" s="6" t="str">
        <f>UPPER(Sheet1!B232)</f>
        <v>AMANAT KAUR GHUMAN</v>
      </c>
      <c r="D232" s="7" t="str">
        <f>IF(Sheet1!F232="F","FEMALE","MALE")</f>
        <v>FEMALE</v>
      </c>
      <c r="E232" s="6" t="str">
        <f>UPPER(Sheet1!G232)</f>
        <v>PALWINDER SINGH</v>
      </c>
      <c r="F232" s="6" t="str">
        <f>UPPER(Sheet1!H232)</f>
        <v>HARSHDEEP KAUR </v>
      </c>
      <c r="G232" s="5" t="str">
        <f>TEXT(Sheet1!C232,"dd/mm/yyyy") &amp; "," &amp; Sheet1!D232</f>
        <v xml:space="preserve">19/09/2024,BERWICK , AUSTRALIA  </v>
      </c>
      <c r="H232" s="57" t="str">
        <f>UPPER(Sheet1!K232 &amp; "," &amp; Sheet1!L232 &amp; "," &amp; Sheet1!M232)</f>
        <v>L3/851,NAMDEV COLONY,SULTANWIND ROAD,AMRITSAR,PIN:143001,PUNJAB,INDIA</v>
      </c>
      <c r="I232" s="8">
        <f>Sheet1!J232</f>
        <v>45922</v>
      </c>
      <c r="J232" s="5" t="str">
        <f>Sheet1!N232 &amp; "," &amp; TEXT(Sheet1!O232,"dd/mm/yy")</f>
        <v>202509054843,05/08/25</v>
      </c>
      <c r="K232" s="5" t="s">
        <v>14</v>
      </c>
      <c r="L232" s="38" t="s">
        <v>15</v>
      </c>
      <c r="M232" s="38">
        <v>45925</v>
      </c>
      <c r="N232" s="38" t="s">
        <v>16</v>
      </c>
    </row>
    <row r="233" spans="1:14" x14ac:dyDescent="0.35">
      <c r="A233" s="4" t="str">
        <f>Sheet1!A233 &amp; "/" &amp; "2025"</f>
        <v>1631/2025</v>
      </c>
      <c r="B233" s="5" t="str">
        <f>Sheet1!E233</f>
        <v>AU2065681215525</v>
      </c>
      <c r="C233" s="6" t="str">
        <f>UPPER(Sheet1!B233)</f>
        <v>GURBAAZ SINGH</v>
      </c>
      <c r="D233" s="7" t="str">
        <f>IF(Sheet1!F233="F","FEMALE","MALE")</f>
        <v>MALE</v>
      </c>
      <c r="E233" s="6" t="str">
        <f>UPPER(Sheet1!G233)</f>
        <v>BIKRAMJEET SINGH</v>
      </c>
      <c r="F233" s="6" t="str">
        <f>UPPER(Sheet1!H233)</f>
        <v>KIRANDEEP KAUR </v>
      </c>
      <c r="G233" s="5" t="str">
        <f>TEXT(Sheet1!C233,"dd/mm/yyyy") &amp; "," &amp; Sheet1!D233</f>
        <v xml:space="preserve">02/07/2025,ST ALBANS , AUSTRALIA </v>
      </c>
      <c r="H233" s="57" t="str">
        <f>UPPER(Sheet1!K233 &amp; "," &amp; Sheet1!L233 &amp; "," &amp; Sheet1!M233)</f>
        <v>L-8/164-165,GALI NO 1,DILBAGH NAGAR,TARN TARAN ROAD,AMRITSAR,AMRITSAR,PIN:143001,PUNJAB,INDIA</v>
      </c>
      <c r="I233" s="8">
        <f>Sheet1!J233</f>
        <v>45922</v>
      </c>
      <c r="J233" s="5" t="str">
        <f>Sheet1!N233 &amp; "," &amp; TEXT(Sheet1!O233,"dd/mm/yy")</f>
        <v>202509063588,09/09/25</v>
      </c>
      <c r="K233" s="5" t="s">
        <v>14</v>
      </c>
      <c r="L233" s="38" t="s">
        <v>15</v>
      </c>
      <c r="M233" s="38">
        <v>45925</v>
      </c>
      <c r="N233" s="38" t="s">
        <v>16</v>
      </c>
    </row>
    <row r="234" spans="1:14" x14ac:dyDescent="0.35">
      <c r="A234" s="4" t="str">
        <f>Sheet1!A234 &amp; "/" &amp; "2025"</f>
        <v>1632/2025</v>
      </c>
      <c r="B234" s="5" t="str">
        <f>Sheet1!E234</f>
        <v>AU2065672396725</v>
      </c>
      <c r="C234" s="6" t="str">
        <f>UPPER(Sheet1!B234)</f>
        <v>GURNIWAZ SINGH</v>
      </c>
      <c r="D234" s="7" t="str">
        <f>IF(Sheet1!F234="F","FEMALE","MALE")</f>
        <v>MALE</v>
      </c>
      <c r="E234" s="6" t="str">
        <f>UPPER(Sheet1!G234)</f>
        <v>MANJINDER SINGH</v>
      </c>
      <c r="F234" s="6" t="str">
        <f>UPPER(Sheet1!H234)</f>
        <v>CHAHAT </v>
      </c>
      <c r="G234" s="5" t="str">
        <f>TEXT(Sheet1!C234,"dd/mm/yyyy") &amp; "," &amp; Sheet1!D234</f>
        <v xml:space="preserve">04/12/2024,CLAYTON , AUSTRALIA  </v>
      </c>
      <c r="H234" s="57" t="str">
        <f>UPPER(Sheet1!K234 &amp; "," &amp; Sheet1!L234 &amp; "," &amp; Sheet1!M234)</f>
        <v>VPO,DHALIWAL BET,KAPURTHALA,PIN:144804,PUNJAB,INDIA</v>
      </c>
      <c r="I234" s="8">
        <f>Sheet1!J234</f>
        <v>45922</v>
      </c>
      <c r="J234" s="5" t="str">
        <f>Sheet1!N234 &amp; "," &amp; TEXT(Sheet1!O234,"dd/mm/yy")</f>
        <v>202509062175,02/09/25</v>
      </c>
      <c r="K234" s="5" t="s">
        <v>14</v>
      </c>
      <c r="L234" s="38" t="s">
        <v>15</v>
      </c>
      <c r="M234" s="38">
        <v>45925</v>
      </c>
      <c r="N234" s="38" t="s">
        <v>16</v>
      </c>
    </row>
    <row r="235" spans="1:14" x14ac:dyDescent="0.35">
      <c r="A235" s="4" t="str">
        <f>Sheet1!A235 &amp; "/" &amp; "2025"</f>
        <v>1633/2025</v>
      </c>
      <c r="B235" s="5" t="str">
        <f>Sheet1!E235</f>
        <v>AU2065683762125</v>
      </c>
      <c r="C235" s="6" t="str">
        <f>UPPER(Sheet1!B235)</f>
        <v>PRISHAKUVAR BHATI</v>
      </c>
      <c r="D235" s="7" t="str">
        <f>IF(Sheet1!F235="F","FEMALE","MALE")</f>
        <v>FEMALE</v>
      </c>
      <c r="E235" s="6" t="str">
        <f>UPPER(Sheet1!G235)</f>
        <v>PARAGKUMAR SATUJI BHATI</v>
      </c>
      <c r="F235" s="6" t="str">
        <f>UPPER(Sheet1!H235)</f>
        <v>SHILPABA PARAGSINH  BHATI</v>
      </c>
      <c r="G235" s="5" t="str">
        <f>TEXT(Sheet1!C235,"dd/mm/yyyy") &amp; "," &amp; Sheet1!D235</f>
        <v xml:space="preserve">26/11/2024,MILDURA, AUSTRALIA </v>
      </c>
      <c r="H235" s="57" t="str">
        <f>UPPER(Sheet1!K235 &amp; "," &amp; Sheet1!L235 &amp; "," &amp; Sheet1!M235)</f>
        <v>NAVARATRI CHOK ATPO BALVA,TA KALOL,GANDHINAGAR,PIN:382655,GUJARAT,INDIA</v>
      </c>
      <c r="I235" s="8">
        <f>Sheet1!J235</f>
        <v>45922</v>
      </c>
      <c r="J235" s="5" t="str">
        <f>Sheet1!N235 &amp; "," &amp; TEXT(Sheet1!O235,"dd/mm/yy")</f>
        <v>202509052663,28/07/25</v>
      </c>
      <c r="K235" s="5" t="s">
        <v>14</v>
      </c>
      <c r="L235" s="38" t="s">
        <v>15</v>
      </c>
      <c r="M235" s="38">
        <v>45925</v>
      </c>
      <c r="N235" s="38" t="s">
        <v>16</v>
      </c>
    </row>
    <row r="236" spans="1:14" x14ac:dyDescent="0.35">
      <c r="A236" s="4" t="str">
        <f>Sheet1!A236 &amp; "/" &amp; "2025"</f>
        <v>1634/2025</v>
      </c>
      <c r="B236" s="5" t="str">
        <f>Sheet1!E236</f>
        <v>AU2065683878525</v>
      </c>
      <c r="C236" s="6" t="str">
        <f>UPPER(Sheet1!B236)</f>
        <v>MANVIKA TANWAR</v>
      </c>
      <c r="D236" s="7" t="str">
        <f>IF(Sheet1!F236="F","FEMALE","MALE")</f>
        <v>FEMALE</v>
      </c>
      <c r="E236" s="6" t="str">
        <f>UPPER(Sheet1!G236)</f>
        <v>VISHAL TANWAR</v>
      </c>
      <c r="F236" s="6" t="str">
        <f>UPPER(Sheet1!H236)</f>
        <v>VANSHIKA </v>
      </c>
      <c r="G236" s="5" t="str">
        <f>TEXT(Sheet1!C236,"dd/mm/yyyy") &amp; "," &amp; Sheet1!D236</f>
        <v xml:space="preserve">24/11/2024,ST ALBANS , AUSTRALIA </v>
      </c>
      <c r="H236" s="57" t="str">
        <f>UPPER(Sheet1!K236 &amp; "," &amp; Sheet1!L236 &amp; "," &amp; Sheet1!M236)</f>
        <v>H.NO. 913,WARD NO. 10,MOHAN NAGAR,KURUKSHETRA,PIN:136118,HARYANA,INDIA</v>
      </c>
      <c r="I236" s="8">
        <f>Sheet1!J236</f>
        <v>45924</v>
      </c>
      <c r="J236" s="5" t="str">
        <f>Sheet1!N236 &amp; "," &amp; TEXT(Sheet1!O236,"dd/mm/yy")</f>
        <v>202509055803,08/08/25</v>
      </c>
      <c r="K236" s="5" t="s">
        <v>14</v>
      </c>
      <c r="L236" s="38" t="s">
        <v>15</v>
      </c>
      <c r="M236" s="38">
        <v>45925</v>
      </c>
      <c r="N236" s="38" t="s">
        <v>16</v>
      </c>
    </row>
    <row r="237" spans="1:14" x14ac:dyDescent="0.35">
      <c r="A237" s="4" t="str">
        <f>Sheet1!A237 &amp; "/" &amp; "2025"</f>
        <v>1635/2025</v>
      </c>
      <c r="B237" s="5" t="str">
        <f>Sheet1!E237</f>
        <v>AU2065685083325</v>
      </c>
      <c r="C237" s="6" t="str">
        <f>UPPER(Sheet1!B237)</f>
        <v>PARWAAZ SINGH BRAR</v>
      </c>
      <c r="D237" s="7" t="str">
        <f>IF(Sheet1!F237="F","FEMALE","MALE")</f>
        <v>MALE</v>
      </c>
      <c r="E237" s="6" t="str">
        <f>UPPER(Sheet1!G237)</f>
        <v>JOBANPREET SINGH</v>
      </c>
      <c r="F237" s="6" t="str">
        <f>UPPER(Sheet1!H237)</f>
        <v>PRABJOT KAUR </v>
      </c>
      <c r="G237" s="5" t="str">
        <f>TEXT(Sheet1!C237,"dd/mm/yyyy") &amp; "," &amp; Sheet1!D237</f>
        <v xml:space="preserve">04/01/2025,ST ALBANS , AUSTRALIA </v>
      </c>
      <c r="H237" s="57" t="str">
        <f>UPPER(Sheet1!K237 &amp; "," &amp; Sheet1!L237 &amp; "," &amp; Sheet1!M237)</f>
        <v>VPO ALLOWAL,TEHSIL KHADUR SAHIB,TARN TARAN,PIN:143401,PUNJAB,INDIA</v>
      </c>
      <c r="I237" s="8">
        <f>Sheet1!J237</f>
        <v>45925</v>
      </c>
      <c r="J237" s="5" t="str">
        <f>Sheet1!N237 &amp; "," &amp; TEXT(Sheet1!O237,"dd/mm/yy")</f>
        <v>202509063484,10/11/25</v>
      </c>
      <c r="K237" s="5" t="s">
        <v>14</v>
      </c>
      <c r="L237" s="38" t="s">
        <v>15</v>
      </c>
      <c r="M237" s="38">
        <v>45925</v>
      </c>
      <c r="N237" s="38" t="s">
        <v>16</v>
      </c>
    </row>
    <row r="238" spans="1:14" x14ac:dyDescent="0.35">
      <c r="A238" s="4" t="str">
        <f>Sheet1!A238 &amp; "/" &amp; "2025"</f>
        <v>1636/2025</v>
      </c>
      <c r="B238" s="5" t="str">
        <f>Sheet1!E238</f>
        <v>AU2065666502725</v>
      </c>
      <c r="C238" s="6" t="str">
        <f>UPPER(Sheet1!B238)</f>
        <v>JIYANSH SHARMA</v>
      </c>
      <c r="D238" s="7" t="str">
        <f>IF(Sheet1!F238="F","FEMALE","MALE")</f>
        <v>MALE</v>
      </c>
      <c r="E238" s="6" t="str">
        <f>UPPER(Sheet1!G238)</f>
        <v>SACHIN SHARMA</v>
      </c>
      <c r="F238" s="6" t="str">
        <f>UPPER(Sheet1!H238)</f>
        <v>MANISHA  SHARMA</v>
      </c>
      <c r="G238" s="5" t="str">
        <f>TEXT(Sheet1!C238,"dd/mm/yyyy") &amp; "," &amp; Sheet1!D238</f>
        <v xml:space="preserve">11/07/2025,ST ALBANS , AUSTRALIA </v>
      </c>
      <c r="H238" s="57" t="str">
        <f>UPPER(Sheet1!K238 &amp; "," &amp; Sheet1!L238 &amp; "," &amp; Sheet1!M238)</f>
        <v>H.NO.F-174,SREET NO.14,ROSE AVENUE,KAPURTHALA,PIN:144601,PUNJAB,INDIA</v>
      </c>
      <c r="I238" s="8">
        <f>Sheet1!J238</f>
        <v>45925</v>
      </c>
      <c r="J238" s="5" t="str">
        <f>Sheet1!N238 &amp; "," &amp; TEXT(Sheet1!O238,"dd/mm/yy")</f>
        <v>202509057657,16/08/25</v>
      </c>
      <c r="K238" s="5" t="s">
        <v>14</v>
      </c>
      <c r="L238" s="38" t="s">
        <v>15</v>
      </c>
      <c r="M238" s="38">
        <v>45925</v>
      </c>
      <c r="N238" s="38" t="s">
        <v>16</v>
      </c>
    </row>
    <row r="239" spans="1:14" x14ac:dyDescent="0.35">
      <c r="A239" s="4" t="str">
        <f>Sheet1!A239 &amp; "/" &amp; "2025"</f>
        <v>1637/2025</v>
      </c>
      <c r="B239" s="5" t="str">
        <f>Sheet1!E239</f>
        <v>AU2065670050325</v>
      </c>
      <c r="C239" s="6" t="str">
        <f>UPPER(Sheet1!B239)</f>
        <v>HUKAM SINGH SANDHU</v>
      </c>
      <c r="D239" s="7" t="str">
        <f>IF(Sheet1!F239="F","FEMALE","MALE")</f>
        <v>MALE</v>
      </c>
      <c r="E239" s="6" t="str">
        <f>UPPER(Sheet1!G239)</f>
        <v>MANDEEP SINGH</v>
      </c>
      <c r="F239" s="6" t="str">
        <f>UPPER(Sheet1!H239)</f>
        <v>BALJIT KAUR </v>
      </c>
      <c r="G239" s="5" t="str">
        <f>TEXT(Sheet1!C239,"dd/mm/yyyy") &amp; "," &amp; Sheet1!D239</f>
        <v xml:space="preserve">01/07/2025,ST ALBANS , AUSTRALIA </v>
      </c>
      <c r="H239" s="57" t="str">
        <f>UPPER(Sheet1!K239 &amp; "," &amp; Sheet1!L239 &amp; "," &amp; Sheet1!M239)</f>
        <v>VPO MAKHI KALAN,TEHSIL PATTI,TARN TARAN,PIN:143401,PUNJAB,INDIA</v>
      </c>
      <c r="I239" s="8">
        <f>Sheet1!J239</f>
        <v>45925</v>
      </c>
      <c r="J239" s="5" t="str">
        <f>Sheet1!N239 &amp; "," &amp; TEXT(Sheet1!O239,"dd/mm/yy")</f>
        <v>202509062238,03/09/25</v>
      </c>
      <c r="K239" s="5" t="s">
        <v>14</v>
      </c>
      <c r="L239" s="38" t="s">
        <v>15</v>
      </c>
      <c r="M239" s="38">
        <v>45937</v>
      </c>
      <c r="N239" s="38" t="s">
        <v>16</v>
      </c>
    </row>
    <row r="240" spans="1:14" x14ac:dyDescent="0.35">
      <c r="A240" s="4" t="str">
        <f>Sheet1!A240 &amp; "/" &amp; "2025"</f>
        <v>1638/2025</v>
      </c>
      <c r="B240" s="5" t="str">
        <f>Sheet1!E240</f>
        <v>AU2065683757725</v>
      </c>
      <c r="C240" s="6" t="str">
        <f>UPPER(Sheet1!B240)</f>
        <v>VIHAAN PANCHAL</v>
      </c>
      <c r="D240" s="7" t="str">
        <f>IF(Sheet1!F240="F","FEMALE","MALE")</f>
        <v>MALE</v>
      </c>
      <c r="E240" s="6" t="str">
        <f>UPPER(Sheet1!G240)</f>
        <v>NIREN JITENDRABHAI PANCHAL</v>
      </c>
      <c r="F240" s="6" t="str">
        <f>UPPER(Sheet1!H240)</f>
        <v>TULSIBEN BABUBHAI  GONDALIYA</v>
      </c>
      <c r="G240" s="5" t="str">
        <f>TEXT(Sheet1!C240,"dd/mm/yyyy") &amp; "," &amp; Sheet1!D240</f>
        <v xml:space="preserve">21/07/2025,ELIZABETH VALE, AUSTRALIA </v>
      </c>
      <c r="H240" s="57" t="str">
        <f>UPPER(Sheet1!K240 &amp; "," &amp; Sheet1!L240 &amp; "," &amp; Sheet1!M240)</f>
        <v>D/393 KRISHNANAGAR PART-2,ADINATHNAGAR,ODHAV,AHMEDABAD,PIN:382415,GUJARAT,INDIA</v>
      </c>
      <c r="I240" s="8">
        <f>Sheet1!J240</f>
        <v>45926</v>
      </c>
      <c r="J240" s="5" t="str">
        <f>Sheet1!N240 &amp; "," &amp; TEXT(Sheet1!O240,"dd/mm/yy")</f>
        <v>202509064059,10/09/25</v>
      </c>
      <c r="K240" s="5" t="s">
        <v>14</v>
      </c>
      <c r="L240" s="38" t="s">
        <v>15</v>
      </c>
      <c r="M240" s="38">
        <v>45937</v>
      </c>
      <c r="N240" s="38" t="s">
        <v>16</v>
      </c>
    </row>
    <row r="241" spans="1:14" x14ac:dyDescent="0.35">
      <c r="A241" s="4" t="str">
        <f>Sheet1!A241 &amp; "/" &amp; "2025"</f>
        <v>1639/2025</v>
      </c>
      <c r="B241" s="5" t="str">
        <f>Sheet1!E241</f>
        <v>AU2065683758125</v>
      </c>
      <c r="C241" s="6" t="str">
        <f>UPPER(Sheet1!B241)</f>
        <v>AADVIK TEJAS GUNNALA</v>
      </c>
      <c r="D241" s="7" t="str">
        <f>IF(Sheet1!F241="F","FEMALE","MALE")</f>
        <v>MALE</v>
      </c>
      <c r="E241" s="6" t="str">
        <f>UPPER(Sheet1!G241)</f>
        <v>VENUGOPAL GUNNALA</v>
      </c>
      <c r="F241" s="6" t="str">
        <f>UPPER(Sheet1!H241)</f>
        <v>BHAVANI  GUNNALA</v>
      </c>
      <c r="G241" s="5" t="str">
        <f>TEXT(Sheet1!C241,"dd/mm/yyyy") &amp; "," &amp; Sheet1!D241</f>
        <v xml:space="preserve">19/08/2025,ST ALBANS , AUSTRALIA </v>
      </c>
      <c r="H241" s="57" t="str">
        <f>UPPER(Sheet1!K241 &amp; "," &amp; Sheet1!L241 &amp; "," &amp; Sheet1!M241)</f>
        <v>1-9-183,RAMNAGAR NEAR BAPTIST CHURCH,MUSHEERABAD,HYDERABAD,PIN:500020,TELANGANA,INDIA</v>
      </c>
      <c r="I241" s="8">
        <f>Sheet1!J241</f>
        <v>45926</v>
      </c>
      <c r="J241" s="5" t="str">
        <f>Sheet1!N241 &amp; "," &amp; TEXT(Sheet1!O241,"dd/mm/yy")</f>
        <v>202509065506,16/09/25</v>
      </c>
      <c r="K241" s="5" t="s">
        <v>14</v>
      </c>
      <c r="L241" s="38" t="s">
        <v>15</v>
      </c>
      <c r="M241" s="38">
        <v>45937</v>
      </c>
      <c r="N241" s="38" t="s">
        <v>16</v>
      </c>
    </row>
    <row r="242" spans="1:14" x14ac:dyDescent="0.35">
      <c r="A242" s="4" t="str">
        <f>Sheet1!A242 &amp; "/" &amp; "2025"</f>
        <v>1640/2025</v>
      </c>
      <c r="B242" s="5" t="str">
        <f>Sheet1!E242</f>
        <v>AU2065683758325</v>
      </c>
      <c r="C242" s="6" t="str">
        <f>UPPER(Sheet1!B242)</f>
        <v>ATHARV MOGILI</v>
      </c>
      <c r="D242" s="7" t="str">
        <f>IF(Sheet1!F242="F","FEMALE","MALE")</f>
        <v>MALE</v>
      </c>
      <c r="E242" s="6" t="str">
        <f>UPPER(Sheet1!G242)</f>
        <v>NARVIND KUMAR MOGILI</v>
      </c>
      <c r="F242" s="6" t="str">
        <f>UPPER(Sheet1!H242)</f>
        <v>JAYASHREE  CHENNAIAHGARI</v>
      </c>
      <c r="G242" s="5" t="str">
        <f>TEXT(Sheet1!C242,"dd/mm/yyyy") &amp; "," &amp; Sheet1!D242</f>
        <v xml:space="preserve">20/07/2025,EPPING , AUSTRALIA </v>
      </c>
      <c r="H242" s="57" t="str">
        <f>UPPER(Sheet1!K242 &amp; "," &amp; Sheet1!L242 &amp; "," &amp; Sheet1!M242)</f>
        <v>18-4-143/A/57,KALVAGADDA HANUMAN TEMPLE,GAYATRI NAGAR COLONY,HYDERABAD,PIN:500053,TELANGANA,INDIA</v>
      </c>
      <c r="I242" s="8">
        <f>Sheet1!J242</f>
        <v>45926</v>
      </c>
      <c r="J242" s="5" t="str">
        <f>Sheet1!N242 &amp; "," &amp; TEXT(Sheet1!O242,"dd/mm/yy")</f>
        <v>202509061741,01/09/25</v>
      </c>
      <c r="K242" s="5" t="s">
        <v>14</v>
      </c>
      <c r="L242" s="38" t="s">
        <v>15</v>
      </c>
      <c r="M242" s="38">
        <v>45937</v>
      </c>
      <c r="N242" s="38" t="s">
        <v>16</v>
      </c>
    </row>
    <row r="243" spans="1:14" x14ac:dyDescent="0.35">
      <c r="A243" s="4" t="str">
        <f>Sheet1!A243 &amp; "/" &amp; "2025"</f>
        <v>1641/2025</v>
      </c>
      <c r="B243" s="5" t="str">
        <f>Sheet1!E243</f>
        <v>AU2065683758925</v>
      </c>
      <c r="C243" s="6" t="str">
        <f>UPPER(Sheet1!B243)</f>
        <v>AMAIRA KAUR</v>
      </c>
      <c r="D243" s="7" t="str">
        <f>IF(Sheet1!F243="F","FEMALE","MALE")</f>
        <v>FEMALE</v>
      </c>
      <c r="E243" s="6" t="str">
        <f>UPPER(Sheet1!G243)</f>
        <v>SOORAJ PARKASH</v>
      </c>
      <c r="F243" s="6" t="str">
        <f>UPPER(Sheet1!H243)</f>
        <v>AMITA BANGA </v>
      </c>
      <c r="G243" s="5" t="str">
        <f>TEXT(Sheet1!C243,"dd/mm/yyyy") &amp; "," &amp; Sheet1!D243</f>
        <v xml:space="preserve">30/09/2024,WERIBEE, AUSTRALIA </v>
      </c>
      <c r="H243" s="57" t="str">
        <f>UPPER(Sheet1!K243 &amp; "," &amp; Sheet1!L243 &amp; "," &amp; Sheet1!M243)</f>
        <v>B-1/992,RAM NAGAR,JALANDHAR,PIN:144008,PUNJAB,INDIA</v>
      </c>
      <c r="I243" s="8">
        <f>Sheet1!J243</f>
        <v>45926</v>
      </c>
      <c r="J243" s="5" t="str">
        <f>Sheet1!N243 &amp; "," &amp; TEXT(Sheet1!O243,"dd/mm/yy")</f>
        <v>202509060823,28/08/25</v>
      </c>
      <c r="K243" s="5" t="s">
        <v>14</v>
      </c>
      <c r="L243" s="38" t="s">
        <v>15</v>
      </c>
      <c r="M243" s="38">
        <v>45937</v>
      </c>
      <c r="N243" s="38" t="s">
        <v>16</v>
      </c>
    </row>
    <row r="244" spans="1:14" x14ac:dyDescent="0.35">
      <c r="A244" s="4" t="str">
        <f>Sheet1!A244 &amp; "/" &amp; "2025"</f>
        <v>1642/2025</v>
      </c>
      <c r="B244" s="5" t="str">
        <f>Sheet1!E244</f>
        <v>AU2065683759325</v>
      </c>
      <c r="C244" s="6" t="str">
        <f>UPPER(Sheet1!B244)</f>
        <v>ZORAWAR SINGH</v>
      </c>
      <c r="D244" s="7" t="str">
        <f>IF(Sheet1!F244="F","FEMALE","MALE")</f>
        <v>MALE</v>
      </c>
      <c r="E244" s="6" t="str">
        <f>UPPER(Sheet1!G244)</f>
        <v>DILAWAR SINGH</v>
      </c>
      <c r="F244" s="6" t="str">
        <f>UPPER(Sheet1!H244)</f>
        <v>PRABHJIT KAUR </v>
      </c>
      <c r="G244" s="5" t="str">
        <f>TEXT(Sheet1!C244,"dd/mm/yyyy") &amp; "," &amp; Sheet1!D244</f>
        <v xml:space="preserve">22/05/2025,WERIBEE, AUSTRALIA </v>
      </c>
      <c r="H244" s="57" t="str">
        <f>UPPER(Sheet1!K244 &amp; "," &amp; Sheet1!L244 &amp; "," &amp; Sheet1!M244)</f>
        <v>H.NO.16,ANAND AVENUE,RAM TIRATH ROAD,AMRITSAR,PIN:143001,PUNJAB,INDIA</v>
      </c>
      <c r="I244" s="8">
        <f>Sheet1!J244</f>
        <v>45926</v>
      </c>
      <c r="J244" s="5" t="str">
        <f>Sheet1!N244 &amp; "," &amp; TEXT(Sheet1!O244,"dd/mm/yy")</f>
        <v>202509061315,30/08/25</v>
      </c>
      <c r="K244" s="5" t="s">
        <v>14</v>
      </c>
      <c r="L244" s="38" t="s">
        <v>15</v>
      </c>
      <c r="M244" s="38">
        <v>45937</v>
      </c>
      <c r="N244" s="38" t="s">
        <v>16</v>
      </c>
    </row>
    <row r="245" spans="1:14" x14ac:dyDescent="0.35">
      <c r="A245" s="4" t="str">
        <f>Sheet1!A245 &amp; "/" &amp; "2025"</f>
        <v>1643/2025</v>
      </c>
      <c r="B245" s="5" t="str">
        <f>Sheet1!E245</f>
        <v>AU2065683759725</v>
      </c>
      <c r="C245" s="6" t="str">
        <f>UPPER(Sheet1!B245)</f>
        <v>VEDA SURYA</v>
      </c>
      <c r="D245" s="7" t="str">
        <f>IF(Sheet1!F245="F","FEMALE","MALE")</f>
        <v>FEMALE</v>
      </c>
      <c r="E245" s="6" t="str">
        <f>UPPER(Sheet1!G245)</f>
        <v>SURYA AKSHINTHALA PRABHU</v>
      </c>
      <c r="F245" s="6" t="str">
        <f>UPPER(Sheet1!H245)</f>
        <v>MRINAL KISHOR  DIGHE</v>
      </c>
      <c r="G245" s="5" t="str">
        <f>TEXT(Sheet1!C245,"dd/mm/yyyy") &amp; "," &amp; Sheet1!D245</f>
        <v>14/08/2025,MOUNT WAVERLEY, AUSTRALIA</v>
      </c>
      <c r="H245" s="57" t="str">
        <f>UPPER(Sheet1!K245 &amp; "," &amp; Sheet1!L245 &amp; "," &amp; Sheet1!M245)</f>
        <v>383,1ST FLOOR 3RD CROSS 1ST B MAIN ROAD JAYANAGA,BENGLURU,BENGALURU,PIN:560070,KARNATAKA,INDIA</v>
      </c>
      <c r="I245" s="8">
        <f>Sheet1!J245</f>
        <v>45926</v>
      </c>
      <c r="J245" s="5" t="str">
        <f>Sheet1!N245 &amp; "," &amp; TEXT(Sheet1!O245,"dd/mm/yy")</f>
        <v>202509065555,16/09/25</v>
      </c>
      <c r="K245" s="5" t="s">
        <v>14</v>
      </c>
      <c r="L245" s="38" t="s">
        <v>15</v>
      </c>
      <c r="M245" s="38">
        <v>45937</v>
      </c>
      <c r="N245" s="38" t="s">
        <v>16</v>
      </c>
    </row>
    <row r="246" spans="1:14" x14ac:dyDescent="0.35">
      <c r="A246" s="4" t="str">
        <f>Sheet1!A246 &amp; "/" &amp; "2025"</f>
        <v>1644/2025</v>
      </c>
      <c r="B246" s="5" t="str">
        <f>Sheet1!E246</f>
        <v>AU2065683759925</v>
      </c>
      <c r="C246" s="6" t="str">
        <f>UPPER(Sheet1!B246)</f>
        <v>IBADAT KAUR</v>
      </c>
      <c r="D246" s="7" t="str">
        <f>IF(Sheet1!F246="F","FEMALE","MALE")</f>
        <v>FEMALE</v>
      </c>
      <c r="E246" s="6" t="str">
        <f>UPPER(Sheet1!G246)</f>
        <v>RAJVEER SINGH CHAHAL</v>
      </c>
      <c r="F246" s="6" t="str">
        <f>UPPER(Sheet1!H246)</f>
        <v>GURPREET KAUR </v>
      </c>
      <c r="G246" s="5" t="str">
        <f>TEXT(Sheet1!C246,"dd/mm/yyyy") &amp; "," &amp; Sheet1!D246</f>
        <v xml:space="preserve">16/05/2025,ST ALBANS , AUSTRALIA </v>
      </c>
      <c r="H246" s="57" t="str">
        <f>UPPER(Sheet1!K246 &amp; "," &amp; Sheet1!L246 &amp; "," &amp; Sheet1!M246)</f>
        <v>VPO JAKHEPAL HAMBALVASS,TEHSIL SUNAM,SANGRUR,PIN:148028,PUNJAB,INDIA</v>
      </c>
      <c r="I246" s="8">
        <f>Sheet1!J246</f>
        <v>45929</v>
      </c>
      <c r="J246" s="5" t="str">
        <f>Sheet1!N246 &amp; "," &amp; TEXT(Sheet1!O246,"dd/mm/yy")</f>
        <v>202509063925,10/09/25</v>
      </c>
      <c r="K246" s="5" t="s">
        <v>14</v>
      </c>
      <c r="L246" s="38" t="s">
        <v>15</v>
      </c>
      <c r="M246" s="38">
        <v>45937</v>
      </c>
      <c r="N246" s="38" t="s">
        <v>16</v>
      </c>
    </row>
    <row r="247" spans="1:14" x14ac:dyDescent="0.35">
      <c r="A247" s="4" t="str">
        <f>Sheet1!A247 &amp; "/" &amp; "2025"</f>
        <v>1645/2025</v>
      </c>
      <c r="B247" s="5" t="str">
        <f>Sheet1!E247</f>
        <v>AU2065683760525</v>
      </c>
      <c r="C247" s="6" t="str">
        <f>UPPER(Sheet1!B247)</f>
        <v>GANEEV SINGH BAHIA</v>
      </c>
      <c r="D247" s="7" t="str">
        <f>IF(Sheet1!F247="F","FEMALE","MALE")</f>
        <v>MALE</v>
      </c>
      <c r="E247" s="6" t="str">
        <f>UPPER(Sheet1!G247)</f>
        <v>JASWANT SINGH</v>
      </c>
      <c r="F247" s="6" t="str">
        <f>UPPER(Sheet1!H247)</f>
        <v>GAGANDEEP KAUR </v>
      </c>
      <c r="G247" s="5" t="str">
        <f>TEXT(Sheet1!C247,"dd/mm/yyyy") &amp; "," &amp; Sheet1!D247</f>
        <v>23/11/2024,FRANKSTON, AUSTRALIA</v>
      </c>
      <c r="H247" s="57" t="str">
        <f>UPPER(Sheet1!K247 &amp; "," &amp; Sheet1!L247 &amp; "," &amp; Sheet1!M247)</f>
        <v>VILL-20-PS PO-19-PS,RAISINGHNAGAR,SRI GANGANAGAR,PIN:335039,RAJASTHAN,INDIA</v>
      </c>
      <c r="I247" s="8">
        <f>Sheet1!J247</f>
        <v>45929</v>
      </c>
      <c r="J247" s="5" t="str">
        <f>Sheet1!N247 &amp; "," &amp; TEXT(Sheet1!O247,"dd/mm/yy")</f>
        <v>202509011065,14/02/25</v>
      </c>
      <c r="K247" s="5" t="s">
        <v>14</v>
      </c>
      <c r="L247" s="38" t="s">
        <v>15</v>
      </c>
      <c r="M247" s="38">
        <v>45937</v>
      </c>
      <c r="N247" s="38" t="s">
        <v>16</v>
      </c>
    </row>
    <row r="248" spans="1:14" x14ac:dyDescent="0.35">
      <c r="A248" s="4" t="str">
        <f>Sheet1!A248 &amp; "/" &amp; "2025"</f>
        <v>1646/2025</v>
      </c>
      <c r="B248" s="5" t="str">
        <f>Sheet1!E248</f>
        <v>AU2065683760925</v>
      </c>
      <c r="C248" s="6" t="str">
        <f>UPPER(Sheet1!B248)</f>
        <v>SIRJAN KAUR DHALIWAL</v>
      </c>
      <c r="D248" s="7" t="str">
        <f>IF(Sheet1!F248="F","FEMALE","MALE")</f>
        <v>FEMALE</v>
      </c>
      <c r="E248" s="6" t="str">
        <f>UPPER(Sheet1!G248)</f>
        <v>SUKHWINDER SINGH DHALIWAL</v>
      </c>
      <c r="F248" s="6" t="str">
        <f>UPPER(Sheet1!H248)</f>
        <v>RASHDEEP KAUR  DHALIWAL</v>
      </c>
      <c r="G248" s="5" t="str">
        <f>TEXT(Sheet1!C248,"dd/mm/yyyy") &amp; "," &amp; Sheet1!D248</f>
        <v xml:space="preserve">23/07/2025,EPPING , AUSTRALIA </v>
      </c>
      <c r="H248" s="57" t="str">
        <f>UPPER(Sheet1!K248 &amp; "," &amp; Sheet1!L248 &amp; "," &amp; Sheet1!M248)</f>
        <v>LANGAR PATTI,SAIDOKE,MOGA,PIN:142055,PUNJAB,INDIA</v>
      </c>
      <c r="I248" s="8">
        <f>Sheet1!J248</f>
        <v>45929</v>
      </c>
      <c r="J248" s="5" t="str">
        <f>Sheet1!N248 &amp; "," &amp; TEXT(Sheet1!O248,"dd/mm/yy")</f>
        <v>202509065795,17/09/25</v>
      </c>
      <c r="K248" s="5" t="s">
        <v>14</v>
      </c>
      <c r="L248" s="38" t="s">
        <v>15</v>
      </c>
      <c r="M248" s="38">
        <v>45937</v>
      </c>
      <c r="N248" s="38" t="s">
        <v>16</v>
      </c>
    </row>
    <row r="249" spans="1:14" x14ac:dyDescent="0.35">
      <c r="A249" s="4" t="str">
        <f>Sheet1!A249 &amp; "/" &amp; "2025"</f>
        <v>1647/2025</v>
      </c>
      <c r="B249" s="5" t="str">
        <f>Sheet1!E249</f>
        <v>AU2065683761125</v>
      </c>
      <c r="C249" s="6" t="str">
        <f>UPPER(Sheet1!B249)</f>
        <v>MIRHA MUJEEB</v>
      </c>
      <c r="D249" s="7" t="str">
        <f>IF(Sheet1!F249="F","FEMALE","MALE")</f>
        <v>FEMALE</v>
      </c>
      <c r="E249" s="6" t="str">
        <f>UPPER(Sheet1!G249)</f>
        <v>ABDUL MUJEEB</v>
      </c>
      <c r="F249" s="6" t="str">
        <f>UPPER(Sheet1!H249)</f>
        <v>NIMRAH HYDER </v>
      </c>
      <c r="G249" s="5" t="str">
        <f>TEXT(Sheet1!C249,"dd/mm/yyyy") &amp; "," &amp; Sheet1!D249</f>
        <v xml:space="preserve">08/04/2025,PARKVILLE, AUSTRALIA  </v>
      </c>
      <c r="H249" s="57" t="str">
        <f>UPPER(Sheet1!K249 &amp; "," &amp; Sheet1!L249 &amp; "," &amp; Sheet1!M249)</f>
        <v>17-8-419/4/E/4/1,BAGH-E-JAHAN ARA,YAKUTPURA,HYDERABAD,PIN:500023,TELANGANA,INDIA</v>
      </c>
      <c r="I249" s="8">
        <f>Sheet1!J249</f>
        <v>45929</v>
      </c>
      <c r="J249" s="5" t="str">
        <f>Sheet1!N249 &amp; "," &amp; TEXT(Sheet1!O249,"dd/mm/yy")</f>
        <v>202509060785,28/08/25</v>
      </c>
      <c r="K249" s="5" t="s">
        <v>14</v>
      </c>
      <c r="L249" s="38" t="s">
        <v>15</v>
      </c>
      <c r="M249" s="38">
        <v>45937</v>
      </c>
      <c r="N249" s="38" t="s">
        <v>16</v>
      </c>
    </row>
    <row r="250" spans="1:14" x14ac:dyDescent="0.35">
      <c r="A250" s="4" t="str">
        <f>Sheet1!A250 &amp; "/" &amp; "2025"</f>
        <v>1648/2025</v>
      </c>
      <c r="B250" s="5" t="str">
        <f>Sheet1!E250</f>
        <v>AU2065683761525</v>
      </c>
      <c r="C250" s="6" t="str">
        <f>UPPER(Sheet1!B250)</f>
        <v>VEDA SAMPAT</v>
      </c>
      <c r="D250" s="7" t="str">
        <f>IF(Sheet1!F250="F","FEMALE","MALE")</f>
        <v>FEMALE</v>
      </c>
      <c r="E250" s="6" t="str">
        <f>UPPER(Sheet1!G250)</f>
        <v>SAUMYA DAKSHESH SAMPAT</v>
      </c>
      <c r="F250" s="6" t="str">
        <f>UPPER(Sheet1!H250)</f>
        <v>MALVIKA SAUMYA  SAMPAT</v>
      </c>
      <c r="G250" s="5" t="str">
        <f>TEXT(Sheet1!C250,"dd/mm/yyyy") &amp; "," &amp; Sheet1!D250</f>
        <v>17/08/2025,BALLARAT CENTRAL, AUSTRALIA</v>
      </c>
      <c r="H250" s="57" t="str">
        <f>UPPER(Sheet1!K250 &amp; "," &amp; Sheet1!L250 &amp; "," &amp; Sheet1!M250)</f>
        <v>602 B KRISHNA,NEELKANTH VIHAR,NEW TILAK NAGAR,MUMBAI,PIN:400089,MAHARASHTRA,INDIA</v>
      </c>
      <c r="I250" s="8">
        <f>Sheet1!J250</f>
        <v>45929</v>
      </c>
      <c r="J250" s="5" t="str">
        <f>Sheet1!N250 &amp; "," &amp; TEXT(Sheet1!O250,"dd/mm/yy")</f>
        <v>202509065672,16/09/25</v>
      </c>
      <c r="K250" s="5" t="s">
        <v>14</v>
      </c>
      <c r="L250" s="38" t="s">
        <v>15</v>
      </c>
      <c r="M250" s="38">
        <v>45937</v>
      </c>
      <c r="N250" s="38" t="s">
        <v>16</v>
      </c>
    </row>
    <row r="251" spans="1:14" x14ac:dyDescent="0.35">
      <c r="A251" s="4" t="str">
        <f>Sheet1!A251 &amp; "/" &amp; "2025"</f>
        <v>1649/2025</v>
      </c>
      <c r="B251" s="5" t="str">
        <f>Sheet1!E251</f>
        <v>AU2065683807325</v>
      </c>
      <c r="C251" s="6" t="str">
        <f>UPPER(Sheet1!B251)</f>
        <v>KRISHIVNATH CHEREPALLY</v>
      </c>
      <c r="D251" s="7" t="str">
        <f>IF(Sheet1!F251="F","FEMALE","MALE")</f>
        <v>MALE</v>
      </c>
      <c r="E251" s="6" t="str">
        <f>UPPER(Sheet1!G251)</f>
        <v>GOPINATH CHEREPALLY</v>
      </c>
      <c r="F251" s="6" t="str">
        <f>UPPER(Sheet1!H251)</f>
        <v>KALYANI  RACHAMALLA</v>
      </c>
      <c r="G251" s="5" t="str">
        <f>TEXT(Sheet1!C251,"dd/mm/yyyy") &amp; "," &amp; Sheet1!D251</f>
        <v xml:space="preserve">23/07/2025,ST ALBANS , AUSTRALIA </v>
      </c>
      <c r="H251" s="57" t="str">
        <f>UPPER(Sheet1!K251 &amp; "," &amp; Sheet1!L251 &amp; "," &amp; Sheet1!M251)</f>
        <v>7-51/1 ZPHS COLONY,YADAVELLY,NALGONDA,PIN:508255,TELANGANA,INDIA</v>
      </c>
      <c r="I251" s="8">
        <f>Sheet1!J251</f>
        <v>45929</v>
      </c>
      <c r="J251" s="5" t="str">
        <f>Sheet1!N251 &amp; "," &amp; TEXT(Sheet1!O251,"dd/mm/yy")</f>
        <v>202509065892,17/09/25</v>
      </c>
      <c r="K251" s="5" t="s">
        <v>14</v>
      </c>
      <c r="L251" s="38" t="s">
        <v>15</v>
      </c>
      <c r="M251" s="38">
        <v>45937</v>
      </c>
      <c r="N251" s="38" t="s">
        <v>16</v>
      </c>
    </row>
    <row r="252" spans="1:14" x14ac:dyDescent="0.35">
      <c r="A252" s="4" t="str">
        <f>Sheet1!A252 &amp; "/" &amp; "2025"</f>
        <v>1650/2025</v>
      </c>
      <c r="B252" s="5" t="str">
        <f>Sheet1!E252</f>
        <v>AU2065683807925</v>
      </c>
      <c r="C252" s="6" t="str">
        <f>UPPER(Sheet1!B252)</f>
        <v>ASEES KAUR</v>
      </c>
      <c r="D252" s="7" t="str">
        <f>IF(Sheet1!F252="F","FEMALE","MALE")</f>
        <v>FEMALE</v>
      </c>
      <c r="E252" s="6" t="str">
        <f>UPPER(Sheet1!G252)</f>
        <v>AMANDEEP SINGH</v>
      </c>
      <c r="F252" s="6" t="str">
        <f>UPPER(Sheet1!H252)</f>
        <v>MANDEEP KAUR </v>
      </c>
      <c r="G252" s="5" t="str">
        <f>TEXT(Sheet1!C252,"dd/mm/yyyy") &amp; "," &amp; Sheet1!D252</f>
        <v xml:space="preserve">16/04/2025,PARKVILLE , AUSTRALIA  </v>
      </c>
      <c r="H252" s="57" t="str">
        <f>UPPER(Sheet1!K252 &amp; "," &amp; Sheet1!L252 &amp; "," &amp; Sheet1!M252)</f>
        <v>VPO DAROLI BHAI,AGHWAR BABA JIWAN SINGH JI,MOGA,PIN:142048,PUNJAB,INDIA</v>
      </c>
      <c r="I252" s="8">
        <f>Sheet1!J252</f>
        <v>45929</v>
      </c>
      <c r="J252" s="5" t="str">
        <f>Sheet1!N252 &amp; "," &amp; TEXT(Sheet1!O252,"dd/mm/yy")</f>
        <v>202509066141,18/09/25</v>
      </c>
      <c r="K252" s="5" t="s">
        <v>14</v>
      </c>
      <c r="L252" s="38" t="s">
        <v>15</v>
      </c>
      <c r="M252" s="38">
        <v>45937</v>
      </c>
      <c r="N252" s="38" t="s">
        <v>16</v>
      </c>
    </row>
    <row r="253" spans="1:14" x14ac:dyDescent="0.35">
      <c r="A253" s="4" t="str">
        <f>Sheet1!A253 &amp; "/" &amp; "2025"</f>
        <v>1651/2025</v>
      </c>
      <c r="B253" s="5" t="str">
        <f>Sheet1!E253</f>
        <v>AU2065683808725</v>
      </c>
      <c r="C253" s="6" t="str">
        <f>UPPER(Sheet1!B253)</f>
        <v>AIRADHYA SHRI APPANA</v>
      </c>
      <c r="D253" s="7" t="str">
        <f>IF(Sheet1!F253="F","FEMALE","MALE")</f>
        <v>FEMALE</v>
      </c>
      <c r="E253" s="6" t="str">
        <f>UPPER(Sheet1!G253)</f>
        <v>GANGA RAJARAMA KRISHNA PRADEEP APPANA</v>
      </c>
      <c r="F253" s="6" t="str">
        <f>UPPER(Sheet1!H253)</f>
        <v>SESHA SAI SREE RAMA SWEATHA  KANCHARLA</v>
      </c>
      <c r="G253" s="5" t="str">
        <f>TEXT(Sheet1!C253,"dd/mm/yyyy") &amp; "," &amp; Sheet1!D253</f>
        <v>09/07/2025,BALLARAT CENTRAL, AUSTRALIA</v>
      </c>
      <c r="H253" s="57" t="str">
        <f>UPPER(Sheet1!K253 &amp; "," &amp; Sheet1!L253 &amp; "," &amp; Sheet1!M253)</f>
        <v>1-171 RAJA STREET,IRUSUMANDA,DR. B.R. AMBEDKAR KONASEEMA,PIN:533239,ANDHRA PRADESH,INDIA</v>
      </c>
      <c r="I253" s="8">
        <f>Sheet1!J253</f>
        <v>45929</v>
      </c>
      <c r="J253" s="5" t="str">
        <f>Sheet1!N253 &amp; "," &amp; TEXT(Sheet1!O253,"dd/mm/yy")</f>
        <v>202509061679,01/09/25</v>
      </c>
      <c r="K253" s="5" t="s">
        <v>14</v>
      </c>
      <c r="L253" s="38" t="s">
        <v>15</v>
      </c>
      <c r="M253" s="38">
        <v>45937</v>
      </c>
      <c r="N253" s="38" t="s">
        <v>16</v>
      </c>
    </row>
    <row r="254" spans="1:14" x14ac:dyDescent="0.35">
      <c r="A254" s="4" t="str">
        <f>Sheet1!A254 &amp; "/" &amp; "2025"</f>
        <v>1652/2025</v>
      </c>
      <c r="B254" s="5" t="str">
        <f>Sheet1!E254</f>
        <v>AU2065683813525</v>
      </c>
      <c r="C254" s="6" t="str">
        <f>UPPER(Sheet1!B254)</f>
        <v>MANHAR SINGH</v>
      </c>
      <c r="D254" s="7" t="str">
        <f>IF(Sheet1!F254="F","FEMALE","MALE")</f>
        <v>MALE</v>
      </c>
      <c r="E254" s="6" t="str">
        <f>UPPER(Sheet1!G254)</f>
        <v>SARABPREET SINGH</v>
      </c>
      <c r="F254" s="6" t="str">
        <f>UPPER(Sheet1!H254)</f>
        <v>JASLEEN  KAUR</v>
      </c>
      <c r="G254" s="5" t="str">
        <f>TEXT(Sheet1!C254,"dd/mm/yyyy") &amp; "," &amp; Sheet1!D254</f>
        <v xml:space="preserve">02/08/2025,WERIBEE, AUSTRALIA </v>
      </c>
      <c r="H254" s="57" t="str">
        <f>UPPER(Sheet1!K254 &amp; "," &amp; Sheet1!L254 &amp; "," &amp; Sheet1!M254)</f>
        <v>127/416,U-BLOCK,NIRALA NAGAR,KANPUR NAGAR,PIN:208014,UTTAR PRADESH,INDIA</v>
      </c>
      <c r="I254" s="8">
        <f>Sheet1!J254</f>
        <v>45929</v>
      </c>
      <c r="J254" s="5" t="str">
        <f>Sheet1!N254 &amp; "," &amp; TEXT(Sheet1!O254,"dd/mm/yy")</f>
        <v>202509059231,22/08/25</v>
      </c>
      <c r="K254" s="5" t="s">
        <v>14</v>
      </c>
      <c r="L254" s="38" t="s">
        <v>15</v>
      </c>
      <c r="M254" s="38">
        <v>45937</v>
      </c>
      <c r="N254" s="38" t="s">
        <v>16</v>
      </c>
    </row>
    <row r="255" spans="1:14" x14ac:dyDescent="0.35">
      <c r="A255" s="4" t="str">
        <f>Sheet1!A255 &amp; "/" &amp; "2025"</f>
        <v>1653/2025</v>
      </c>
      <c r="B255" s="5" t="str">
        <f>Sheet1!E255</f>
        <v>AU2065683819725</v>
      </c>
      <c r="C255" s="6" t="str">
        <f>UPPER(Sheet1!B255)</f>
        <v>VEDAANT LATHER</v>
      </c>
      <c r="D255" s="7" t="str">
        <f>IF(Sheet1!F255="F","FEMALE","MALE")</f>
        <v>MALE</v>
      </c>
      <c r="E255" s="6" t="str">
        <f>UPPER(Sheet1!G255)</f>
        <v>SUMIT LATHER</v>
      </c>
      <c r="F255" s="6" t="str">
        <f>UPPER(Sheet1!H255)</f>
        <v>MANSI </v>
      </c>
      <c r="G255" s="5" t="str">
        <f>TEXT(Sheet1!C255,"dd/mm/yyyy") &amp; "," &amp; Sheet1!D255</f>
        <v>30/07/2025,FRANKSTON, AUSTRALIA</v>
      </c>
      <c r="H255" s="57" t="str">
        <f>UPPER(Sheet1!K255 &amp; "," &amp; Sheet1!L255 &amp; "," &amp; Sheet1!M255)</f>
        <v>VILLAGE-PHOOSGARH,DISTRICT-,KARNAL,PIN:132001,HARYANA,INDIA</v>
      </c>
      <c r="I255" s="8">
        <f>Sheet1!J255</f>
        <v>45929</v>
      </c>
      <c r="J255" s="5" t="str">
        <f>Sheet1!N255 &amp; "," &amp; TEXT(Sheet1!O255,"dd/mm/yy")</f>
        <v>202509063817,09/09/25</v>
      </c>
      <c r="K255" s="5" t="s">
        <v>14</v>
      </c>
      <c r="L255" s="38" t="s">
        <v>15</v>
      </c>
      <c r="M255" s="38">
        <v>45937</v>
      </c>
      <c r="N255" s="38" t="s">
        <v>16</v>
      </c>
    </row>
    <row r="256" spans="1:14" x14ac:dyDescent="0.35">
      <c r="A256" s="4" t="str">
        <f>Sheet1!A256 &amp; "/" &amp; "2025"</f>
        <v>1654/2025</v>
      </c>
      <c r="B256" s="5" t="str">
        <f>Sheet1!E256</f>
        <v>AU2065683820525</v>
      </c>
      <c r="C256" s="6" t="str">
        <f>UPPER(Sheet1!B256)</f>
        <v>ADHVIKA REDDY KUKKALA</v>
      </c>
      <c r="D256" s="7" t="str">
        <f>IF(Sheet1!F256="F","FEMALE","MALE")</f>
        <v>FEMALE</v>
      </c>
      <c r="E256" s="6" t="str">
        <f>UPPER(Sheet1!G256)</f>
        <v>SAIKIRAN KUKKALA</v>
      </c>
      <c r="F256" s="6" t="str">
        <f>UPPER(Sheet1!H256)</f>
        <v>SNEHA  MIRIYALA</v>
      </c>
      <c r="G256" s="5" t="str">
        <f>TEXT(Sheet1!C256,"dd/mm/yyyy") &amp; "," &amp; Sheet1!D256</f>
        <v xml:space="preserve">08/07/2025,EPPING , AUSTRALIA </v>
      </c>
      <c r="H256" s="57" t="str">
        <f>UPPER(Sheet1!K256 &amp; "," &amp; Sheet1!L256 &amp; "," &amp; Sheet1!M256)</f>
        <v>1-6,NELLIKONDI CHINNACHINTAKUNTA,MAHABUBNAGAR,PIN:509409,TELANGANA,INDIA</v>
      </c>
      <c r="I256" s="8">
        <f>Sheet1!J256</f>
        <v>45929</v>
      </c>
      <c r="J256" s="5" t="str">
        <f>Sheet1!N256 &amp; "," &amp; TEXT(Sheet1!O256,"dd/mm/yy")</f>
        <v>202509065813,17/09/25</v>
      </c>
      <c r="K256" s="5" t="s">
        <v>14</v>
      </c>
      <c r="L256" s="38" t="s">
        <v>15</v>
      </c>
      <c r="M256" s="38">
        <v>45937</v>
      </c>
      <c r="N256" s="38" t="s">
        <v>16</v>
      </c>
    </row>
    <row r="257" spans="1:14" x14ac:dyDescent="0.35">
      <c r="A257" s="4" t="str">
        <f>Sheet1!A257 &amp; "/" &amp; "2025"</f>
        <v>1655/2025</v>
      </c>
      <c r="B257" s="5" t="str">
        <f>Sheet1!E257</f>
        <v>AU2065683824925</v>
      </c>
      <c r="C257" s="6" t="str">
        <f>UPPER(Sheet1!B257)</f>
        <v>ANSHRAJSINH JADEJA</v>
      </c>
      <c r="D257" s="7" t="str">
        <f>IF(Sheet1!F257="F","FEMALE","MALE")</f>
        <v>MALE</v>
      </c>
      <c r="E257" s="6" t="str">
        <f>UPPER(Sheet1!G257)</f>
        <v>PUSHPAJITSINH LAKDHIRSINH JADEJA</v>
      </c>
      <c r="F257" s="6" t="str">
        <f>UPPER(Sheet1!H257)</f>
        <v>AVNIBA PUSHPAJITSINH  JADEJA</v>
      </c>
      <c r="G257" s="5" t="str">
        <f>TEXT(Sheet1!C257,"dd/mm/yyyy") &amp; "," &amp; Sheet1!D257</f>
        <v>20/11/2024,MOUNT WAVERLEY, AUSTRALIA</v>
      </c>
      <c r="H257" s="57" t="str">
        <f>UPPER(Sheet1!K257 &amp; "," &amp; Sheet1!L257 &amp; "," &amp; Sheet1!M257)</f>
        <v>41 BAPUNAGAR,RAMANIYA,TA MUNDRA,KUTCH,PIN:370405,GUJARAT,INDIA</v>
      </c>
      <c r="I257" s="8">
        <f>Sheet1!J257</f>
        <v>45929</v>
      </c>
      <c r="J257" s="5" t="str">
        <f>Sheet1!N257 &amp; "," &amp; TEXT(Sheet1!O257,"dd/mm/yy")</f>
        <v>202509064628,12/09/25</v>
      </c>
      <c r="K257" s="5" t="s">
        <v>14</v>
      </c>
      <c r="L257" s="38" t="s">
        <v>15</v>
      </c>
      <c r="M257" s="38">
        <v>45937</v>
      </c>
      <c r="N257" s="38" t="s">
        <v>16</v>
      </c>
    </row>
    <row r="258" spans="1:14" x14ac:dyDescent="0.35">
      <c r="A258" s="4" t="str">
        <f>Sheet1!A258 &amp; "/" &amp; "2025"</f>
        <v>1656/2025</v>
      </c>
      <c r="B258" s="5" t="str">
        <f>Sheet1!E258</f>
        <v>AU2065683825725</v>
      </c>
      <c r="C258" s="6" t="str">
        <f>UPPER(Sheet1!B258)</f>
        <v>ZAIN MOHAMMED</v>
      </c>
      <c r="D258" s="7" t="str">
        <f>IF(Sheet1!F258="F","FEMALE","MALE")</f>
        <v>MALE</v>
      </c>
      <c r="E258" s="6" t="str">
        <f>UPPER(Sheet1!G258)</f>
        <v>AAMIR SAIFI</v>
      </c>
      <c r="F258" s="6" t="str">
        <f>UPPER(Sheet1!H258)</f>
        <v>RUKHSAR </v>
      </c>
      <c r="G258" s="5" t="str">
        <f>TEXT(Sheet1!C258,"dd/mm/yyyy") &amp; "," &amp; Sheet1!D258</f>
        <v xml:space="preserve">01/08/2025,ST ALBANS , AUSTRALIA </v>
      </c>
      <c r="H258" s="57" t="str">
        <f>UPPER(Sheet1!K258 &amp; "," &amp; Sheet1!L258 &amp; "," &amp; Sheet1!M258)</f>
        <v>78,SECTOR 22,GULDHAR,MEERUT ROAD,GHAZIABAD,PIN:201002,UTTAR PRADESH,INDIA</v>
      </c>
      <c r="I258" s="8">
        <f>Sheet1!J258</f>
        <v>45929</v>
      </c>
      <c r="J258" s="5" t="str">
        <f>Sheet1!N258 &amp; "," &amp; TEXT(Sheet1!O258,"dd/mm/yy")</f>
        <v>202509066123,18/09/25</v>
      </c>
      <c r="K258" s="5" t="s">
        <v>14</v>
      </c>
      <c r="L258" s="38" t="s">
        <v>15</v>
      </c>
      <c r="M258" s="38">
        <v>45937</v>
      </c>
      <c r="N258" s="38" t="s">
        <v>16</v>
      </c>
    </row>
    <row r="259" spans="1:14" x14ac:dyDescent="0.35">
      <c r="A259" s="4" t="str">
        <f>Sheet1!A259 &amp; "/" &amp; "2025"</f>
        <v>1657/2025</v>
      </c>
      <c r="B259" s="5" t="str">
        <f>Sheet1!E259</f>
        <v>AU2065683829725</v>
      </c>
      <c r="C259" s="6" t="str">
        <f>UPPER(Sheet1!B259)</f>
        <v>JASTEJ SINGH</v>
      </c>
      <c r="D259" s="7" t="str">
        <f>IF(Sheet1!F259="F","FEMALE","MALE")</f>
        <v>MALE</v>
      </c>
      <c r="E259" s="6" t="str">
        <f>UPPER(Sheet1!G259)</f>
        <v>SIMRANJEET SINGH</v>
      </c>
      <c r="F259" s="6" t="str">
        <f>UPPER(Sheet1!H259)</f>
        <v>KRITI JUNEJA </v>
      </c>
      <c r="G259" s="5" t="str">
        <f>TEXT(Sheet1!C259,"dd/mm/yyyy") &amp; "," &amp; Sheet1!D259</f>
        <v xml:space="preserve">18/06/2025,ST ALBANS , AUSTRALIA </v>
      </c>
      <c r="H259" s="57" t="str">
        <f>UPPER(Sheet1!K259 &amp; "," &amp; Sheet1!L259 &amp; "," &amp; Sheet1!M259)</f>
        <v>VB-52,THIRD FLOOR,VIRENDER NAGAR,GALI NO-2,JANAKPURI B-1,DELHI,PIN:110058,DELHI,INDIA</v>
      </c>
      <c r="I259" s="8">
        <f>Sheet1!J259</f>
        <v>45929</v>
      </c>
      <c r="J259" s="5" t="str">
        <f>Sheet1!N259 &amp; "," &amp; TEXT(Sheet1!O259,"dd/mm/yy")</f>
        <v>202509060481,27/08/25</v>
      </c>
      <c r="K259" s="5" t="s">
        <v>14</v>
      </c>
      <c r="L259" s="38" t="s">
        <v>15</v>
      </c>
      <c r="M259" s="38">
        <v>45937</v>
      </c>
      <c r="N259" s="38" t="s">
        <v>16</v>
      </c>
    </row>
    <row r="260" spans="1:14" x14ac:dyDescent="0.35">
      <c r="A260" s="4" t="str">
        <f>Sheet1!A260 &amp; "/" &amp; "2025"</f>
        <v>1658/2025</v>
      </c>
      <c r="B260" s="5" t="str">
        <f>Sheet1!E260</f>
        <v>AU2065683837125</v>
      </c>
      <c r="C260" s="6" t="str">
        <f>UPPER(Sheet1!B260)</f>
        <v>ARNAAZ KAUR CHEEMA</v>
      </c>
      <c r="D260" s="7" t="str">
        <f>IF(Sheet1!F260="F","FEMALE","MALE")</f>
        <v>FEMALE</v>
      </c>
      <c r="E260" s="6" t="str">
        <f>UPPER(Sheet1!G260)</f>
        <v>SAVDEEP SINGH</v>
      </c>
      <c r="F260" s="6" t="str">
        <f>UPPER(Sheet1!H260)</f>
        <v>SNEHDEEP KAUR </v>
      </c>
      <c r="G260" s="5" t="str">
        <f>TEXT(Sheet1!C260,"dd/mm/yyyy") &amp; "," &amp; Sheet1!D260</f>
        <v xml:space="preserve">04/07/2025,ST ALBANS , AUSTRALIA </v>
      </c>
      <c r="H260" s="57" t="str">
        <f>UPPER(Sheet1!K260 &amp; "," &amp; Sheet1!L260 &amp; "," &amp; Sheet1!M260)</f>
        <v>VILL SUKARCHAK ,PO CHEEMA KALAN,TEH &amp; DISTT,TARN TARAN,PIN:143401,PUNJAB,INDIA</v>
      </c>
      <c r="I260" s="8">
        <f>Sheet1!J260</f>
        <v>45929</v>
      </c>
      <c r="J260" s="5" t="str">
        <f>Sheet1!N260 &amp; "," &amp; TEXT(Sheet1!O260,"dd/mm/yy")</f>
        <v>202509060557,27/08/25</v>
      </c>
      <c r="K260" s="5" t="s">
        <v>14</v>
      </c>
      <c r="L260" s="38" t="s">
        <v>15</v>
      </c>
      <c r="M260" s="38">
        <v>45937</v>
      </c>
      <c r="N260" s="38" t="s">
        <v>16</v>
      </c>
    </row>
    <row r="261" spans="1:14" x14ac:dyDescent="0.35">
      <c r="A261" s="4" t="str">
        <f>Sheet1!A261 &amp; "/" &amp; "2025"</f>
        <v>1659/2025</v>
      </c>
      <c r="B261" s="5" t="str">
        <f>Sheet1!E261</f>
        <v>AU2065683842325</v>
      </c>
      <c r="C261" s="6" t="str">
        <f>UPPER(Sheet1!B261)</f>
        <v>AVIRAJ SINGROHA</v>
      </c>
      <c r="D261" s="7" t="str">
        <f>IF(Sheet1!F261="F","FEMALE","MALE")</f>
        <v>MALE</v>
      </c>
      <c r="E261" s="6" t="str">
        <f>UPPER(Sheet1!G261)</f>
        <v>BALJINDER SINGH</v>
      </c>
      <c r="F261" s="6" t="str">
        <f>UPPER(Sheet1!H261)</f>
        <v>RITU </v>
      </c>
      <c r="G261" s="5" t="str">
        <f>TEXT(Sheet1!C261,"dd/mm/yyyy") &amp; "," &amp; Sheet1!D261</f>
        <v xml:space="preserve">06/07/2025,ST ALBANS , AUSTRALIA </v>
      </c>
      <c r="H261" s="57" t="str">
        <f>UPPER(Sheet1!K261 &amp; "," &amp; Sheet1!L261 &amp; "," &amp; Sheet1!M261)</f>
        <v>H.NO 1703 HANSI ROAD NEAR S.P.S CONVENT SCHOOL,BAHADUR CHAND COLONY,KARNAL,PIN:132001,HARYANA,INDIA</v>
      </c>
      <c r="I261" s="8">
        <f>Sheet1!J261</f>
        <v>45929</v>
      </c>
      <c r="J261" s="5" t="str">
        <f>Sheet1!N261 &amp; "," &amp; TEXT(Sheet1!O261,"dd/mm/yy")</f>
        <v>202509065772,17/09/25</v>
      </c>
      <c r="K261" s="5" t="s">
        <v>14</v>
      </c>
      <c r="L261" s="38" t="s">
        <v>15</v>
      </c>
      <c r="M261" s="38">
        <v>45937</v>
      </c>
      <c r="N261" s="38" t="s">
        <v>16</v>
      </c>
    </row>
    <row r="262" spans="1:14" x14ac:dyDescent="0.35">
      <c r="A262" s="4" t="str">
        <f>Sheet1!A262 &amp; "/" &amp; "2025"</f>
        <v>1660/2025</v>
      </c>
      <c r="B262" s="5" t="str">
        <f>Sheet1!E262</f>
        <v>AU2065684813125</v>
      </c>
      <c r="C262" s="6" t="str">
        <f>UPPER(Sheet1!B262)</f>
        <v>PARMEET BARHPAGGA</v>
      </c>
      <c r="D262" s="7" t="str">
        <f>IF(Sheet1!F262="F","FEMALE","MALE")</f>
        <v>MALE</v>
      </c>
      <c r="E262" s="6" t="str">
        <f>UPPER(Sheet1!G262)</f>
        <v>AMRIK BARHPAGGA</v>
      </c>
      <c r="F262" s="6" t="str">
        <f>UPPER(Sheet1!H262)</f>
        <v>PRABHJOT KAUR </v>
      </c>
      <c r="G262" s="5" t="str">
        <f>TEXT(Sheet1!C262,"dd/mm/yyyy") &amp; "," &amp; Sheet1!D262</f>
        <v xml:space="preserve">03/07/2025,EPPING , AUSTRALIA </v>
      </c>
      <c r="H262" s="57" t="str">
        <f>UPPER(Sheet1!K262 &amp; "," &amp; Sheet1!L262 &amp; "," &amp; Sheet1!M262)</f>
        <v>14681 ST NO 6 BHARTI COLONY,BAHADUR KE ROAD,LUDHIANA,PIN:141007,PUNJAB,INDIA</v>
      </c>
      <c r="I262" s="8">
        <f>Sheet1!J262</f>
        <v>45930</v>
      </c>
      <c r="J262" s="5" t="str">
        <f>Sheet1!N262 &amp; "," &amp; TEXT(Sheet1!O262,"dd/mm/yy")</f>
        <v>202509066249,18/09/25</v>
      </c>
      <c r="K262" s="5" t="s">
        <v>14</v>
      </c>
      <c r="L262" s="38" t="s">
        <v>15</v>
      </c>
      <c r="M262" s="38">
        <v>45937</v>
      </c>
      <c r="N262" s="38" t="s">
        <v>16</v>
      </c>
    </row>
    <row r="263" spans="1:14" x14ac:dyDescent="0.35">
      <c r="A263" s="4" t="str">
        <f>Sheet1!A263 &amp; "/" &amp; "2025"</f>
        <v>1661/2025</v>
      </c>
      <c r="B263" s="5" t="str">
        <f>Sheet1!E263</f>
        <v>AU2065684813325</v>
      </c>
      <c r="C263" s="6" t="str">
        <f>UPPER(Sheet1!B263)</f>
        <v>NIDHAN SINGH DHALIWAL</v>
      </c>
      <c r="D263" s="7" t="str">
        <f>IF(Sheet1!F263="F","FEMALE","MALE")</f>
        <v>MALE</v>
      </c>
      <c r="E263" s="6" t="str">
        <f>UPPER(Sheet1!G263)</f>
        <v>DAVINDER SINGH DHALIWAL</v>
      </c>
      <c r="F263" s="6" t="str">
        <f>UPPER(Sheet1!H263)</f>
        <v>SANDEEP KAUR </v>
      </c>
      <c r="G263" s="5" t="str">
        <f>TEXT(Sheet1!C263,"dd/mm/yyyy") &amp; "," &amp; Sheet1!D263</f>
        <v xml:space="preserve">17/03/2025,ST ALBANS , AUSTRALIA </v>
      </c>
      <c r="H263" s="57" t="str">
        <f>UPPER(Sheet1!K263 &amp; "," &amp; Sheet1!L263 &amp; "," &amp; Sheet1!M263)</f>
        <v>PATTI MALU KI,RAUKE KALAN,TEHSIL NIHAL SINGH WALA,MOGA,PIN:142037,PUNJAB,INDIA</v>
      </c>
      <c r="I263" s="8">
        <f>Sheet1!J263</f>
        <v>45930</v>
      </c>
      <c r="J263" s="5" t="str">
        <f>Sheet1!N263 &amp; "," &amp; TEXT(Sheet1!O263,"dd/mm/yy")</f>
        <v>202509065041,14/09/25</v>
      </c>
      <c r="K263" s="5" t="s">
        <v>14</v>
      </c>
      <c r="L263" s="38" t="s">
        <v>15</v>
      </c>
      <c r="M263" s="38">
        <v>45937</v>
      </c>
      <c r="N263" s="38" t="s">
        <v>16</v>
      </c>
    </row>
    <row r="264" spans="1:14" x14ac:dyDescent="0.35">
      <c r="A264" s="4" t="str">
        <f>Sheet1!A264 &amp; "/" &amp; "2025"</f>
        <v>1662/2025</v>
      </c>
      <c r="B264" s="5" t="str">
        <f>Sheet1!E264</f>
        <v>AU2065684814125</v>
      </c>
      <c r="C264" s="6" t="str">
        <f>UPPER(Sheet1!B264)</f>
        <v>JAY THAKUR</v>
      </c>
      <c r="D264" s="7" t="str">
        <f>IF(Sheet1!F264="F","FEMALE","MALE")</f>
        <v>MALE</v>
      </c>
      <c r="E264" s="6" t="str">
        <f>UPPER(Sheet1!G264)</f>
        <v>VIJAY KUMAR</v>
      </c>
      <c r="F264" s="6" t="str">
        <f>UPPER(Sheet1!H264)</f>
        <v>POOJA  THAKUR</v>
      </c>
      <c r="G264" s="5" t="str">
        <f>TEXT(Sheet1!C264,"dd/mm/yyyy") &amp; "," &amp; Sheet1!D264</f>
        <v>23/06/2025,HOBART , AUSTRALIA</v>
      </c>
      <c r="H264" s="57" t="str">
        <f>UPPER(Sheet1!K264 &amp; "," &amp; Sheet1!L264 &amp; "," &amp; Sheet1!M264)</f>
        <v>BXII-595 K.C.ROAD,BARNALA,BARNALA,PIN:148101,PUNJAB,INDIA</v>
      </c>
      <c r="I264" s="8">
        <f>Sheet1!J264</f>
        <v>45930</v>
      </c>
      <c r="J264" s="5" t="str">
        <f>Sheet1!N264 &amp; "," &amp; TEXT(Sheet1!O264,"dd/mm/yy")</f>
        <v>202509060946,28/08/25</v>
      </c>
      <c r="K264" s="5" t="s">
        <v>14</v>
      </c>
      <c r="L264" s="38" t="s">
        <v>15</v>
      </c>
      <c r="M264" s="38">
        <v>45937</v>
      </c>
      <c r="N264" s="38" t="s">
        <v>16</v>
      </c>
    </row>
    <row r="265" spans="1:14" x14ac:dyDescent="0.35">
      <c r="A265" s="4" t="str">
        <f>Sheet1!A265 &amp; "/" &amp; "2025"</f>
        <v>1663/2025</v>
      </c>
      <c r="B265" s="5" t="str">
        <f>Sheet1!E265</f>
        <v>AU2065684814325</v>
      </c>
      <c r="C265" s="6" t="str">
        <f>UPPER(Sheet1!B265)</f>
        <v>AVYANN DEEP SHAH</v>
      </c>
      <c r="D265" s="7" t="str">
        <f>IF(Sheet1!F265="F","FEMALE","MALE")</f>
        <v>MALE</v>
      </c>
      <c r="E265" s="6" t="str">
        <f>UPPER(Sheet1!G265)</f>
        <v>DEEP PARIMALBHAI SHAH</v>
      </c>
      <c r="F265" s="6" t="str">
        <f>UPPER(Sheet1!H265)</f>
        <v>FORAM DEEP  SHAH</v>
      </c>
      <c r="G265" s="5" t="str">
        <f>TEXT(Sheet1!C265,"dd/mm/yyyy") &amp; "," &amp; Sheet1!D265</f>
        <v xml:space="preserve">30/06/2025,LAUNCESTON TASMANIA, AUSTRALIA  </v>
      </c>
      <c r="H265" s="57" t="str">
        <f>UPPER(Sheet1!K265 &amp; "," &amp; Sheet1!L265 &amp; "," &amp; Sheet1!M265)</f>
        <v>12,VISHWA BUNGLOW,OPP. VIDYAKUNJ SCHOOL,GANDEVI ROAD,NAVSARI,PIN:396445,GUJARAT,INDIA</v>
      </c>
      <c r="I265" s="8">
        <f>Sheet1!J265</f>
        <v>45930</v>
      </c>
      <c r="J265" s="5" t="str">
        <f>Sheet1!N265 &amp; "," &amp; TEXT(Sheet1!O265,"dd/mm/yy")</f>
        <v>202509051991,25/07/25</v>
      </c>
      <c r="K265" s="5" t="s">
        <v>14</v>
      </c>
      <c r="L265" s="38" t="s">
        <v>15</v>
      </c>
      <c r="M265" s="38">
        <v>45937</v>
      </c>
      <c r="N265" s="38" t="s">
        <v>16</v>
      </c>
    </row>
    <row r="266" spans="1:14" x14ac:dyDescent="0.35">
      <c r="A266" s="4" t="str">
        <f>Sheet1!A266 &amp; "/" &amp; "2025"</f>
        <v>1664/2025</v>
      </c>
      <c r="B266" s="5" t="str">
        <f>Sheet1!E266</f>
        <v>AU2065684814925</v>
      </c>
      <c r="C266" s="6" t="str">
        <f>UPPER(Sheet1!B266)</f>
        <v>ASHMAN PURI</v>
      </c>
      <c r="D266" s="7" t="str">
        <f>IF(Sheet1!F266="F","FEMALE","MALE")</f>
        <v>MALE</v>
      </c>
      <c r="E266" s="6" t="str">
        <f>UPPER(Sheet1!G266)</f>
        <v>ASHOK PURI</v>
      </c>
      <c r="F266" s="6" t="str">
        <f>UPPER(Sheet1!H266)</f>
        <v>MANPREET KAUR </v>
      </c>
      <c r="G266" s="5" t="str">
        <f>TEXT(Sheet1!C266,"dd/mm/yyyy") &amp; "," &amp; Sheet1!D266</f>
        <v xml:space="preserve">15/02/2025,LAUNCESTON , AUSTRALIA  </v>
      </c>
      <c r="H266" s="57" t="str">
        <f>UPPER(Sheet1!K266 &amp; "," &amp; Sheet1!L266 &amp; "," &amp; Sheet1!M266)</f>
        <v>W.NO. 5 HARIPURA BASTI,SANGRUR,SANGRUR,PIN:148001,PUNJAB,INDIA</v>
      </c>
      <c r="I266" s="8">
        <f>Sheet1!J266</f>
        <v>45930</v>
      </c>
      <c r="J266" s="5" t="str">
        <f>Sheet1!N266 &amp; "," &amp; TEXT(Sheet1!O266,"dd/mm/yy")</f>
        <v>202509052645,28/07/25</v>
      </c>
      <c r="K266" s="5" t="s">
        <v>14</v>
      </c>
      <c r="L266" s="38" t="s">
        <v>15</v>
      </c>
      <c r="M266" s="38">
        <v>45937</v>
      </c>
      <c r="N266" s="38" t="s">
        <v>16</v>
      </c>
    </row>
    <row r="267" spans="1:14" x14ac:dyDescent="0.35">
      <c r="A267" s="4" t="str">
        <f>Sheet1!A267 &amp; "/" &amp; "2025"</f>
        <v>1665/2025</v>
      </c>
      <c r="B267" s="5" t="str">
        <f>Sheet1!E267</f>
        <v>AU2065684815125</v>
      </c>
      <c r="C267" s="6" t="str">
        <f>UPPER(Sheet1!B267)</f>
        <v>NAWAB SINGH DHALIWAL</v>
      </c>
      <c r="D267" s="7" t="str">
        <f>IF(Sheet1!F267="F","FEMALE","MALE")</f>
        <v>MALE</v>
      </c>
      <c r="E267" s="6" t="str">
        <f>UPPER(Sheet1!G267)</f>
        <v>GURPINDER SINGH DHALIWAL</v>
      </c>
      <c r="F267" s="6" t="str">
        <f>UPPER(Sheet1!H267)</f>
        <v>VIRPAL KAUR  SIDHU</v>
      </c>
      <c r="G267" s="5" t="str">
        <f>TEXT(Sheet1!C267,"dd/mm/yyyy") &amp; "," &amp; Sheet1!D267</f>
        <v xml:space="preserve">06/07/2025,PARKVILLE , AUSTRALIA  </v>
      </c>
      <c r="H267" s="57" t="str">
        <f>UPPER(Sheet1!K267 &amp; "," &amp; Sheet1!L267 &amp; "," &amp; Sheet1!M267)</f>
        <v>VPO,BAUDE,MOGA,PIN:142039,PUNJAB,INDIA</v>
      </c>
      <c r="I267" s="8">
        <f>Sheet1!J267</f>
        <v>45930</v>
      </c>
      <c r="J267" s="5" t="str">
        <f>Sheet1!N267 &amp; "," &amp; TEXT(Sheet1!O267,"dd/mm/yy")</f>
        <v>202509063608,09/09/25</v>
      </c>
      <c r="K267" s="5" t="s">
        <v>14</v>
      </c>
      <c r="L267" s="38" t="s">
        <v>15</v>
      </c>
      <c r="M267" s="38">
        <v>45937</v>
      </c>
      <c r="N267" s="38" t="s">
        <v>16</v>
      </c>
    </row>
    <row r="268" spans="1:14" x14ac:dyDescent="0.35">
      <c r="A268" s="4" t="str">
        <f>Sheet1!A268 &amp; "/" &amp; "2025"</f>
        <v>1666/2025</v>
      </c>
      <c r="B268" s="5" t="str">
        <f>Sheet1!E268</f>
        <v>AU2065684815725</v>
      </c>
      <c r="C268" s="6" t="str">
        <f>UPPER(Sheet1!B268)</f>
        <v>VANIA SHARMA</v>
      </c>
      <c r="D268" s="7" t="str">
        <f>IF(Sheet1!F268="F","FEMALE","MALE")</f>
        <v>FEMALE</v>
      </c>
      <c r="E268" s="6" t="str">
        <f>UPPER(Sheet1!G268)</f>
        <v>VINOD KUMAR SHARMA</v>
      </c>
      <c r="F268" s="6" t="str">
        <f>UPPER(Sheet1!H268)</f>
        <v>THI QUYNH LAN  NGUYEN</v>
      </c>
      <c r="G268" s="5" t="str">
        <f>TEXT(Sheet1!C268,"dd/mm/yyyy") &amp; "," &amp; Sheet1!D268</f>
        <v xml:space="preserve">10/01/2025,MILDURA, AUSTRALIA </v>
      </c>
      <c r="H268" s="57" t="str">
        <f>UPPER(Sheet1!K268 &amp; "," &amp; Sheet1!L268 &amp; "," &amp; Sheet1!M268)</f>
        <v>VILL. KOT PO PATIAL,HOSHIARPUR,HOSHIARPUR,PIN:144105,PUNJAB,INDIA</v>
      </c>
      <c r="I268" s="8">
        <f>Sheet1!J268</f>
        <v>45930</v>
      </c>
      <c r="J268" s="5" t="str">
        <f>Sheet1!N268 &amp; "," &amp; TEXT(Sheet1!O268,"dd/mm/yy")</f>
        <v>202509055815,08/08/25</v>
      </c>
      <c r="K268" s="5" t="s">
        <v>14</v>
      </c>
      <c r="L268" s="38" t="s">
        <v>15</v>
      </c>
      <c r="M268" s="38">
        <v>45937</v>
      </c>
      <c r="N268" s="38" t="s">
        <v>16</v>
      </c>
    </row>
    <row r="269" spans="1:14" x14ac:dyDescent="0.35">
      <c r="A269" s="4" t="str">
        <f>Sheet1!A269 &amp; "/" &amp; "2025"</f>
        <v>1667/2025</v>
      </c>
      <c r="B269" s="5" t="str">
        <f>Sheet1!E269</f>
        <v>AU2065684918325</v>
      </c>
      <c r="C269" s="6" t="str">
        <f>UPPER(Sheet1!B269)</f>
        <v>DIA CHOPRA</v>
      </c>
      <c r="D269" s="7" t="str">
        <f>IF(Sheet1!F269="F","FEMALE","MALE")</f>
        <v>FEMALE</v>
      </c>
      <c r="E269" s="6" t="str">
        <f>UPPER(Sheet1!G269)</f>
        <v>RAJESH KUMAR</v>
      </c>
      <c r="F269" s="6" t="str">
        <f>UPPER(Sheet1!H269)</f>
        <v>GOWTHAMI  RAJANNA</v>
      </c>
      <c r="G269" s="5" t="str">
        <f>TEXT(Sheet1!C269,"dd/mm/yyyy") &amp; "," &amp; Sheet1!D269</f>
        <v xml:space="preserve">21/08/2025,PARKVILLE , AUSTRALIA  </v>
      </c>
      <c r="H269" s="57" t="str">
        <f>UPPER(Sheet1!K269 &amp; "," &amp; Sheet1!L269 &amp; "," &amp; Sheet1!M269)</f>
        <v>FLAT-001 SLV NORTH BROOKE BDS LAYOUT HEGDE NAGAR,BENGALURU,BENGALURU,PIN:560077,KARNATAKA,INDIA</v>
      </c>
      <c r="I269" s="8">
        <f>Sheet1!J269</f>
        <v>45930</v>
      </c>
      <c r="J269" s="5" t="str">
        <f>Sheet1!N269 &amp; "," &amp; TEXT(Sheet1!O269,"dd/mm/yy")</f>
        <v>202509065800,17/09/25</v>
      </c>
      <c r="K269" s="5" t="s">
        <v>14</v>
      </c>
      <c r="L269" s="38" t="s">
        <v>15</v>
      </c>
      <c r="M269" s="38">
        <v>45937</v>
      </c>
      <c r="N269" s="38" t="s">
        <v>16</v>
      </c>
    </row>
    <row r="270" spans="1:14" x14ac:dyDescent="0.35">
      <c r="A270" s="4" t="str">
        <f>Sheet1!A270 &amp; "/" &amp; "2025"</f>
        <v>1668/2025</v>
      </c>
      <c r="B270" s="5" t="str">
        <f>Sheet1!E270</f>
        <v>AU2065684919125</v>
      </c>
      <c r="C270" s="6" t="str">
        <f>UPPER(Sheet1!B270)</f>
        <v>ERICK SEB ANIT</v>
      </c>
      <c r="D270" s="7" t="str">
        <f>IF(Sheet1!F270="F","FEMALE","MALE")</f>
        <v>MALE</v>
      </c>
      <c r="E270" s="6" t="str">
        <f>UPPER(Sheet1!G270)</f>
        <v>ANIT SEBASTIAN</v>
      </c>
      <c r="F270" s="6" t="str">
        <f>UPPER(Sheet1!H270)</f>
        <v>MELBY  JACOB</v>
      </c>
      <c r="G270" s="5" t="str">
        <f>TEXT(Sheet1!C270,"dd/mm/yyyy") &amp; "," &amp; Sheet1!D270</f>
        <v xml:space="preserve">18/08/2025,LEONGATHA, AUSTRALIA </v>
      </c>
      <c r="H270" s="57" t="str">
        <f>UPPER(Sheet1!K270 &amp; "," &amp; Sheet1!L270 &amp; "," &amp; Sheet1!M270)</f>
        <v>CHUNDANKUZHIYIL HOUSE,SURYANELLY P.O,B L RAM,CHINNAKKANAL,IDUKKI,PIN:685618,KERALA,INDIA</v>
      </c>
      <c r="I270" s="8">
        <f>Sheet1!J270</f>
        <v>45930</v>
      </c>
      <c r="J270" s="5" t="str">
        <f>Sheet1!N270 &amp; "," &amp; TEXT(Sheet1!O270,"dd/mm/yy")</f>
        <v>202509064238,11/09/25</v>
      </c>
      <c r="K270" s="5" t="s">
        <v>14</v>
      </c>
      <c r="L270" s="38" t="s">
        <v>15</v>
      </c>
      <c r="M270" s="38">
        <v>45937</v>
      </c>
      <c r="N270" s="38" t="s">
        <v>16</v>
      </c>
    </row>
    <row r="271" spans="1:14" x14ac:dyDescent="0.35">
      <c r="A271" s="4" t="str">
        <f>Sheet1!A271 &amp; "/" &amp; "2025"</f>
        <v>1669/2025</v>
      </c>
      <c r="B271" s="5" t="str">
        <f>Sheet1!E271</f>
        <v>AU2065684920325</v>
      </c>
      <c r="C271" s="6" t="str">
        <f>UPPER(Sheet1!B271)</f>
        <v>EVAAN SINGH</v>
      </c>
      <c r="D271" s="7" t="str">
        <f>IF(Sheet1!F271="F","FEMALE","MALE")</f>
        <v>MALE</v>
      </c>
      <c r="E271" s="6" t="str">
        <f>UPPER(Sheet1!G271)</f>
        <v>GURPARTAP SINGH</v>
      </c>
      <c r="F271" s="6" t="str">
        <f>UPPER(Sheet1!H271)</f>
        <v>RAJANDEEP KAUR </v>
      </c>
      <c r="G271" s="5" t="str">
        <f>TEXT(Sheet1!C271,"dd/mm/yyyy") &amp; "," &amp; Sheet1!D271</f>
        <v xml:space="preserve">18/02/2025,DALBY, AUSTRALIA  </v>
      </c>
      <c r="H271" s="57" t="str">
        <f>UPPER(Sheet1!K271 &amp; "," &amp; Sheet1!L271 &amp; "," &amp; Sheet1!M271)</f>
        <v>1127-A B BLOCK NEW PARTAP NAGAR G.T ROAD,AMRITSAR,AMRITSAR,PIN:143001,PUNJAB,INDIA</v>
      </c>
      <c r="I271" s="8">
        <f>Sheet1!J271</f>
        <v>45930</v>
      </c>
      <c r="J271" s="5" t="str">
        <f>Sheet1!N271 &amp; "," &amp; TEXT(Sheet1!O271,"dd/mm/yy")</f>
        <v>202509066493,19/09/25</v>
      </c>
      <c r="K271" s="5" t="s">
        <v>14</v>
      </c>
      <c r="L271" s="38" t="s">
        <v>15</v>
      </c>
      <c r="M271" s="38">
        <v>45937</v>
      </c>
      <c r="N271" s="38" t="s">
        <v>16</v>
      </c>
    </row>
    <row r="272" spans="1:14" x14ac:dyDescent="0.35">
      <c r="A272" s="4" t="str">
        <f>Sheet1!A272 &amp; "/" &amp; "2025"</f>
        <v>1670/2025</v>
      </c>
      <c r="B272" s="5" t="str">
        <f>Sheet1!E272</f>
        <v>AU2065684921125</v>
      </c>
      <c r="C272" s="6" t="str">
        <f>UPPER(Sheet1!B272)</f>
        <v>HASSAN ALVI</v>
      </c>
      <c r="D272" s="7" t="str">
        <f>IF(Sheet1!F272="F","FEMALE","MALE")</f>
        <v>MALE</v>
      </c>
      <c r="E272" s="6" t="str">
        <f>UPPER(Sheet1!G272)</f>
        <v>SAQIB ALVI</v>
      </c>
      <c r="F272" s="6" t="str">
        <f>UPPER(Sheet1!H272)</f>
        <v>MEHROOSH MAJID </v>
      </c>
      <c r="G272" s="5" t="str">
        <f>TEXT(Sheet1!C272,"dd/mm/yyyy") &amp; "," &amp; Sheet1!D272</f>
        <v xml:space="preserve">23/11/2024,ST ALBANS , AUSTRALIA </v>
      </c>
      <c r="H272" s="57" t="str">
        <f>UPPER(Sheet1!K272 &amp; "," &amp; Sheet1!L272 &amp; "," &amp; Sheet1!M272)</f>
        <v>H NO 40 ALFAZAL COLONY PEERBAGH,HYDERPORA,SRINAGAR,PIN:190014,JAMMU AND KASHMIR,INDIA</v>
      </c>
      <c r="I272" s="8">
        <f>Sheet1!J272</f>
        <v>45930</v>
      </c>
      <c r="J272" s="5" t="str">
        <f>Sheet1!N272 &amp; "," &amp; TEXT(Sheet1!O272,"dd/mm/yy")</f>
        <v>202509054175,02/08/25</v>
      </c>
      <c r="K272" s="5" t="s">
        <v>14</v>
      </c>
      <c r="L272" s="38" t="s">
        <v>15</v>
      </c>
      <c r="M272" s="38">
        <v>45937</v>
      </c>
      <c r="N272" s="38" t="s">
        <v>16</v>
      </c>
    </row>
    <row r="273" spans="1:14" x14ac:dyDescent="0.35">
      <c r="A273" s="4" t="str">
        <f>Sheet1!A273 &amp; "/" &amp; "2025"</f>
        <v>1671/2025</v>
      </c>
      <c r="B273" s="5" t="str">
        <f>Sheet1!E273</f>
        <v>AU2065684923125</v>
      </c>
      <c r="C273" s="6" t="str">
        <f>UPPER(Sheet1!B273)</f>
        <v>VIHANA TEEGALA</v>
      </c>
      <c r="D273" s="7" t="str">
        <f>IF(Sheet1!F273="F","FEMALE","MALE")</f>
        <v>FEMALE</v>
      </c>
      <c r="E273" s="6" t="str">
        <f>UPPER(Sheet1!G273)</f>
        <v>GANGA REDDY TEEGALA</v>
      </c>
      <c r="F273" s="6" t="str">
        <f>UPPER(Sheet1!H273)</f>
        <v>NIKHITHA  THURPU</v>
      </c>
      <c r="G273" s="5" t="str">
        <f>TEXT(Sheet1!C273,"dd/mm/yyyy") &amp; "," &amp; Sheet1!D273</f>
        <v xml:space="preserve">01/06/2025,WERIBEE, AUSTRALIA </v>
      </c>
      <c r="H273" s="57" t="str">
        <f>UPPER(Sheet1!K273 &amp; "," &amp; Sheet1!L273 &amp; "," &amp; Sheet1!M273)</f>
        <v>1-69/4,DONKAL,NIZAMABAD,PIN:503311,TELANGANA,INDIA</v>
      </c>
      <c r="I273" s="8">
        <f>Sheet1!J273</f>
        <v>45930</v>
      </c>
      <c r="J273" s="5" t="str">
        <f>Sheet1!N273 &amp; "," &amp; TEXT(Sheet1!O273,"dd/mm/yy")</f>
        <v>202509067085,22/09/25</v>
      </c>
      <c r="K273" s="5" t="s">
        <v>14</v>
      </c>
      <c r="L273" s="38" t="s">
        <v>15</v>
      </c>
      <c r="M273" s="38">
        <v>45937</v>
      </c>
      <c r="N273" s="38" t="s">
        <v>16</v>
      </c>
    </row>
    <row r="274" spans="1:14" x14ac:dyDescent="0.35">
      <c r="A274" s="4" t="str">
        <f>Sheet1!A274 &amp; "/" &amp; "2025"</f>
        <v>1672/2025</v>
      </c>
      <c r="B274" s="5" t="str">
        <f>Sheet1!E274</f>
        <v>AU2065684926925</v>
      </c>
      <c r="C274" s="6" t="str">
        <f>UPPER(Sheet1!B274)</f>
        <v>GURBIR SINGH</v>
      </c>
      <c r="D274" s="7" t="str">
        <f>IF(Sheet1!F274="F","FEMALE","MALE")</f>
        <v>MALE</v>
      </c>
      <c r="E274" s="6" t="str">
        <f>UPPER(Sheet1!G274)</f>
        <v>PARMJIT SINGH</v>
      </c>
      <c r="F274" s="6" t="str">
        <f>UPPER(Sheet1!H274)</f>
        <v>AMARJEET KAUR  LALLIA</v>
      </c>
      <c r="G274" s="5" t="str">
        <f>TEXT(Sheet1!C274,"dd/mm/yyyy") &amp; "," &amp; Sheet1!D274</f>
        <v xml:space="preserve">25/06/2025,EPPING , AUSTRALIA </v>
      </c>
      <c r="H274" s="57" t="str">
        <f>UPPER(Sheet1!K274 &amp; "," &amp; Sheet1!L274 &amp; "," &amp; Sheet1!M274)</f>
        <v>VPO,NANGAL LUBANA,KAPURTHALA,PIN:144631,PUNJAB,INDIA</v>
      </c>
      <c r="I274" s="8">
        <f>Sheet1!J274</f>
        <v>45930</v>
      </c>
      <c r="J274" s="5" t="str">
        <f>Sheet1!N274 &amp; "," &amp; TEXT(Sheet1!O274,"dd/mm/yy")</f>
        <v>202509066714,20/09/25</v>
      </c>
      <c r="K274" s="5" t="s">
        <v>14</v>
      </c>
      <c r="L274" s="38" t="s">
        <v>15</v>
      </c>
      <c r="M274" s="38">
        <v>45937</v>
      </c>
      <c r="N274" s="38" t="s">
        <v>16</v>
      </c>
    </row>
    <row r="275" spans="1:14" x14ac:dyDescent="0.35">
      <c r="A275" s="4" t="str">
        <f>Sheet1!A275 &amp; "/" &amp; "2025"</f>
        <v>1673/2025</v>
      </c>
      <c r="B275" s="5" t="str">
        <f>Sheet1!E275</f>
        <v>AU2065685011125</v>
      </c>
      <c r="C275" s="6" t="str">
        <f>UPPER(Sheet1!B275)</f>
        <v>RAMJOT KAUR</v>
      </c>
      <c r="D275" s="7" t="str">
        <f>IF(Sheet1!F275="F","FEMALE","MALE")</f>
        <v>FEMALE</v>
      </c>
      <c r="E275" s="6" t="str">
        <f>UPPER(Sheet1!G275)</f>
        <v>RAMINDER SINGH</v>
      </c>
      <c r="F275" s="6" t="str">
        <f>UPPER(Sheet1!H275)</f>
        <v>JYOTI VANDANA </v>
      </c>
      <c r="G275" s="5" t="str">
        <f>TEXT(Sheet1!C275,"dd/mm/yyyy") &amp; "," &amp; Sheet1!D275</f>
        <v xml:space="preserve">17/01/2025,WERIBEE, AUSTRALIA </v>
      </c>
      <c r="H275" s="57" t="str">
        <f>UPPER(Sheet1!K275 &amp; "," &amp; Sheet1!L275 &amp; "," &amp; Sheet1!M275)</f>
        <v>HNO-40 PHASE 2,TRICONE CITY SIRHIND ROAD,PATIALA,PIN:147001,PUNJAB,INDIA</v>
      </c>
      <c r="I275" s="8">
        <f>Sheet1!J275</f>
        <v>45930</v>
      </c>
      <c r="J275" s="5" t="str">
        <f>Sheet1!N275 &amp; "," &amp; TEXT(Sheet1!O275,"dd/mm/yy")</f>
        <v>202509060662,27/08/25</v>
      </c>
      <c r="K275" s="5" t="s">
        <v>14</v>
      </c>
      <c r="L275" s="38" t="s">
        <v>15</v>
      </c>
      <c r="M275" s="38">
        <v>45937</v>
      </c>
      <c r="N275" s="38" t="s">
        <v>16</v>
      </c>
    </row>
    <row r="276" spans="1:14" x14ac:dyDescent="0.35">
      <c r="A276" s="4" t="str">
        <f>Sheet1!A276 &amp; "/" &amp; "2025"</f>
        <v>1674/2025</v>
      </c>
      <c r="B276" s="5" t="str">
        <f>Sheet1!E276</f>
        <v>AU2065685013925</v>
      </c>
      <c r="C276" s="6" t="str">
        <f>UPPER(Sheet1!B276)</f>
        <v>ARZOI BHINDER</v>
      </c>
      <c r="D276" s="7" t="str">
        <f>IF(Sheet1!F276="F","FEMALE","MALE")</f>
        <v>FEMALE</v>
      </c>
      <c r="E276" s="6" t="str">
        <f>UPPER(Sheet1!G276)</f>
        <v>NAVDEEP SINGH</v>
      </c>
      <c r="F276" s="6" t="str">
        <f>UPPER(Sheet1!H276)</f>
        <v>JASPREET KAUR </v>
      </c>
      <c r="G276" s="5" t="str">
        <f>TEXT(Sheet1!C276,"dd/mm/yyyy") &amp; "," &amp; Sheet1!D276</f>
        <v xml:space="preserve">04/03/2025,EPPING , AUSTRALIA </v>
      </c>
      <c r="H276" s="57" t="str">
        <f>UPPER(Sheet1!K276 &amp; "," &amp; Sheet1!L276 &amp; "," &amp; Sheet1!M276)</f>
        <v>HOUSE NO -G-103,HMT COLONY,PINJORE,PANCHKULA,PIN:134102,HARYANA,INDIA</v>
      </c>
      <c r="I276" s="8">
        <f>Sheet1!J276</f>
        <v>45930</v>
      </c>
      <c r="J276" s="5" t="str">
        <f>Sheet1!N276 &amp; "," &amp; TEXT(Sheet1!O276,"dd/mm/yy")</f>
        <v>202509067164,22/09/25</v>
      </c>
      <c r="K276" s="5" t="s">
        <v>14</v>
      </c>
      <c r="L276" s="38" t="s">
        <v>15</v>
      </c>
      <c r="M276" s="38">
        <v>45937</v>
      </c>
      <c r="N276" s="38" t="s">
        <v>16</v>
      </c>
    </row>
    <row r="277" spans="1:14" x14ac:dyDescent="0.35">
      <c r="A277" s="4" t="str">
        <f>Sheet1!A277 &amp; "/" &amp; "2025"</f>
        <v>1675/2025</v>
      </c>
      <c r="B277" s="5" t="str">
        <f>Sheet1!E277</f>
        <v>AU2065685015525</v>
      </c>
      <c r="C277" s="6" t="str">
        <f>UPPER(Sheet1!B277)</f>
        <v>ROOHJIND KAUR</v>
      </c>
      <c r="D277" s="7" t="str">
        <f>IF(Sheet1!F277="F","FEMALE","MALE")</f>
        <v>FEMALE</v>
      </c>
      <c r="E277" s="6" t="str">
        <f>UPPER(Sheet1!G277)</f>
        <v>PRINCEPAL SINGH</v>
      </c>
      <c r="F277" s="6" t="str">
        <f>UPPER(Sheet1!H277)</f>
        <v>MANDEEP  KAUR</v>
      </c>
      <c r="G277" s="5" t="str">
        <f>TEXT(Sheet1!C277,"dd/mm/yyyy") &amp; "," &amp; Sheet1!D277</f>
        <v xml:space="preserve">24/06/2025,BERWICK , AUSTRALIA  </v>
      </c>
      <c r="H277" s="57" t="str">
        <f>UPPER(Sheet1!K277 &amp; "," &amp; Sheet1!L277 &amp; "," &amp; Sheet1!M277)</f>
        <v>GANESHPUR,PO DEVINAGAR,PATIALA,PIN:147111,PUNJAB,INDIA</v>
      </c>
      <c r="I277" s="8">
        <f>Sheet1!J277</f>
        <v>45930</v>
      </c>
      <c r="J277" s="5" t="str">
        <f>Sheet1!N277 &amp; "," &amp; TEXT(Sheet1!O277,"dd/mm/yy")</f>
        <v>202509067140,22/09/25</v>
      </c>
      <c r="K277" s="5" t="s">
        <v>14</v>
      </c>
      <c r="L277" s="38" t="s">
        <v>15</v>
      </c>
      <c r="M277" s="38">
        <v>45937</v>
      </c>
      <c r="N277" s="38" t="s">
        <v>16</v>
      </c>
    </row>
    <row r="278" spans="1:14" x14ac:dyDescent="0.35">
      <c r="A278" s="4" t="str">
        <f>Sheet1!A278 &amp; "/" &amp; "2025"</f>
        <v>1676/2025</v>
      </c>
      <c r="B278" s="5" t="str">
        <f>Sheet1!E278</f>
        <v>AU2065685017925</v>
      </c>
      <c r="C278" s="6" t="str">
        <f>UPPER(Sheet1!B278)</f>
        <v>KHWAISH GAHLYAN</v>
      </c>
      <c r="D278" s="7" t="str">
        <f>IF(Sheet1!F278="F","FEMALE","MALE")</f>
        <v>FEMALE</v>
      </c>
      <c r="E278" s="6" t="str">
        <f>UPPER(Sheet1!G278)</f>
        <v>AAKASHDEEP</v>
      </c>
      <c r="F278" s="6" t="str">
        <f>UPPER(Sheet1!H278)</f>
        <v>BHARTI </v>
      </c>
      <c r="G278" s="5" t="str">
        <f>TEXT(Sheet1!C278,"dd/mm/yyyy") &amp; "," &amp; Sheet1!D278</f>
        <v xml:space="preserve">06/08/2025,CLAYTON , AUSTRALIA  </v>
      </c>
      <c r="H278" s="57" t="str">
        <f>UPPER(Sheet1!K278 &amp; "," &amp; Sheet1!L278 &amp; "," &amp; Sheet1!M278)</f>
        <v>VPO,JURASI SARAF KHAS,PANIPAT,PIN:132101,HARYANA,INDIA</v>
      </c>
      <c r="I278" s="8">
        <f>Sheet1!J278</f>
        <v>45930</v>
      </c>
      <c r="J278" s="5" t="str">
        <f>Sheet1!N278 &amp; "," &amp; TEXT(Sheet1!O278,"dd/mm/yy")</f>
        <v>202509060901,28/08/25</v>
      </c>
      <c r="K278" s="5" t="s">
        <v>14</v>
      </c>
      <c r="L278" s="38" t="s">
        <v>15</v>
      </c>
      <c r="M278" s="38">
        <v>45937</v>
      </c>
      <c r="N278" s="38" t="s">
        <v>16</v>
      </c>
    </row>
    <row r="279" spans="1:14" x14ac:dyDescent="0.35">
      <c r="A279" s="4" t="str">
        <f>Sheet1!A279 &amp; "/" &amp; "2025"</f>
        <v>1677/2025</v>
      </c>
      <c r="B279" s="5" t="str">
        <f>Sheet1!E279</f>
        <v>AU2065685020725</v>
      </c>
      <c r="C279" s="6" t="str">
        <f>UPPER(Sheet1!B279)</f>
        <v>JASNOOR KAUR</v>
      </c>
      <c r="D279" s="7" t="str">
        <f>IF(Sheet1!F279="F","FEMALE","MALE")</f>
        <v>FEMALE</v>
      </c>
      <c r="E279" s="6" t="str">
        <f>UPPER(Sheet1!G279)</f>
        <v>SHARANJEET SINGH</v>
      </c>
      <c r="F279" s="6" t="str">
        <f>UPPER(Sheet1!H279)</f>
        <v>JASLEEN  KAUR</v>
      </c>
      <c r="G279" s="5" t="str">
        <f>TEXT(Sheet1!C279,"dd/mm/yyyy") &amp; "," &amp; Sheet1!D279</f>
        <v xml:space="preserve">26/07/2025,EPPING , AUSTRALIA </v>
      </c>
      <c r="H279" s="57" t="str">
        <f>UPPER(Sheet1!K279 &amp; "," &amp; Sheet1!L279 &amp; "," &amp; Sheet1!M279)</f>
        <v>HOUSE NO.173,QILLA MOHALLA,HADIABAD PHAGWARA,KAPURTHALA,PIN:144401,PUNJAB,INDIA</v>
      </c>
      <c r="I279" s="8">
        <f>Sheet1!J279</f>
        <v>45930</v>
      </c>
      <c r="J279" s="5" t="str">
        <f>Sheet1!N279 &amp; "," &amp; TEXT(Sheet1!O279,"dd/mm/yy")</f>
        <v>202509060895,28/08/25</v>
      </c>
      <c r="K279" s="5" t="s">
        <v>14</v>
      </c>
      <c r="L279" s="38" t="s">
        <v>15</v>
      </c>
      <c r="M279" s="38">
        <v>45937</v>
      </c>
      <c r="N279" s="38" t="s">
        <v>16</v>
      </c>
    </row>
    <row r="280" spans="1:14" x14ac:dyDescent="0.35">
      <c r="A280" s="4" t="str">
        <f>Sheet1!A280 &amp; "/" &amp; "2025"</f>
        <v>1678/2025</v>
      </c>
      <c r="B280" s="5" t="str">
        <f>Sheet1!E280</f>
        <v>AU2065685022925</v>
      </c>
      <c r="C280" s="6" t="str">
        <f>UPPER(Sheet1!B280)</f>
        <v>SIDDHARTH SAMEER MOHITE</v>
      </c>
      <c r="D280" s="7" t="str">
        <f>IF(Sheet1!F280="F","FEMALE","MALE")</f>
        <v>MALE</v>
      </c>
      <c r="E280" s="6" t="str">
        <f>UPPER(Sheet1!G280)</f>
        <v>SAMEER RAJARAM MOHITE</v>
      </c>
      <c r="F280" s="6" t="str">
        <f>UPPER(Sheet1!H280)</f>
        <v>SNEHAL PADMAKAR  KATKAR</v>
      </c>
      <c r="G280" s="5" t="str">
        <f>TEXT(Sheet1!C280,"dd/mm/yyyy") &amp; "," &amp; Sheet1!D280</f>
        <v xml:space="preserve">28/06/2025,CLAYTON , AUSTRALIA  </v>
      </c>
      <c r="H280" s="57" t="str">
        <f>UPPER(Sheet1!K280 &amp; "," &amp; Sheet1!L280 &amp; "," &amp; Sheet1!M280)</f>
        <v>GRAMPANCHAYAT JAVAL,KORIWALE,SATARA,PIN:415109,MAHARASHTRA,INDIA</v>
      </c>
      <c r="I280" s="8">
        <f>Sheet1!J280</f>
        <v>45930</v>
      </c>
      <c r="J280" s="5" t="str">
        <f>Sheet1!N280 &amp; "," &amp; TEXT(Sheet1!O280,"dd/mm/yy")</f>
        <v>202509066796,20/09/25</v>
      </c>
      <c r="K280" s="5" t="s">
        <v>14</v>
      </c>
      <c r="L280" s="38" t="s">
        <v>15</v>
      </c>
      <c r="M280" s="38">
        <v>45937</v>
      </c>
      <c r="N280" s="38" t="s">
        <v>16</v>
      </c>
    </row>
    <row r="281" spans="1:14" x14ac:dyDescent="0.35">
      <c r="A281" s="4" t="str">
        <f>Sheet1!A281 &amp; "/" &amp; "2025"</f>
        <v>1679/2025</v>
      </c>
      <c r="B281" s="5" t="str">
        <f>Sheet1!E281</f>
        <v>AU2065685025125</v>
      </c>
      <c r="C281" s="6" t="str">
        <f>UPPER(Sheet1!B281)</f>
        <v>OMAR ABDULAZIZ AHMED</v>
      </c>
      <c r="D281" s="7" t="str">
        <f>IF(Sheet1!F281="F","FEMALE","MALE")</f>
        <v>MALE</v>
      </c>
      <c r="E281" s="6" t="str">
        <f>UPPER(Sheet1!G281)</f>
        <v>AZIZ AHMED RIYAZ</v>
      </c>
      <c r="F281" s="6" t="str">
        <f>UPPER(Sheet1!H281)</f>
        <v>OMAIMA FATIMA </v>
      </c>
      <c r="G281" s="5" t="str">
        <f>TEXT(Sheet1!C281,"dd/mm/yyyy") &amp; "," &amp; Sheet1!D281</f>
        <v xml:space="preserve">14/12/2024,EPPING , AUSTRALIA </v>
      </c>
      <c r="H281" s="57" t="str">
        <f>UPPER(Sheet1!K281 &amp; "," &amp; Sheet1!L281 &amp; "," &amp; Sheet1!M281)</f>
        <v>9-4-134/A/12/502,ARUNA COLONY,MAWIN KAAB,HYDERABAD,HYDERABAD,PIN:500008,TELANGANA,INDIA</v>
      </c>
      <c r="I281" s="8">
        <f>Sheet1!J281</f>
        <v>45930</v>
      </c>
      <c r="J281" s="5" t="str">
        <f>Sheet1!N281 &amp; "," &amp; TEXT(Sheet1!O281,"dd/mm/yy")</f>
        <v>202509033252,15/05/25</v>
      </c>
      <c r="K281" s="5" t="s">
        <v>14</v>
      </c>
      <c r="L281" s="38" t="s">
        <v>15</v>
      </c>
      <c r="M281" s="38">
        <v>45937</v>
      </c>
      <c r="N281" s="38" t="s">
        <v>16</v>
      </c>
    </row>
    <row r="282" spans="1:14" x14ac:dyDescent="0.35">
      <c r="A282" s="4" t="str">
        <f>Sheet1!A282 &amp; "/" &amp; "2025"</f>
        <v>1680/2025</v>
      </c>
      <c r="B282" s="5" t="str">
        <f>Sheet1!E282</f>
        <v>AU2065685027325</v>
      </c>
      <c r="C282" s="6" t="str">
        <f>UPPER(Sheet1!B282)</f>
        <v>LAVNOOR SINGH</v>
      </c>
      <c r="D282" s="7" t="str">
        <f>IF(Sheet1!F282="F","FEMALE","MALE")</f>
        <v>MALE</v>
      </c>
      <c r="E282" s="6" t="str">
        <f>UPPER(Sheet1!G282)</f>
        <v>HARPREET SINGH</v>
      </c>
      <c r="F282" s="6" t="str">
        <f>UPPER(Sheet1!H282)</f>
        <v>MANJOT KAUR  BAJWA</v>
      </c>
      <c r="G282" s="5" t="str">
        <f>TEXT(Sheet1!C282,"dd/mm/yyyy") &amp; "," &amp; Sheet1!D282</f>
        <v xml:space="preserve">09/05/2025,ST ALBANS , AUSTRALIA </v>
      </c>
      <c r="H282" s="57" t="str">
        <f>UPPER(Sheet1!K282 &amp; "," &amp; Sheet1!L282 &amp; "," &amp; Sheet1!M282)</f>
        <v>H.NO. 521 WARD NO.18,GOKAL NAGAR,HOSHIARPUR,PIN:146001,PUNJAB,INDIA</v>
      </c>
      <c r="I282" s="8">
        <f>Sheet1!J282</f>
        <v>45930</v>
      </c>
      <c r="J282" s="5" t="str">
        <f>Sheet1!N282 &amp; "," &amp; TEXT(Sheet1!O282,"dd/mm/yy")</f>
        <v>202509059212,22/08/25</v>
      </c>
      <c r="K282" s="5" t="s">
        <v>14</v>
      </c>
      <c r="L282" s="38" t="s">
        <v>15</v>
      </c>
      <c r="M282" s="38">
        <v>45937</v>
      </c>
      <c r="N282" s="38" t="s">
        <v>16</v>
      </c>
    </row>
    <row r="283" spans="1:14" x14ac:dyDescent="0.35">
      <c r="A283" s="4" t="str">
        <f>Sheet1!A283 &amp; "/" &amp; "2025"</f>
        <v>1681/2025</v>
      </c>
      <c r="B283" s="5" t="str">
        <f>Sheet1!E283</f>
        <v>AU2065685029725</v>
      </c>
      <c r="C283" s="6" t="str">
        <f>UPPER(Sheet1!B283)</f>
        <v>SHIVAAY BARGOTRA</v>
      </c>
      <c r="D283" s="7" t="str">
        <f>IF(Sheet1!F283="F","FEMALE","MALE")</f>
        <v>MALE</v>
      </c>
      <c r="E283" s="6" t="str">
        <f>UPPER(Sheet1!G283)</f>
        <v>SURAJ KAMBOJ</v>
      </c>
      <c r="F283" s="6" t="str">
        <f>UPPER(Sheet1!H283)</f>
        <v>DIKSHA  KAMBOJ</v>
      </c>
      <c r="G283" s="5" t="str">
        <f>TEXT(Sheet1!C283,"dd/mm/yyyy") &amp; "," &amp; Sheet1!D283</f>
        <v xml:space="preserve">13/08/2025,WERIBEE, AUSTRALIA </v>
      </c>
      <c r="H283" s="57" t="str">
        <f>UPPER(Sheet1!K283 &amp; "," &amp; Sheet1!L283 &amp; "," &amp; Sheet1!M283)</f>
        <v>VILLAGE INDERGARH,PO JOHAR MAJRA,KARNAL,PIN:132041,HARYANA,INDIA</v>
      </c>
      <c r="I283" s="8">
        <f>Sheet1!J283</f>
        <v>45930</v>
      </c>
      <c r="J283" s="5" t="str">
        <f>Sheet1!N283 &amp; "," &amp; TEXT(Sheet1!O283,"dd/mm/yy")</f>
        <v>202509065312,15/09/25</v>
      </c>
      <c r="K283" s="5" t="s">
        <v>14</v>
      </c>
      <c r="L283" s="38" t="s">
        <v>15</v>
      </c>
      <c r="M283" s="38">
        <v>45937</v>
      </c>
      <c r="N283" s="38" t="s">
        <v>16</v>
      </c>
    </row>
    <row r="284" spans="1:14" x14ac:dyDescent="0.35">
      <c r="A284" s="4" t="str">
        <f>Sheet1!A284 &amp; "/" &amp; "2025"</f>
        <v>1682/2025</v>
      </c>
      <c r="B284" s="5" t="str">
        <f>Sheet1!E284</f>
        <v>AU2065690500525</v>
      </c>
      <c r="C284" s="6" t="str">
        <f>UPPER(Sheet1!B284)</f>
        <v>KABIR KIRANKUMAR CHAUDHARI</v>
      </c>
      <c r="D284" s="7" t="str">
        <f>IF(Sheet1!F284="F","FEMALE","MALE")</f>
        <v>MALE</v>
      </c>
      <c r="E284" s="6" t="str">
        <f>UPPER(Sheet1!G284)</f>
        <v>KIRANKUMAR MADHAVLAL CHAUDHARI</v>
      </c>
      <c r="F284" s="6" t="str">
        <f>UPPER(Sheet1!H284)</f>
        <v>KETAKIBEN KIRANKUMAR  CHAUDHARI</v>
      </c>
      <c r="G284" s="5" t="str">
        <f>TEXT(Sheet1!C284,"dd/mm/yyyy") &amp; "," &amp; Sheet1!D284</f>
        <v xml:space="preserve">06/11/2024,ST ALBANS , AUSTRALIA </v>
      </c>
      <c r="H284" s="57" t="str">
        <f>UPPER(Sheet1!K284 &amp; "," &amp; Sheet1!L284 &amp; "," &amp; Sheet1!M284)</f>
        <v>82,BHALANIYAVAS,AT-DAGAVADIYA,TA-VIJAPUR,MEHSANA,PIN:382830,GUJARAT,INDIA</v>
      </c>
      <c r="I284" s="8">
        <f>Sheet1!J284</f>
        <v>45933</v>
      </c>
      <c r="J284" s="5" t="str">
        <f>Sheet1!N284 &amp; "," &amp; TEXT(Sheet1!O284,"dd/mm/yy")</f>
        <v>202509053736,31/07/25</v>
      </c>
      <c r="K284" s="5" t="s">
        <v>14</v>
      </c>
      <c r="L284" s="38" t="s">
        <v>15</v>
      </c>
      <c r="M284" s="38">
        <v>45937</v>
      </c>
      <c r="N284" s="38" t="s">
        <v>16</v>
      </c>
    </row>
    <row r="285" spans="1:14" x14ac:dyDescent="0.35">
      <c r="A285" s="4" t="str">
        <f>Sheet1!A285 &amp; "/" &amp; "2025"</f>
        <v>1683/2025</v>
      </c>
      <c r="B285" s="5" t="str">
        <f>Sheet1!E285</f>
        <v>AU2065683821325</v>
      </c>
      <c r="C285" s="6" t="str">
        <f>UPPER(Sheet1!B285)</f>
        <v>GURASEES KAUR GHUMAN</v>
      </c>
      <c r="D285" s="7" t="str">
        <f>IF(Sheet1!F285="F","FEMALE","MALE")</f>
        <v>FEMALE</v>
      </c>
      <c r="E285" s="6" t="str">
        <f>UPPER(Sheet1!G285)</f>
        <v>MANPREET SINGH</v>
      </c>
      <c r="F285" s="6" t="str">
        <f>UPPER(Sheet1!H285)</f>
        <v>NAVDEEP KAUR </v>
      </c>
      <c r="G285" s="5" t="str">
        <f>TEXT(Sheet1!C285,"dd/mm/yyyy") &amp; "," &amp; Sheet1!D285</f>
        <v xml:space="preserve">06/05/2025,BERWICK, AUSTRALIA  </v>
      </c>
      <c r="H285" s="57" t="str">
        <f>UPPER(Sheet1!K285 &amp; "," &amp; Sheet1!L285 &amp; "," &amp; Sheet1!M285)</f>
        <v>VPO,GHUMAN KALAN,GURDASPUR,PIN:143518,PUNJAB,INDIA</v>
      </c>
      <c r="I285" s="8">
        <f>Sheet1!J285</f>
        <v>45939</v>
      </c>
      <c r="J285" s="5" t="str">
        <f>Sheet1!N285 &amp; "," &amp; TEXT(Sheet1!O285,"dd/mm/yy")</f>
        <v>202509065606,16/09/25</v>
      </c>
      <c r="K285" s="5" t="s">
        <v>14</v>
      </c>
      <c r="L285" s="38" t="s">
        <v>15</v>
      </c>
      <c r="M285" s="38">
        <v>45944</v>
      </c>
      <c r="N285" s="38" t="s">
        <v>16</v>
      </c>
    </row>
    <row r="286" spans="1:14" x14ac:dyDescent="0.35">
      <c r="A286" s="4" t="str">
        <f>Sheet1!A286 &amp; "/" &amp; "2025"</f>
        <v>1684/2025</v>
      </c>
      <c r="B286" s="5" t="str">
        <f>Sheet1!E286</f>
        <v>AU2065687119725</v>
      </c>
      <c r="C286" s="6" t="str">
        <f>UPPER(Sheet1!B286)</f>
        <v>NATANIA SACHIN</v>
      </c>
      <c r="D286" s="7" t="str">
        <f>IF(Sheet1!F286="F","FEMALE","MALE")</f>
        <v>FEMALE</v>
      </c>
      <c r="E286" s="6" t="str">
        <f>UPPER(Sheet1!G286)</f>
        <v>SACHIN CLEMENT</v>
      </c>
      <c r="F286" s="6" t="str">
        <f>UPPER(Sheet1!H286)</f>
        <v>DEEPTHY  MATHEW</v>
      </c>
      <c r="G286" s="5" t="str">
        <f>TEXT(Sheet1!C286,"dd/mm/yyyy") &amp; "," &amp; Sheet1!D286</f>
        <v xml:space="preserve">30/01/2025,HEIDELBERG, AUSTRALIA  </v>
      </c>
      <c r="H286" s="57" t="str">
        <f>UPPER(Sheet1!K286 &amp; "," &amp; Sheet1!L286 &amp; "," &amp; Sheet1!M286)</f>
        <v>ARACKEL HOUSE,KIZHATHADIYOOR PO,PALA,KOTTAYAM,PIN:686574,KERALA,INDIA</v>
      </c>
      <c r="I286" s="8">
        <f>Sheet1!J286</f>
        <v>45939</v>
      </c>
      <c r="J286" s="5" t="str">
        <f>Sheet1!N286 &amp; "," &amp; TEXT(Sheet1!O286,"dd/mm/yy")</f>
        <v>202509054416,03/08/25</v>
      </c>
      <c r="K286" s="5" t="s">
        <v>14</v>
      </c>
      <c r="L286" s="38" t="s">
        <v>15</v>
      </c>
      <c r="M286" s="38">
        <v>45944</v>
      </c>
      <c r="N286" s="38" t="s">
        <v>16</v>
      </c>
    </row>
    <row r="287" spans="1:14" x14ac:dyDescent="0.35">
      <c r="A287" s="4" t="str">
        <f>Sheet1!A287 &amp; "/" &amp; "2025"</f>
        <v>1685/2025</v>
      </c>
      <c r="B287" s="5" t="str">
        <f>Sheet1!E287</f>
        <v>AU2065687120125</v>
      </c>
      <c r="C287" s="6" t="str">
        <f>UPPER(Sheet1!B287)</f>
        <v>DISHAN SINGH</v>
      </c>
      <c r="D287" s="7" t="str">
        <f>IF(Sheet1!F287="F","FEMALE","MALE")</f>
        <v>MALE</v>
      </c>
      <c r="E287" s="6" t="str">
        <f>UPPER(Sheet1!G287)</f>
        <v>PARMINDER SINGH</v>
      </c>
      <c r="F287" s="6" t="str">
        <f>UPPER(Sheet1!H287)</f>
        <v>HARPREET  KAUR</v>
      </c>
      <c r="G287" s="5" t="str">
        <f>TEXT(Sheet1!C287,"dd/mm/yyyy") &amp; "," &amp; Sheet1!D287</f>
        <v xml:space="preserve">18/07/2025,ST ALBANS , AUSTRALIA </v>
      </c>
      <c r="H287" s="57" t="str">
        <f>UPPER(Sheet1!K287 &amp; "," &amp; Sheet1!L287 &amp; "," &amp; Sheet1!M287)</f>
        <v>VPO,DAMUNDA,JALANDHAR,PIN:144103,PUNJAB,INDIA</v>
      </c>
      <c r="I287" s="8">
        <f>Sheet1!J287</f>
        <v>45939</v>
      </c>
      <c r="J287" s="5" t="str">
        <f>Sheet1!N287 &amp; "," &amp; TEXT(Sheet1!O287,"dd/mm/yy")</f>
        <v>202509060563,27/08/25</v>
      </c>
      <c r="K287" s="5" t="s">
        <v>14</v>
      </c>
      <c r="L287" s="38" t="s">
        <v>15</v>
      </c>
      <c r="M287" s="38">
        <v>45944</v>
      </c>
      <c r="N287" s="38" t="s">
        <v>16</v>
      </c>
    </row>
    <row r="288" spans="1:14" x14ac:dyDescent="0.35">
      <c r="A288" s="4" t="str">
        <f>Sheet1!A288 &amp; "/" &amp; "2025"</f>
        <v>1686/2025</v>
      </c>
      <c r="B288" s="5" t="str">
        <f>Sheet1!E288</f>
        <v>AU2065687120325</v>
      </c>
      <c r="C288" s="6" t="str">
        <f>UPPER(Sheet1!B288)</f>
        <v>SIFAT KAUR BHANGU</v>
      </c>
      <c r="D288" s="7" t="str">
        <f>IF(Sheet1!F288="F","FEMALE","MALE")</f>
        <v>FEMALE</v>
      </c>
      <c r="E288" s="6" t="str">
        <f>UPPER(Sheet1!G288)</f>
        <v>SANDEEP SINGH BHANGU</v>
      </c>
      <c r="F288" s="6" t="str">
        <f>UPPER(Sheet1!H288)</f>
        <v>GAGANDEEP KAUR </v>
      </c>
      <c r="G288" s="5" t="str">
        <f>TEXT(Sheet1!C288,"dd/mm/yyyy") &amp; "," &amp; Sheet1!D288</f>
        <v xml:space="preserve">17/07/2025,ST ALBANS , AUSTRALIA </v>
      </c>
      <c r="H288" s="57" t="str">
        <f>UPPER(Sheet1!K288 &amp; "," &amp; Sheet1!L288 &amp; "," &amp; Sheet1!M288)</f>
        <v>BALA PATTI,VPO SANGHERA,BARNALA,PIN:148101,PUNJAB,INDIA</v>
      </c>
      <c r="I288" s="8">
        <f>Sheet1!J288</f>
        <v>45939</v>
      </c>
      <c r="J288" s="5" t="str">
        <f>Sheet1!N288 &amp; "," &amp; TEXT(Sheet1!O288,"dd/mm/yy")</f>
        <v>202509065049,14/09/25</v>
      </c>
      <c r="K288" s="5" t="s">
        <v>14</v>
      </c>
      <c r="L288" s="38" t="s">
        <v>15</v>
      </c>
      <c r="M288" s="38">
        <v>45944</v>
      </c>
      <c r="N288" s="38" t="s">
        <v>16</v>
      </c>
    </row>
    <row r="289" spans="1:14" x14ac:dyDescent="0.35">
      <c r="A289" s="4" t="str">
        <f>Sheet1!A289 &amp; "/" &amp; "2025"</f>
        <v>1687/2025</v>
      </c>
      <c r="B289" s="5" t="str">
        <f>Sheet1!E289</f>
        <v>AU2065687120725</v>
      </c>
      <c r="C289" s="6" t="str">
        <f>UPPER(Sheet1!B289)</f>
        <v>REYANA BRIJESH NANDANI</v>
      </c>
      <c r="D289" s="7" t="str">
        <f>IF(Sheet1!F289="F","FEMALE","MALE")</f>
        <v>FEMALE</v>
      </c>
      <c r="E289" s="6" t="str">
        <f>UPPER(Sheet1!G289)</f>
        <v>BRIJESH HITESHBHAI NANDANI</v>
      </c>
      <c r="F289" s="6" t="str">
        <f>UPPER(Sheet1!H289)</f>
        <v>KRISHNA PARAG  RAVAL</v>
      </c>
      <c r="G289" s="5" t="str">
        <f>TEXT(Sheet1!C289,"dd/mm/yyyy") &amp; "," &amp; Sheet1!D289</f>
        <v xml:space="preserve">29/08/2025,BELLA VISTA, AUSTRALIA  </v>
      </c>
      <c r="H289" s="57" t="str">
        <f>UPPER(Sheet1!K289 &amp; "," &amp; Sheet1!L289 &amp; "," &amp; Sheet1!M289)</f>
        <v>A/003 SAGAR SAMRAT APPT TIMES OF INDIA,PRESS ROAD SATELLITE,AHMEDABAD,PIN:380015,GUJARAT,INDIA</v>
      </c>
      <c r="I289" s="8">
        <f>Sheet1!J289</f>
        <v>45939</v>
      </c>
      <c r="J289" s="5" t="str">
        <f>Sheet1!N289 &amp; "," &amp; TEXT(Sheet1!O289,"dd/mm/yy")</f>
        <v>202509066500,19/09/25</v>
      </c>
      <c r="K289" s="5" t="s">
        <v>14</v>
      </c>
      <c r="L289" s="38" t="s">
        <v>15</v>
      </c>
      <c r="M289" s="38">
        <v>45944</v>
      </c>
      <c r="N289" s="38" t="s">
        <v>16</v>
      </c>
    </row>
    <row r="290" spans="1:14" x14ac:dyDescent="0.35">
      <c r="A290" s="4" t="str">
        <f>Sheet1!A290 &amp; "/" &amp; "2025"</f>
        <v>1688/2025</v>
      </c>
      <c r="B290" s="5" t="str">
        <f>Sheet1!E290</f>
        <v>AU2065687120925</v>
      </c>
      <c r="C290" s="6" t="str">
        <f>UPPER(Sheet1!B290)</f>
        <v>ARWYN JIAAN RATRA</v>
      </c>
      <c r="D290" s="7" t="str">
        <f>IF(Sheet1!F290="F","FEMALE","MALE")</f>
        <v>MALE</v>
      </c>
      <c r="E290" s="6" t="str">
        <f>UPPER(Sheet1!G290)</f>
        <v>PALLAV RATRA</v>
      </c>
      <c r="F290" s="6" t="str">
        <f>UPPER(Sheet1!H290)</f>
        <v>PAYAL  PRABHAKAR</v>
      </c>
      <c r="G290" s="5" t="str">
        <f>TEXT(Sheet1!C290,"dd/mm/yyyy") &amp; "," &amp; Sheet1!D290</f>
        <v>19/06/2025,BALLARAT CENTRAL, AUSTRALIA</v>
      </c>
      <c r="H290" s="57" t="str">
        <f>UPPER(Sheet1!K290 &amp; "," &amp; Sheet1!L290 &amp; "," &amp; Sheet1!M290)</f>
        <v>H NO 99 BLOCK C MOUNT AVENUE,HOSHIARPUR,HOSHIARPUR,PIN:146001,PUNJAB,INDIA</v>
      </c>
      <c r="I290" s="8">
        <f>Sheet1!J290</f>
        <v>45939</v>
      </c>
      <c r="J290" s="5" t="str">
        <f>Sheet1!N290 &amp; "," &amp; TEXT(Sheet1!O290,"dd/mm/yy")</f>
        <v>202509047721,09/07/25</v>
      </c>
      <c r="K290" s="5" t="s">
        <v>14</v>
      </c>
      <c r="L290" s="38" t="s">
        <v>15</v>
      </c>
      <c r="M290" s="38">
        <v>45944</v>
      </c>
      <c r="N290" s="38" t="s">
        <v>16</v>
      </c>
    </row>
    <row r="291" spans="1:14" x14ac:dyDescent="0.35">
      <c r="A291" s="4" t="str">
        <f>Sheet1!A291 &amp; "/" &amp; "2025"</f>
        <v>1689/2025</v>
      </c>
      <c r="B291" s="5" t="str">
        <f>Sheet1!E291</f>
        <v>AU2065687121525</v>
      </c>
      <c r="C291" s="6" t="str">
        <f>UPPER(Sheet1!B291)</f>
        <v>TRIAMBIKA CHAUDHARY</v>
      </c>
      <c r="D291" s="7" t="str">
        <f>IF(Sheet1!F291="F","FEMALE","MALE")</f>
        <v>FEMALE</v>
      </c>
      <c r="E291" s="6" t="str">
        <f>UPPER(Sheet1!G291)</f>
        <v>SAHIL</v>
      </c>
      <c r="F291" s="6" t="str">
        <f>UPPER(Sheet1!H291)</f>
        <v>SAVITA </v>
      </c>
      <c r="G291" s="5" t="str">
        <f>TEXT(Sheet1!C291,"dd/mm/yyyy") &amp; "," &amp; Sheet1!D291</f>
        <v xml:space="preserve">19/03/2025,ST ALBANS , AUSTRALIA </v>
      </c>
      <c r="H291" s="57" t="str">
        <f>UPPER(Sheet1!K291 &amp; "," &amp; Sheet1!L291 &amp; "," &amp; Sheet1!M291)</f>
        <v>VPO AJJOWAL,TEH &amp; DISTT,HOSHIARPUR,PIN:146001,PUNJAB,INDIA</v>
      </c>
      <c r="I291" s="8">
        <f>Sheet1!J291</f>
        <v>45939</v>
      </c>
      <c r="J291" s="5" t="str">
        <f>Sheet1!N291 &amp; "," &amp; TEXT(Sheet1!O291,"dd/mm/yy")</f>
        <v>202509067656,24/09/25</v>
      </c>
      <c r="K291" s="5" t="s">
        <v>14</v>
      </c>
      <c r="L291" s="38" t="s">
        <v>15</v>
      </c>
      <c r="M291" s="38">
        <v>45944</v>
      </c>
      <c r="N291" s="38" t="s">
        <v>16</v>
      </c>
    </row>
    <row r="292" spans="1:14" x14ac:dyDescent="0.35">
      <c r="A292" s="4" t="str">
        <f>Sheet1!A292 &amp; "/" &amp; "2025"</f>
        <v>1690/2025</v>
      </c>
      <c r="B292" s="5" t="str">
        <f>Sheet1!E292</f>
        <v>AU2065687122125</v>
      </c>
      <c r="C292" s="6" t="str">
        <f>UPPER(Sheet1!B292)</f>
        <v>DILAWAR SINGH SANDHU</v>
      </c>
      <c r="D292" s="7" t="str">
        <f>IF(Sheet1!F292="F","FEMALE","MALE")</f>
        <v>MALE</v>
      </c>
      <c r="E292" s="6" t="str">
        <f>UPPER(Sheet1!G292)</f>
        <v>JAGDEEP SINGH SANDHU</v>
      </c>
      <c r="F292" s="6" t="str">
        <f>UPPER(Sheet1!H292)</f>
        <v>JASPINDER KAUR </v>
      </c>
      <c r="G292" s="5" t="str">
        <f>TEXT(Sheet1!C292,"dd/mm/yyyy") &amp; "," &amp; Sheet1!D292</f>
        <v xml:space="preserve">06/05/2025,ST ALBANS , AUSTRALIA </v>
      </c>
      <c r="H292" s="57" t="str">
        <f>UPPER(Sheet1!K292 &amp; "," &amp; Sheet1!L292 &amp; "," &amp; Sheet1!M292)</f>
        <v>VPO,KHOJALA,GURDASPUR,PIN:143516,PUNJAB,INDIA</v>
      </c>
      <c r="I292" s="8">
        <f>Sheet1!J292</f>
        <v>45939</v>
      </c>
      <c r="J292" s="5" t="str">
        <f>Sheet1!N292 &amp; "," &amp; TEXT(Sheet1!O292,"dd/mm/yy")</f>
        <v>202509061495,31/08/25</v>
      </c>
      <c r="K292" s="5" t="s">
        <v>14</v>
      </c>
      <c r="L292" s="38" t="s">
        <v>15</v>
      </c>
      <c r="M292" s="38">
        <v>45944</v>
      </c>
      <c r="N292" s="38" t="s">
        <v>16</v>
      </c>
    </row>
    <row r="293" spans="1:14" x14ac:dyDescent="0.35">
      <c r="A293" s="4" t="str">
        <f>Sheet1!A293 &amp; "/" &amp; "2025"</f>
        <v>1691/2025</v>
      </c>
      <c r="B293" s="5" t="str">
        <f>Sheet1!E293</f>
        <v>AU2065690507725</v>
      </c>
      <c r="C293" s="6" t="str">
        <f>UPPER(Sheet1!B293)</f>
        <v>HANVRIT THAKUR</v>
      </c>
      <c r="D293" s="7" t="str">
        <f>IF(Sheet1!F293="F","FEMALE","MALE")</f>
        <v>MALE</v>
      </c>
      <c r="E293" s="6" t="str">
        <f>UPPER(Sheet1!G293)</f>
        <v>SAHIL KOHAL</v>
      </c>
      <c r="F293" s="6" t="str">
        <f>UPPER(Sheet1!H293)</f>
        <v>SHIWALI </v>
      </c>
      <c r="G293" s="5" t="str">
        <f>TEXT(Sheet1!C293,"dd/mm/yyyy") &amp; "," &amp; Sheet1!D293</f>
        <v xml:space="preserve">02/07/2025,GEELONG , AUSTRALIA </v>
      </c>
      <c r="H293" s="57" t="str">
        <f>UPPER(Sheet1!K293 &amp; "," &amp; Sheet1!L293 &amp; "," &amp; Sheet1!M293)</f>
        <v>VPO GHO,PATHANKOT,PATHANKOT,PIN:145023,PUNJAB,INDIA</v>
      </c>
      <c r="I293" s="8">
        <f>Sheet1!J293</f>
        <v>45939</v>
      </c>
      <c r="J293" s="5" t="str">
        <f>Sheet1!N293 &amp; "," &amp; TEXT(Sheet1!O293,"dd/mm/yy")</f>
        <v>202509052811,28/07/25</v>
      </c>
      <c r="K293" s="5" t="s">
        <v>14</v>
      </c>
      <c r="L293" s="38" t="s">
        <v>15</v>
      </c>
      <c r="M293" s="38">
        <v>45944</v>
      </c>
      <c r="N293" s="38" t="s">
        <v>16</v>
      </c>
    </row>
    <row r="294" spans="1:14" x14ac:dyDescent="0.35">
      <c r="A294" s="4" t="str">
        <f>Sheet1!A294 &amp; "/" &amp; "2025"</f>
        <v>1692/2025</v>
      </c>
      <c r="B294" s="5" t="str">
        <f>Sheet1!E294</f>
        <v>AU2065690507925</v>
      </c>
      <c r="C294" s="6" t="str">
        <f>UPPER(Sheet1!B294)</f>
        <v>SHANVIK KARTHIK VENKATESH</v>
      </c>
      <c r="D294" s="7" t="str">
        <f>IF(Sheet1!F294="F","FEMALE","MALE")</f>
        <v>MALE</v>
      </c>
      <c r="E294" s="6" t="str">
        <f>UPPER(Sheet1!G294)</f>
        <v>KARTHIK VENKATESH SUBBIAH</v>
      </c>
      <c r="F294" s="6" t="str">
        <f>UPPER(Sheet1!H294)</f>
        <v>SWATHI ARUMUGA NAINAR  KONAR</v>
      </c>
      <c r="G294" s="5" t="str">
        <f>TEXT(Sheet1!C294,"dd/mm/yyyy") &amp; "," &amp; Sheet1!D294</f>
        <v xml:space="preserve">04/09/2025,CLAYTON , AUSTRALIA  </v>
      </c>
      <c r="H294" s="57" t="str">
        <f>UPPER(Sheet1!K294 &amp; "," &amp; Sheet1!L294 &amp; "," &amp; Sheet1!M294)</f>
        <v>14-1A MGR NAGAR 1ST CROSS STREET,3RD MAIN ROAD,VELACHERY,CHENNAI,PIN:600042,TAMIL NADU,INDIA</v>
      </c>
      <c r="I294" s="8">
        <f>Sheet1!J294</f>
        <v>45939</v>
      </c>
      <c r="J294" s="5" t="str">
        <f>Sheet1!N294 &amp; "," &amp; TEXT(Sheet1!O294,"dd/mm/yy")</f>
        <v>202509067680,24/09/25</v>
      </c>
      <c r="K294" s="5" t="s">
        <v>14</v>
      </c>
      <c r="L294" s="38" t="s">
        <v>15</v>
      </c>
      <c r="M294" s="38">
        <v>45944</v>
      </c>
      <c r="N294" s="38" t="s">
        <v>16</v>
      </c>
    </row>
    <row r="295" spans="1:14" x14ac:dyDescent="0.35">
      <c r="A295" s="4" t="str">
        <f>Sheet1!A295 &amp; "/" &amp; "2025"</f>
        <v>1693/2025</v>
      </c>
      <c r="B295" s="5" t="str">
        <f>Sheet1!E295</f>
        <v>AU2065690508325</v>
      </c>
      <c r="C295" s="6" t="str">
        <f>UPPER(Sheet1!B295)</f>
        <v>ANAYA JANGRA</v>
      </c>
      <c r="D295" s="7" t="str">
        <f>IF(Sheet1!F295="F","FEMALE","MALE")</f>
        <v>FEMALE</v>
      </c>
      <c r="E295" s="6" t="str">
        <f>UPPER(Sheet1!G295)</f>
        <v>ANUJ JANGRA</v>
      </c>
      <c r="F295" s="6" t="str">
        <f>UPPER(Sheet1!H295)</f>
        <v>TANIYA </v>
      </c>
      <c r="G295" s="5" t="str">
        <f>TEXT(Sheet1!C295,"dd/mm/yyyy") &amp; "," &amp; Sheet1!D295</f>
        <v xml:space="preserve">12/09/2025,FRANKSTON, AUSTRALIA </v>
      </c>
      <c r="H295" s="57" t="str">
        <f>UPPER(Sheet1!K295 &amp; "," &amp; Sheet1!L295 &amp; "," &amp; Sheet1!M295)</f>
        <v>HOUSE NO 47 GALI NO 01 HARI VISHNU COLONY,NEAR MAMTA CLINIC,SIRSA,PIN:125055,HARYANA,INDIA</v>
      </c>
      <c r="I295" s="8">
        <f>Sheet1!J295</f>
        <v>45939</v>
      </c>
      <c r="J295" s="5" t="str">
        <f>Sheet1!N295 &amp; "," &amp; TEXT(Sheet1!O295,"dd/mm/yy")</f>
        <v>202509068030,25/09/25</v>
      </c>
      <c r="K295" s="5" t="s">
        <v>14</v>
      </c>
      <c r="L295" s="38" t="s">
        <v>15</v>
      </c>
      <c r="M295" s="38">
        <v>45944</v>
      </c>
      <c r="N295" s="38" t="s">
        <v>16</v>
      </c>
    </row>
    <row r="296" spans="1:14" x14ac:dyDescent="0.35">
      <c r="A296" s="4" t="str">
        <f>Sheet1!A296 &amp; "/" &amp; "2025"</f>
        <v>1694/2025</v>
      </c>
      <c r="B296" s="5" t="str">
        <f>Sheet1!E296</f>
        <v>AU2065690508525</v>
      </c>
      <c r="C296" s="6" t="str">
        <f>UPPER(Sheet1!B296)</f>
        <v>NIDHAAN SINGH</v>
      </c>
      <c r="D296" s="7" t="str">
        <f>IF(Sheet1!F296="F","FEMALE","MALE")</f>
        <v>MALE</v>
      </c>
      <c r="E296" s="6" t="str">
        <f>UPPER(Sheet1!G296)</f>
        <v>SUKHDEEP SINGH</v>
      </c>
      <c r="F296" s="6" t="str">
        <f>UPPER(Sheet1!H296)</f>
        <v>JAGDEEP KAUR </v>
      </c>
      <c r="G296" s="5" t="str">
        <f>TEXT(Sheet1!C296,"dd/mm/yyyy") &amp; "," &amp; Sheet1!D296</f>
        <v xml:space="preserve">03/08/2025,ST ALBANS , AUSTRALIA </v>
      </c>
      <c r="H296" s="57" t="str">
        <f>UPPER(Sheet1!K296 &amp; "," &amp; Sheet1!L296 &amp; "," &amp; Sheet1!M296)</f>
        <v>,BHAGWANPUR,GURDASPUR,PIN:143605,PUNJAB,INDIA</v>
      </c>
      <c r="I296" s="8">
        <f>Sheet1!J296</f>
        <v>45939</v>
      </c>
      <c r="J296" s="5" t="str">
        <f>Sheet1!N296 &amp; "," &amp; TEXT(Sheet1!O296,"dd/mm/yy")</f>
        <v>202509067260,22/09/25</v>
      </c>
      <c r="K296" s="5" t="s">
        <v>14</v>
      </c>
      <c r="L296" s="38" t="s">
        <v>15</v>
      </c>
      <c r="M296" s="38">
        <v>45944</v>
      </c>
      <c r="N296" s="38" t="s">
        <v>16</v>
      </c>
    </row>
    <row r="297" spans="1:14" x14ac:dyDescent="0.35">
      <c r="A297" s="4" t="str">
        <f>Sheet1!A297 &amp; "/" &amp; "2025"</f>
        <v>1695/2025</v>
      </c>
      <c r="B297" s="5" t="str">
        <f>Sheet1!E297</f>
        <v>AU2065690508725</v>
      </c>
      <c r="C297" s="6" t="str">
        <f>UPPER(Sheet1!B297)</f>
        <v>PARAMHANS SINGH</v>
      </c>
      <c r="D297" s="7" t="str">
        <f>IF(Sheet1!F297="F","FEMALE","MALE")</f>
        <v>MALE</v>
      </c>
      <c r="E297" s="6" t="str">
        <f>UPPER(Sheet1!G297)</f>
        <v>GURULAL SINGH</v>
      </c>
      <c r="F297" s="6" t="str">
        <f>UPPER(Sheet1!H297)</f>
        <v>HARPREET  KAUR</v>
      </c>
      <c r="G297" s="5" t="str">
        <f>TEXT(Sheet1!C297,"dd/mm/yyyy") &amp; "," &amp; Sheet1!D297</f>
        <v xml:space="preserve">07/08/2025,WERIBEE, AUSTRALIA </v>
      </c>
      <c r="H297" s="57" t="str">
        <f>UPPER(Sheet1!K297 &amp; "," &amp; Sheet1!L297 &amp; "," &amp; Sheet1!M297)</f>
        <v>212,MUDIYA POOJAGAON ASHADHI 2,LAKHIMPUR KHERI,PIN:261506,UTTAR PRADESH,INDIA</v>
      </c>
      <c r="I297" s="8">
        <f>Sheet1!J297</f>
        <v>45939</v>
      </c>
      <c r="J297" s="5" t="str">
        <f>Sheet1!N297 &amp; "," &amp; TEXT(Sheet1!O297,"dd/mm/yy")</f>
        <v>202509068888,29/09/25</v>
      </c>
      <c r="K297" s="5" t="s">
        <v>14</v>
      </c>
      <c r="L297" s="38" t="s">
        <v>15</v>
      </c>
      <c r="M297" s="38">
        <v>45944</v>
      </c>
      <c r="N297" s="38" t="s">
        <v>16</v>
      </c>
    </row>
    <row r="298" spans="1:14" x14ac:dyDescent="0.35">
      <c r="A298" s="4" t="str">
        <f>Sheet1!A298 &amp; "/" &amp; "2025"</f>
        <v>1696/2025</v>
      </c>
      <c r="B298" s="5" t="str">
        <f>Sheet1!E298</f>
        <v>AU2065690508925</v>
      </c>
      <c r="C298" s="6" t="str">
        <f>UPPER(Sheet1!B298)</f>
        <v>TAQDEER KAUR</v>
      </c>
      <c r="D298" s="7" t="str">
        <f>IF(Sheet1!F298="F","FEMALE","MALE")</f>
        <v>FEMALE</v>
      </c>
      <c r="E298" s="6" t="str">
        <f>UPPER(Sheet1!G298)</f>
        <v>GAURAVDEEP SINGH</v>
      </c>
      <c r="F298" s="6" t="str">
        <f>UPPER(Sheet1!H298)</f>
        <v>KOMAL PREET </v>
      </c>
      <c r="G298" s="5" t="str">
        <f>TEXT(Sheet1!C298,"dd/mm/yyyy") &amp; "," &amp; Sheet1!D298</f>
        <v xml:space="preserve">24/06/2025,LENAH VALLEY TASMANIA, AUSTRALIA  </v>
      </c>
      <c r="H298" s="57" t="str">
        <f>UPPER(Sheet1!K298 &amp; "," &amp; Sheet1!L298 &amp; "," &amp; Sheet1!M298)</f>
        <v>DERA SAFIDON ROAD NEAR NABIABAD GURUDWARA,ASSANDH,KARNAL,PIN:132039,HARYANA,INDIA</v>
      </c>
      <c r="I298" s="8">
        <f>Sheet1!J298</f>
        <v>45940</v>
      </c>
      <c r="J298" s="5" t="str">
        <f>Sheet1!N298 &amp; "," &amp; TEXT(Sheet1!O298,"dd/mm/yy")</f>
        <v>202509067731,24/09/25</v>
      </c>
      <c r="K298" s="5" t="s">
        <v>14</v>
      </c>
      <c r="L298" s="38" t="s">
        <v>15</v>
      </c>
      <c r="M298" s="38">
        <v>45944</v>
      </c>
      <c r="N298" s="38" t="s">
        <v>16</v>
      </c>
    </row>
    <row r="299" spans="1:14" x14ac:dyDescent="0.35">
      <c r="A299" s="4" t="str">
        <f>Sheet1!A299 &amp; "/" &amp; "2025"</f>
        <v>1697/2025</v>
      </c>
      <c r="B299" s="5" t="str">
        <f>Sheet1!E299</f>
        <v>AU2065690509125</v>
      </c>
      <c r="C299" s="6" t="str">
        <f>UPPER(Sheet1!B299)</f>
        <v>JUNAIDAH MARYAM SYEDA</v>
      </c>
      <c r="D299" s="7" t="str">
        <f>IF(Sheet1!F299="F","FEMALE","MALE")</f>
        <v>FEMALE</v>
      </c>
      <c r="E299" s="6" t="str">
        <f>UPPER(Sheet1!G299)</f>
        <v>JUNAID QUADRI SYED</v>
      </c>
      <c r="F299" s="6" t="str">
        <f>UPPER(Sheet1!H299)</f>
        <v>ZAREENA BEGUM </v>
      </c>
      <c r="G299" s="5" t="str">
        <f>TEXT(Sheet1!C299,"dd/mm/yyyy") &amp; "," &amp; Sheet1!D299</f>
        <v xml:space="preserve">05/09/2025,ARARAT, AUSTRALIA </v>
      </c>
      <c r="H299" s="57" t="str">
        <f>UPPER(Sheet1!K299 &amp; "," &amp; Sheet1!L299 &amp; "," &amp; Sheet1!M299)</f>
        <v>4-5-57/1,GADI,ZAHEERABAD,SANGAREDDY,PIN:502220,TELANGANA,INDIA</v>
      </c>
      <c r="I299" s="8">
        <f>Sheet1!J299</f>
        <v>45940</v>
      </c>
      <c r="J299" s="5" t="str">
        <f>Sheet1!N299 &amp; "," &amp; TEXT(Sheet1!O299,"dd/mm/yy")</f>
        <v>202509068246,26/09/25</v>
      </c>
      <c r="K299" s="5" t="s">
        <v>14</v>
      </c>
      <c r="L299" s="38" t="s">
        <v>15</v>
      </c>
      <c r="M299" s="38">
        <v>45944</v>
      </c>
      <c r="N299" s="38" t="s">
        <v>16</v>
      </c>
    </row>
    <row r="300" spans="1:14" x14ac:dyDescent="0.35">
      <c r="A300" s="4" t="str">
        <f>Sheet1!A300 &amp; "/" &amp; "2025"</f>
        <v>1698/2025</v>
      </c>
      <c r="B300" s="5" t="str">
        <f>Sheet1!E300</f>
        <v>AU2065690509525</v>
      </c>
      <c r="C300" s="6" t="str">
        <f>UPPER(Sheet1!B300)</f>
        <v>GUNTAS KAUR AULAKH</v>
      </c>
      <c r="D300" s="7" t="str">
        <f>IF(Sheet1!F300="F","FEMALE","MALE")</f>
        <v>FEMALE</v>
      </c>
      <c r="E300" s="6" t="str">
        <f>UPPER(Sheet1!G300)</f>
        <v>JASWINDER SINGH</v>
      </c>
      <c r="F300" s="6" t="str">
        <f>UPPER(Sheet1!H300)</f>
        <v>SANDEEP KAUR </v>
      </c>
      <c r="G300" s="5" t="str">
        <f>TEXT(Sheet1!C300,"dd/mm/yyyy") &amp; "," &amp; Sheet1!D300</f>
        <v xml:space="preserve">24/08/2025,EPPING, AUSTRALIA  </v>
      </c>
      <c r="H300" s="57" t="str">
        <f>UPPER(Sheet1!K300 &amp; "," &amp; Sheet1!L300 &amp; "," &amp; Sheet1!M300)</f>
        <v>HOUSE NO. 323,JETHUKE,BATHINDA,PIN:151103,PUNJAB,INDIA</v>
      </c>
      <c r="I300" s="8">
        <f>Sheet1!J300</f>
        <v>45940</v>
      </c>
      <c r="J300" s="5" t="str">
        <f>Sheet1!N300 &amp; "," &amp; TEXT(Sheet1!O300,"dd/mm/yy")</f>
        <v>202509065571,16/09/25</v>
      </c>
      <c r="K300" s="5" t="s">
        <v>14</v>
      </c>
      <c r="L300" s="38" t="s">
        <v>15</v>
      </c>
      <c r="M300" s="38">
        <v>45944</v>
      </c>
      <c r="N300" s="38" t="s">
        <v>16</v>
      </c>
    </row>
    <row r="301" spans="1:14" x14ac:dyDescent="0.35">
      <c r="A301" s="4" t="str">
        <f>Sheet1!A301 &amp; "/" &amp; "2025"</f>
        <v>1699/2025</v>
      </c>
      <c r="B301" s="5" t="str">
        <f>Sheet1!E301</f>
        <v>AU2065692771325</v>
      </c>
      <c r="C301" s="6" t="str">
        <f>UPPER(Sheet1!B301)</f>
        <v>HUKAM SINGH KANG</v>
      </c>
      <c r="D301" s="7" t="str">
        <f>IF(Sheet1!F301="F","FEMALE","MALE")</f>
        <v>MALE</v>
      </c>
      <c r="E301" s="6" t="str">
        <f>UPPER(Sheet1!G301)</f>
        <v>JOBANJEET SINGH</v>
      </c>
      <c r="F301" s="6" t="str">
        <f>UPPER(Sheet1!H301)</f>
        <v>AMANDEEP KAUR </v>
      </c>
      <c r="G301" s="5" t="str">
        <f>TEXT(Sheet1!C301,"dd/mm/yyyy") &amp; "," &amp; Sheet1!D301</f>
        <v xml:space="preserve">12/02/2025,WAGGA WAGGA, AUSTRALIA  </v>
      </c>
      <c r="H301" s="57" t="str">
        <f>UPPER(Sheet1!K301 &amp; "," &amp; Sheet1!L301 &amp; "," &amp; Sheet1!M301)</f>
        <v>VILL. BURJ NATHU KE,P.O. SARHALI KALAN,TEH. PATTI,TARN TARAN,PIN:143401,PUNJAB,INDIA</v>
      </c>
      <c r="I301" s="8">
        <f>Sheet1!J301</f>
        <v>45940</v>
      </c>
      <c r="J301" s="5" t="str">
        <f>Sheet1!N301 &amp; "," &amp; TEXT(Sheet1!O301,"dd/mm/yy")</f>
        <v>202509066935,21/09/25</v>
      </c>
      <c r="K301" s="5" t="s">
        <v>14</v>
      </c>
      <c r="L301" s="38" t="s">
        <v>15</v>
      </c>
      <c r="M301" s="38">
        <v>45944</v>
      </c>
      <c r="N301" s="38" t="s">
        <v>16</v>
      </c>
    </row>
    <row r="302" spans="1:14" x14ac:dyDescent="0.35">
      <c r="A302" s="4" t="str">
        <f>Sheet1!A302 &amp; "/" &amp; "2025"</f>
        <v>1700/2025</v>
      </c>
      <c r="B302" s="5" t="str">
        <f>Sheet1!E302</f>
        <v>AU2065692771525</v>
      </c>
      <c r="C302" s="6" t="str">
        <f>UPPER(Sheet1!B302)</f>
        <v>GURNAAZ KAUR</v>
      </c>
      <c r="D302" s="7" t="str">
        <f>IF(Sheet1!F302="F","FEMALE","MALE")</f>
        <v>FEMALE</v>
      </c>
      <c r="E302" s="6" t="str">
        <f>UPPER(Sheet1!G302)</f>
        <v>NAVRAJ SINGH</v>
      </c>
      <c r="F302" s="6" t="str">
        <f>UPPER(Sheet1!H302)</f>
        <v>PAWANPREET KAUR </v>
      </c>
      <c r="G302" s="5" t="str">
        <f>TEXT(Sheet1!C302,"dd/mm/yyyy") &amp; "," &amp; Sheet1!D302</f>
        <v xml:space="preserve">08/08/2025,WERIBEE, AUSTRALIA </v>
      </c>
      <c r="H302" s="57" t="str">
        <f>UPPER(Sheet1!K302 &amp; "," &amp; Sheet1!L302 &amp; "," &amp; Sheet1!M302)</f>
        <v>VILLAGE MOWAI,P.O. BILGA ,TEHSIL PHILLAUR,JALANDHAR,PIN:144036,PUNJAB,INDIA</v>
      </c>
      <c r="I302" s="8">
        <f>Sheet1!J302</f>
        <v>45940</v>
      </c>
      <c r="J302" s="5" t="str">
        <f>Sheet1!N302 &amp; "," &amp; TEXT(Sheet1!O302,"dd/mm/yy")</f>
        <v>202509068892,29/09/25</v>
      </c>
      <c r="K302" s="5" t="s">
        <v>14</v>
      </c>
      <c r="L302" s="38" t="s">
        <v>15</v>
      </c>
      <c r="M302" s="38">
        <v>45944</v>
      </c>
      <c r="N302" s="38" t="s">
        <v>16</v>
      </c>
    </row>
    <row r="303" spans="1:14" x14ac:dyDescent="0.35">
      <c r="A303" s="4" t="str">
        <f>Sheet1!A303 &amp; "/" &amp; "2025"</f>
        <v>1701/2025</v>
      </c>
      <c r="B303" s="5" t="str">
        <f>Sheet1!E303</f>
        <v>AU2065692771725</v>
      </c>
      <c r="C303" s="6" t="str">
        <f>UPPER(Sheet1!B303)</f>
        <v>AVIR SHARMA</v>
      </c>
      <c r="D303" s="7" t="str">
        <f>IF(Sheet1!F303="F","FEMALE","MALE")</f>
        <v>MALE</v>
      </c>
      <c r="E303" s="6" t="str">
        <f>UPPER(Sheet1!G303)</f>
        <v>AMIT SHARMA</v>
      </c>
      <c r="F303" s="6" t="str">
        <f>UPPER(Sheet1!H303)</f>
        <v>JYOTI  SHARMA</v>
      </c>
      <c r="G303" s="5" t="str">
        <f>TEXT(Sheet1!C303,"dd/mm/yyyy") &amp; "," &amp; Sheet1!D303</f>
        <v>21/08/2025,BALLARAT CENTRAL, AUSTRALIA</v>
      </c>
      <c r="H303" s="57" t="str">
        <f>UPPER(Sheet1!K303 &amp; "," &amp; Sheet1!L303 &amp; "," &amp; Sheet1!M303)</f>
        <v>H-NO:-1027 DISPOSAL ROAD,GRAIN MARKET,KHANNA,KHANNA (LUDHIANA),PIN:141401,PUNJAB,INDIA</v>
      </c>
      <c r="I303" s="8">
        <f>Sheet1!J303</f>
        <v>45940</v>
      </c>
      <c r="J303" s="5" t="str">
        <f>Sheet1!N303 &amp; "," &amp; TEXT(Sheet1!O303,"dd/mm/yy")</f>
        <v>202509068504,27/09/25</v>
      </c>
      <c r="K303" s="5" t="s">
        <v>14</v>
      </c>
      <c r="L303" s="38" t="s">
        <v>15</v>
      </c>
      <c r="M303" s="38">
        <v>45944</v>
      </c>
      <c r="N303" s="38" t="s">
        <v>16</v>
      </c>
    </row>
    <row r="304" spans="1:14" x14ac:dyDescent="0.35">
      <c r="A304" s="4" t="str">
        <f>Sheet1!A304 &amp; "/" &amp; "2025"</f>
        <v>1702/2025</v>
      </c>
      <c r="B304" s="5" t="str">
        <f>Sheet1!E304</f>
        <v>AU2065692771925</v>
      </c>
      <c r="C304" s="6" t="str">
        <f>UPPER(Sheet1!B304)</f>
        <v>VIRAJ SHARMA</v>
      </c>
      <c r="D304" s="7" t="str">
        <f>IF(Sheet1!F304="F","FEMALE","MALE")</f>
        <v>MALE</v>
      </c>
      <c r="E304" s="6" t="str">
        <f>UPPER(Sheet1!G304)</f>
        <v>VIPAN SHARMA</v>
      </c>
      <c r="F304" s="6" t="str">
        <f>UPPER(Sheet1!H304)</f>
        <v>MONA SHARMA </v>
      </c>
      <c r="G304" s="5" t="str">
        <f>TEXT(Sheet1!C304,"dd/mm/yyyy") &amp; "," &amp; Sheet1!D304</f>
        <v xml:space="preserve">10/02/2025,ST ALBANS , AUSTRALIA </v>
      </c>
      <c r="H304" s="57" t="str">
        <f>UPPER(Sheet1!K304 &amp; "," &amp; Sheet1!L304 &amp; "," &amp; Sheet1!M304)</f>
        <v>VILLAGE JOGIMAJRA,TEH PAYAL,KHANNA (LUDHIANA),PIN:141119,PUNJAB,INDIA</v>
      </c>
      <c r="I304" s="8">
        <f>Sheet1!J304</f>
        <v>45940</v>
      </c>
      <c r="J304" s="5" t="str">
        <f>Sheet1!N304 &amp; "," &amp; TEXT(Sheet1!O304,"dd/mm/yy")</f>
        <v>202509048952,14/07/25</v>
      </c>
      <c r="K304" s="5" t="s">
        <v>14</v>
      </c>
      <c r="L304" s="38" t="s">
        <v>15</v>
      </c>
      <c r="M304" s="38">
        <v>45944</v>
      </c>
      <c r="N304" s="38" t="s">
        <v>16</v>
      </c>
    </row>
    <row r="305" spans="1:14" x14ac:dyDescent="0.35">
      <c r="A305" s="4" t="str">
        <f>Sheet1!A305 &amp; "/" &amp; "2025"</f>
        <v>1703/2025</v>
      </c>
      <c r="B305" s="5" t="str">
        <f>Sheet1!E305</f>
        <v>AU2065692772325</v>
      </c>
      <c r="C305" s="6" t="str">
        <f>UPPER(Sheet1!B305)</f>
        <v>RYAN PANJLA</v>
      </c>
      <c r="D305" s="7" t="str">
        <f>IF(Sheet1!F305="F","FEMALE","MALE")</f>
        <v>MALE</v>
      </c>
      <c r="E305" s="6" t="str">
        <f>UPPER(Sheet1!G305)</f>
        <v>ROHIT PANJLA</v>
      </c>
      <c r="F305" s="6" t="str">
        <f>UPPER(Sheet1!H305)</f>
        <v>VIMMI </v>
      </c>
      <c r="G305" s="5" t="str">
        <f>TEXT(Sheet1!C305,"dd/mm/yyyy") &amp; "," &amp; Sheet1!D305</f>
        <v xml:space="preserve">29/07/2025,PARKVILLE , AUSTRALIA  </v>
      </c>
      <c r="H305" s="57" t="str">
        <f>UPPER(Sheet1!K305 &amp; "," &amp; Sheet1!L305 &amp; "," &amp; Sheet1!M305)</f>
        <v>1322 SECTOR 15 B,CHANDIGARH,CHANDIGARH,PIN:160015,CHANDIGARH,INDIA</v>
      </c>
      <c r="I305" s="8">
        <f>Sheet1!J305</f>
        <v>45940</v>
      </c>
      <c r="J305" s="5" t="str">
        <f>Sheet1!N305 &amp; "," &amp; TEXT(Sheet1!O305,"dd/mm/yy")</f>
        <v>202509067961,25/09/25</v>
      </c>
      <c r="K305" s="5" t="s">
        <v>14</v>
      </c>
      <c r="L305" s="38" t="s">
        <v>15</v>
      </c>
      <c r="M305" s="38">
        <v>45944</v>
      </c>
      <c r="N305" s="38" t="s">
        <v>16</v>
      </c>
    </row>
    <row r="306" spans="1:14" x14ac:dyDescent="0.35">
      <c r="A306" s="4" t="str">
        <f>Sheet1!A306 &amp; "/" &amp; "2025"</f>
        <v>1704/2025</v>
      </c>
      <c r="B306" s="5" t="str">
        <f>Sheet1!E306</f>
        <v>AU2065690602725</v>
      </c>
      <c r="C306" s="6" t="str">
        <f>UPPER(Sheet1!B306)</f>
        <v>NABEEZ ULLAH KHAN MOHAMMED</v>
      </c>
      <c r="D306" s="7" t="str">
        <f>IF(Sheet1!F306="F","FEMALE","MALE")</f>
        <v>MALE</v>
      </c>
      <c r="E306" s="6" t="str">
        <f>UPPER(Sheet1!G306)</f>
        <v>OBAIDULLA KHAN</v>
      </c>
      <c r="F306" s="6" t="str">
        <f>UPPER(Sheet1!H306)</f>
        <v>FATIMA KHATOON </v>
      </c>
      <c r="G306" s="5" t="str">
        <f>TEXT(Sheet1!C306,"dd/mm/yyyy") &amp; "," &amp; Sheet1!D306</f>
        <v xml:space="preserve">07/07/2025,ST ALBANS , AUSTRALIA </v>
      </c>
      <c r="H306" s="57" t="str">
        <f>UPPER(Sheet1!K306 &amp; "," &amp; Sheet1!L306 &amp; "," &amp; Sheet1!M306)</f>
        <v>H NO 16-3-495/1 CHANCHAL GUDA,HYDERABAD,HYDERABAD,PIN:500023,TELANGANA,INDIA</v>
      </c>
      <c r="I306" s="8">
        <f>Sheet1!J306</f>
        <v>45940</v>
      </c>
      <c r="J306" s="5" t="str">
        <f>Sheet1!N306 &amp; "," &amp; TEXT(Sheet1!O306,"dd/mm/yy")</f>
        <v>202509067422,23/09/25</v>
      </c>
      <c r="K306" s="5" t="s">
        <v>14</v>
      </c>
      <c r="L306" s="38" t="s">
        <v>15</v>
      </c>
      <c r="M306" s="38">
        <v>45944</v>
      </c>
      <c r="N306" s="38" t="s">
        <v>16</v>
      </c>
    </row>
    <row r="307" spans="1:14" x14ac:dyDescent="0.35">
      <c r="A307" s="4" t="str">
        <f>Sheet1!A307 &amp; "/" &amp; "2025"</f>
        <v>1705/2025</v>
      </c>
      <c r="B307" s="5" t="str">
        <f>Sheet1!E307</f>
        <v>AU2065696119525</v>
      </c>
      <c r="C307" s="6" t="str">
        <f>UPPER(Sheet1!B307)</f>
        <v>GURGPAL SINGH DHILLON</v>
      </c>
      <c r="D307" s="7" t="str">
        <f>IF(Sheet1!F307="F","FEMALE","MALE")</f>
        <v>MALE</v>
      </c>
      <c r="E307" s="6" t="str">
        <f>UPPER(Sheet1!G307)</f>
        <v>CHAMKAUR SINGH DHILLON</v>
      </c>
      <c r="F307" s="6" t="str">
        <f>UPPER(Sheet1!H307)</f>
        <v>ARSHPREET KAUR </v>
      </c>
      <c r="G307" s="5" t="str">
        <f>TEXT(Sheet1!C307,"dd/mm/yyyy") &amp; "," &amp; Sheet1!D307</f>
        <v xml:space="preserve">15/07/2025,WERIBEE, AUSTRALIA </v>
      </c>
      <c r="H307" s="57" t="str">
        <f>UPPER(Sheet1!K307 &amp; "," &amp; Sheet1!L307 &amp; "," &amp; Sheet1!M307)</f>
        <v>VPO,KAHAN SINGH WALA,MOGA,PIN:142048,PUNJAB,INDIA</v>
      </c>
      <c r="I307" s="8">
        <f>Sheet1!J307</f>
        <v>45940</v>
      </c>
      <c r="J307" s="5" t="str">
        <f>Sheet1!N307 &amp; "," &amp; TEXT(Sheet1!O307,"dd/mm/yy")</f>
        <v>202509067130,22/09/25</v>
      </c>
      <c r="K307" s="5" t="s">
        <v>14</v>
      </c>
      <c r="L307" s="38" t="s">
        <v>15</v>
      </c>
      <c r="M307" s="38">
        <v>45944</v>
      </c>
      <c r="N307" s="38" t="s">
        <v>16</v>
      </c>
    </row>
    <row r="308" spans="1:14" x14ac:dyDescent="0.35">
      <c r="A308" s="4" t="str">
        <f>Sheet1!A308 &amp; "/" &amp; "2025"</f>
        <v>1706/2025</v>
      </c>
      <c r="B308" s="5" t="str">
        <f>Sheet1!E308</f>
        <v>AU2065696117525</v>
      </c>
      <c r="C308" s="6" t="str">
        <f>UPPER(Sheet1!B308)</f>
        <v>SARKHAB SINGH KANDOLA</v>
      </c>
      <c r="D308" s="7" t="str">
        <f>IF(Sheet1!F308="F","FEMALE","MALE")</f>
        <v>MALE</v>
      </c>
      <c r="E308" s="6" t="str">
        <f>UPPER(Sheet1!G308)</f>
        <v>PARMINDER SINGH</v>
      </c>
      <c r="F308" s="6" t="str">
        <f>UPPER(Sheet1!H308)</f>
        <v>MANPREET KAUR </v>
      </c>
      <c r="G308" s="5" t="str">
        <f>TEXT(Sheet1!C308,"dd/mm/yyyy") &amp; "," &amp; Sheet1!D308</f>
        <v xml:space="preserve">05/08/2025,BACCHUS MARSH , AUSTRALIA  </v>
      </c>
      <c r="H308" s="57" t="str">
        <f>UPPER(Sheet1!K308 &amp; "," &amp; Sheet1!L308 &amp; "," &amp; Sheet1!M308)</f>
        <v>VILL KANG,PO BHARTA KHURD,TEH NAWANSHAHR,SBS NAGAR,PIN:144518,PUNJAB,INDIA</v>
      </c>
      <c r="I308" s="8">
        <f>Sheet1!J308</f>
        <v>45940</v>
      </c>
      <c r="J308" s="5" t="str">
        <f>Sheet1!N308 &amp; "," &amp; TEXT(Sheet1!O308,"dd/mm/yy")</f>
        <v>202509062037,02/09/25</v>
      </c>
      <c r="K308" s="5" t="s">
        <v>14</v>
      </c>
      <c r="L308" s="38" t="s">
        <v>15</v>
      </c>
      <c r="M308" s="38">
        <v>45944</v>
      </c>
      <c r="N308" s="38" t="s">
        <v>16</v>
      </c>
    </row>
    <row r="309" spans="1:14" x14ac:dyDescent="0.35">
      <c r="A309" s="4" t="str">
        <f>Sheet1!A309 &amp; "/" &amp; "2025"</f>
        <v>1707/2025</v>
      </c>
      <c r="B309" s="5" t="str">
        <f>Sheet1!E309</f>
        <v>AU2065696116125</v>
      </c>
      <c r="C309" s="6" t="str">
        <f>UPPER(Sheet1!B309)</f>
        <v>JAPNOOR SINGH SANDHU</v>
      </c>
      <c r="D309" s="7" t="str">
        <f>IF(Sheet1!F309="F","FEMALE","MALE")</f>
        <v>MALE</v>
      </c>
      <c r="E309" s="6" t="str">
        <f>UPPER(Sheet1!G309)</f>
        <v>DALER SINGH</v>
      </c>
      <c r="F309" s="6" t="str">
        <f>UPPER(Sheet1!H309)</f>
        <v>ISHPREET KAUR </v>
      </c>
      <c r="G309" s="5" t="str">
        <f>TEXT(Sheet1!C309,"dd/mm/yyyy") &amp; "," &amp; Sheet1!D309</f>
        <v xml:space="preserve">08/05/2025,BERWICK , AUSTRALIA  </v>
      </c>
      <c r="H309" s="57" t="str">
        <f>UPPER(Sheet1!K309 &amp; "," &amp; Sheet1!L309 &amp; "," &amp; Sheet1!M309)</f>
        <v>VPO JALALDIWAL,TEHSIL RAIKOT,JAGRAON (LUDHIANA),PIN:141109,PUNJAB,INDIA</v>
      </c>
      <c r="I309" s="8">
        <f>Sheet1!J309</f>
        <v>45940</v>
      </c>
      <c r="J309" s="5" t="str">
        <f>Sheet1!N309 &amp; "," &amp; TEXT(Sheet1!O309,"dd/mm/yy")</f>
        <v>202509066463,19/09/25</v>
      </c>
      <c r="K309" s="5" t="s">
        <v>14</v>
      </c>
      <c r="L309" s="38" t="s">
        <v>15</v>
      </c>
      <c r="M309" s="38">
        <v>45944</v>
      </c>
      <c r="N309" s="38" t="s">
        <v>16</v>
      </c>
    </row>
    <row r="310" spans="1:14" x14ac:dyDescent="0.35">
      <c r="A310" s="4" t="str">
        <f>Sheet1!A310 &amp; "/" &amp; "2025"</f>
        <v>1708/2025</v>
      </c>
      <c r="B310" s="5" t="str">
        <f>Sheet1!E310</f>
        <v xml:space="preserve">AU2065696114325  </v>
      </c>
      <c r="C310" s="6" t="str">
        <f>UPPER(Sheet1!B310)</f>
        <v>ANAHAD KAUR AUJLA</v>
      </c>
      <c r="D310" s="7" t="str">
        <f>IF(Sheet1!F310="F","FEMALE","MALE")</f>
        <v>FEMALE</v>
      </c>
      <c r="E310" s="6" t="str">
        <f>UPPER(Sheet1!G310)</f>
        <v>JATINDER SINGH</v>
      </c>
      <c r="F310" s="6" t="str">
        <f>UPPER(Sheet1!H310)</f>
        <v>YADWINDER KAUR </v>
      </c>
      <c r="G310" s="5" t="str">
        <f>TEXT(Sheet1!C310,"dd/mm/yyyy") &amp; "," &amp; Sheet1!D310</f>
        <v xml:space="preserve">04/07/2025,ST ALBANS , AUSTRALIA </v>
      </c>
      <c r="H310" s="57" t="str">
        <f>UPPER(Sheet1!K310 &amp; "," &amp; Sheet1!L310 &amp; "," &amp; Sheet1!M310)</f>
        <v>VILL BANMAJRA,PO KURALI,ROPAR,PIN:140103,PUNJAB,INDIA</v>
      </c>
      <c r="I310" s="8">
        <f>Sheet1!J310</f>
        <v>45940</v>
      </c>
      <c r="J310" s="5" t="str">
        <f>Sheet1!N310 &amp; "," &amp; TEXT(Sheet1!O310,"dd/mm/yy")</f>
        <v>202509062835,05/09/25</v>
      </c>
      <c r="K310" s="5" t="s">
        <v>14</v>
      </c>
      <c r="L310" s="38" t="s">
        <v>15</v>
      </c>
      <c r="M310" s="38">
        <v>45944</v>
      </c>
      <c r="N310" s="38" t="s">
        <v>16</v>
      </c>
    </row>
    <row r="311" spans="1:14" x14ac:dyDescent="0.35">
      <c r="A311" s="4" t="str">
        <f>Sheet1!A311 &amp; "/" &amp; "2025"</f>
        <v>1709/2025</v>
      </c>
      <c r="B311" s="5" t="str">
        <f>Sheet1!E311</f>
        <v>AU2065696112725</v>
      </c>
      <c r="C311" s="6" t="str">
        <f>UPPER(Sheet1!B311)</f>
        <v>ANHADD KAUR</v>
      </c>
      <c r="D311" s="7" t="str">
        <f>IF(Sheet1!F311="F","FEMALE","MALE")</f>
        <v>MALE</v>
      </c>
      <c r="E311" s="6" t="str">
        <f>UPPER(Sheet1!G311)</f>
        <v>PARNEET SINGH</v>
      </c>
      <c r="F311" s="6" t="str">
        <f>UPPER(Sheet1!H311)</f>
        <v>RAJVIR  KAUR</v>
      </c>
      <c r="G311" s="5" t="str">
        <f>TEXT(Sheet1!C311,"dd/mm/yyyy") &amp; "," &amp; Sheet1!D311</f>
        <v xml:space="preserve">19/10/2024,PARKVILLE , AUSTRALIA  </v>
      </c>
      <c r="H311" s="57" t="str">
        <f>UPPER(Sheet1!K311 &amp; "," &amp; Sheet1!L311 &amp; "," &amp; Sheet1!M311)</f>
        <v>H NO. 2 GURU SAHAHE COLONY,CHAURA,PATIALA,PIN:147002,PUNJAB,INDIA</v>
      </c>
      <c r="I311" s="8">
        <f>Sheet1!J311</f>
        <v>45940</v>
      </c>
      <c r="J311" s="5" t="str">
        <f>Sheet1!N311 &amp; "," &amp; TEXT(Sheet1!O311,"dd/mm/yy")</f>
        <v>202509066156,18/09/25</v>
      </c>
      <c r="K311" s="5" t="s">
        <v>14</v>
      </c>
      <c r="L311" s="38" t="s">
        <v>15</v>
      </c>
      <c r="M311" s="38">
        <v>45944</v>
      </c>
      <c r="N311" s="38" t="s">
        <v>16</v>
      </c>
    </row>
    <row r="312" spans="1:14" x14ac:dyDescent="0.35">
      <c r="A312" s="4" t="str">
        <f>Sheet1!A312 &amp; "/" &amp; "2025"</f>
        <v>1710/2025</v>
      </c>
      <c r="B312" s="5" t="str">
        <f>Sheet1!E312</f>
        <v>AU2065696110525</v>
      </c>
      <c r="C312" s="6" t="str">
        <f>UPPER(Sheet1!B312)</f>
        <v>AKAAL SINGH BAL</v>
      </c>
      <c r="D312" s="7" t="str">
        <f>IF(Sheet1!F312="F","FEMALE","MALE")</f>
        <v>MALE</v>
      </c>
      <c r="E312" s="6" t="str">
        <f>UPPER(Sheet1!G312)</f>
        <v>ATAMJIT SINGH</v>
      </c>
      <c r="F312" s="6" t="str">
        <f>UPPER(Sheet1!H312)</f>
        <v>RAVNEET KAUR </v>
      </c>
      <c r="G312" s="5" t="str">
        <f>TEXT(Sheet1!C312,"dd/mm/yyyy") &amp; "," &amp; Sheet1!D312</f>
        <v xml:space="preserve">17/06/2025,CLAYTON , AUSTRALIA  </v>
      </c>
      <c r="H312" s="57" t="str">
        <f>UPPER(Sheet1!K312 &amp; "," &amp; Sheet1!L312 &amp; "," &amp; Sheet1!M312)</f>
        <v>VILL. PAKHANPURA,PO. ADDA JAINTIPURA,AMRITSAR,PIN:143502,PUNJAB,INDIA</v>
      </c>
      <c r="I312" s="8">
        <f>Sheet1!J312</f>
        <v>45940</v>
      </c>
      <c r="J312" s="5" t="str">
        <f>Sheet1!N312 &amp; "," &amp; TEXT(Sheet1!O312,"dd/mm/yy")</f>
        <v>202509061639,01/09/25</v>
      </c>
      <c r="K312" s="5" t="s">
        <v>14</v>
      </c>
      <c r="L312" s="38" t="s">
        <v>15</v>
      </c>
      <c r="M312" s="38">
        <v>45944</v>
      </c>
      <c r="N312" s="38" t="s">
        <v>16</v>
      </c>
    </row>
    <row r="313" spans="1:14" x14ac:dyDescent="0.35">
      <c r="A313" s="4" t="str">
        <f>Sheet1!A313 &amp; "/" &amp; "2025"</f>
        <v>1711/2025</v>
      </c>
      <c r="B313" s="5" t="str">
        <f>Sheet1!E313</f>
        <v>AU2065696106725</v>
      </c>
      <c r="C313" s="6" t="str">
        <f>UPPER(Sheet1!B313)</f>
        <v>SHIVJOT SINGH</v>
      </c>
      <c r="D313" s="7" t="str">
        <f>IF(Sheet1!F313="F","FEMALE","MALE")</f>
        <v>MALE</v>
      </c>
      <c r="E313" s="6" t="str">
        <f>UPPER(Sheet1!G313)</f>
        <v>NIRVAIR SINGH</v>
      </c>
      <c r="F313" s="6" t="str">
        <f>UPPER(Sheet1!H313)</f>
        <v>KULWINDER KAUR </v>
      </c>
      <c r="G313" s="5" t="str">
        <f>TEXT(Sheet1!C313,"dd/mm/yyyy") &amp; "," &amp; Sheet1!D313</f>
        <v>16/07/2025,DANDENONG, AUSTRALIA</v>
      </c>
      <c r="H313" s="57" t="str">
        <f>UPPER(Sheet1!K313 &amp; "," &amp; Sheet1!L313 &amp; "," &amp; Sheet1!M313)</f>
        <v>VPO,SARHALI KALAN,TARN TARAN,PIN:143401,PUNJAB,INDIA</v>
      </c>
      <c r="I313" s="8">
        <f>Sheet1!J313</f>
        <v>45940</v>
      </c>
      <c r="J313" s="5" t="str">
        <f>Sheet1!N313 &amp; "," &amp; TEXT(Sheet1!O313,"dd/mm/yy")</f>
        <v>202509061626,01/09/25</v>
      </c>
      <c r="K313" s="5" t="s">
        <v>14</v>
      </c>
      <c r="L313" s="38" t="s">
        <v>15</v>
      </c>
      <c r="M313" s="38">
        <v>45944</v>
      </c>
      <c r="N313" s="38" t="s">
        <v>16</v>
      </c>
    </row>
    <row r="314" spans="1:14" x14ac:dyDescent="0.35">
      <c r="A314" s="4" t="str">
        <f>Sheet1!A314 &amp; "/" &amp; "2025"</f>
        <v>1712/2025</v>
      </c>
      <c r="B314" s="5" t="str">
        <f>Sheet1!E314</f>
        <v>AU2065696102725</v>
      </c>
      <c r="C314" s="6" t="str">
        <f>UPPER(Sheet1!B314)</f>
        <v>AMANAT KAUR</v>
      </c>
      <c r="D314" s="7" t="str">
        <f>IF(Sheet1!F314="F","FEMALE","MALE")</f>
        <v>FEMALE</v>
      </c>
      <c r="E314" s="6" t="str">
        <f>UPPER(Sheet1!G314)</f>
        <v>GAGANDEEP SINGH</v>
      </c>
      <c r="F314" s="6" t="str">
        <f>UPPER(Sheet1!H314)</f>
        <v>PAWANDEEP  KAUR</v>
      </c>
      <c r="G314" s="5" t="str">
        <f>TEXT(Sheet1!C314,"dd/mm/yyyy") &amp; "," &amp; Sheet1!D314</f>
        <v xml:space="preserve">19/07/2025,ST ALBANS , AUSTRALIA </v>
      </c>
      <c r="H314" s="57" t="str">
        <f>UPPER(Sheet1!K314 &amp; "," &amp; Sheet1!L314 &amp; "," &amp; Sheet1!M314)</f>
        <v>PACHPERA TA MAHARAJPUR PO MADHOTANDA,PURANPUR,PILIBHIT,PIN:262122,UTTAR PRADESH,INDIA</v>
      </c>
      <c r="I314" s="8">
        <f>Sheet1!J314</f>
        <v>45940</v>
      </c>
      <c r="J314" s="5" t="str">
        <f>Sheet1!N314 &amp; "," &amp; TEXT(Sheet1!O314,"dd/mm/yy")</f>
        <v>202509061623,01/09/25</v>
      </c>
      <c r="K314" s="5" t="s">
        <v>14</v>
      </c>
      <c r="L314" s="38" t="s">
        <v>15</v>
      </c>
      <c r="M314" s="38">
        <v>45944</v>
      </c>
      <c r="N314" s="38" t="s">
        <v>16</v>
      </c>
    </row>
    <row r="315" spans="1:14" x14ac:dyDescent="0.35">
      <c r="A315" s="4" t="str">
        <f>Sheet1!A315 &amp; "/" &amp; "2025"</f>
        <v>1713/2025</v>
      </c>
      <c r="B315" s="5" t="str">
        <f>Sheet1!E315</f>
        <v>AU2065692754725</v>
      </c>
      <c r="C315" s="6" t="str">
        <f>UPPER(Sheet1!B315)</f>
        <v>GURNIWAZ SINGH SODHI</v>
      </c>
      <c r="D315" s="7" t="str">
        <f>IF(Sheet1!F315="F","FEMALE","MALE")</f>
        <v>MALE</v>
      </c>
      <c r="E315" s="6" t="str">
        <f>UPPER(Sheet1!G315)</f>
        <v>JARNAIL SINGH SODHI</v>
      </c>
      <c r="F315" s="6" t="str">
        <f>UPPER(Sheet1!H315)</f>
        <v>PRIYA RANI </v>
      </c>
      <c r="G315" s="5" t="str">
        <f>TEXT(Sheet1!C315,"dd/mm/yyyy") &amp; "," &amp; Sheet1!D315</f>
        <v xml:space="preserve">01/08/2025,EPPING , AUSTRALIA </v>
      </c>
      <c r="H315" s="57" t="str">
        <f>UPPER(Sheet1!K315 &amp; "," &amp; Sheet1!L315 &amp; "," &amp; Sheet1!M315)</f>
        <v>VILL- BHANA,PO- DHUDI,FARIDKOT,PIN:151203,PUNJAB,INDIA</v>
      </c>
      <c r="I315" s="8">
        <f>Sheet1!J315</f>
        <v>45940</v>
      </c>
      <c r="J315" s="5" t="str">
        <f>Sheet1!N315 &amp; "," &amp; TEXT(Sheet1!O315,"dd/mm/yy")</f>
        <v>202509067813,24/09/25</v>
      </c>
      <c r="K315" s="5" t="s">
        <v>14</v>
      </c>
      <c r="L315" s="38" t="s">
        <v>15</v>
      </c>
      <c r="M315" s="38">
        <v>45944</v>
      </c>
      <c r="N315" s="38" t="s">
        <v>16</v>
      </c>
    </row>
    <row r="316" spans="1:14" x14ac:dyDescent="0.35">
      <c r="A316" s="4" t="str">
        <f>Sheet1!A316 &amp; "/" &amp; "2025"</f>
        <v>1714/2025</v>
      </c>
      <c r="B316" s="5" t="str">
        <f>Sheet1!E316</f>
        <v>AU2065696099525</v>
      </c>
      <c r="C316" s="6" t="str">
        <f>UPPER(Sheet1!B316)</f>
        <v>ZARA KHAN</v>
      </c>
      <c r="D316" s="7" t="str">
        <f>IF(Sheet1!F316="F","FEMALE","MALE")</f>
        <v>FEMALE</v>
      </c>
      <c r="E316" s="6" t="str">
        <f>UPPER(Sheet1!G316)</f>
        <v>FEROZE KHAN</v>
      </c>
      <c r="F316" s="6" t="str">
        <f>UPPER(Sheet1!H316)</f>
        <v>SHABNAM  KHATOON</v>
      </c>
      <c r="G316" s="5" t="str">
        <f>TEXT(Sheet1!C316,"dd/mm/yyyy") &amp; "," &amp; Sheet1!D316</f>
        <v xml:space="preserve">11/04/2025,EPPING , AUSTRALIA </v>
      </c>
      <c r="H316" s="57" t="str">
        <f>UPPER(Sheet1!K316 &amp; "," &amp; Sheet1!L316 &amp; "," &amp; Sheet1!M316)</f>
        <v>NANDI KHALSA,PO-PATHERA,TEH-INDRI,KARNAL,PIN:132041,HARYANA,INDIA</v>
      </c>
      <c r="I316" s="8">
        <f>Sheet1!J316</f>
        <v>45940</v>
      </c>
      <c r="J316" s="5" t="str">
        <f>Sheet1!N316 &amp; "," &amp; TEXT(Sheet1!O316,"dd/mm/yy")</f>
        <v>202509045525,01/07/25</v>
      </c>
      <c r="K316" s="5" t="s">
        <v>14</v>
      </c>
      <c r="L316" s="38" t="s">
        <v>15</v>
      </c>
      <c r="M316" s="38">
        <v>45944</v>
      </c>
      <c r="N316" s="38" t="s">
        <v>16</v>
      </c>
    </row>
    <row r="317" spans="1:14" x14ac:dyDescent="0.35">
      <c r="A317" s="4" t="str">
        <f>Sheet1!A317 &amp; "/" &amp; "2025"</f>
        <v>1715/2025</v>
      </c>
      <c r="B317" s="5" t="str">
        <f>Sheet1!E317</f>
        <v>AU2065696101725</v>
      </c>
      <c r="C317" s="6" t="str">
        <f>UPPER(Sheet1!B317)</f>
        <v>SHUBHKARMAN SINGH</v>
      </c>
      <c r="D317" s="7" t="str">
        <f>IF(Sheet1!F317="F","FEMALE","MALE")</f>
        <v>MALE</v>
      </c>
      <c r="E317" s="6" t="str">
        <f>UPPER(Sheet1!G317)</f>
        <v>LOVEPREET SINGH</v>
      </c>
      <c r="F317" s="6" t="str">
        <f>UPPER(Sheet1!H317)</f>
        <v>NEHANROOP  KAUR</v>
      </c>
      <c r="G317" s="5" t="str">
        <f>TEXT(Sheet1!C317,"dd/mm/yyyy") &amp; "," &amp; Sheet1!D317</f>
        <v xml:space="preserve">08/08/2025,MALVERN, AUSTRALIA </v>
      </c>
      <c r="H317" s="57" t="str">
        <f>UPPER(Sheet1!K317 &amp; "," &amp; Sheet1!L317 &amp; "," &amp; Sheet1!M317)</f>
        <v>VILL. KARTARPUR,P.O. CHARASON,PATIALA,PIN:147101,PUNJAB,INDIA</v>
      </c>
      <c r="I317" s="8">
        <f>Sheet1!J317</f>
        <v>45940</v>
      </c>
      <c r="J317" s="5" t="str">
        <f>Sheet1!N317 &amp; "," &amp; TEXT(Sheet1!O317,"dd/mm/yy")</f>
        <v>202509067963,25/09/25</v>
      </c>
      <c r="K317" s="5" t="s">
        <v>14</v>
      </c>
      <c r="L317" s="38" t="s">
        <v>15</v>
      </c>
      <c r="M317" s="38">
        <v>45944</v>
      </c>
      <c r="N317" s="38" t="s">
        <v>16</v>
      </c>
    </row>
    <row r="318" spans="1:14" x14ac:dyDescent="0.35">
      <c r="A318" s="4" t="str">
        <f>Sheet1!A318 &amp; "/" &amp; "2025"</f>
        <v>1716/2025</v>
      </c>
      <c r="B318" s="5" t="str">
        <f>Sheet1!E318</f>
        <v>AU2065696103525</v>
      </c>
      <c r="C318" s="6" t="str">
        <f>UPPER(Sheet1!B318)</f>
        <v>ELAHI KAUR BRAR</v>
      </c>
      <c r="D318" s="7" t="str">
        <f>IF(Sheet1!F318="F","FEMALE","MALE")</f>
        <v>FEMALE</v>
      </c>
      <c r="E318" s="6" t="str">
        <f>UPPER(Sheet1!G318)</f>
        <v>MANIDERJIT SINGH BRAR</v>
      </c>
      <c r="F318" s="6" t="str">
        <f>UPPER(Sheet1!H318)</f>
        <v>GURJEET KAUR </v>
      </c>
      <c r="G318" s="5" t="str">
        <f>TEXT(Sheet1!C318,"dd/mm/yyyy") &amp; "," &amp; Sheet1!D318</f>
        <v xml:space="preserve">20/06/2025,ST ALBANS , AUSTRALIA </v>
      </c>
      <c r="H318" s="57" t="str">
        <f>UPPER(Sheet1!K318 &amp; "," &amp; Sheet1!L318 &amp; "," &amp; Sheet1!M318)</f>
        <v>106,VILL CHAMBELI,PO DHUDHI,FARIDKOT,PIN:151203,PUNJAB,INDIA</v>
      </c>
      <c r="I318" s="8">
        <f>Sheet1!J318</f>
        <v>45940</v>
      </c>
      <c r="J318" s="5" t="str">
        <f>Sheet1!N318 &amp; "," &amp; TEXT(Sheet1!O318,"dd/mm/yy")</f>
        <v>202509067982,25/09/25</v>
      </c>
      <c r="K318" s="5" t="s">
        <v>14</v>
      </c>
      <c r="L318" s="38" t="s">
        <v>15</v>
      </c>
      <c r="M318" s="38">
        <v>45944</v>
      </c>
      <c r="N318" s="38" t="s">
        <v>16</v>
      </c>
    </row>
    <row r="319" spans="1:14" x14ac:dyDescent="0.35">
      <c r="A319" s="4" t="str">
        <f>Sheet1!A319 &amp; "/" &amp; "2025"</f>
        <v>1717/2025</v>
      </c>
      <c r="B319" s="5" t="str">
        <f>Sheet1!E319</f>
        <v>AU2065696105325</v>
      </c>
      <c r="C319" s="6" t="str">
        <f>UPPER(Sheet1!B319)</f>
        <v>KIAN CHAUDHARY</v>
      </c>
      <c r="D319" s="7" t="str">
        <f>IF(Sheet1!F319="F","FEMALE","MALE")</f>
        <v>MALE</v>
      </c>
      <c r="E319" s="6" t="str">
        <f>UPPER(Sheet1!G319)</f>
        <v>SARTHAK KUMAR</v>
      </c>
      <c r="F319" s="6" t="str">
        <f>UPPER(Sheet1!H319)</f>
        <v>CHELSIA </v>
      </c>
      <c r="G319" s="5" t="str">
        <f>TEXT(Sheet1!C319,"dd/mm/yyyy") &amp; "," &amp; Sheet1!D319</f>
        <v xml:space="preserve">26/06/2025,EPPING , AUSTRALIA </v>
      </c>
      <c r="H319" s="57" t="str">
        <f>UPPER(Sheet1!K319 &amp; "," &amp; Sheet1!L319 &amp; "," &amp; Sheet1!M319)</f>
        <v>VILLAGE CHOUPURA,DHULAWLI,SAHARANPUR,PIN:247341,UTTAR PRADESH,INDIA</v>
      </c>
      <c r="I319" s="8">
        <f>Sheet1!J319</f>
        <v>45940</v>
      </c>
      <c r="J319" s="5" t="str">
        <f>Sheet1!N319 &amp; "," &amp; TEXT(Sheet1!O319,"dd/mm/yy")</f>
        <v>202509067879,24/09/25</v>
      </c>
      <c r="K319" s="5" t="s">
        <v>14</v>
      </c>
      <c r="L319" s="38" t="s">
        <v>15</v>
      </c>
      <c r="M319" s="38">
        <v>45944</v>
      </c>
      <c r="N319" s="38" t="s">
        <v>16</v>
      </c>
    </row>
    <row r="320" spans="1:14" x14ac:dyDescent="0.35">
      <c r="A320" s="4" t="str">
        <f>Sheet1!A320 &amp; "/" &amp; "2025"</f>
        <v>1718/2025</v>
      </c>
      <c r="B320" s="5" t="str">
        <f>Sheet1!E320</f>
        <v>AU2065692782925</v>
      </c>
      <c r="C320" s="6" t="str">
        <f>UPPER(Sheet1!B320)</f>
        <v>SAANJH KAUR KAIRVE</v>
      </c>
      <c r="D320" s="7" t="str">
        <f>IF(Sheet1!F320="F","FEMALE","MALE")</f>
        <v>FEMALE</v>
      </c>
      <c r="E320" s="6" t="str">
        <f>UPPER(Sheet1!G320)</f>
        <v>GURPREET SINGH KAIRVE</v>
      </c>
      <c r="F320" s="6" t="str">
        <f>UPPER(Sheet1!H320)</f>
        <v>SARABJIT KAUR </v>
      </c>
      <c r="G320" s="5" t="str">
        <f>TEXT(Sheet1!C320,"dd/mm/yyyy") &amp; "," &amp; Sheet1!D320</f>
        <v>26/03/2025,BALLARAT CENTRAL, AUSTRALIA</v>
      </c>
      <c r="H320" s="57" t="str">
        <f>UPPER(Sheet1!K320 &amp; "," &amp; Sheet1!L320 &amp; "," &amp; Sheet1!M320)</f>
        <v>H.NO.155,NEAR DHARAMSHALA,VILL KHUDI KHURD,BARNALA,PIN:148108,PUNJAB,INDIA</v>
      </c>
      <c r="I320" s="8">
        <f>Sheet1!J320</f>
        <v>45940</v>
      </c>
      <c r="J320" s="5" t="str">
        <f>Sheet1!N320 &amp; "," &amp; TEXT(Sheet1!O320,"dd/mm/yy")</f>
        <v>202509049652,16/07/25</v>
      </c>
      <c r="K320" s="5" t="s">
        <v>14</v>
      </c>
      <c r="L320" s="38" t="s">
        <v>15</v>
      </c>
      <c r="M320" s="38">
        <v>45944</v>
      </c>
      <c r="N320" s="38" t="s">
        <v>16</v>
      </c>
    </row>
    <row r="321" spans="1:14" x14ac:dyDescent="0.35">
      <c r="A321" s="4" t="str">
        <f>Sheet1!A321 &amp; "/" &amp; "2025"</f>
        <v>1719/2025</v>
      </c>
      <c r="B321" s="5" t="str">
        <f>Sheet1!E321</f>
        <v>AU2065692783125</v>
      </c>
      <c r="C321" s="6" t="str">
        <f>UPPER(Sheet1!B321)</f>
        <v>HARNIWAZ SINGH DHILLON</v>
      </c>
      <c r="D321" s="7" t="str">
        <f>IF(Sheet1!F321="F","FEMALE","MALE")</f>
        <v>MALE</v>
      </c>
      <c r="E321" s="6" t="str">
        <f>UPPER(Sheet1!G321)</f>
        <v>GURPREET SINGH DHILLON</v>
      </c>
      <c r="F321" s="6" t="str">
        <f>UPPER(Sheet1!H321)</f>
        <v>KULDEEP KAUR  DHILLON</v>
      </c>
      <c r="G321" s="5" t="str">
        <f>TEXT(Sheet1!C321,"dd/mm/yyyy") &amp; "," &amp; Sheet1!D321</f>
        <v xml:space="preserve">26/08/2025,EPPING , AUSTRALIA </v>
      </c>
      <c r="H321" s="57" t="str">
        <f>UPPER(Sheet1!K321 &amp; "," &amp; Sheet1!L321 &amp; "," &amp; Sheet1!M321)</f>
        <v>VILLAGE NEAR DHARMSHALA GOBINDGARH,TEHSIL JAITU,FARIDKOT,PIN:151205,PUNJAB,INDIA</v>
      </c>
      <c r="I321" s="8">
        <f>Sheet1!J321</f>
        <v>45940</v>
      </c>
      <c r="J321" s="5" t="str">
        <f>Sheet1!N321 &amp; "," &amp; TEXT(Sheet1!O321,"dd/mm/yy")</f>
        <v>202509069195,30/09/25</v>
      </c>
      <c r="K321" s="5" t="s">
        <v>14</v>
      </c>
      <c r="L321" s="38" t="s">
        <v>15</v>
      </c>
      <c r="M321" s="38">
        <v>45944</v>
      </c>
      <c r="N321" s="38" t="s">
        <v>16</v>
      </c>
    </row>
    <row r="322" spans="1:14" x14ac:dyDescent="0.35">
      <c r="A322" s="4" t="str">
        <f>Sheet1!A322 &amp; "/" &amp; "2025"</f>
        <v>1720/2025</v>
      </c>
      <c r="B322" s="5" t="str">
        <f>Sheet1!E322</f>
        <v>AU2065692783525</v>
      </c>
      <c r="C322" s="6" t="str">
        <f>UPPER(Sheet1!B322)</f>
        <v>AISHA KHATIB</v>
      </c>
      <c r="D322" s="7" t="str">
        <f>IF(Sheet1!F322="F","FEMALE","MALE")</f>
        <v>FEMALE</v>
      </c>
      <c r="E322" s="6" t="str">
        <f>UPPER(Sheet1!G322)</f>
        <v>MOHAMMED SAYAF KHATIB</v>
      </c>
      <c r="F322" s="6" t="str">
        <f>UPPER(Sheet1!H322)</f>
        <v>FATHIMA ZUHA </v>
      </c>
      <c r="G322" s="5" t="str">
        <f>TEXT(Sheet1!C322,"dd/mm/yyyy") &amp; "," &amp; Sheet1!D322</f>
        <v xml:space="preserve">27/05/2025,HEIDELBERG , AUSTRALIA </v>
      </c>
      <c r="H322" s="57" t="str">
        <f>UPPER(Sheet1!K322 &amp; "," &amp; Sheet1!L322 &amp; "," &amp; Sheet1!M322)</f>
        <v>SHAMS,MANDIPET,TUMAKURU,PIN:572101,KARNATAKA,INDIA</v>
      </c>
      <c r="I322" s="8">
        <f>Sheet1!J322</f>
        <v>45940</v>
      </c>
      <c r="J322" s="5" t="str">
        <f>Sheet1!N322 &amp; "," &amp; TEXT(Sheet1!O322,"dd/mm/yy")</f>
        <v>202509069202,30/09/25</v>
      </c>
      <c r="K322" s="5" t="s">
        <v>14</v>
      </c>
      <c r="L322" s="38" t="s">
        <v>15</v>
      </c>
      <c r="M322" s="38">
        <v>45944</v>
      </c>
      <c r="N322" s="38" t="s">
        <v>16</v>
      </c>
    </row>
    <row r="323" spans="1:14" x14ac:dyDescent="0.35">
      <c r="A323" s="4" t="str">
        <f>Sheet1!A323 &amp; "/" &amp; "2025"</f>
        <v>1721/2025</v>
      </c>
      <c r="B323" s="5" t="str">
        <f>Sheet1!E323</f>
        <v>AU2065692784125</v>
      </c>
      <c r="C323" s="6" t="str">
        <f>UPPER(Sheet1!B323)</f>
        <v>ANGAD BANSAL</v>
      </c>
      <c r="D323" s="7" t="str">
        <f>IF(Sheet1!F323="F","FEMALE","MALE")</f>
        <v>MALE</v>
      </c>
      <c r="E323" s="6" t="str">
        <f>UPPER(Sheet1!G323)</f>
        <v>NEERAJ BANSAL</v>
      </c>
      <c r="F323" s="6" t="str">
        <f>UPPER(Sheet1!H323)</f>
        <v>KANISHKA  RANJAN</v>
      </c>
      <c r="G323" s="5" t="str">
        <f>TEXT(Sheet1!C323,"dd/mm/yyyy") &amp; "," &amp; Sheet1!D323</f>
        <v>14/06/2025,HOBART , AUSTRALIA</v>
      </c>
      <c r="H323" s="57" t="str">
        <f>UPPER(Sheet1!K323 &amp; "," &amp; Sheet1!L323 &amp; "," &amp; Sheet1!M323)</f>
        <v>1658/23,VISHNU COLONY,KURUKSHETRA,KURUKSHETRA,PIN:136118,HARYANA,INDIA</v>
      </c>
      <c r="I323" s="8">
        <f>Sheet1!J323</f>
        <v>45940</v>
      </c>
      <c r="J323" s="5" t="str">
        <f>Sheet1!N323 &amp; "," &amp; TEXT(Sheet1!O323,"dd/mm/yy")</f>
        <v>202509063649,09/09/25</v>
      </c>
      <c r="K323" s="5" t="s">
        <v>14</v>
      </c>
      <c r="L323" s="38" t="s">
        <v>15</v>
      </c>
      <c r="M323" s="38">
        <v>45944</v>
      </c>
      <c r="N323" s="38" t="s">
        <v>16</v>
      </c>
    </row>
    <row r="324" spans="1:14" x14ac:dyDescent="0.35">
      <c r="A324" s="4" t="str">
        <f>Sheet1!A324 &amp; "/" &amp; "2025"</f>
        <v>1722/2025</v>
      </c>
      <c r="B324" s="5" t="str">
        <f>Sheet1!E324</f>
        <v>AU2065692784525</v>
      </c>
      <c r="C324" s="6" t="str">
        <f>UPPER(Sheet1!B324)</f>
        <v>SADAA KAUR SRA</v>
      </c>
      <c r="D324" s="7" t="str">
        <f>IF(Sheet1!F324="F","FEMALE","MALE")</f>
        <v>FEMALE</v>
      </c>
      <c r="E324" s="6" t="str">
        <f>UPPER(Sheet1!G324)</f>
        <v>SUKHRAJ SINGH</v>
      </c>
      <c r="F324" s="6" t="str">
        <f>UPPER(Sheet1!H324)</f>
        <v>JASPREET KAUR </v>
      </c>
      <c r="G324" s="5" t="str">
        <f>TEXT(Sheet1!C324,"dd/mm/yyyy") &amp; "," &amp; Sheet1!D324</f>
        <v xml:space="preserve">15/05/2025,BERWICK , AUSTRALIA  </v>
      </c>
      <c r="H324" s="57" t="str">
        <f>UPPER(Sheet1!K324 &amp; "," &amp; Sheet1!L324 &amp; "," &amp; Sheet1!M324)</f>
        <v>VILL. GARHI SINGHA RATTAN GARH DERA PO.,BHOR SAIDAN TEH. PEHOWA,KURUKSHETRA,PIN:136128,HARYANA,INDIA</v>
      </c>
      <c r="I324" s="8">
        <f>Sheet1!J324</f>
        <v>45940</v>
      </c>
      <c r="J324" s="5" t="str">
        <f>Sheet1!N324 &amp; "," &amp; TEXT(Sheet1!O324,"dd/mm/yy")</f>
        <v>202509069508,01/10/25</v>
      </c>
      <c r="K324" s="5" t="s">
        <v>14</v>
      </c>
      <c r="L324" s="38" t="s">
        <v>15</v>
      </c>
      <c r="M324" s="38">
        <v>45944</v>
      </c>
      <c r="N324" s="38" t="s">
        <v>16</v>
      </c>
    </row>
    <row r="325" spans="1:14" x14ac:dyDescent="0.35">
      <c r="A325" s="4" t="str">
        <f>Sheet1!A325 &amp; "/" &amp; "2025"</f>
        <v>1723/2025</v>
      </c>
      <c r="B325" s="5" t="str">
        <f>Sheet1!E325</f>
        <v>AU2065692785125</v>
      </c>
      <c r="C325" s="6" t="str">
        <f>UPPER(Sheet1!B325)</f>
        <v>HUKAM SINGH SANDHU</v>
      </c>
      <c r="D325" s="7" t="str">
        <f>IF(Sheet1!F325="F","FEMALE","MALE")</f>
        <v>MALE</v>
      </c>
      <c r="E325" s="6" t="str">
        <f>UPPER(Sheet1!G325)</f>
        <v>LOVEJEET SINGH SANDHU</v>
      </c>
      <c r="F325" s="6" t="str">
        <f>UPPER(Sheet1!H325)</f>
        <v>KAMALPREET KAUR  BRAR</v>
      </c>
      <c r="G325" s="5" t="str">
        <f>TEXT(Sheet1!C325,"dd/mm/yyyy") &amp; "," &amp; Sheet1!D325</f>
        <v xml:space="preserve">17/07/2025,WERIBEE, AUSTRALIA </v>
      </c>
      <c r="H325" s="57" t="str">
        <f>UPPER(Sheet1!K325 &amp; "," &amp; Sheet1!L325 &amp; "," &amp; Sheet1!M325)</f>
        <v>VILLAGE VIRKAN WALI PO LOHGARH,TEHSIL ZIRA,FEROZEPUR,PIN:142052,PUNJAB,INDIA</v>
      </c>
      <c r="I325" s="8">
        <f>Sheet1!J325</f>
        <v>45940</v>
      </c>
      <c r="J325" s="5" t="str">
        <f>Sheet1!N325 &amp; "," &amp; TEXT(Sheet1!O325,"dd/mm/yy")</f>
        <v>202509063568,09/09/25</v>
      </c>
      <c r="K325" s="5" t="s">
        <v>14</v>
      </c>
      <c r="L325" s="38" t="s">
        <v>15</v>
      </c>
      <c r="M325" s="38">
        <v>45944</v>
      </c>
      <c r="N325" s="38" t="s">
        <v>16</v>
      </c>
    </row>
    <row r="326" spans="1:14" x14ac:dyDescent="0.35">
      <c r="A326" s="4" t="str">
        <f>Sheet1!A326 &amp; "/" &amp; "2025"</f>
        <v>1724/2025</v>
      </c>
      <c r="B326" s="5" t="str">
        <f>Sheet1!E326</f>
        <v>AU2065692785325</v>
      </c>
      <c r="C326" s="6" t="str">
        <f>UPPER(Sheet1!B326)</f>
        <v>RABAB SINGH KHAIRA</v>
      </c>
      <c r="D326" s="7" t="str">
        <f>IF(Sheet1!F326="F","FEMALE","MALE")</f>
        <v>MALE</v>
      </c>
      <c r="E326" s="6" t="str">
        <f>UPPER(Sheet1!G326)</f>
        <v>HARWINDER SINGH KHAIRA</v>
      </c>
      <c r="F326" s="6" t="str">
        <f>UPPER(Sheet1!H326)</f>
        <v>JASPREET  KAUR</v>
      </c>
      <c r="G326" s="5" t="str">
        <f>TEXT(Sheet1!C326,"dd/mm/yyyy") &amp; "," &amp; Sheet1!D326</f>
        <v xml:space="preserve">08/01/2025,BACCHUS MARSH , AUSTRALIA  </v>
      </c>
      <c r="H326" s="57" t="str">
        <f>UPPER(Sheet1!K326 &amp; "," &amp; Sheet1!L326 &amp; "," &amp; Sheet1!M326)</f>
        <v>NEAR PRIMARY SCHOOL,ABBUPURA,JAGRAON (LUDHIANA),PIN:142033,PUNJAB,INDIA</v>
      </c>
      <c r="I326" s="8">
        <f>Sheet1!J326</f>
        <v>45940</v>
      </c>
      <c r="J326" s="5" t="str">
        <f>Sheet1!N326 &amp; "," &amp; TEXT(Sheet1!O326,"dd/mm/yy")</f>
        <v>202509059229,22/08/25</v>
      </c>
      <c r="K326" s="5" t="s">
        <v>14</v>
      </c>
      <c r="L326" s="38" t="s">
        <v>15</v>
      </c>
      <c r="M326" s="38">
        <v>45944</v>
      </c>
      <c r="N326" s="38" t="s">
        <v>16</v>
      </c>
    </row>
    <row r="327" spans="1:14" x14ac:dyDescent="0.35">
      <c r="A327" s="4" t="str">
        <f>Sheet1!A327 &amp; "/" &amp; "2025"</f>
        <v>1725/2025</v>
      </c>
      <c r="B327" s="5" t="str">
        <f>Sheet1!E327</f>
        <v>AU2065692785925</v>
      </c>
      <c r="C327" s="6" t="str">
        <f>UPPER(Sheet1!B327)</f>
        <v>NOMANSH AGGARWAL</v>
      </c>
      <c r="D327" s="7" t="str">
        <f>IF(Sheet1!F327="F","FEMALE","MALE")</f>
        <v>MALE</v>
      </c>
      <c r="E327" s="6" t="str">
        <f>UPPER(Sheet1!G327)</f>
        <v>LOVE AGGARWAL</v>
      </c>
      <c r="F327" s="6" t="str">
        <f>UPPER(Sheet1!H327)</f>
        <v>NEHA  RANI</v>
      </c>
      <c r="G327" s="5" t="str">
        <f>TEXT(Sheet1!C327,"dd/mm/yyyy") &amp; "," &amp; Sheet1!D327</f>
        <v xml:space="preserve">04/08/2025,HEIDELBERG , AUSTRALIA </v>
      </c>
      <c r="H327" s="57" t="str">
        <f>UPPER(Sheet1!K327 &amp; "," &amp; Sheet1!L327 &amp; "," &amp; Sheet1!M327)</f>
        <v>D 5/25 SADATPUR EXT,KARAWAL NAGAR ROAD,DELHI,DELHI,PIN:110094,DELHI,INDIA</v>
      </c>
      <c r="I327" s="8">
        <f>Sheet1!J327</f>
        <v>45940</v>
      </c>
      <c r="J327" s="5" t="str">
        <f>Sheet1!N327 &amp; "," &amp; TEXT(Sheet1!O327,"dd/mm/yy")</f>
        <v>202509069137,29/09/25</v>
      </c>
      <c r="K327" s="5" t="s">
        <v>14</v>
      </c>
      <c r="L327" s="38" t="s">
        <v>15</v>
      </c>
      <c r="M327" s="38">
        <v>45944</v>
      </c>
      <c r="N327" s="38" t="s">
        <v>16</v>
      </c>
    </row>
    <row r="328" spans="1:14" x14ac:dyDescent="0.35">
      <c r="A328" s="4" t="str">
        <f>Sheet1!A328 &amp; "/" &amp; "2025"</f>
        <v>1726/2025</v>
      </c>
      <c r="B328" s="5" t="str">
        <f>Sheet1!E328</f>
        <v>AU2065692786525</v>
      </c>
      <c r="C328" s="6" t="str">
        <f>UPPER(Sheet1!B328)</f>
        <v>GAURI SHARMA</v>
      </c>
      <c r="D328" s="7" t="str">
        <f>IF(Sheet1!F328="F","FEMALE","MALE")</f>
        <v>FEMALE</v>
      </c>
      <c r="E328" s="6" t="str">
        <f>UPPER(Sheet1!G328)</f>
        <v>RAJAT SHARMA</v>
      </c>
      <c r="F328" s="6" t="str">
        <f>UPPER(Sheet1!H328)</f>
        <v>HEENA  ARORA</v>
      </c>
      <c r="G328" s="5" t="str">
        <f>TEXT(Sheet1!C328,"dd/mm/yyyy") &amp; "," &amp; Sheet1!D328</f>
        <v xml:space="preserve">16/06/2025,HEIDELBERG , AUSTRALIA </v>
      </c>
      <c r="H328" s="57" t="str">
        <f>UPPER(Sheet1!K328 &amp; "," &amp; Sheet1!L328 &amp; "," &amp; Sheet1!M328)</f>
        <v>1483,SECTOR 30 B,CHANDIGARH,CHANDIGARH,PIN:160030,CHANDIGARH,INDIA</v>
      </c>
      <c r="I328" s="8">
        <f>Sheet1!J328</f>
        <v>45940</v>
      </c>
      <c r="J328" s="5" t="str">
        <f>Sheet1!N328 &amp; "," &amp; TEXT(Sheet1!O328,"dd/mm/yy")</f>
        <v>202509057379,14/08/25</v>
      </c>
      <c r="K328" s="5" t="s">
        <v>14</v>
      </c>
      <c r="L328" s="38" t="s">
        <v>15</v>
      </c>
      <c r="M328" s="38">
        <v>45944</v>
      </c>
      <c r="N328" s="38" t="s">
        <v>16</v>
      </c>
    </row>
    <row r="329" spans="1:14" x14ac:dyDescent="0.35">
      <c r="A329" s="4" t="str">
        <f>Sheet1!A329 &amp; "/" &amp; "2025"</f>
        <v>1727/2025</v>
      </c>
      <c r="B329" s="5" t="str">
        <f>Sheet1!E329</f>
        <v>AU2065694986325</v>
      </c>
      <c r="C329" s="6" t="str">
        <f>UPPER(Sheet1!B329)</f>
        <v>RUBAAN KAUR KHEHRA</v>
      </c>
      <c r="D329" s="7" t="str">
        <f>IF(Sheet1!F329="F","FEMALE","MALE")</f>
        <v>FEMALE</v>
      </c>
      <c r="E329" s="6" t="str">
        <f>UPPER(Sheet1!G329)</f>
        <v>VISHALVIJAY SINGH</v>
      </c>
      <c r="F329" s="6" t="str">
        <f>UPPER(Sheet1!H329)</f>
        <v>KAMALJIT KAUR  KANG</v>
      </c>
      <c r="G329" s="5" t="str">
        <f>TEXT(Sheet1!C329,"dd/mm/yyyy") &amp; "," &amp; Sheet1!D329</f>
        <v xml:space="preserve">09/04/2025,BACCHUS MARSH , AUSTRALIA  </v>
      </c>
      <c r="H329" s="57" t="str">
        <f>UPPER(Sheet1!K329 &amp; "," &amp; Sheet1!L329 &amp; "," &amp; Sheet1!M329)</f>
        <v>VPO,ADDA JAINTIPUR,AMRITSAR,AMRITSAR,PIN:143502,PUNJAB,INDIA</v>
      </c>
      <c r="I329" s="8">
        <f>Sheet1!J329</f>
        <v>45940</v>
      </c>
      <c r="J329" s="5" t="str">
        <f>Sheet1!N329 &amp; "," &amp; TEXT(Sheet1!O329,"dd/mm/yy")</f>
        <v>202509067340,23/09/25</v>
      </c>
      <c r="K329" s="5" t="s">
        <v>14</v>
      </c>
      <c r="L329" s="38" t="s">
        <v>15</v>
      </c>
      <c r="M329" s="38">
        <v>45944</v>
      </c>
      <c r="N329" s="38" t="s">
        <v>16</v>
      </c>
    </row>
    <row r="330" spans="1:14" x14ac:dyDescent="0.35">
      <c r="A330" s="4" t="str">
        <f>Sheet1!A330 &amp; "/" &amp; "2025"</f>
        <v>1728/2025</v>
      </c>
      <c r="B330" s="5" t="str">
        <f>Sheet1!E330</f>
        <v>AU2065692796925</v>
      </c>
      <c r="C330" s="6" t="str">
        <f>UPPER(Sheet1!B330)</f>
        <v>KOHINOOR NAPHE</v>
      </c>
      <c r="D330" s="7" t="str">
        <f>IF(Sheet1!F330="F","FEMALE","MALE")</f>
        <v>FEMALE</v>
      </c>
      <c r="E330" s="6" t="str">
        <f>UPPER(Sheet1!G330)</f>
        <v>NAPHE SINGH</v>
      </c>
      <c r="F330" s="6" t="str">
        <f>UPPER(Sheet1!H330)</f>
        <v>RAJNI </v>
      </c>
      <c r="G330" s="5" t="str">
        <f>TEXT(Sheet1!C330,"dd/mm/yyyy") &amp; "," &amp; Sheet1!D330</f>
        <v xml:space="preserve">28/08/2025,CLAYTON , AUSTRALIA  </v>
      </c>
      <c r="H330" s="57" t="str">
        <f>UPPER(Sheet1!K330 &amp; "," &amp; Sheet1!L330 &amp; "," &amp; Sheet1!M330)</f>
        <v>VILLAGE BARANI,PO SAMANA BAHU,KARNAL,PIN:132117,HARYANA,INDIA</v>
      </c>
      <c r="I330" s="8">
        <f>Sheet1!J330</f>
        <v>45946</v>
      </c>
      <c r="J330" s="5" t="str">
        <f>Sheet1!N330 &amp; "," &amp; TEXT(Sheet1!O330,"dd/mm/yy")</f>
        <v>202509069280,30/09/25</v>
      </c>
      <c r="K330" s="5" t="s">
        <v>14</v>
      </c>
      <c r="L330" s="38" t="s">
        <v>15</v>
      </c>
      <c r="M330" s="38">
        <v>45959</v>
      </c>
      <c r="N330" s="38" t="s">
        <v>16</v>
      </c>
    </row>
    <row r="331" spans="1:14" x14ac:dyDescent="0.35">
      <c r="A331" s="4" t="str">
        <f>Sheet1!A331 &amp; "/" &amp; "2025"</f>
        <v>1729/2025</v>
      </c>
      <c r="B331" s="5" t="str">
        <f>Sheet1!E331</f>
        <v>AU2065692797325</v>
      </c>
      <c r="C331" s="6" t="str">
        <f>UPPER(Sheet1!B331)</f>
        <v>KIARAH TUNDIYA</v>
      </c>
      <c r="D331" s="7" t="str">
        <f>IF(Sheet1!F331="F","FEMALE","MALE")</f>
        <v>FEMALE</v>
      </c>
      <c r="E331" s="6" t="str">
        <f>UPPER(Sheet1!G331)</f>
        <v>RAHUL TUNDIYA</v>
      </c>
      <c r="F331" s="6" t="str">
        <f>UPPER(Sheet1!H331)</f>
        <v>KOMALBEN RAHUL  TUNDIYA</v>
      </c>
      <c r="G331" s="5" t="str">
        <f>TEXT(Sheet1!C331,"dd/mm/yyyy") &amp; "," &amp; Sheet1!D331</f>
        <v xml:space="preserve">20/08/2025,CLAYTON , AUSTRALIA  </v>
      </c>
      <c r="H331" s="57" t="str">
        <f>UPPER(Sheet1!K331 &amp; "," &amp; Sheet1!L331 &amp; "," &amp; Sheet1!M331)</f>
        <v>52 MADHAV PARK PART-2 VASTRAL,AHMEDABAD,AHMEDABAD,PIN:382415,GUJARAT,INDIA</v>
      </c>
      <c r="I331" s="8">
        <f>Sheet1!J331</f>
        <v>45946</v>
      </c>
      <c r="J331" s="5" t="str">
        <f>Sheet1!N331 &amp; "," &amp; TEXT(Sheet1!O331,"dd/mm/yy")</f>
        <v>202509066134,18/09/25</v>
      </c>
      <c r="K331" s="5" t="s">
        <v>14</v>
      </c>
      <c r="L331" s="38" t="s">
        <v>15</v>
      </c>
      <c r="M331" s="38">
        <v>45959</v>
      </c>
      <c r="N331" s="38" t="s">
        <v>16</v>
      </c>
    </row>
    <row r="332" spans="1:14" x14ac:dyDescent="0.35">
      <c r="A332" s="4" t="str">
        <f>Sheet1!A332 &amp; "/" &amp; "2025"</f>
        <v>1730/2025</v>
      </c>
      <c r="B332" s="5" t="str">
        <f>Sheet1!E332</f>
        <v>AU2065692797525</v>
      </c>
      <c r="C332" s="6" t="str">
        <f>UPPER(Sheet1!B332)</f>
        <v>ESHAN PAVU</v>
      </c>
      <c r="D332" s="7" t="str">
        <f>IF(Sheet1!F332="F","FEMALE","MALE")</f>
        <v>MALE</v>
      </c>
      <c r="E332" s="6" t="str">
        <f>UPPER(Sheet1!G332)</f>
        <v>RUTHVIK PAVU</v>
      </c>
      <c r="F332" s="6" t="str">
        <f>UPPER(Sheet1!H332)</f>
        <v>KALYANI  METKARI</v>
      </c>
      <c r="G332" s="5" t="str">
        <f>TEXT(Sheet1!C332,"dd/mm/yyyy") &amp; "," &amp; Sheet1!D332</f>
        <v xml:space="preserve">21/05/2025,WODONGA, AUSTRALIA  </v>
      </c>
      <c r="H332" s="57" t="str">
        <f>UPPER(Sheet1!K332 &amp; "," &amp; Sheet1!L332 &amp; "," &amp; Sheet1!M332)</f>
        <v>1-49/4,ARGUL JAKRANPALLY NIZAMABAD,NIZAMABAD,PIN:503224,TELANGANA,INDIA</v>
      </c>
      <c r="I332" s="8">
        <f>Sheet1!J332</f>
        <v>45946</v>
      </c>
      <c r="J332" s="5" t="str">
        <f>Sheet1!N332 &amp; "," &amp; TEXT(Sheet1!O332,"dd/mm/yy")</f>
        <v>202509069575,01/10/25</v>
      </c>
      <c r="K332" s="5" t="s">
        <v>14</v>
      </c>
      <c r="L332" s="38" t="s">
        <v>15</v>
      </c>
      <c r="M332" s="38">
        <v>45959</v>
      </c>
      <c r="N332" s="38" t="s">
        <v>16</v>
      </c>
    </row>
    <row r="333" spans="1:14" x14ac:dyDescent="0.35">
      <c r="A333" s="4" t="str">
        <f>Sheet1!A333 &amp; "/" &amp; "2025"</f>
        <v>1731/2025</v>
      </c>
      <c r="B333" s="5" t="str">
        <f>Sheet1!E333</f>
        <v>AU2065692797725</v>
      </c>
      <c r="C333" s="6" t="str">
        <f>UPPER(Sheet1!B333)</f>
        <v>EKAAGAR KAMBOJ</v>
      </c>
      <c r="D333" s="7" t="str">
        <f>IF(Sheet1!F333="F","FEMALE","MALE")</f>
        <v>MALE</v>
      </c>
      <c r="E333" s="6" t="str">
        <f>UPPER(Sheet1!G333)</f>
        <v>AMIT KUMAR</v>
      </c>
      <c r="F333" s="6" t="str">
        <f>UPPER(Sheet1!H333)</f>
        <v>SANGRAMBEER </v>
      </c>
      <c r="G333" s="5" t="str">
        <f>TEXT(Sheet1!C333,"dd/mm/yyyy") &amp; "," &amp; Sheet1!D333</f>
        <v>13/07/2025,DANDENONG, AUSTRALIA</v>
      </c>
      <c r="H333" s="57" t="str">
        <f>UPPER(Sheet1!K333 &amp; "," &amp; Sheet1!L333 &amp; "," &amp; Sheet1!M333)</f>
        <v>VILL,SHAMA KHANKA P.O BEHAK KHAS,FAZILKA,PIN:152123,PUNJAB,INDIA</v>
      </c>
      <c r="I333" s="8">
        <f>Sheet1!J333</f>
        <v>45946</v>
      </c>
      <c r="J333" s="5" t="str">
        <f>Sheet1!N333 &amp; "," &amp; TEXT(Sheet1!O333,"dd/mm/yy")</f>
        <v>202509068972,29/09/25</v>
      </c>
      <c r="K333" s="5" t="s">
        <v>14</v>
      </c>
      <c r="L333" s="38" t="s">
        <v>15</v>
      </c>
      <c r="M333" s="38">
        <v>45959</v>
      </c>
      <c r="N333" s="38" t="s">
        <v>16</v>
      </c>
    </row>
    <row r="334" spans="1:14" x14ac:dyDescent="0.35">
      <c r="A334" s="4" t="str">
        <f>Sheet1!A334 &amp; "/" &amp; "2025"</f>
        <v>1732/2025</v>
      </c>
      <c r="B334" s="5" t="str">
        <f>Sheet1!E334</f>
        <v>AU2065692797925</v>
      </c>
      <c r="C334" s="6" t="str">
        <f>UPPER(Sheet1!B334)</f>
        <v>ASEES KAUR</v>
      </c>
      <c r="D334" s="7" t="str">
        <f>IF(Sheet1!F334="F","FEMALE","MALE")</f>
        <v>FEMALE</v>
      </c>
      <c r="E334" s="6" t="str">
        <f>UPPER(Sheet1!G334)</f>
        <v>PARAMPREET SINGH</v>
      </c>
      <c r="F334" s="6" t="str">
        <f>UPPER(Sheet1!H334)</f>
        <v>HARPREET KAUR </v>
      </c>
      <c r="G334" s="5" t="str">
        <f>TEXT(Sheet1!C334,"dd/mm/yyyy") &amp; "," &amp; Sheet1!D334</f>
        <v>25/03/2025,HOBART , AUSTRALIA</v>
      </c>
      <c r="H334" s="57" t="str">
        <f>UPPER(Sheet1!K334 &amp; "," &amp; Sheet1!L334 &amp; "," &amp; Sheet1!M334)</f>
        <v>VPO SHAHBAZPUR,TARN TARAN,TARN TARAN,PIN:143415,PUNJAB,INDIA</v>
      </c>
      <c r="I334" s="8">
        <f>Sheet1!J334</f>
        <v>45946</v>
      </c>
      <c r="J334" s="5" t="str">
        <f>Sheet1!N334 &amp; "," &amp; TEXT(Sheet1!O334,"dd/mm/yy")</f>
        <v>202509063044,08/09/25</v>
      </c>
      <c r="K334" s="5" t="s">
        <v>14</v>
      </c>
      <c r="L334" s="38" t="s">
        <v>15</v>
      </c>
      <c r="M334" s="38">
        <v>45959</v>
      </c>
      <c r="N334" s="38" t="s">
        <v>16</v>
      </c>
    </row>
    <row r="335" spans="1:14" x14ac:dyDescent="0.35">
      <c r="A335" s="4" t="str">
        <f>Sheet1!A335 &amp; "/" &amp; "2025"</f>
        <v>1733/2025</v>
      </c>
      <c r="B335" s="5" t="str">
        <f>Sheet1!E335</f>
        <v>AU2065692798125</v>
      </c>
      <c r="C335" s="6" t="str">
        <f>UPPER(Sheet1!B335)</f>
        <v>AALAM SINGH KHEHRA</v>
      </c>
      <c r="D335" s="7" t="str">
        <f>IF(Sheet1!F335="F","FEMALE","MALE")</f>
        <v>MALE</v>
      </c>
      <c r="E335" s="6" t="str">
        <f>UPPER(Sheet1!G335)</f>
        <v>GURIQBAL SINGH</v>
      </c>
      <c r="F335" s="6" t="str">
        <f>UPPER(Sheet1!H335)</f>
        <v>JASKIRAN KAUR </v>
      </c>
      <c r="G335" s="5" t="str">
        <f>TEXT(Sheet1!C335,"dd/mm/yyyy") &amp; "," &amp; Sheet1!D335</f>
        <v>12/06/2024,BALLARAT CENTRAL, AUSTRALIA</v>
      </c>
      <c r="H335" s="57" t="str">
        <f>UPPER(Sheet1!K335 &amp; "," &amp; Sheet1!L335 &amp; "," &amp; Sheet1!M335)</f>
        <v>VPO,KHADOOR SAHIB,TARN TARAN,PIN:143401,PUNJAB,INDIA</v>
      </c>
      <c r="I335" s="8">
        <f>Sheet1!J335</f>
        <v>45946</v>
      </c>
      <c r="J335" s="5" t="str">
        <f>Sheet1!N335 &amp; "," &amp; TEXT(Sheet1!O335,"dd/mm/yy")</f>
        <v>202509061084,29/08/25</v>
      </c>
      <c r="K335" s="5" t="s">
        <v>14</v>
      </c>
      <c r="L335" s="38" t="s">
        <v>15</v>
      </c>
      <c r="M335" s="38">
        <v>45959</v>
      </c>
      <c r="N335" s="38" t="s">
        <v>16</v>
      </c>
    </row>
    <row r="336" spans="1:14" x14ac:dyDescent="0.35">
      <c r="A336" s="4" t="str">
        <f>Sheet1!A336 &amp; "/" &amp; "2025"</f>
        <v>1734/2025</v>
      </c>
      <c r="B336" s="5" t="str">
        <f>Sheet1!E336</f>
        <v>AU2065692798525</v>
      </c>
      <c r="C336" s="6" t="str">
        <f>UPPER(Sheet1!B336)</f>
        <v>ASEES KAUR PADDA</v>
      </c>
      <c r="D336" s="7" t="str">
        <f>IF(Sheet1!F336="F","FEMALE","MALE")</f>
        <v>FEMALE</v>
      </c>
      <c r="E336" s="6" t="str">
        <f>UPPER(Sheet1!G336)</f>
        <v>AMRITPAL SINGH</v>
      </c>
      <c r="F336" s="6" t="str">
        <f>UPPER(Sheet1!H336)</f>
        <v>JASKIRAT KAUR </v>
      </c>
      <c r="G336" s="5" t="str">
        <f>TEXT(Sheet1!C336,"dd/mm/yyyy") &amp; "," &amp; Sheet1!D336</f>
        <v xml:space="preserve">06/08/2025,BERWICK , AUSTRALIA  </v>
      </c>
      <c r="H336" s="57" t="str">
        <f>UPPER(Sheet1!K336 &amp; "," &amp; Sheet1!L336 &amp; "," &amp; Sheet1!M336)</f>
        <v>VILL: GANDE KE,PO CHONE,TEH BATALA,GURDASPUR,PIN:143514,PUNJAB,INDIA</v>
      </c>
      <c r="I336" s="8">
        <f>Sheet1!J336</f>
        <v>45946</v>
      </c>
      <c r="J336" s="5" t="str">
        <f>Sheet1!N336 &amp; "," &amp; TEXT(Sheet1!O336,"dd/mm/yy")</f>
        <v>202509065189,15/09/25</v>
      </c>
      <c r="K336" s="5" t="s">
        <v>14</v>
      </c>
      <c r="L336" s="38" t="s">
        <v>15</v>
      </c>
      <c r="M336" s="38">
        <v>45959</v>
      </c>
      <c r="N336" s="38" t="s">
        <v>16</v>
      </c>
    </row>
    <row r="337" spans="1:14" x14ac:dyDescent="0.35">
      <c r="A337" s="4" t="str">
        <f>Sheet1!A337 &amp; "/" &amp; "2025"</f>
        <v>1735/2025</v>
      </c>
      <c r="B337" s="5" t="str">
        <f>Sheet1!E337</f>
        <v>AU2065692798725</v>
      </c>
      <c r="C337" s="6" t="str">
        <f>UPPER(Sheet1!B337)</f>
        <v>KARAN DEVRAJ</v>
      </c>
      <c r="D337" s="7" t="str">
        <f>IF(Sheet1!F337="F","FEMALE","MALE")</f>
        <v>MALE</v>
      </c>
      <c r="E337" s="6" t="str">
        <f>UPPER(Sheet1!G337)</f>
        <v>MANDEEP KUMAR</v>
      </c>
      <c r="F337" s="6" t="str">
        <f>UPPER(Sheet1!H337)</f>
        <v>HARMANPREET KAUR </v>
      </c>
      <c r="G337" s="5" t="str">
        <f>TEXT(Sheet1!C337,"dd/mm/yyyy") &amp; "," &amp; Sheet1!D337</f>
        <v xml:space="preserve">15/08/2025,ST ALBANS , AUSTRALIA </v>
      </c>
      <c r="H337" s="57" t="str">
        <f>UPPER(Sheet1!K337 &amp; "," &amp; Sheet1!L337 &amp; "," &amp; Sheet1!M337)</f>
        <v>V.P.O- KOTRA KALAN,DISTRICT-,MANSA,PIN:151504,PUNJAB,INDIA</v>
      </c>
      <c r="I337" s="8">
        <f>Sheet1!J337</f>
        <v>45946</v>
      </c>
      <c r="J337" s="5" t="str">
        <f>Sheet1!N337 &amp; "," &amp; TEXT(Sheet1!O337,"dd/mm/yy")</f>
        <v>202509064801,13/09/25</v>
      </c>
      <c r="K337" s="5" t="s">
        <v>14</v>
      </c>
      <c r="L337" s="38" t="s">
        <v>15</v>
      </c>
      <c r="M337" s="38">
        <v>45959</v>
      </c>
      <c r="N337" s="38" t="s">
        <v>16</v>
      </c>
    </row>
    <row r="338" spans="1:14" x14ac:dyDescent="0.35">
      <c r="A338" s="4" t="str">
        <f>Sheet1!A338 &amp; "/" &amp; "2025"</f>
        <v>1736/2025</v>
      </c>
      <c r="B338" s="5" t="str">
        <f>Sheet1!E338</f>
        <v>AU2065692799125</v>
      </c>
      <c r="C338" s="6" t="str">
        <f>UPPER(Sheet1!B338)</f>
        <v>RABNOOR KAUR</v>
      </c>
      <c r="D338" s="7" t="str">
        <f>IF(Sheet1!F338="F","FEMALE","MALE")</f>
        <v>FEMALE</v>
      </c>
      <c r="E338" s="6" t="str">
        <f>UPPER(Sheet1!G338)</f>
        <v>RAMANDEEP SINGH</v>
      </c>
      <c r="F338" s="6" t="str">
        <f>UPPER(Sheet1!H338)</f>
        <v>KULWINDER KAUR </v>
      </c>
      <c r="G338" s="5" t="str">
        <f>TEXT(Sheet1!C338,"dd/mm/yyyy") &amp; "," &amp; Sheet1!D338</f>
        <v xml:space="preserve">02/06/2025,BACCHUS MARSH , AUSTRALIA  </v>
      </c>
      <c r="H338" s="57" t="str">
        <f>UPPER(Sheet1!K338 &amp; "," &amp; Sheet1!L338 &amp; "," &amp; Sheet1!M338)</f>
        <v>R2049,VILL. BALSARAI KHURD,TEH BABA BAKALA,AMRITSAR,PIN:143204,PUNJAB,INDIA</v>
      </c>
      <c r="I338" s="8">
        <f>Sheet1!J338</f>
        <v>45946</v>
      </c>
      <c r="J338" s="5" t="str">
        <f>Sheet1!N338 &amp; "," &amp; TEXT(Sheet1!O338,"dd/mm/yy")</f>
        <v>202509063023,08/09/25</v>
      </c>
      <c r="K338" s="5" t="s">
        <v>14</v>
      </c>
      <c r="L338" s="38" t="s">
        <v>15</v>
      </c>
      <c r="M338" s="38">
        <v>45959</v>
      </c>
      <c r="N338" s="38" t="s">
        <v>16</v>
      </c>
    </row>
    <row r="339" spans="1:14" x14ac:dyDescent="0.35">
      <c r="A339" s="4" t="str">
        <f>Sheet1!A339 &amp; "/" &amp; "2025"</f>
        <v>1737/2025</v>
      </c>
      <c r="B339" s="5" t="str">
        <f>Sheet1!E339</f>
        <v>AU2065692799525</v>
      </c>
      <c r="C339" s="6" t="str">
        <f>UPPER(Sheet1!B339)</f>
        <v>GURBAAZ SINGH</v>
      </c>
      <c r="D339" s="7" t="str">
        <f>IF(Sheet1!F339="F","FEMALE","MALE")</f>
        <v>MALE</v>
      </c>
      <c r="E339" s="6" t="str">
        <f>UPPER(Sheet1!G339)</f>
        <v>JANPAL SINGH</v>
      </c>
      <c r="F339" s="6" t="str">
        <f>UPPER(Sheet1!H339)</f>
        <v>HARJIT KAUR </v>
      </c>
      <c r="G339" s="5" t="str">
        <f>TEXT(Sheet1!C339,"dd/mm/yyyy") &amp; "," &amp; Sheet1!D339</f>
        <v xml:space="preserve">12/07/2025,EPPING , AUSTRALIA </v>
      </c>
      <c r="H339" s="57" t="str">
        <f>UPPER(Sheet1!K339 &amp; "," &amp; Sheet1!L339 &amp; "," &amp; Sheet1!M339)</f>
        <v>DERA GUJRAKHIYA,TEHSIL ASSANDH,KARNAL,PIN:132039,HARYANA,INDIA</v>
      </c>
      <c r="I339" s="8">
        <f>Sheet1!J339</f>
        <v>45946</v>
      </c>
      <c r="J339" s="5" t="str">
        <f>Sheet1!N339 &amp; "," &amp; TEXT(Sheet1!O339,"dd/mm/yy")</f>
        <v>202509063500,09/09/25</v>
      </c>
      <c r="K339" s="5" t="s">
        <v>14</v>
      </c>
      <c r="L339" s="38" t="s">
        <v>15</v>
      </c>
      <c r="M339" s="38">
        <v>45959</v>
      </c>
      <c r="N339" s="38" t="s">
        <v>16</v>
      </c>
    </row>
    <row r="340" spans="1:14" x14ac:dyDescent="0.35">
      <c r="A340" s="4" t="str">
        <f>Sheet1!A340 &amp; "/" &amp; "2025"</f>
        <v>1738/2025</v>
      </c>
      <c r="B340" s="5" t="str">
        <f>Sheet1!E340</f>
        <v>AU2065692799725</v>
      </c>
      <c r="C340" s="6" t="str">
        <f>UPPER(Sheet1!B340)</f>
        <v>YASHIKA AREEKKARA</v>
      </c>
      <c r="D340" s="7" t="str">
        <f>IF(Sheet1!F340="F","FEMALE","MALE")</f>
        <v>FEMALE</v>
      </c>
      <c r="E340" s="6" t="str">
        <f>UPPER(Sheet1!G340)</f>
        <v>VAISHAKH AREEKKARA</v>
      </c>
      <c r="F340" s="6" t="str">
        <f>UPPER(Sheet1!H340)</f>
        <v>GAYATHRI  VALIYAPURAKKAL</v>
      </c>
      <c r="G340" s="5" t="str">
        <f>TEXT(Sheet1!C340,"dd/mm/yyyy") &amp; "," &amp; Sheet1!D340</f>
        <v xml:space="preserve">07/07/2025,PARKVILLE , AUSTRALIA  </v>
      </c>
      <c r="H340" s="57" t="str">
        <f>UPPER(Sheet1!K340 &amp; "," &amp; Sheet1!L340 &amp; "," &amp; Sheet1!M340)</f>
        <v>AREEKKARA(H) PATHAIKKARA,PERINTHALMANNA,MALAPPURAM,PIN:679322,KERALA,INDIA</v>
      </c>
      <c r="I340" s="8">
        <f>Sheet1!J340</f>
        <v>45946</v>
      </c>
      <c r="J340" s="5" t="str">
        <f>Sheet1!N340 &amp; "," &amp; TEXT(Sheet1!O340,"dd/mm/yy")</f>
        <v>2025031330,27/08/25</v>
      </c>
      <c r="K340" s="5" t="s">
        <v>14</v>
      </c>
      <c r="L340" s="38" t="s">
        <v>15</v>
      </c>
      <c r="M340" s="38">
        <v>45959</v>
      </c>
      <c r="N340" s="38" t="s">
        <v>16</v>
      </c>
    </row>
    <row r="341" spans="1:14" x14ac:dyDescent="0.35">
      <c r="A341" s="4" t="str">
        <f>Sheet1!A341 &amp; "/" &amp; "2025"</f>
        <v>1739/2025</v>
      </c>
      <c r="B341" s="5" t="str">
        <f>Sheet1!E341</f>
        <v>AU2065692800525</v>
      </c>
      <c r="C341" s="6" t="str">
        <f>UPPER(Sheet1!B341)</f>
        <v>JIGARBIR SINGH</v>
      </c>
      <c r="D341" s="7" t="str">
        <f>IF(Sheet1!F341="F","FEMALE","MALE")</f>
        <v>MALE</v>
      </c>
      <c r="E341" s="6" t="str">
        <f>UPPER(Sheet1!G341)</f>
        <v>GAGANBIR SINGH</v>
      </c>
      <c r="F341" s="6" t="str">
        <f>UPPER(Sheet1!H341)</f>
        <v>GARRY  WARAICH</v>
      </c>
      <c r="G341" s="5" t="str">
        <f>TEXT(Sheet1!C341,"dd/mm/yyyy") &amp; "," &amp; Sheet1!D341</f>
        <v xml:space="preserve">21/07/2025,ST ALBANS , AUSTRALIA </v>
      </c>
      <c r="H341" s="57" t="str">
        <f>UPPER(Sheet1!K341 &amp; "," &amp; Sheet1!L341 &amp; "," &amp; Sheet1!M341)</f>
        <v>NAWI SRAN ,WARD NO. 9,AJNALA,TEHSIL.AJNALA,AMRITSAR,PIN:143102,PUNJAB,INDIA</v>
      </c>
      <c r="I341" s="8">
        <f>Sheet1!J341</f>
        <v>45946</v>
      </c>
      <c r="J341" s="5" t="str">
        <f>Sheet1!N341 &amp; "," &amp; TEXT(Sheet1!O341,"dd/mm/yy")</f>
        <v>202509069179,30/09/25</v>
      </c>
      <c r="K341" s="5" t="s">
        <v>14</v>
      </c>
      <c r="L341" s="38" t="s">
        <v>15</v>
      </c>
      <c r="M341" s="38">
        <v>45959</v>
      </c>
      <c r="N341" s="38" t="s">
        <v>16</v>
      </c>
    </row>
    <row r="342" spans="1:14" x14ac:dyDescent="0.35">
      <c r="A342" s="4" t="str">
        <f>Sheet1!A342 &amp; "/" &amp; "2025"</f>
        <v>1740/2025</v>
      </c>
      <c r="B342" s="5" t="str">
        <f>Sheet1!E342</f>
        <v>AU2065692800925</v>
      </c>
      <c r="C342" s="6" t="str">
        <f>UPPER(Sheet1!B342)</f>
        <v>CHARVIKA SABHARWAL</v>
      </c>
      <c r="D342" s="7" t="str">
        <f>IF(Sheet1!F342="F","FEMALE","MALE")</f>
        <v>FEMALE</v>
      </c>
      <c r="E342" s="6" t="str">
        <f>UPPER(Sheet1!G342)</f>
        <v>HITESH ANAND</v>
      </c>
      <c r="F342" s="6" t="str">
        <f>UPPER(Sheet1!H342)</f>
        <v>MAFFI  DEVI</v>
      </c>
      <c r="G342" s="5" t="str">
        <f>TEXT(Sheet1!C342,"dd/mm/yyyy") &amp; "," &amp; Sheet1!D342</f>
        <v xml:space="preserve">03/04/2025,PARKVILLE , AUSTRALIA  </v>
      </c>
      <c r="H342" s="57" t="str">
        <f>UPPER(Sheet1!K342 &amp; "," &amp; Sheet1!L342 &amp; "," &amp; Sheet1!M342)</f>
        <v>C-16 RAILVIHAR,AMBALA CANTT,AMBALA,PIN:133004,HARYANA,INDIA</v>
      </c>
      <c r="I342" s="8">
        <f>Sheet1!J342</f>
        <v>45946</v>
      </c>
      <c r="J342" s="5" t="str">
        <f>Sheet1!N342 &amp; "," &amp; TEXT(Sheet1!O342,"dd/mm/yy")</f>
        <v>202509065631,16/09/25</v>
      </c>
      <c r="K342" s="5" t="s">
        <v>14</v>
      </c>
      <c r="L342" s="38" t="s">
        <v>15</v>
      </c>
      <c r="M342" s="38">
        <v>45959</v>
      </c>
      <c r="N342" s="38" t="s">
        <v>16</v>
      </c>
    </row>
    <row r="343" spans="1:14" x14ac:dyDescent="0.35">
      <c r="A343" s="4" t="str">
        <f>Sheet1!A343 &amp; "/" &amp; "2025"</f>
        <v>1741/2025</v>
      </c>
      <c r="B343" s="5" t="str">
        <f>Sheet1!E343</f>
        <v>AU2065692801525</v>
      </c>
      <c r="C343" s="6" t="str">
        <f>UPPER(Sheet1!B343)</f>
        <v>PRABHROOP BEDI</v>
      </c>
      <c r="D343" s="7" t="str">
        <f>IF(Sheet1!F343="F","FEMALE","MALE")</f>
        <v>MALE</v>
      </c>
      <c r="E343" s="6" t="str">
        <f>UPPER(Sheet1!G343)</f>
        <v>DILPREET BEDI</v>
      </c>
      <c r="F343" s="6" t="str">
        <f>UPPER(Sheet1!H343)</f>
        <v>SARABJEET  BEDI</v>
      </c>
      <c r="G343" s="5" t="str">
        <f>TEXT(Sheet1!C343,"dd/mm/yyyy") &amp; "," &amp; Sheet1!D343</f>
        <v xml:space="preserve">15/03/2025,BUNDOORA, AUSTRALIA </v>
      </c>
      <c r="H343" s="57" t="str">
        <f>UPPER(Sheet1!K343 &amp; "," &amp; Sheet1!L343 &amp; "," &amp; Sheet1!M343)</f>
        <v>1A/4A,FLAT 5,3RD FLOOR,NIT,FARIDABAD,PIN:121001,HARYANA,INDIA</v>
      </c>
      <c r="I343" s="8">
        <f>Sheet1!J343</f>
        <v>45946</v>
      </c>
      <c r="J343" s="5" t="str">
        <f>Sheet1!N343 &amp; "," &amp; TEXT(Sheet1!O343,"dd/mm/yy")</f>
        <v>202509069795,02/10/25</v>
      </c>
      <c r="K343" s="5" t="s">
        <v>14</v>
      </c>
      <c r="L343" s="38" t="s">
        <v>15</v>
      </c>
      <c r="M343" s="38">
        <v>45959</v>
      </c>
      <c r="N343" s="38" t="s">
        <v>16</v>
      </c>
    </row>
    <row r="344" spans="1:14" x14ac:dyDescent="0.35">
      <c r="A344" s="4" t="str">
        <f>Sheet1!A344 &amp; "/" &amp; "2025"</f>
        <v>1742/2025</v>
      </c>
      <c r="B344" s="5" t="str">
        <f>Sheet1!E344</f>
        <v>AU2065693866525</v>
      </c>
      <c r="C344" s="6" t="str">
        <f>UPPER(Sheet1!B344)</f>
        <v>EVELYN KAUR MANN</v>
      </c>
      <c r="D344" s="7" t="str">
        <f>IF(Sheet1!F344="F","FEMALE","MALE")</f>
        <v>FEMALE</v>
      </c>
      <c r="E344" s="6" t="str">
        <f>UPPER(Sheet1!G344)</f>
        <v>JASPREET SINGH MANN</v>
      </c>
      <c r="F344" s="6" t="str">
        <f>UPPER(Sheet1!H344)</f>
        <v>MANDEEP KAUR </v>
      </c>
      <c r="G344" s="5" t="str">
        <f>TEXT(Sheet1!C344,"dd/mm/yyyy") &amp; "," &amp; Sheet1!D344</f>
        <v xml:space="preserve">22/10/2024,BLACKTOWN, AUSTRALIA </v>
      </c>
      <c r="H344" s="57" t="str">
        <f>UPPER(Sheet1!K344 &amp; "," &amp; Sheet1!L344 &amp; "," &amp; Sheet1!M344)</f>
        <v>HOUSE NO.B-332,N.F.L. COLONY,BATHINDA,PIN:151003,PUNJAB,INDIA</v>
      </c>
      <c r="I344" s="8">
        <f>Sheet1!J344</f>
        <v>45946</v>
      </c>
      <c r="J344" s="5" t="str">
        <f>Sheet1!N344 &amp; "," &amp; TEXT(Sheet1!O344,"dd/mm/yy")</f>
        <v>202509067362,23/09/25</v>
      </c>
      <c r="K344" s="5" t="s">
        <v>14</v>
      </c>
      <c r="L344" s="38" t="s">
        <v>15</v>
      </c>
      <c r="M344" s="38">
        <v>45959</v>
      </c>
      <c r="N344" s="38" t="s">
        <v>16</v>
      </c>
    </row>
    <row r="345" spans="1:14" x14ac:dyDescent="0.35">
      <c r="A345" s="4" t="str">
        <f>Sheet1!A345 &amp; "/" &amp; "2025"</f>
        <v>1743/2025</v>
      </c>
      <c r="B345" s="5" t="str">
        <f>Sheet1!E345</f>
        <v>AU2065863420425</v>
      </c>
      <c r="C345" s="6" t="str">
        <f>UPPER(Sheet1!B345)</f>
        <v>SAIAMRITHA ULLHAS KAARTHI</v>
      </c>
      <c r="D345" s="7" t="str">
        <f>IF(Sheet1!F345="F","FEMALE","MALE")</f>
        <v>FEMALE</v>
      </c>
      <c r="E345" s="6" t="str">
        <f>UPPER(Sheet1!G345)</f>
        <v>ULLHAS KAARTHI MOORTHI</v>
      </c>
      <c r="F345" s="6" t="str">
        <f>UPPER(Sheet1!H345)</f>
        <v>SARANYA GIRIDHARAN</v>
      </c>
      <c r="G345" s="5" t="str">
        <f>TEXT(Sheet1!C345,"dd/mm/yyyy") &amp; "," &amp; Sheet1!D345</f>
        <v xml:space="preserve">04/09/2025,CLAYTON , AUSTRALIA  </v>
      </c>
      <c r="H345" s="57" t="str">
        <f>UPPER(Sheet1!K345 &amp; "," &amp; Sheet1!L345 &amp; "," &amp; Sheet1!M345)</f>
        <v xml:space="preserve">34 SRI OM SHAKTHI NILAYA 1ST CRS,CHOLURUPALYA MAGADI ROAD,BENGALURU,PIN:560023,KARNATAKA,INDIA </v>
      </c>
      <c r="I345" s="8">
        <f>Sheet1!J345</f>
        <v>45946</v>
      </c>
      <c r="J345" s="5" t="str">
        <f>Sheet1!N345 &amp; "," &amp; TEXT(Sheet1!O345,"dd/mm/yy")</f>
        <v>202509070446,05/10/25</v>
      </c>
      <c r="K345" s="5" t="s">
        <v>14</v>
      </c>
      <c r="L345" s="38" t="s">
        <v>15</v>
      </c>
      <c r="M345" s="38">
        <v>45959</v>
      </c>
      <c r="N345" s="38" t="s">
        <v>16</v>
      </c>
    </row>
    <row r="346" spans="1:14" x14ac:dyDescent="0.35">
      <c r="A346" s="4" t="str">
        <f>Sheet1!A346 &amp; "/" &amp; "2025"</f>
        <v>1744/2025</v>
      </c>
      <c r="B346" s="5" t="str">
        <f>Sheet1!E346</f>
        <v>AU2065693836725</v>
      </c>
      <c r="C346" s="6" t="str">
        <f>UPPER(Sheet1!B346)</f>
        <v>SHREEJI JIGAR VYAS</v>
      </c>
      <c r="D346" s="7" t="str">
        <f>IF(Sheet1!F346="F","FEMALE","MALE")</f>
        <v>FEMALE</v>
      </c>
      <c r="E346" s="6" t="str">
        <f>UPPER(Sheet1!G346)</f>
        <v>JIGAR MUKUNDKUMAR VYAS</v>
      </c>
      <c r="F346" s="6" t="str">
        <f>UPPER(Sheet1!H346)</f>
        <v>KINJALBEN JIGAR  VYAS</v>
      </c>
      <c r="G346" s="5" t="str">
        <f>TEXT(Sheet1!C346,"dd/mm/yyyy") &amp; "," &amp; Sheet1!D346</f>
        <v xml:space="preserve">08/09/2025,CLAYTON , AUSTRALIA  </v>
      </c>
      <c r="H346" s="57" t="str">
        <f>UPPER(Sheet1!K346 &amp; "," &amp; Sheet1!L346 &amp; "," &amp; Sheet1!M346)</f>
        <v>C-1 SHREEJI AVENUE,ABU HIGHWAY,HANUMAN TEKRI,PALANPUR,BANASKANTHA,PIN:385001,GUJARAT,INDIA</v>
      </c>
      <c r="I346" s="8">
        <f>Sheet1!J346</f>
        <v>45947</v>
      </c>
      <c r="J346" s="5" t="str">
        <f>Sheet1!N346 &amp; "," &amp; TEXT(Sheet1!O346,"dd/mm/yy")</f>
        <v>202509069815,02/10/25</v>
      </c>
      <c r="K346" s="5" t="s">
        <v>14</v>
      </c>
      <c r="L346" s="38" t="s">
        <v>15</v>
      </c>
      <c r="M346" s="38">
        <v>45959</v>
      </c>
      <c r="N346" s="38" t="s">
        <v>16</v>
      </c>
    </row>
    <row r="347" spans="1:14" x14ac:dyDescent="0.35">
      <c r="A347" s="4" t="str">
        <f>Sheet1!A347 &amp; "/" &amp; "2025"</f>
        <v>1745/2025</v>
      </c>
      <c r="B347" s="5" t="str">
        <f>Sheet1!E347</f>
        <v>AU2065693837125</v>
      </c>
      <c r="C347" s="6" t="str">
        <f>UPPER(Sheet1!B347)</f>
        <v>SITHARA REDDY PEDDOLLA</v>
      </c>
      <c r="D347" s="7" t="str">
        <f>IF(Sheet1!F347="F","FEMALE","MALE")</f>
        <v>FEMALE</v>
      </c>
      <c r="E347" s="6" t="str">
        <f>UPPER(Sheet1!G347)</f>
        <v>SUMITH REDDY PEDDOLLA</v>
      </c>
      <c r="F347" s="6" t="str">
        <f>UPPER(Sheet1!H347)</f>
        <v>JYOTHI  PERKIT</v>
      </c>
      <c r="G347" s="5" t="str">
        <f>TEXT(Sheet1!C347,"dd/mm/yyyy") &amp; "," &amp; Sheet1!D347</f>
        <v xml:space="preserve">03/06/2025,ST ALBANS , AUSTRALIA </v>
      </c>
      <c r="H347" s="57" t="str">
        <f>UPPER(Sheet1!K347 &amp; "," &amp; Sheet1!L347 &amp; "," &amp; Sheet1!M347)</f>
        <v>H NO: 4-102,FATHEPOOR,ARMOOR,NIZAMABAD,PIN:503217,TELANGANA,INDIA</v>
      </c>
      <c r="I347" s="8">
        <f>Sheet1!J347</f>
        <v>45947</v>
      </c>
      <c r="J347" s="5" t="str">
        <f>Sheet1!N347 &amp; "," &amp; TEXT(Sheet1!O347,"dd/mm/yy")</f>
        <v>202509056957,13/08/25</v>
      </c>
      <c r="K347" s="5" t="s">
        <v>14</v>
      </c>
      <c r="L347" s="38" t="s">
        <v>15</v>
      </c>
      <c r="M347" s="38">
        <v>45959</v>
      </c>
      <c r="N347" s="38" t="s">
        <v>16</v>
      </c>
    </row>
    <row r="348" spans="1:14" x14ac:dyDescent="0.35">
      <c r="A348" s="4" t="str">
        <f>Sheet1!A348 &amp; "/" &amp; "2025"</f>
        <v>1746/2025</v>
      </c>
      <c r="B348" s="5" t="str">
        <f>Sheet1!E348</f>
        <v>AU2065693838925</v>
      </c>
      <c r="C348" s="6" t="str">
        <f>UPPER(Sheet1!B348)</f>
        <v>SADHA KAUR KHAIRA</v>
      </c>
      <c r="D348" s="7" t="str">
        <f>IF(Sheet1!F348="F","FEMALE","MALE")</f>
        <v>FEMALE</v>
      </c>
      <c r="E348" s="6" t="str">
        <f>UPPER(Sheet1!G348)</f>
        <v>SUKHMANPREET SINGH</v>
      </c>
      <c r="F348" s="6" t="str">
        <f>UPPER(Sheet1!H348)</f>
        <v>NAVNEET KAUR </v>
      </c>
      <c r="G348" s="5" t="str">
        <f>TEXT(Sheet1!C348,"dd/mm/yyyy") &amp; "," &amp; Sheet1!D348</f>
        <v xml:space="preserve">29/05/2025,PARKVILLE , AUSTRALIA  </v>
      </c>
      <c r="H348" s="57" t="str">
        <f>UPPER(Sheet1!K348 &amp; "," &amp; Sheet1!L348 &amp; "," &amp; Sheet1!M348)</f>
        <v>V.P.O. SARCHUR,TEH,BATALA,GURDASPUR,PIN:143505,PUNJAB,INDIA</v>
      </c>
      <c r="I348" s="8">
        <f>Sheet1!J348</f>
        <v>45947</v>
      </c>
      <c r="J348" s="5" t="str">
        <f>Sheet1!N348 &amp; "," &amp; TEXT(Sheet1!O348,"dd/mm/yy")</f>
        <v>202509069476,01/10/25</v>
      </c>
      <c r="K348" s="5" t="s">
        <v>14</v>
      </c>
      <c r="L348" s="38" t="s">
        <v>15</v>
      </c>
      <c r="M348" s="38">
        <v>45959</v>
      </c>
      <c r="N348" s="38" t="s">
        <v>16</v>
      </c>
    </row>
    <row r="349" spans="1:14" x14ac:dyDescent="0.35">
      <c r="A349" s="4" t="str">
        <f>Sheet1!A349 &amp; "/" &amp; "2025"</f>
        <v>1747/2025</v>
      </c>
      <c r="B349" s="5" t="str">
        <f>Sheet1!E349</f>
        <v>AU2065694981325</v>
      </c>
      <c r="C349" s="6" t="str">
        <f>UPPER(Sheet1!B349)</f>
        <v>AIRA MARIAM RANJIT</v>
      </c>
      <c r="D349" s="7" t="str">
        <f>IF(Sheet1!F349="F","FEMALE","MALE")</f>
        <v>FEMALE</v>
      </c>
      <c r="E349" s="6" t="str">
        <f>UPPER(Sheet1!G349)</f>
        <v>RANJIT RAJADHAS LAILA KUMARI</v>
      </c>
      <c r="F349" s="6" t="str">
        <f>UPPER(Sheet1!H349)</f>
        <v>ANEESHA  APPUKKUTTAN</v>
      </c>
      <c r="G349" s="5" t="str">
        <f>TEXT(Sheet1!C349,"dd/mm/yyyy") &amp; "," &amp; Sheet1!D349</f>
        <v xml:space="preserve">09/08/2025,MILDURA, AUSTRALIA </v>
      </c>
      <c r="H349" s="57" t="str">
        <f>UPPER(Sheet1!K349 &amp; "," &amp; Sheet1!L349 &amp; "," &amp; Sheet1!M349)</f>
        <v>KOLLIYOTTIL HOUSE EDACODE,NEMOM PO,TRIVANDRUM,PIN:695020,KERALA,INDIA</v>
      </c>
      <c r="I349" s="8">
        <f>Sheet1!J349</f>
        <v>45947</v>
      </c>
      <c r="J349" s="5" t="str">
        <f>Sheet1!N349 &amp; "," &amp; TEXT(Sheet1!O349,"dd/mm/yy")</f>
        <v>202509068942,29/09/25</v>
      </c>
      <c r="K349" s="5" t="s">
        <v>14</v>
      </c>
      <c r="L349" s="38" t="s">
        <v>15</v>
      </c>
      <c r="M349" s="38">
        <v>45959</v>
      </c>
      <c r="N349" s="38" t="s">
        <v>16</v>
      </c>
    </row>
    <row r="350" spans="1:14" x14ac:dyDescent="0.35">
      <c r="A350" s="4" t="str">
        <f>Sheet1!A350 &amp; "/" &amp; "2025"</f>
        <v>1748/2025</v>
      </c>
      <c r="B350" s="5" t="str">
        <f>Sheet1!E350</f>
        <v>AU2065694981725</v>
      </c>
      <c r="C350" s="6" t="str">
        <f>UPPER(Sheet1!B350)</f>
        <v>AYAAN SINGH JAGDEO</v>
      </c>
      <c r="D350" s="7" t="str">
        <f>IF(Sheet1!F350="F","FEMALE","MALE")</f>
        <v>MALE</v>
      </c>
      <c r="E350" s="6" t="str">
        <f>UPPER(Sheet1!G350)</f>
        <v>JAGJIT SINGH</v>
      </c>
      <c r="F350" s="6" t="str">
        <f>UPPER(Sheet1!H350)</f>
        <v>SANJANA </v>
      </c>
      <c r="G350" s="5" t="str">
        <f>TEXT(Sheet1!C350,"dd/mm/yyyy") &amp; "," &amp; Sheet1!D350</f>
        <v>02/06/2025,BALLARAT CENTRAL, AUSTRALIA</v>
      </c>
      <c r="H350" s="57" t="str">
        <f>UPPER(Sheet1!K350 &amp; "," &amp; Sheet1!L350 &amp; "," &amp; Sheet1!M350)</f>
        <v>V.P.O MADPUR,SAMRALA,KHANNA (LUDHIANA),PIN:141124,PUNJAB,INDIA</v>
      </c>
      <c r="I350" s="8">
        <f>Sheet1!J350</f>
        <v>45947</v>
      </c>
      <c r="J350" s="5" t="str">
        <f>Sheet1!N350 &amp; "," &amp; TEXT(Sheet1!O350,"dd/mm/yy")</f>
        <v>202509063914,10/09/25</v>
      </c>
      <c r="K350" s="5" t="s">
        <v>14</v>
      </c>
      <c r="L350" s="38" t="s">
        <v>15</v>
      </c>
      <c r="M350" s="38">
        <v>45959</v>
      </c>
      <c r="N350" s="38" t="s">
        <v>16</v>
      </c>
    </row>
    <row r="351" spans="1:14" x14ac:dyDescent="0.35">
      <c r="A351" s="4" t="str">
        <f>Sheet1!A351 &amp; "/" &amp; "2025"</f>
        <v>1749/2025</v>
      </c>
      <c r="B351" s="5" t="str">
        <f>Sheet1!E351</f>
        <v>AU2065694982325</v>
      </c>
      <c r="C351" s="6" t="str">
        <f>UPPER(Sheet1!B351)</f>
        <v>ZORAWAR SINGH</v>
      </c>
      <c r="D351" s="7" t="str">
        <f>IF(Sheet1!F351="F","FEMALE","MALE")</f>
        <v>MALE</v>
      </c>
      <c r="E351" s="6" t="str">
        <f>UPPER(Sheet1!G351)</f>
        <v>SAJAN SINGH</v>
      </c>
      <c r="F351" s="6" t="str">
        <f>UPPER(Sheet1!H351)</f>
        <v>KOMALPREET KAUR </v>
      </c>
      <c r="G351" s="5" t="str">
        <f>TEXT(Sheet1!C351,"dd/mm/yyyy") &amp; "," &amp; Sheet1!D351</f>
        <v xml:space="preserve">22/05/2025,GEELONG , AUSTRALIA </v>
      </c>
      <c r="H351" s="57" t="str">
        <f>UPPER(Sheet1!K351 &amp; "," &amp; Sheet1!L351 &amp; "," &amp; Sheet1!M351)</f>
        <v>H.NO 24,GALI NO 3 FRIENDS COLONY,JALANDHAR,JALANDHAR,PIN:144003,PUNJAB,INDIA</v>
      </c>
      <c r="I351" s="8">
        <f>Sheet1!J351</f>
        <v>45947</v>
      </c>
      <c r="J351" s="5" t="str">
        <f>Sheet1!N351 &amp; "," &amp; TEXT(Sheet1!O351,"dd/mm/yy")</f>
        <v>202509065204,15/09/25</v>
      </c>
      <c r="K351" s="5" t="s">
        <v>14</v>
      </c>
      <c r="L351" s="38" t="s">
        <v>15</v>
      </c>
      <c r="M351" s="38">
        <v>45959</v>
      </c>
      <c r="N351" s="38" t="s">
        <v>16</v>
      </c>
    </row>
    <row r="352" spans="1:14" x14ac:dyDescent="0.35">
      <c r="A352" s="4" t="str">
        <f>Sheet1!A352 &amp; "/" &amp; "2025"</f>
        <v>1750/2025</v>
      </c>
      <c r="B352" s="5" t="str">
        <f>Sheet1!E352</f>
        <v>AU2065694982725</v>
      </c>
      <c r="C352" s="6" t="str">
        <f>UPPER(Sheet1!B352)</f>
        <v>ARZOI KAUR</v>
      </c>
      <c r="D352" s="7" t="str">
        <f>IF(Sheet1!F352="F","FEMALE","MALE")</f>
        <v>FEMALE</v>
      </c>
      <c r="E352" s="6" t="str">
        <f>UPPER(Sheet1!G352)</f>
        <v>MAJOR SINGH</v>
      </c>
      <c r="F352" s="6" t="str">
        <f>UPPER(Sheet1!H352)</f>
        <v>NAVDEEP KAUR </v>
      </c>
      <c r="G352" s="5" t="str">
        <f>TEXT(Sheet1!C352,"dd/mm/yyyy") &amp; "," &amp; Sheet1!D352</f>
        <v xml:space="preserve">04/08/2025,BACCHUS MARSH , AUSTRALIA  </v>
      </c>
      <c r="H352" s="57" t="str">
        <f>UPPER(Sheet1!K352 &amp; "," &amp; Sheet1!L352 &amp; "," &amp; Sheet1!M352)</f>
        <v>VPO NADALA,DISTT,KAPURTHALA,PIN:144624,PUNJAB,INDIA</v>
      </c>
      <c r="I352" s="8">
        <f>Sheet1!J352</f>
        <v>45947</v>
      </c>
      <c r="J352" s="5" t="str">
        <f>Sheet1!N352 &amp; "," &amp; TEXT(Sheet1!O352,"dd/mm/yy")</f>
        <v>202509065208,15/09/25</v>
      </c>
      <c r="K352" s="5" t="s">
        <v>14</v>
      </c>
      <c r="L352" s="38" t="s">
        <v>15</v>
      </c>
      <c r="M352" s="38">
        <v>45959</v>
      </c>
      <c r="N352" s="38" t="s">
        <v>16</v>
      </c>
    </row>
    <row r="353" spans="1:14" x14ac:dyDescent="0.35">
      <c r="A353" s="4" t="str">
        <f>Sheet1!A353 &amp; "/" &amp; "2025"</f>
        <v>1751/2025</v>
      </c>
      <c r="B353" s="5" t="str">
        <f>Sheet1!E353</f>
        <v>AU2065694982925</v>
      </c>
      <c r="C353" s="6" t="str">
        <f>UPPER(Sheet1!B353)</f>
        <v>EASTER MARIAM LINTO</v>
      </c>
      <c r="D353" s="7" t="str">
        <f>IF(Sheet1!F353="F","FEMALE","MALE")</f>
        <v>FEMALE</v>
      </c>
      <c r="E353" s="6" t="str">
        <f>UPPER(Sheet1!G353)</f>
        <v>LINTO THOMAS</v>
      </c>
      <c r="F353" s="6" t="str">
        <f>UPPER(Sheet1!H353)</f>
        <v>DIGIT MARIA  JOSE</v>
      </c>
      <c r="G353" s="5" t="str">
        <f>TEXT(Sheet1!C353,"dd/mm/yyyy") &amp; "," &amp; Sheet1!D353</f>
        <v>07/07/2025,HOBART , AUSTRALIA</v>
      </c>
      <c r="H353" s="57" t="str">
        <f>UPPER(Sheet1!K353 &amp; "," &amp; Sheet1!L353 &amp; "," &amp; Sheet1!M353)</f>
        <v>KOTTARAMTHARAPPIL,KURIANAD,KOTTAYAM,PIN:686636,KERALA,INDIA</v>
      </c>
      <c r="I353" s="8">
        <f>Sheet1!J353</f>
        <v>45947</v>
      </c>
      <c r="J353" s="5" t="str">
        <f>Sheet1!N353 &amp; "," &amp; TEXT(Sheet1!O353,"dd/mm/yy")</f>
        <v>202509065808,17/09/25</v>
      </c>
      <c r="K353" s="5" t="s">
        <v>14</v>
      </c>
      <c r="L353" s="38" t="s">
        <v>15</v>
      </c>
      <c r="M353" s="38">
        <v>45959</v>
      </c>
      <c r="N353" s="38" t="s">
        <v>16</v>
      </c>
    </row>
    <row r="354" spans="1:14" ht="30" customHeight="1" x14ac:dyDescent="0.35">
      <c r="A354" s="4" t="str">
        <f>Sheet1!A354 &amp; "/" &amp; "2025"</f>
        <v>1752/2025</v>
      </c>
      <c r="B354" s="5" t="str">
        <f>Sheet1!E354</f>
        <v>AU2065694983325</v>
      </c>
      <c r="C354" s="6" t="str">
        <f>UPPER(Sheet1!B354)</f>
        <v>VIHAA VIKRAMKUMAR CHAUDHARI</v>
      </c>
      <c r="D354" s="7" t="str">
        <f>IF(Sheet1!F354="F","FEMALE","MALE")</f>
        <v>FEMALE</v>
      </c>
      <c r="E354" s="6" t="str">
        <f>UPPER(Sheet1!G354)</f>
        <v>VIKRAMKUMAR MANUBHAI CHAUDHARI</v>
      </c>
      <c r="F354" s="6" t="str">
        <f>UPPER(Sheet1!H354)</f>
        <v>SHIVANI MUKESHBHAI  BAROT</v>
      </c>
      <c r="G354" s="5" t="str">
        <f>TEXT(Sheet1!C354,"dd/mm/yyyy") &amp; "," &amp; Sheet1!D354</f>
        <v>05/05/2024,BENDIGO, AUSTRALIA</v>
      </c>
      <c r="H354" s="57" t="str">
        <f>UPPER(Sheet1!K354 &amp; "," &amp; Sheet1!L354 &amp; "," &amp; Sheet1!M354)</f>
        <v>PLOT NO-454/2,SECTOR 5-A,GANDHINAGAR,PIN:382006,GUJARAT,INDIA</v>
      </c>
      <c r="I354" s="8">
        <f>Sheet1!J354</f>
        <v>45947</v>
      </c>
      <c r="J354" s="5" t="str">
        <f>Sheet1!N354 &amp; "," &amp; TEXT(Sheet1!O354,"dd/mm/yy")</f>
        <v>202509048556,12/07/25</v>
      </c>
      <c r="K354" s="5" t="s">
        <v>14</v>
      </c>
      <c r="L354" s="38" t="s">
        <v>15</v>
      </c>
      <c r="M354" s="38">
        <v>45959</v>
      </c>
      <c r="N354" s="38" t="s">
        <v>16</v>
      </c>
    </row>
    <row r="355" spans="1:14" x14ac:dyDescent="0.35">
      <c r="A355" s="4" t="str">
        <f>Sheet1!A355 &amp; "/" &amp; "2025"</f>
        <v>1753/2025</v>
      </c>
      <c r="B355" s="5" t="str">
        <f>Sheet1!E355</f>
        <v>AU2065694983725</v>
      </c>
      <c r="C355" s="6" t="str">
        <f>UPPER(Sheet1!B355)</f>
        <v>AARYAV PARMAR</v>
      </c>
      <c r="D355" s="7" t="str">
        <f>IF(Sheet1!F355="F","FEMALE","MALE")</f>
        <v>MALE</v>
      </c>
      <c r="E355" s="6" t="str">
        <f>UPPER(Sheet1!G355)</f>
        <v>SUDHIR CHHOTUBHAI PARMAR</v>
      </c>
      <c r="F355" s="6" t="str">
        <f>UPPER(Sheet1!H355)</f>
        <v>PRIYANKA  MAKWANA</v>
      </c>
      <c r="G355" s="5" t="str">
        <f>TEXT(Sheet1!C355,"dd/mm/yyyy") &amp; "," &amp; Sheet1!D355</f>
        <v xml:space="preserve">29/07/2025,ST ALBANS , AUSTRALIA </v>
      </c>
      <c r="H355" s="57" t="str">
        <f>UPPER(Sheet1!K355 &amp; "," &amp; Sheet1!L355 &amp; "," &amp; Sheet1!M355)</f>
        <v>B-20,AMARDHAM SOCIETY,TP-13,CHHANI JAKAT NAKA,VADODARA,PIN:390002,GUJARAT,INDIA</v>
      </c>
      <c r="I355" s="8">
        <f>Sheet1!J355</f>
        <v>45947</v>
      </c>
      <c r="J355" s="5" t="str">
        <f>Sheet1!N355 &amp; "," &amp; TEXT(Sheet1!O355,"dd/mm/yy")</f>
        <v>202509066928,21/09/25</v>
      </c>
      <c r="K355" s="5" t="s">
        <v>14</v>
      </c>
      <c r="L355" s="38" t="s">
        <v>15</v>
      </c>
      <c r="M355" s="38">
        <v>45959</v>
      </c>
      <c r="N355" s="38" t="s">
        <v>16</v>
      </c>
    </row>
    <row r="356" spans="1:14" x14ac:dyDescent="0.35">
      <c r="A356" s="4" t="str">
        <f>Sheet1!A356 &amp; "/" &amp; "2025"</f>
        <v>1754/2025</v>
      </c>
      <c r="B356" s="5" t="str">
        <f>Sheet1!E356</f>
        <v>AU2065694984125</v>
      </c>
      <c r="C356" s="6" t="str">
        <f>UPPER(Sheet1!B356)</f>
        <v>ARBAAZ SINGH VIRK</v>
      </c>
      <c r="D356" s="7" t="str">
        <f>IF(Sheet1!F356="F","FEMALE","MALE")</f>
        <v>MALE</v>
      </c>
      <c r="E356" s="6" t="str">
        <f>UPPER(Sheet1!G356)</f>
        <v>MALKEET SINGH VIRK</v>
      </c>
      <c r="F356" s="6" t="str">
        <f>UPPER(Sheet1!H356)</f>
        <v>AMANDEEP  KAUR</v>
      </c>
      <c r="G356" s="5" t="str">
        <f>TEXT(Sheet1!C356,"dd/mm/yyyy") &amp; "," &amp; Sheet1!D356</f>
        <v xml:space="preserve">16/07/2025,LAUNCESTON , AUSTRALIA  </v>
      </c>
      <c r="H356" s="57" t="str">
        <f>UPPER(Sheet1!K356 &amp; "," &amp; Sheet1!L356 &amp; "," &amp; Sheet1!M356)</f>
        <v>VPO,MANDAR,MOGA,PIN:142001,PUNJAB,INDIA</v>
      </c>
      <c r="I356" s="8">
        <f>Sheet1!J356</f>
        <v>45947</v>
      </c>
      <c r="J356" s="5" t="str">
        <f>Sheet1!N356 &amp; "," &amp; TEXT(Sheet1!O356,"dd/mm/yy")</f>
        <v>202509067345,23/09/25</v>
      </c>
      <c r="K356" s="5" t="s">
        <v>14</v>
      </c>
      <c r="L356" s="38" t="s">
        <v>15</v>
      </c>
      <c r="M356" s="38">
        <v>45959</v>
      </c>
      <c r="N356" s="38" t="s">
        <v>16</v>
      </c>
    </row>
    <row r="357" spans="1:14" x14ac:dyDescent="0.35">
      <c r="A357" s="4" t="str">
        <f>Sheet1!A357 &amp; "/" &amp; "2025"</f>
        <v>1755/2025</v>
      </c>
      <c r="B357" s="5" t="str">
        <f>Sheet1!E357</f>
        <v>AU2065694984325</v>
      </c>
      <c r="C357" s="6" t="str">
        <f>UPPER(Sheet1!B357)</f>
        <v>AMBER KAUR NAGRA</v>
      </c>
      <c r="D357" s="7" t="str">
        <f>IF(Sheet1!F357="F","FEMALE","MALE")</f>
        <v>FEMALE</v>
      </c>
      <c r="E357" s="6" t="str">
        <f>UPPER(Sheet1!G357)</f>
        <v>JAGROOP SINGH</v>
      </c>
      <c r="F357" s="6" t="str">
        <f>UPPER(Sheet1!H357)</f>
        <v>JAGROOP  KAUR</v>
      </c>
      <c r="G357" s="5" t="str">
        <f>TEXT(Sheet1!C357,"dd/mm/yyyy") &amp; "," &amp; Sheet1!D357</f>
        <v>15/04/2025,HOBART , AUSTRALIA</v>
      </c>
      <c r="H357" s="57" t="str">
        <f>UPPER(Sheet1!K357 &amp; "," &amp; Sheet1!L357 &amp; "," &amp; Sheet1!M357)</f>
        <v>METLAY,BATALA,GURDASPUR,PIN:143516,PUNJAB,INDIA,</v>
      </c>
      <c r="I357" s="8">
        <f>Sheet1!J357</f>
        <v>45947</v>
      </c>
      <c r="J357" s="5" t="str">
        <f>Sheet1!N357 &amp; "," &amp; TEXT(Sheet1!O357,"dd/mm/yy")</f>
        <v>202509062773,04/09/25</v>
      </c>
      <c r="K357" s="5" t="s">
        <v>14</v>
      </c>
      <c r="L357" s="38" t="s">
        <v>15</v>
      </c>
      <c r="M357" s="38">
        <v>45959</v>
      </c>
      <c r="N357" s="38" t="s">
        <v>16</v>
      </c>
    </row>
    <row r="358" spans="1:14" x14ac:dyDescent="0.35">
      <c r="A358" s="4" t="str">
        <f>Sheet1!A358 &amp; "/" &amp; "2025"</f>
        <v>1756/2025</v>
      </c>
      <c r="B358" s="5" t="str">
        <f>Sheet1!E358</f>
        <v>AU2065694984725</v>
      </c>
      <c r="C358" s="6" t="str">
        <f>UPPER(Sheet1!B358)</f>
        <v>KADAR SINGH DHILLON</v>
      </c>
      <c r="D358" s="7" t="str">
        <f>IF(Sheet1!F358="F","FEMALE","MALE")</f>
        <v>MALE</v>
      </c>
      <c r="E358" s="6" t="str">
        <f>UPPER(Sheet1!G358)</f>
        <v>MANDEEP SINGH DHILLON</v>
      </c>
      <c r="F358" s="6" t="str">
        <f>UPPER(Sheet1!H358)</f>
        <v>SHARANJEET KAUR </v>
      </c>
      <c r="G358" s="5" t="str">
        <f>TEXT(Sheet1!C358,"dd/mm/yyyy") &amp; "," &amp; Sheet1!D358</f>
        <v xml:space="preserve">20/05/2025,GEELONG , AUSTRALIA </v>
      </c>
      <c r="H358" s="57" t="str">
        <f>UPPER(Sheet1!K358 &amp; "," &amp; Sheet1!L358 &amp; "," &amp; Sheet1!M358)</f>
        <v>DASHMESH NAGAR MOURANWALI,SUNAM,SANGRUR,PIN:148028,PUNJAB,INDIA</v>
      </c>
      <c r="I358" s="8">
        <f>Sheet1!J358</f>
        <v>45947</v>
      </c>
      <c r="J358" s="5" t="str">
        <f>Sheet1!N358 &amp; "," &amp; TEXT(Sheet1!O358,"dd/mm/yy")</f>
        <v>202509065815,17/09/25</v>
      </c>
      <c r="K358" s="5" t="s">
        <v>14</v>
      </c>
      <c r="L358" s="38" t="s">
        <v>15</v>
      </c>
      <c r="M358" s="38">
        <v>45959</v>
      </c>
      <c r="N358" s="38" t="s">
        <v>16</v>
      </c>
    </row>
    <row r="359" spans="1:14" x14ac:dyDescent="0.35">
      <c r="A359" s="4" t="str">
        <f>Sheet1!A359 &amp; "/" &amp; "2025"</f>
        <v>1757/2025</v>
      </c>
      <c r="B359" s="5" t="str">
        <f>Sheet1!E359</f>
        <v>AU2065694985125</v>
      </c>
      <c r="C359" s="6" t="str">
        <f>UPPER(Sheet1!B359)</f>
        <v>AVIRRAAJ SINGH</v>
      </c>
      <c r="D359" s="7" t="str">
        <f>IF(Sheet1!F359="F","FEMALE","MALE")</f>
        <v>MALE</v>
      </c>
      <c r="E359" s="6" t="str">
        <f>UPPER(Sheet1!G359)</f>
        <v>AMANPREET PAUL SINGH</v>
      </c>
      <c r="F359" s="6" t="str">
        <f>UPPER(Sheet1!H359)</f>
        <v>NEHA  KAPOOR</v>
      </c>
      <c r="G359" s="5" t="str">
        <f>TEXT(Sheet1!C359,"dd/mm/yyyy") &amp; "," &amp; Sheet1!D359</f>
        <v>30/05/2025,BENDIGO, AUSTRALIA</v>
      </c>
      <c r="H359" s="57" t="str">
        <f>UPPER(Sheet1!K359 &amp; "," &amp; Sheet1!L359 &amp; "," &amp; Sheet1!M359)</f>
        <v>76 BLOOD DONORS COLONY,NAWANSHAHAR,SBS NAGAR,PIN:144514,PUNJAB,INDIA</v>
      </c>
      <c r="I359" s="8">
        <f>Sheet1!J359</f>
        <v>45947</v>
      </c>
      <c r="J359" s="5" t="str">
        <f>Sheet1!N359 &amp; "," &amp; TEXT(Sheet1!O359,"dd/mm/yy")</f>
        <v>202509066929,21/09/25</v>
      </c>
      <c r="K359" s="5" t="s">
        <v>14</v>
      </c>
      <c r="L359" s="38" t="s">
        <v>15</v>
      </c>
      <c r="M359" s="38">
        <v>45959</v>
      </c>
      <c r="N359" s="38" t="s">
        <v>16</v>
      </c>
    </row>
    <row r="360" spans="1:14" x14ac:dyDescent="0.35">
      <c r="A360" s="4" t="str">
        <f>Sheet1!A360 &amp; "/" &amp; "2025"</f>
        <v>1758/2025</v>
      </c>
      <c r="B360" s="5" t="str">
        <f>Sheet1!E360</f>
        <v>AU2065694985525</v>
      </c>
      <c r="C360" s="6" t="str">
        <f>UPPER(Sheet1!B360)</f>
        <v>DAIVIK SALYAN</v>
      </c>
      <c r="D360" s="7" t="str">
        <f>IF(Sheet1!F360="F","FEMALE","MALE")</f>
        <v>MALE</v>
      </c>
      <c r="E360" s="6" t="str">
        <f>UPPER(Sheet1!G360)</f>
        <v>ANGREJ SINGH</v>
      </c>
      <c r="F360" s="6" t="str">
        <f>UPPER(Sheet1!H360)</f>
        <v>POOJA  RANI</v>
      </c>
      <c r="G360" s="5" t="str">
        <f>TEXT(Sheet1!C360,"dd/mm/yyyy") &amp; "," &amp; Sheet1!D360</f>
        <v xml:space="preserve">23/02/2025,ST ALBANS , AUSTRALIA </v>
      </c>
      <c r="H360" s="57" t="str">
        <f>UPPER(Sheet1!K360 &amp; "," &amp; Sheet1!L360 &amp; "," &amp; Sheet1!M360)</f>
        <v>VPO,MANJURA,KARNAL,PIN:132001,HARYANA,INDIA</v>
      </c>
      <c r="I360" s="8">
        <f>Sheet1!J360</f>
        <v>45947</v>
      </c>
      <c r="J360" s="5" t="str">
        <f>Sheet1!N360 &amp; "," &amp; TEXT(Sheet1!O360,"dd/mm/yy")</f>
        <v>202509047490,08/07/25</v>
      </c>
      <c r="K360" s="5" t="s">
        <v>14</v>
      </c>
      <c r="L360" s="38" t="s">
        <v>15</v>
      </c>
      <c r="M360" s="38">
        <v>45959</v>
      </c>
      <c r="N360" s="38" t="s">
        <v>16</v>
      </c>
    </row>
    <row r="361" spans="1:14" x14ac:dyDescent="0.35">
      <c r="A361" s="4" t="str">
        <f>Sheet1!A361 &amp; "/" &amp; "2025"</f>
        <v>1759/2025</v>
      </c>
      <c r="B361" s="5" t="str">
        <f>Sheet1!E361</f>
        <v>AU2065694985725</v>
      </c>
      <c r="C361" s="6" t="str">
        <f>UPPER(Sheet1!B361)</f>
        <v>PAAVI SHAH</v>
      </c>
      <c r="D361" s="7" t="str">
        <f>IF(Sheet1!F361="F","FEMALE","MALE")</f>
        <v>FEMALE</v>
      </c>
      <c r="E361" s="6" t="str">
        <f>UPPER(Sheet1!G361)</f>
        <v>KOMIL SHAH</v>
      </c>
      <c r="F361" s="6" t="str">
        <f>UPPER(Sheet1!H361)</f>
        <v>PURVI  SHAH</v>
      </c>
      <c r="G361" s="5" t="str">
        <f>TEXT(Sheet1!C361,"dd/mm/yyyy") &amp; "," &amp; Sheet1!D361</f>
        <v xml:space="preserve">01/07/2025,CLAYTON , AUSTRALIA  </v>
      </c>
      <c r="H361" s="57" t="str">
        <f>UPPER(Sheet1!K361 &amp; "," &amp; Sheet1!L361 &amp; "," &amp; Sheet1!M361)</f>
        <v>25 PAYAL VATIKA,VANDANA NAGAR INDORE,INDORE,PIN:452018,MADHYA PRADESH,INDIA</v>
      </c>
      <c r="I361" s="8">
        <f>Sheet1!J361</f>
        <v>45947</v>
      </c>
      <c r="J361" s="5" t="str">
        <f>Sheet1!N361 &amp; "," &amp; TEXT(Sheet1!O361,"dd/mm/yy")</f>
        <v>202509064543,12/09/25</v>
      </c>
      <c r="K361" s="5" t="s">
        <v>14</v>
      </c>
      <c r="L361" s="38" t="s">
        <v>15</v>
      </c>
      <c r="M361" s="38">
        <v>45959</v>
      </c>
      <c r="N361" s="38" t="s">
        <v>16</v>
      </c>
    </row>
    <row r="362" spans="1:14" x14ac:dyDescent="0.35">
      <c r="A362" s="4" t="str">
        <f>Sheet1!A362 &amp; "/" &amp; "2025"</f>
        <v>1760/2025</v>
      </c>
      <c r="B362" s="5" t="str">
        <f>Sheet1!E362</f>
        <v>AU2065694986525</v>
      </c>
      <c r="C362" s="6" t="str">
        <f>UPPER(Sheet1!B362)</f>
        <v>ANSH SINGH</v>
      </c>
      <c r="D362" s="7" t="str">
        <f>IF(Sheet1!F362="F","FEMALE","MALE")</f>
        <v>MALE</v>
      </c>
      <c r="E362" s="6" t="str">
        <f>UPPER(Sheet1!G362)</f>
        <v>HANSRAJ SINGH</v>
      </c>
      <c r="F362" s="6" t="str">
        <f>UPPER(Sheet1!H362)</f>
        <v>ANJALI  TOMAR</v>
      </c>
      <c r="G362" s="5" t="str">
        <f>TEXT(Sheet1!C362,"dd/mm/yyyy") &amp; "," &amp; Sheet1!D362</f>
        <v xml:space="preserve">05/07/2025,WERIBEE, AUSTRALIA </v>
      </c>
      <c r="H362" s="57" t="str">
        <f>UPPER(Sheet1!K362 &amp; "," &amp; Sheet1!L362 &amp; "," &amp; Sheet1!M362)</f>
        <v>BEDHAM,BEDHAM,DEEG,PIN:321203,RAJASTHAN,INDIA</v>
      </c>
      <c r="I362" s="8">
        <f>Sheet1!J362</f>
        <v>45947</v>
      </c>
      <c r="J362" s="5" t="str">
        <f>Sheet1!N362 &amp; "," &amp; TEXT(Sheet1!O362,"dd/mm/yy")</f>
        <v>202509060193,26/08/25</v>
      </c>
      <c r="K362" s="5" t="s">
        <v>14</v>
      </c>
      <c r="L362" s="38" t="s">
        <v>15</v>
      </c>
      <c r="M362" s="38">
        <v>45959</v>
      </c>
      <c r="N362" s="38" t="s">
        <v>16</v>
      </c>
    </row>
    <row r="363" spans="1:14" x14ac:dyDescent="0.35">
      <c r="A363" s="4" t="str">
        <f>Sheet1!A363 &amp; "/" &amp; "2025"</f>
        <v>1761/2025</v>
      </c>
      <c r="B363" s="5" t="str">
        <f>Sheet1!E363</f>
        <v>AU2065694986925</v>
      </c>
      <c r="C363" s="6" t="str">
        <f>UPPER(Sheet1!B363)</f>
        <v>ATEESHA UPADHYAY</v>
      </c>
      <c r="D363" s="7" t="str">
        <f>IF(Sheet1!F363="F","FEMALE","MALE")</f>
        <v>FEMALE</v>
      </c>
      <c r="E363" s="6" t="str">
        <f>UPPER(Sheet1!G363)</f>
        <v>NIRVED UPADHYAY</v>
      </c>
      <c r="F363" s="6" t="str">
        <f>UPPER(Sheet1!H363)</f>
        <v>AASHIMA  UPADHYAY</v>
      </c>
      <c r="G363" s="5" t="str">
        <f>TEXT(Sheet1!C363,"dd/mm/yyyy") &amp; "," &amp; Sheet1!D363</f>
        <v xml:space="preserve">01/09/2025,LAUNCESTON , AUSTRALIA  </v>
      </c>
      <c r="H363" s="57" t="str">
        <f>UPPER(Sheet1!K363 &amp; "," &amp; Sheet1!L363 &amp; "," &amp; Sheet1!M363)</f>
        <v>B 20/11 VED NAGAR,UJJAIN,UJJAIN,PIN:456010,MADHYA PRADESH,INDIA</v>
      </c>
      <c r="I363" s="8">
        <f>Sheet1!J363</f>
        <v>45947</v>
      </c>
      <c r="J363" s="5" t="str">
        <f>Sheet1!N363 &amp; "," &amp; TEXT(Sheet1!O363,"dd/mm/yy")</f>
        <v>202509067363,23/09/25</v>
      </c>
      <c r="K363" s="5" t="s">
        <v>14</v>
      </c>
      <c r="L363" s="38" t="s">
        <v>15</v>
      </c>
      <c r="M363" s="38">
        <v>45959</v>
      </c>
      <c r="N363" s="38" t="s">
        <v>16</v>
      </c>
    </row>
    <row r="364" spans="1:14" x14ac:dyDescent="0.35">
      <c r="A364" s="4" t="str">
        <f>Sheet1!A364 &amp; "/" &amp; "2025"</f>
        <v>1762/2025</v>
      </c>
      <c r="B364" s="5" t="str">
        <f>Sheet1!E364</f>
        <v>AU2065692772125</v>
      </c>
      <c r="C364" s="6" t="str">
        <f>UPPER(Sheet1!B364)</f>
        <v>SADAA KAUR VIRK</v>
      </c>
      <c r="D364" s="7" t="str">
        <f>IF(Sheet1!F364="F","FEMALE","MALE")</f>
        <v>FEMALE</v>
      </c>
      <c r="E364" s="6" t="str">
        <f>UPPER(Sheet1!G364)</f>
        <v>SIMRATPAL SINGH</v>
      </c>
      <c r="F364" s="6" t="str">
        <f>UPPER(Sheet1!H364)</f>
        <v>NAVDEEP KAUR </v>
      </c>
      <c r="G364" s="5" t="str">
        <f>TEXT(Sheet1!C364,"dd/mm/yyyy") &amp; "," &amp; Sheet1!D364</f>
        <v xml:space="preserve">04/06/2025,ST ALBANS , AUSTRALIA </v>
      </c>
      <c r="H364" s="57" t="str">
        <f>UPPER(Sheet1!K364 &amp; "," &amp; Sheet1!L364 &amp; "," &amp; Sheet1!M364)</f>
        <v>VILL CHAJJUPUR,P.O.URNAI,TEHSIL PEHOWA,KURUKSHETRA,PIN:136128,HARYANA,INDIA</v>
      </c>
      <c r="I364" s="8">
        <f>Sheet1!J364</f>
        <v>45947</v>
      </c>
      <c r="J364" s="5" t="str">
        <f>Sheet1!N364 &amp; "," &amp; TEXT(Sheet1!O364,"dd/mm/yy")</f>
        <v>202509072151,11/10/25</v>
      </c>
      <c r="K364" s="5" t="s">
        <v>14</v>
      </c>
      <c r="L364" s="38" t="s">
        <v>15</v>
      </c>
      <c r="M364" s="38">
        <v>45959</v>
      </c>
      <c r="N364" s="38" t="s">
        <v>16</v>
      </c>
    </row>
    <row r="365" spans="1:14" x14ac:dyDescent="0.35">
      <c r="A365" s="4" t="str">
        <f>Sheet1!A365 &amp; "/" &amp; "2025"</f>
        <v>1763/2025</v>
      </c>
      <c r="B365" s="5" t="str">
        <f>Sheet1!E365</f>
        <v>AU2065696020525</v>
      </c>
      <c r="C365" s="6" t="str">
        <f>UPPER(Sheet1!B365)</f>
        <v>PAVITAR SINGH GILL</v>
      </c>
      <c r="D365" s="7" t="str">
        <f>IF(Sheet1!F365="F","FEMALE","MALE")</f>
        <v>MALE</v>
      </c>
      <c r="E365" s="6" t="str">
        <f>UPPER(Sheet1!G365)</f>
        <v>AMANDEEP SINGH GILL</v>
      </c>
      <c r="F365" s="6" t="str">
        <f>UPPER(Sheet1!H365)</f>
        <v>SUKHDEEP KAUR </v>
      </c>
      <c r="G365" s="5" t="str">
        <f>TEXT(Sheet1!C365,"dd/mm/yyyy") &amp; "," &amp; Sheet1!D365</f>
        <v xml:space="preserve">13/07/2025,PARKVILLE , AUSTRALIA  </v>
      </c>
      <c r="H365" s="57" t="str">
        <f>UPPER(Sheet1!K365 &amp; "," &amp; Sheet1!L365 &amp; "," &amp; Sheet1!M365)</f>
        <v>VILL,SAFFUWALA,MOGA,PIN:142048,PUNJAB,INDIA</v>
      </c>
      <c r="I365" s="8">
        <f>Sheet1!J365</f>
        <v>45947</v>
      </c>
      <c r="J365" s="5" t="str">
        <f>Sheet1!N365 &amp; "," &amp; TEXT(Sheet1!O365,"dd/mm/yy")</f>
        <v>202509069777,02/10/25</v>
      </c>
      <c r="K365" s="5" t="s">
        <v>14</v>
      </c>
      <c r="L365" s="38" t="s">
        <v>15</v>
      </c>
      <c r="M365" s="38">
        <v>45959</v>
      </c>
      <c r="N365" s="38" t="s">
        <v>16</v>
      </c>
    </row>
    <row r="366" spans="1:14" x14ac:dyDescent="0.35">
      <c r="A366" s="4" t="str">
        <f>Sheet1!A366 &amp; "/" &amp; "2025"</f>
        <v>1764/2025</v>
      </c>
      <c r="B366" s="5" t="str">
        <f>Sheet1!E366</f>
        <v>AU2065696021125</v>
      </c>
      <c r="C366" s="6" t="str">
        <f>UPPER(Sheet1!B366)</f>
        <v>GURNAWAB SINGH MALHI</v>
      </c>
      <c r="D366" s="7" t="str">
        <f>IF(Sheet1!F366="F","FEMALE","MALE")</f>
        <v>MALE</v>
      </c>
      <c r="E366" s="6" t="str">
        <f>UPPER(Sheet1!G366)</f>
        <v>VISHALJEET SINGH</v>
      </c>
      <c r="F366" s="6" t="str">
        <f>UPPER(Sheet1!H366)</f>
        <v>SUMANPREET KAUR </v>
      </c>
      <c r="G366" s="5" t="str">
        <f>TEXT(Sheet1!C366,"dd/mm/yyyy") &amp; "," &amp; Sheet1!D366</f>
        <v xml:space="preserve">14/08/2025,ST ALBANS , AUSTRALIA </v>
      </c>
      <c r="H366" s="57" t="str">
        <f>UPPER(Sheet1!K366 &amp; "," &amp; Sheet1!L366 &amp; "," &amp; Sheet1!M366)</f>
        <v>VPO: RANI WALAH,TEHSIL &amp; DISTT,TARN TARAN,PIN:143401,PUNJAB,INDIA</v>
      </c>
      <c r="I366" s="8">
        <f>Sheet1!J366</f>
        <v>45947</v>
      </c>
      <c r="J366" s="5" t="str">
        <f>Sheet1!N366 &amp; "," &amp; TEXT(Sheet1!O366,"dd/mm/yy")</f>
        <v>202509069618,01/10/25</v>
      </c>
      <c r="K366" s="5" t="s">
        <v>14</v>
      </c>
      <c r="L366" s="38" t="s">
        <v>15</v>
      </c>
      <c r="M366" s="38">
        <v>45959</v>
      </c>
      <c r="N366" s="38" t="s">
        <v>16</v>
      </c>
    </row>
    <row r="367" spans="1:14" ht="30" customHeight="1" x14ac:dyDescent="0.35">
      <c r="A367" s="4" t="str">
        <f>Sheet1!A367 &amp; "/" &amp; "2025"</f>
        <v>1765/2025</v>
      </c>
      <c r="B367" s="5" t="str">
        <f>Sheet1!E367</f>
        <v>AU2065696021525</v>
      </c>
      <c r="C367" s="6" t="str">
        <f>UPPER(Sheet1!B367)</f>
        <v>KHALID UDDIN KHAJA MOHAMMED</v>
      </c>
      <c r="D367" s="7" t="str">
        <f>IF(Sheet1!F367="F","FEMALE","MALE")</f>
        <v>MALE</v>
      </c>
      <c r="E367" s="6" t="str">
        <f>UPPER(Sheet1!G367)</f>
        <v>MOHAMMED NOORUDDIN KHAJA</v>
      </c>
      <c r="F367" s="6" t="str">
        <f>UPPER(Sheet1!H367)</f>
        <v>SYEDA UMME SALMA </v>
      </c>
      <c r="G367" s="5" t="str">
        <f>TEXT(Sheet1!C367,"dd/mm/yyyy") &amp; "," &amp; Sheet1!D367</f>
        <v>09/05/2025,HOBART , AUSTRALIA</v>
      </c>
      <c r="H367" s="57" t="str">
        <f>UPPER(Sheet1!K367 &amp; "," &amp; Sheet1!L367 &amp; "," &amp; Sheet1!M367)</f>
        <v>1-8-494/5,VIQUAR NAGAR,PRAKASH NAGAR,BEGUMPET,HYDERABAD,PIN:500016,TELANGANA,INDIA</v>
      </c>
      <c r="I367" s="8">
        <f>Sheet1!J367</f>
        <v>45947</v>
      </c>
      <c r="J367" s="5" t="str">
        <f>Sheet1!N367 &amp; "," &amp; TEXT(Sheet1!O367,"dd/mm/yy")</f>
        <v>202509055265,06/08/25</v>
      </c>
      <c r="K367" s="5" t="s">
        <v>14</v>
      </c>
      <c r="L367" s="38" t="s">
        <v>15</v>
      </c>
      <c r="M367" s="38">
        <v>45959</v>
      </c>
      <c r="N367" s="38" t="s">
        <v>16</v>
      </c>
    </row>
    <row r="368" spans="1:14" x14ac:dyDescent="0.35">
      <c r="A368" s="4" t="str">
        <f>Sheet1!A368 &amp; "/" &amp; "2025"</f>
        <v>1766/2025</v>
      </c>
      <c r="B368" s="5" t="str">
        <f>Sheet1!E368</f>
        <v>AU2065696022325</v>
      </c>
      <c r="C368" s="6" t="str">
        <f>UPPER(Sheet1!B368)</f>
        <v>KARAMVEER SINGH CHAHAL</v>
      </c>
      <c r="D368" s="7" t="str">
        <f>IF(Sheet1!F368="F","FEMALE","MALE")</f>
        <v>MALE</v>
      </c>
      <c r="E368" s="6" t="str">
        <f>UPPER(Sheet1!G368)</f>
        <v>GURINDERJIT SINGH</v>
      </c>
      <c r="F368" s="6" t="str">
        <f>UPPER(Sheet1!H368)</f>
        <v>MANDEEP KAUR </v>
      </c>
      <c r="G368" s="5" t="str">
        <f>TEXT(Sheet1!C368,"dd/mm/yyyy") &amp; "," &amp; Sheet1!D368</f>
        <v xml:space="preserve">14/08/2025,ST ALBANS , AUSTRALIA </v>
      </c>
      <c r="H368" s="57" t="str">
        <f>UPPER(Sheet1!K368 &amp; "," &amp; Sheet1!L368 &amp; "," &amp; Sheet1!M368)</f>
        <v>NEAR GOVT MIDDLE SCHOOL,KHIALI,BARNALA,PIN:148104,PUNJAB,INDIA</v>
      </c>
      <c r="I368" s="8">
        <f>Sheet1!J368</f>
        <v>45947</v>
      </c>
      <c r="J368" s="5" t="str">
        <f>Sheet1!N368 &amp; "," &amp; TEXT(Sheet1!O368,"dd/mm/yy")</f>
        <v>202509068747,28/09/25</v>
      </c>
      <c r="K368" s="5" t="s">
        <v>14</v>
      </c>
      <c r="L368" s="38" t="s">
        <v>15</v>
      </c>
      <c r="M368" s="38">
        <v>45959</v>
      </c>
      <c r="N368" s="38" t="s">
        <v>16</v>
      </c>
    </row>
    <row r="369" spans="1:14" x14ac:dyDescent="0.35">
      <c r="A369" s="4" t="str">
        <f>Sheet1!A369 &amp; "/" &amp; "2025"</f>
        <v>1767/2025</v>
      </c>
      <c r="B369" s="5" t="str">
        <f>Sheet1!E369</f>
        <v>AU2065696023125</v>
      </c>
      <c r="C369" s="6" t="str">
        <f>UPPER(Sheet1!B369)</f>
        <v>YAHYA AHMED MOHAMMED</v>
      </c>
      <c r="D369" s="7" t="str">
        <f>IF(Sheet1!F369="F","FEMALE","MALE")</f>
        <v>MALE</v>
      </c>
      <c r="E369" s="6" t="str">
        <f>UPPER(Sheet1!G369)</f>
        <v>BILAL AHMED MOHAMMED</v>
      </c>
      <c r="F369" s="6" t="str">
        <f>UPPER(Sheet1!H369)</f>
        <v>MAHEEN  SIDDIQUI</v>
      </c>
      <c r="G369" s="5" t="str">
        <f>TEXT(Sheet1!C369,"dd/mm/yyyy") &amp; "," &amp; Sheet1!D369</f>
        <v>03/05/2025,HOBART , AUSTRALIA</v>
      </c>
      <c r="H369" s="57" t="str">
        <f>UPPER(Sheet1!K369 &amp; "," &amp; Sheet1!L369 &amp; "," &amp; Sheet1!M369)</f>
        <v>17-1-182/D/C,BANU NAGAR,SANTOSH NAGAR,HYDERABAD,PIN:500059,TELANGANA,INDIA</v>
      </c>
      <c r="I369" s="8">
        <f>Sheet1!J369</f>
        <v>45947</v>
      </c>
      <c r="J369" s="5" t="str">
        <f>Sheet1!N369 &amp; "," &amp; TEXT(Sheet1!O369,"dd/mm/yy")</f>
        <v>202509067086,22/09/25</v>
      </c>
      <c r="K369" s="5" t="s">
        <v>14</v>
      </c>
      <c r="L369" s="38" t="s">
        <v>15</v>
      </c>
      <c r="M369" s="38">
        <v>45959</v>
      </c>
      <c r="N369" s="38" t="s">
        <v>16</v>
      </c>
    </row>
    <row r="370" spans="1:14" x14ac:dyDescent="0.35">
      <c r="A370" s="4" t="str">
        <f>Sheet1!A370 &amp; "/" &amp; "2025"</f>
        <v>1768/2025</v>
      </c>
      <c r="B370" s="5" t="str">
        <f>Sheet1!E370</f>
        <v>AU2065696023525</v>
      </c>
      <c r="C370" s="6" t="str">
        <f>UPPER(Sheet1!B370)</f>
        <v>ABDUL WADUD KHAN</v>
      </c>
      <c r="D370" s="7" t="str">
        <f>IF(Sheet1!F370="F","FEMALE","MALE")</f>
        <v>MALE</v>
      </c>
      <c r="E370" s="6" t="str">
        <f>UPPER(Sheet1!G370)</f>
        <v>ABDUL MUHEET KHAN</v>
      </c>
      <c r="F370" s="6" t="str">
        <f>UPPER(Sheet1!H370)</f>
        <v>REEMA HASAN </v>
      </c>
      <c r="G370" s="5" t="str">
        <f>TEXT(Sheet1!C370,"dd/mm/yyyy") &amp; "," &amp; Sheet1!D370</f>
        <v xml:space="preserve">03/01/2025,BERWICK , AUSTRALIA  </v>
      </c>
      <c r="H370" s="57" t="str">
        <f>UPPER(Sheet1!K370 &amp; "," &amp; Sheet1!L370 &amp; "," &amp; Sheet1!M370)</f>
        <v>8-1-40/1/A,B,C,D,E,FLAT NO 503,HS ROYAL APTS,SHAIKPET/ GOLCONDA,HYDERABAD,PIN:500008,TELANGANA,INDIA</v>
      </c>
      <c r="I370" s="8">
        <f>Sheet1!J370</f>
        <v>45947</v>
      </c>
      <c r="J370" s="5" t="str">
        <f>Sheet1!N370 &amp; "," &amp; TEXT(Sheet1!O370,"dd/mm/yy")</f>
        <v>202509038869,05/06/25</v>
      </c>
      <c r="K370" s="5" t="s">
        <v>14</v>
      </c>
      <c r="L370" s="38" t="s">
        <v>15</v>
      </c>
      <c r="M370" s="38">
        <v>45959</v>
      </c>
      <c r="N370" s="38" t="s">
        <v>16</v>
      </c>
    </row>
    <row r="371" spans="1:14" x14ac:dyDescent="0.35">
      <c r="A371" s="4" t="str">
        <f>Sheet1!A371 &amp; "/" &amp; "2025"</f>
        <v>1769/2025</v>
      </c>
      <c r="B371" s="5" t="str">
        <f>Sheet1!E371</f>
        <v>AU2065698248725</v>
      </c>
      <c r="C371" s="6" t="str">
        <f>UPPER(Sheet1!B371)</f>
        <v>VIHAAN PENTAPATI</v>
      </c>
      <c r="D371" s="7" t="str">
        <f>IF(Sheet1!F371="F","FEMALE","MALE")</f>
        <v>MALE</v>
      </c>
      <c r="E371" s="6" t="str">
        <f>UPPER(Sheet1!G371)</f>
        <v>KRISHNA SARATH PENTAPATI</v>
      </c>
      <c r="F371" s="6" t="str">
        <f>UPPER(Sheet1!H371)</f>
        <v>DHANALAKSHMI  KOTLA</v>
      </c>
      <c r="G371" s="5" t="str">
        <f>TEXT(Sheet1!C371,"dd/mm/yyyy") &amp; "," &amp; Sheet1!D371</f>
        <v xml:space="preserve">08/08/2025,PARKVILLE , AUSTRALIA  </v>
      </c>
      <c r="H371" s="57" t="str">
        <f>UPPER(Sheet1!K371 &amp; "," &amp; Sheet1!L371 &amp; "," &amp; Sheet1!M371)</f>
        <v>DOOR NO 14-179,MEDARA STREET,RAJAM,VIZIANAGARAM,PIN:532127,ANDHRA PRADESH,INDIA</v>
      </c>
      <c r="I371" s="8">
        <f>Sheet1!J371</f>
        <v>45947</v>
      </c>
      <c r="J371" s="5" t="str">
        <f>Sheet1!N371 &amp; "," &amp; TEXT(Sheet1!O371,"dd/mm/yy")</f>
        <v>202509069979,03/10/25</v>
      </c>
      <c r="K371" s="5" t="s">
        <v>14</v>
      </c>
      <c r="L371" s="38" t="s">
        <v>15</v>
      </c>
      <c r="M371" s="38">
        <v>45959</v>
      </c>
      <c r="N371" s="38" t="s">
        <v>16</v>
      </c>
    </row>
    <row r="372" spans="1:14" x14ac:dyDescent="0.35">
      <c r="A372" s="4" t="str">
        <f>Sheet1!A372 &amp; "/" &amp; "2025"</f>
        <v>1770/2025</v>
      </c>
      <c r="B372" s="5" t="str">
        <f>Sheet1!E372</f>
        <v>AU2065698249325</v>
      </c>
      <c r="C372" s="6" t="str">
        <f>UPPER(Sheet1!B372)</f>
        <v>SHIVAY SHARMA</v>
      </c>
      <c r="D372" s="7" t="str">
        <f>IF(Sheet1!F372="F","FEMALE","MALE")</f>
        <v>MALE</v>
      </c>
      <c r="E372" s="6" t="str">
        <f>UPPER(Sheet1!G372)</f>
        <v>HARSHDIP SHARMA</v>
      </c>
      <c r="F372" s="6" t="str">
        <f>UPPER(Sheet1!H372)</f>
        <v>MILKY </v>
      </c>
      <c r="G372" s="5" t="str">
        <f>TEXT(Sheet1!C372,"dd/mm/yyyy") &amp; "," &amp; Sheet1!D372</f>
        <v xml:space="preserve">14/07/2025,BERWICK , AUSTRALIA  </v>
      </c>
      <c r="H372" s="57" t="str">
        <f>UPPER(Sheet1!K372 &amp; "," &amp; Sheet1!L372 &amp; "," &amp; Sheet1!M372)</f>
        <v>VPO,SIHAURA,KHANNA (LUDHIANA),PIN:141413,PUNJAB,INDIA</v>
      </c>
      <c r="I372" s="8">
        <f>Sheet1!J372</f>
        <v>45947</v>
      </c>
      <c r="J372" s="5" t="str">
        <f>Sheet1!N372 &amp; "," &amp; TEXT(Sheet1!O372,"dd/mm/yy")</f>
        <v>202509069975,03/10/25</v>
      </c>
      <c r="K372" s="5" t="s">
        <v>14</v>
      </c>
      <c r="L372" s="38" t="s">
        <v>15</v>
      </c>
      <c r="M372" s="38">
        <v>45959</v>
      </c>
      <c r="N372" s="38" t="s">
        <v>16</v>
      </c>
    </row>
    <row r="373" spans="1:14" x14ac:dyDescent="0.35">
      <c r="A373" s="4" t="str">
        <f>Sheet1!A373 &amp; "/" &amp; "2025"</f>
        <v>1771/2025</v>
      </c>
      <c r="B373" s="5" t="str">
        <f>Sheet1!E373</f>
        <v>AU2065698329325</v>
      </c>
      <c r="C373" s="6" t="str">
        <f>UPPER(Sheet1!B373)</f>
        <v>AKAALJOT SINGH</v>
      </c>
      <c r="D373" s="7" t="str">
        <f>IF(Sheet1!F373="F","FEMALE","MALE")</f>
        <v>MALE</v>
      </c>
      <c r="E373" s="6" t="str">
        <f>UPPER(Sheet1!G373)</f>
        <v>ARSHDEEP SINGH</v>
      </c>
      <c r="F373" s="6" t="str">
        <f>UPPER(Sheet1!H373)</f>
        <v>HARSHPREET KAUR </v>
      </c>
      <c r="G373" s="5" t="str">
        <f>TEXT(Sheet1!C373,"dd/mm/yyyy") &amp; "," &amp; Sheet1!D373</f>
        <v xml:space="preserve">02/02/2025,LAUNCESTON , AUSTRALIA  </v>
      </c>
      <c r="H373" s="57" t="str">
        <f>UPPER(Sheet1!K373 &amp; "," &amp; Sheet1!L373 &amp; "," &amp; Sheet1!M373)</f>
        <v>DAUN KALAN,VPO DAUN KALAN,PATIALA,PIN:147002,PUNJAB,INDIA</v>
      </c>
      <c r="I373" s="8">
        <f>Sheet1!J373</f>
        <v>45947</v>
      </c>
      <c r="J373" s="5" t="str">
        <f>Sheet1!N373 &amp; "," &amp; TEXT(Sheet1!O373,"dd/mm/yy")</f>
        <v>202509046290,03/07/25</v>
      </c>
      <c r="K373" s="5" t="s">
        <v>14</v>
      </c>
      <c r="L373" s="38" t="s">
        <v>15</v>
      </c>
      <c r="M373" s="38">
        <v>45959</v>
      </c>
      <c r="N373" s="38" t="s">
        <v>16</v>
      </c>
    </row>
    <row r="374" spans="1:14" x14ac:dyDescent="0.35">
      <c r="A374" s="4" t="str">
        <f>Sheet1!A374 &amp; "/" &amp; "2025"</f>
        <v>1772/2025</v>
      </c>
      <c r="B374" s="5" t="str">
        <f>Sheet1!E374</f>
        <v>AU2065699302725</v>
      </c>
      <c r="C374" s="6" t="str">
        <f>UPPER(Sheet1!B374)</f>
        <v>AVYUKT ARORA</v>
      </c>
      <c r="D374" s="7" t="str">
        <f>IF(Sheet1!F374="F","FEMALE","MALE")</f>
        <v>MALE</v>
      </c>
      <c r="E374" s="6" t="str">
        <f>UPPER(Sheet1!G374)</f>
        <v>ESHANT ARORA</v>
      </c>
      <c r="F374" s="6" t="str">
        <f>UPPER(Sheet1!H374)</f>
        <v>SAKSHI </v>
      </c>
      <c r="G374" s="5" t="str">
        <f>TEXT(Sheet1!C374,"dd/mm/yyyy") &amp; "," &amp; Sheet1!D374</f>
        <v xml:space="preserve">19/04/2025,ST ALBANS , AUSTRALIA </v>
      </c>
      <c r="H374" s="57" t="str">
        <f>UPPER(Sheet1!K374 &amp; "," &amp; Sheet1!L374 &amp; "," &amp; Sheet1!M374)</f>
        <v>H NO 1936 NEAR N.T.C SCHOOL,RAJPURA TOWN,PATIALA,PIN:140401,PUNJAB,INDIA</v>
      </c>
      <c r="I374" s="8">
        <f>Sheet1!J374</f>
        <v>45947</v>
      </c>
      <c r="J374" s="5" t="str">
        <f>Sheet1!N374 &amp; "," &amp; TEXT(Sheet1!O374,"dd/mm/yy")</f>
        <v>202509064538,12/09/25</v>
      </c>
      <c r="K374" s="5" t="s">
        <v>14</v>
      </c>
      <c r="L374" s="38" t="s">
        <v>15</v>
      </c>
      <c r="M374" s="38">
        <v>45959</v>
      </c>
      <c r="N374" s="38" t="s">
        <v>16</v>
      </c>
    </row>
    <row r="375" spans="1:14" x14ac:dyDescent="0.35">
      <c r="A375" s="4" t="str">
        <f>Sheet1!A375 &amp; "/" &amp; "2025"</f>
        <v>1773/2025</v>
      </c>
      <c r="B375" s="5" t="str">
        <f>Sheet1!E375</f>
        <v>AU2065699302925</v>
      </c>
      <c r="C375" s="6" t="str">
        <f>UPPER(Sheet1!B375)</f>
        <v>SADA KAUR</v>
      </c>
      <c r="D375" s="7" t="str">
        <f>IF(Sheet1!F375="F","FEMALE","MALE")</f>
        <v>FEMALE</v>
      </c>
      <c r="E375" s="6" t="str">
        <f>UPPER(Sheet1!G375)</f>
        <v>RAVINDER SINGH</v>
      </c>
      <c r="F375" s="6" t="str">
        <f>UPPER(Sheet1!H375)</f>
        <v>HARNOOR KAUR </v>
      </c>
      <c r="G375" s="5" t="str">
        <f>TEXT(Sheet1!C375,"dd/mm/yyyy") &amp; "," &amp; Sheet1!D375</f>
        <v xml:space="preserve">08/07/2025,LAUNCESTON, AUSTRALIA  </v>
      </c>
      <c r="H375" s="57" t="str">
        <f>UPPER(Sheet1!K375 &amp; "," &amp; Sheet1!L375 &amp; "," &amp; Sheet1!M375)</f>
        <v>VPO,ZAFFARWAL,GURDASPUR,PIN:143519,PUNJAB,INDIA</v>
      </c>
      <c r="I375" s="8">
        <f>Sheet1!J375</f>
        <v>45947</v>
      </c>
      <c r="J375" s="5" t="str">
        <f>Sheet1!N375 &amp; "," &amp; TEXT(Sheet1!O375,"dd/mm/yy")</f>
        <v>202509057542,15/08/25</v>
      </c>
      <c r="K375" s="5" t="s">
        <v>14</v>
      </c>
      <c r="L375" s="38" t="s">
        <v>15</v>
      </c>
      <c r="M375" s="38">
        <v>45959</v>
      </c>
      <c r="N375" s="38" t="s">
        <v>16</v>
      </c>
    </row>
    <row r="376" spans="1:14" x14ac:dyDescent="0.35">
      <c r="A376" s="4" t="str">
        <f>Sheet1!A376 &amp; "/" &amp; "2025"</f>
        <v>1774/2025</v>
      </c>
      <c r="B376" s="5" t="str">
        <f>Sheet1!E376</f>
        <v>AU2065699303125</v>
      </c>
      <c r="C376" s="6" t="str">
        <f>UPPER(Sheet1!B376)</f>
        <v>SHIVANSH REDDY BURUGU</v>
      </c>
      <c r="D376" s="7" t="str">
        <f>IF(Sheet1!F376="F","FEMALE","MALE")</f>
        <v>MALE</v>
      </c>
      <c r="E376" s="6" t="str">
        <f>UPPER(Sheet1!G376)</f>
        <v>YASHWANTH REDDY BURUGU</v>
      </c>
      <c r="F376" s="6" t="str">
        <f>UPPER(Sheet1!H376)</f>
        <v>MANASA REDDY  BARLA</v>
      </c>
      <c r="G376" s="5" t="str">
        <f>TEXT(Sheet1!C376,"dd/mm/yyyy") &amp; "," &amp; Sheet1!D376</f>
        <v>04/01/2025,FRANKSTON, AUSTRALIA</v>
      </c>
      <c r="H376" s="57" t="str">
        <f>UPPER(Sheet1!K376 &amp; "," &amp; Sheet1!L376 &amp; "," &amp; Sheet1!M376)</f>
        <v>1-5-701 BHAVANI NAGAR,OLD ALWAL,MEDCHAL,PIN:500010,TELANGANA,INDIA</v>
      </c>
      <c r="I376" s="8">
        <f>Sheet1!J376</f>
        <v>45947</v>
      </c>
      <c r="J376" s="5" t="str">
        <f>Sheet1!N376 &amp; "," &amp; TEXT(Sheet1!O376,"dd/mm/yy")</f>
        <v>202509069496,01/10/25</v>
      </c>
      <c r="K376" s="5" t="s">
        <v>14</v>
      </c>
      <c r="L376" s="38" t="s">
        <v>15</v>
      </c>
      <c r="M376" s="38">
        <v>45959</v>
      </c>
      <c r="N376" s="38" t="s">
        <v>16</v>
      </c>
    </row>
    <row r="377" spans="1:14" x14ac:dyDescent="0.35">
      <c r="A377" s="4" t="str">
        <f>Sheet1!A377 &amp; "/" &amp; "2025"</f>
        <v>1775/2025</v>
      </c>
      <c r="B377" s="5" t="str">
        <f>Sheet1!E377</f>
        <v>AU2065699304325</v>
      </c>
      <c r="C377" s="6" t="str">
        <f>UPPER(Sheet1!B377)</f>
        <v>SHIDDAT KANDOLA</v>
      </c>
      <c r="D377" s="7" t="str">
        <f>IF(Sheet1!F377="F","FEMALE","MALE")</f>
        <v>FEMALE</v>
      </c>
      <c r="E377" s="6" t="str">
        <f>UPPER(Sheet1!G377)</f>
        <v>MOHIT KUMAR</v>
      </c>
      <c r="F377" s="6" t="str">
        <f>UPPER(Sheet1!H377)</f>
        <v>POONAM DEVI </v>
      </c>
      <c r="G377" s="5" t="str">
        <f>TEXT(Sheet1!C377,"dd/mm/yyyy") &amp; "," &amp; Sheet1!D377</f>
        <v xml:space="preserve">26/08/2025,ST ALBANS , AUSTRALIA </v>
      </c>
      <c r="H377" s="57" t="str">
        <f>UPPER(Sheet1!K377 &amp; "," &amp; Sheet1!L377 &amp; "," &amp; Sheet1!M377)</f>
        <v>VILL. ATELA,P.O BABA LADANA,KAITHAL,PIN:136027,HARYANA,INDIA</v>
      </c>
      <c r="I377" s="8">
        <f>Sheet1!J377</f>
        <v>45947</v>
      </c>
      <c r="J377" s="5" t="str">
        <f>Sheet1!N377 &amp; "," &amp; TEXT(Sheet1!O377,"dd/mm/yy")</f>
        <v>202509069223,30/09/25</v>
      </c>
      <c r="K377" s="5" t="s">
        <v>14</v>
      </c>
      <c r="L377" s="38" t="s">
        <v>15</v>
      </c>
      <c r="M377" s="38">
        <v>45959</v>
      </c>
      <c r="N377" s="38" t="s">
        <v>16</v>
      </c>
    </row>
    <row r="378" spans="1:14" x14ac:dyDescent="0.35">
      <c r="A378" s="4" t="str">
        <f>Sheet1!A378 &amp; "/" &amp; "2025"</f>
        <v>1776/2025</v>
      </c>
      <c r="B378" s="5" t="str">
        <f>Sheet1!E378</f>
        <v>AU2065699304525</v>
      </c>
      <c r="C378" s="6" t="str">
        <f>UPPER(Sheet1!B378)</f>
        <v>NOORAT KAUR MAKKAR</v>
      </c>
      <c r="D378" s="7" t="str">
        <f>IF(Sheet1!F378="F","FEMALE","MALE")</f>
        <v>FEMALE</v>
      </c>
      <c r="E378" s="6" t="str">
        <f>UPPER(Sheet1!G378)</f>
        <v>SANDEEP MAKKAR</v>
      </c>
      <c r="F378" s="6" t="str">
        <f>UPPER(Sheet1!H378)</f>
        <v>JASJEET  KAUR</v>
      </c>
      <c r="G378" s="5" t="str">
        <f>TEXT(Sheet1!C378,"dd/mm/yyyy") &amp; "," &amp; Sheet1!D378</f>
        <v xml:space="preserve">19/02/2025,CLAYTON , AUSTRALIA  </v>
      </c>
      <c r="H378" s="57" t="str">
        <f>UPPER(Sheet1!K378 &amp; "," &amp; Sheet1!L378 &amp; "," &amp; Sheet1!M378)</f>
        <v>E-263,SHASTRI NAGAR,DELHI,PIN:110052,DELHI,INDIA</v>
      </c>
      <c r="I378" s="8">
        <f>Sheet1!J378</f>
        <v>45947</v>
      </c>
      <c r="J378" s="5" t="str">
        <f>Sheet1!N378 &amp; "," &amp; TEXT(Sheet1!O378,"dd/mm/yy")</f>
        <v>202509063758,09/09/25</v>
      </c>
      <c r="K378" s="5" t="s">
        <v>14</v>
      </c>
      <c r="L378" s="38" t="s">
        <v>15</v>
      </c>
      <c r="M378" s="38">
        <v>45959</v>
      </c>
      <c r="N378" s="38" t="s">
        <v>16</v>
      </c>
    </row>
    <row r="379" spans="1:14" x14ac:dyDescent="0.35">
      <c r="A379" s="4" t="str">
        <f>Sheet1!A379 &amp; "/" &amp; "2025"</f>
        <v>1777/2025</v>
      </c>
      <c r="B379" s="5" t="str">
        <f>Sheet1!E379</f>
        <v>AU2065863620625</v>
      </c>
      <c r="C379" s="6" t="str">
        <f>UPPER(Sheet1!B379)</f>
        <v>SAANCHI POONIA</v>
      </c>
      <c r="D379" s="7" t="str">
        <f>IF(Sheet1!F379="F","FEMALE","MALE")</f>
        <v>FEMALE</v>
      </c>
      <c r="E379" s="6" t="str">
        <f>UPPER(Sheet1!G379)</f>
        <v>DILIP SINGH</v>
      </c>
      <c r="F379" s="6" t="str">
        <f>UPPER(Sheet1!H379)</f>
        <v>RITU KUMARI BAGARIA</v>
      </c>
      <c r="G379" s="5" t="str">
        <f>TEXT(Sheet1!C379,"dd/mm/yyyy") &amp; "," &amp; Sheet1!D379</f>
        <v xml:space="preserve">28/07/2025,ST ALBANS , AUSTRALIA </v>
      </c>
      <c r="H379" s="57" t="str">
        <f>UPPER(Sheet1!K379 &amp; "," &amp; Sheet1!L379 &amp; "," &amp; Sheet1!M379)</f>
        <v xml:space="preserve">KHIROD ROAD,SIKAR,SIKAR,PIN:332027,RAJASTHAN,INDIA </v>
      </c>
      <c r="I379" s="8">
        <f>Sheet1!J379</f>
        <v>45947</v>
      </c>
      <c r="J379" s="5" t="str">
        <f>Sheet1!N379 &amp; "," &amp; TEXT(Sheet1!O379,"dd/mm/yy")</f>
        <v>202509065032,14/09/25</v>
      </c>
      <c r="K379" s="5" t="s">
        <v>14</v>
      </c>
      <c r="L379" s="38" t="s">
        <v>15</v>
      </c>
      <c r="M379" s="38">
        <v>45959</v>
      </c>
      <c r="N379" s="38" t="s">
        <v>16</v>
      </c>
    </row>
    <row r="380" spans="1:14" x14ac:dyDescent="0.35">
      <c r="A380" s="4" t="str">
        <f>Sheet1!A380 &amp; "/" &amp; "2025"</f>
        <v>1778/2025</v>
      </c>
      <c r="B380" s="5" t="str">
        <f>Sheet1!E380</f>
        <v>AU2065700364325</v>
      </c>
      <c r="C380" s="6" t="str">
        <f>UPPER(Sheet1!B380)</f>
        <v>GURNIWAZ SINGH JAURA</v>
      </c>
      <c r="D380" s="7" t="str">
        <f>IF(Sheet1!F380="F","FEMALE","MALE")</f>
        <v>MALE</v>
      </c>
      <c r="E380" s="6" t="str">
        <f>UPPER(Sheet1!G380)</f>
        <v>AMRITPAL SINGH JAURA</v>
      </c>
      <c r="F380" s="6" t="str">
        <f>UPPER(Sheet1!H380)</f>
        <v>KOMAL </v>
      </c>
      <c r="G380" s="5" t="str">
        <f>TEXT(Sheet1!C380,"dd/mm/yyyy") &amp; "," &amp; Sheet1!D380</f>
        <v xml:space="preserve">12/08/2025,ST ALBANS , AUSTRALIA </v>
      </c>
      <c r="H380" s="57" t="str">
        <f>UPPER(Sheet1!K380 &amp; "," &amp; Sheet1!L380 &amp; "," &amp; Sheet1!M380)</f>
        <v>BARNALA ROAD,NIHAL SINGH WALA,MOGA,PIN:142055,PUNJAB,INDIA</v>
      </c>
      <c r="I380" s="8">
        <f>Sheet1!J380</f>
        <v>45951</v>
      </c>
      <c r="J380" s="5" t="str">
        <f>Sheet1!N380 &amp; "," &amp; TEXT(Sheet1!O380,"dd/mm/yy")</f>
        <v>202509066064,17/09/25</v>
      </c>
      <c r="K380" s="5" t="s">
        <v>14</v>
      </c>
      <c r="L380" s="38" t="s">
        <v>15</v>
      </c>
      <c r="M380" s="38">
        <v>45959</v>
      </c>
      <c r="N380" s="38" t="s">
        <v>16</v>
      </c>
    </row>
    <row r="381" spans="1:14" x14ac:dyDescent="0.35">
      <c r="A381" s="4" t="str">
        <f>Sheet1!A381 &amp; "/" &amp; "2025"</f>
        <v>1779/2025</v>
      </c>
      <c r="B381" s="5" t="str">
        <f>Sheet1!E381</f>
        <v>AU2065700364725</v>
      </c>
      <c r="C381" s="6" t="str">
        <f>UPPER(Sheet1!B381)</f>
        <v>ELLERY BHAJAN KAUR</v>
      </c>
      <c r="D381" s="7" t="str">
        <f>IF(Sheet1!F381="F","FEMALE","MALE")</f>
        <v>FEMALE</v>
      </c>
      <c r="E381" s="6" t="str">
        <f>UPPER(Sheet1!G381)</f>
        <v>HARMEET SINGH</v>
      </c>
      <c r="F381" s="6" t="str">
        <f>UPPER(Sheet1!H381)</f>
        <v>ELNISE MAY PACALDO  AREVALO</v>
      </c>
      <c r="G381" s="5" t="str">
        <f>TEXT(Sheet1!C381,"dd/mm/yyyy") &amp; "," &amp; Sheet1!D381</f>
        <v xml:space="preserve">03/07/2025,GEELONG , AUSTRALIA </v>
      </c>
      <c r="H381" s="57" t="str">
        <f>UPPER(Sheet1!K381 &amp; "," &amp; Sheet1!L381 &amp; "," &amp; Sheet1!M381)</f>
        <v>A-111 FIRST FLOOR,RAMPRASTHA COLONY,GHAZIABAD,PIN:201011,UTTAR PRADESH,INDIA</v>
      </c>
      <c r="I381" s="8">
        <f>Sheet1!J381</f>
        <v>45951</v>
      </c>
      <c r="J381" s="5" t="str">
        <f>Sheet1!N381 &amp; "," &amp; TEXT(Sheet1!O381,"dd/mm/yy")</f>
        <v>202509050707,20/07/25</v>
      </c>
      <c r="K381" s="5" t="s">
        <v>14</v>
      </c>
      <c r="L381" s="38" t="s">
        <v>15</v>
      </c>
      <c r="M381" s="38">
        <v>45959</v>
      </c>
      <c r="N381" s="38" t="s">
        <v>16</v>
      </c>
    </row>
    <row r="382" spans="1:14" x14ac:dyDescent="0.35">
      <c r="A382" s="4" t="str">
        <f>Sheet1!A382 &amp; "/" &amp; "2025"</f>
        <v>1780/2025</v>
      </c>
      <c r="B382" s="5" t="str">
        <f>Sheet1!E382</f>
        <v>AU2065700365125</v>
      </c>
      <c r="C382" s="6" t="str">
        <f>UPPER(Sheet1!B382)</f>
        <v>REYANSH KAMDAR</v>
      </c>
      <c r="D382" s="7" t="str">
        <f>IF(Sheet1!F382="F","FEMALE","MALE")</f>
        <v>MALE</v>
      </c>
      <c r="E382" s="6" t="str">
        <f>UPPER(Sheet1!G382)</f>
        <v>MIHIR PARAGBHAI KAMDAR</v>
      </c>
      <c r="F382" s="6" t="str">
        <f>UPPER(Sheet1!H382)</f>
        <v>VISHVA BIPINKUMAR  SHAH</v>
      </c>
      <c r="G382" s="5" t="str">
        <f>TEXT(Sheet1!C382,"dd/mm/yyyy") &amp; "," &amp; Sheet1!D382</f>
        <v xml:space="preserve">21/01/2025,LAUNCESTON , AUSTRALIA  </v>
      </c>
      <c r="H382" s="57" t="str">
        <f>UPPER(Sheet1!K382 &amp; "," &amp; Sheet1!L382 &amp; "," &amp; Sheet1!M382)</f>
        <v>PURUSHARTH,SWAMINARAYAN STREET,KALAVAD,JAMNAGAR,PIN:361160,GUJARAT,INDIA</v>
      </c>
      <c r="I382" s="8">
        <f>Sheet1!J382</f>
        <v>45951</v>
      </c>
      <c r="J382" s="5" t="str">
        <f>Sheet1!N382 &amp; "," &amp; TEXT(Sheet1!O382,"dd/mm/yy")</f>
        <v>202509051915,24/07/25</v>
      </c>
      <c r="K382" s="5" t="s">
        <v>14</v>
      </c>
      <c r="L382" s="38" t="s">
        <v>15</v>
      </c>
      <c r="M382" s="38">
        <v>45959</v>
      </c>
      <c r="N382" s="38" t="s">
        <v>16</v>
      </c>
    </row>
    <row r="383" spans="1:14" x14ac:dyDescent="0.35">
      <c r="A383" s="4" t="str">
        <f>Sheet1!A383 &amp; "/" &amp; "2025"</f>
        <v>1781/2025</v>
      </c>
      <c r="B383" s="5" t="str">
        <f>Sheet1!E383</f>
        <v>AU2065700366925</v>
      </c>
      <c r="C383" s="6" t="str">
        <f>UPPER(Sheet1!B383)</f>
        <v>AVANT KAUR SEKHON</v>
      </c>
      <c r="D383" s="7" t="str">
        <f>IF(Sheet1!F383="F","FEMALE","MALE")</f>
        <v>FEMALE</v>
      </c>
      <c r="E383" s="6" t="str">
        <f>UPPER(Sheet1!G383)</f>
        <v>GLORY SEKHON</v>
      </c>
      <c r="F383" s="6" t="str">
        <f>UPPER(Sheet1!H383)</f>
        <v>MANDEEP KAUR </v>
      </c>
      <c r="G383" s="5" t="str">
        <f>TEXT(Sheet1!C383,"dd/mm/yyyy") &amp; "," &amp; Sheet1!D383</f>
        <v xml:space="preserve">26/04/2025,EPPING , AUSTRALIA </v>
      </c>
      <c r="H383" s="57" t="str">
        <f>UPPER(Sheet1!K383 &amp; "," &amp; Sheet1!L383 &amp; "," &amp; Sheet1!M383)</f>
        <v>NEAR GATE NO 2,NEW CANTT ROAD,FARIDKOT,FARIDKOT,PIN:151203,PUNJAB,INDIA</v>
      </c>
      <c r="I383" s="8">
        <f>Sheet1!J383</f>
        <v>45951</v>
      </c>
      <c r="J383" s="5" t="str">
        <f>Sheet1!N383 &amp; "," &amp; TEXT(Sheet1!O383,"dd/mm/yy")</f>
        <v>202509051278,22/07/25</v>
      </c>
      <c r="K383" s="5" t="s">
        <v>14</v>
      </c>
      <c r="L383" s="38" t="s">
        <v>15</v>
      </c>
      <c r="M383" s="38">
        <v>45959</v>
      </c>
      <c r="N383" s="38" t="s">
        <v>16</v>
      </c>
    </row>
    <row r="384" spans="1:14" x14ac:dyDescent="0.35">
      <c r="A384" s="4" t="str">
        <f>Sheet1!A384 &amp; "/" &amp; "2025"</f>
        <v>1782/2025</v>
      </c>
      <c r="B384" s="5" t="str">
        <f>Sheet1!E384</f>
        <v>AU2065700367325</v>
      </c>
      <c r="C384" s="6" t="str">
        <f>UPPER(Sheet1!B384)</f>
        <v>HARDEEP KAUR CHEEMA</v>
      </c>
      <c r="D384" s="7" t="str">
        <f>IF(Sheet1!F384="F","FEMALE","MALE")</f>
        <v>FEMALE</v>
      </c>
      <c r="E384" s="6" t="str">
        <f>UPPER(Sheet1!G384)</f>
        <v>HARPAL SINGH</v>
      </c>
      <c r="F384" s="6" t="str">
        <f>UPPER(Sheet1!H384)</f>
        <v>DHARWINDER KAUR </v>
      </c>
      <c r="G384" s="5" t="str">
        <f>TEXT(Sheet1!C384,"dd/mm/yyyy") &amp; "," &amp; Sheet1!D384</f>
        <v xml:space="preserve">01/07/2025,GEELONG , AUSTRALIA </v>
      </c>
      <c r="H384" s="57" t="str">
        <f>UPPER(Sheet1!K384 &amp; "," &amp; Sheet1!L384 &amp; "," &amp; Sheet1!M384)</f>
        <v>HOUSE NO. 64,DHAINTHAL,PATIALA,PATIALA,PIN:147101,PUNJAB,INDIA</v>
      </c>
      <c r="I384" s="8">
        <f>Sheet1!J384</f>
        <v>45951</v>
      </c>
      <c r="J384" s="5" t="str">
        <f>Sheet1!N384 &amp; "," &amp; TEXT(Sheet1!O384,"dd/mm/yy")</f>
        <v>202509067334,23/09/25</v>
      </c>
      <c r="K384" s="5" t="s">
        <v>14</v>
      </c>
      <c r="L384" s="38" t="s">
        <v>15</v>
      </c>
      <c r="M384" s="38">
        <v>45959</v>
      </c>
      <c r="N384" s="38" t="s">
        <v>16</v>
      </c>
    </row>
    <row r="385" spans="1:14" x14ac:dyDescent="0.35">
      <c r="A385" s="4" t="str">
        <f>Sheet1!A385 &amp; "/" &amp; "2025"</f>
        <v>1783/2025</v>
      </c>
      <c r="B385" s="5" t="str">
        <f>Sheet1!E385</f>
        <v>AU2065700367525</v>
      </c>
      <c r="C385" s="6" t="str">
        <f>UPPER(Sheet1!B385)</f>
        <v>AKAAL SINGH PANNU</v>
      </c>
      <c r="D385" s="7" t="str">
        <f>IF(Sheet1!F385="F","FEMALE","MALE")</f>
        <v>MALE</v>
      </c>
      <c r="E385" s="6" t="str">
        <f>UPPER(Sheet1!G385)</f>
        <v>HARMANJOT SINGH</v>
      </c>
      <c r="F385" s="6" t="str">
        <f>UPPER(Sheet1!H385)</f>
        <v>RAMANDEEP KAUR </v>
      </c>
      <c r="G385" s="5" t="str">
        <f>TEXT(Sheet1!C385,"dd/mm/yyyy") &amp; "," &amp; Sheet1!D385</f>
        <v xml:space="preserve">10/08/2025,CLAYTON , AUSTRALIA  </v>
      </c>
      <c r="H385" s="57" t="str">
        <f>UPPER(Sheet1!K385 &amp; "," &amp; Sheet1!L385 &amp; "," &amp; Sheet1!M385)</f>
        <v>VILLAGE,MUKANDPUR,LUDHIANA,PIN:141206,PUNJAB,INDIA</v>
      </c>
      <c r="I385" s="8">
        <f>Sheet1!J385</f>
        <v>45951</v>
      </c>
      <c r="J385" s="5" t="str">
        <f>Sheet1!N385 &amp; "," &amp; TEXT(Sheet1!O385,"dd/mm/yy")</f>
        <v>202509071388,08/10/25</v>
      </c>
      <c r="K385" s="5" t="s">
        <v>14</v>
      </c>
      <c r="L385" s="38" t="s">
        <v>15</v>
      </c>
      <c r="M385" s="38">
        <v>45959</v>
      </c>
      <c r="N385" s="38" t="s">
        <v>16</v>
      </c>
    </row>
    <row r="386" spans="1:14" x14ac:dyDescent="0.35">
      <c r="A386" s="4" t="str">
        <f>Sheet1!A386 &amp; "/" &amp; "2025"</f>
        <v>1784/2025</v>
      </c>
      <c r="B386" s="5" t="str">
        <f>Sheet1!E386</f>
        <v>AU2065700367925</v>
      </c>
      <c r="C386" s="6" t="str">
        <f>UPPER(Sheet1!B386)</f>
        <v>RUBANI SINGHROHA</v>
      </c>
      <c r="D386" s="7" t="str">
        <f>IF(Sheet1!F386="F","FEMALE","MALE")</f>
        <v>FEMALE</v>
      </c>
      <c r="E386" s="6" t="str">
        <f>UPPER(Sheet1!G386)</f>
        <v>RAHUL</v>
      </c>
      <c r="F386" s="6" t="str">
        <f>UPPER(Sheet1!H386)</f>
        <v>VENU </v>
      </c>
      <c r="G386" s="5" t="str">
        <f>TEXT(Sheet1!C386,"dd/mm/yyyy") &amp; "," &amp; Sheet1!D386</f>
        <v xml:space="preserve">09/04/2025,BOX HILL, AUSTRALIA </v>
      </c>
      <c r="H386" s="57" t="str">
        <f>UPPER(Sheet1!K386 &amp; "," &amp; Sheet1!L386 &amp; "," &amp; Sheet1!M386)</f>
        <v>VPO RISALWA,TEH ASSANDH,KARNAL,PIN:132001,HARYANA,INDIA</v>
      </c>
      <c r="I386" s="8">
        <f>Sheet1!J386</f>
        <v>45951</v>
      </c>
      <c r="J386" s="5" t="str">
        <f>Sheet1!N386 &amp; "," &amp; TEXT(Sheet1!O386,"dd/mm/yy")</f>
        <v>202509053017,29/07/25</v>
      </c>
      <c r="K386" s="5" t="s">
        <v>14</v>
      </c>
      <c r="L386" s="38" t="s">
        <v>15</v>
      </c>
      <c r="M386" s="38">
        <v>45959</v>
      </c>
      <c r="N386" s="38" t="s">
        <v>16</v>
      </c>
    </row>
    <row r="387" spans="1:14" x14ac:dyDescent="0.35">
      <c r="A387" s="4" t="str">
        <f>Sheet1!A387 &amp; "/" &amp; "2025"</f>
        <v>1785/2025</v>
      </c>
      <c r="B387" s="5" t="str">
        <f>Sheet1!E387</f>
        <v>AU2065700368325</v>
      </c>
      <c r="C387" s="6" t="str">
        <f>UPPER(Sheet1!B387)</f>
        <v>AVNOOR KAUR</v>
      </c>
      <c r="D387" s="7" t="str">
        <f>IF(Sheet1!F387="F","FEMALE","MALE")</f>
        <v>FEMALE</v>
      </c>
      <c r="E387" s="6" t="str">
        <f>UPPER(Sheet1!G387)</f>
        <v>KARAMBIR SINGH</v>
      </c>
      <c r="F387" s="6" t="str">
        <f>UPPER(Sheet1!H387)</f>
        <v>LOVEPREET KAUR </v>
      </c>
      <c r="G387" s="5" t="str">
        <f>TEXT(Sheet1!C387,"dd/mm/yyyy") &amp; "," &amp; Sheet1!D387</f>
        <v xml:space="preserve">03/12/2024,PARKVILLE , AUSTRALIA  </v>
      </c>
      <c r="H387" s="57" t="str">
        <f>UPPER(Sheet1!K387 &amp; "," &amp; Sheet1!L387 &amp; "," &amp; Sheet1!M387)</f>
        <v>VILL PULL PUKHTA,PO WADI MIANI PS TANDA,HOSHIARPUR,PIN:144203,PUNJAB,INDIA</v>
      </c>
      <c r="I387" s="8">
        <f>Sheet1!J387</f>
        <v>45951</v>
      </c>
      <c r="J387" s="5" t="str">
        <f>Sheet1!N387 &amp; "," &amp; TEXT(Sheet1!O387,"dd/mm/yy")</f>
        <v>202509072320,12/10/25</v>
      </c>
      <c r="K387" s="5" t="s">
        <v>14</v>
      </c>
      <c r="L387" s="38" t="s">
        <v>15</v>
      </c>
      <c r="M387" s="38">
        <v>45959</v>
      </c>
      <c r="N387" s="38" t="s">
        <v>16</v>
      </c>
    </row>
    <row r="388" spans="1:14" x14ac:dyDescent="0.35">
      <c r="A388" s="4" t="str">
        <f>Sheet1!A388 &amp; "/" &amp; "2025"</f>
        <v>1786/2025</v>
      </c>
      <c r="B388" s="5" t="str">
        <f>Sheet1!E388</f>
        <v>AU2065700368725</v>
      </c>
      <c r="C388" s="6" t="str">
        <f>UPPER(Sheet1!B388)</f>
        <v>AVITAAZ SINGH</v>
      </c>
      <c r="D388" s="7" t="str">
        <f>IF(Sheet1!F388="F","FEMALE","MALE")</f>
        <v>MALE</v>
      </c>
      <c r="E388" s="6" t="str">
        <f>UPPER(Sheet1!G388)</f>
        <v>KARAMBIR SINGH</v>
      </c>
      <c r="F388" s="6" t="str">
        <f>UPPER(Sheet1!H388)</f>
        <v>LOVEPREET KAUR </v>
      </c>
      <c r="G388" s="5" t="str">
        <f>TEXT(Sheet1!C388,"dd/mm/yyyy") &amp; "," &amp; Sheet1!D388</f>
        <v xml:space="preserve">03/12/2024,PARKVILLE , AUSTRALIA  </v>
      </c>
      <c r="H388" s="57" t="str">
        <f>UPPER(Sheet1!K388 &amp; "," &amp; Sheet1!L388 &amp; "," &amp; Sheet1!M388)</f>
        <v>VILL PULL PUKHTA,PO WADI MIANI PS TANDA,HOSHIARPUR,PIN:144203,PUNJAB,INDIA</v>
      </c>
      <c r="I388" s="8">
        <f>Sheet1!J388</f>
        <v>45951</v>
      </c>
      <c r="J388" s="5" t="str">
        <f>Sheet1!N388 &amp; "," &amp; TEXT(Sheet1!O388,"dd/mm/yy")</f>
        <v>202509072321,12/10/25</v>
      </c>
      <c r="K388" s="5" t="s">
        <v>14</v>
      </c>
      <c r="L388" s="38" t="s">
        <v>15</v>
      </c>
      <c r="M388" s="38">
        <v>45959</v>
      </c>
      <c r="N388" s="38" t="s">
        <v>16</v>
      </c>
    </row>
    <row r="389" spans="1:14" x14ac:dyDescent="0.35">
      <c r="A389" s="4" t="str">
        <f>Sheet1!A389 &amp; "/" &amp; "2025"</f>
        <v>1787/2025</v>
      </c>
      <c r="B389" s="5" t="str">
        <f>Sheet1!E389</f>
        <v>AU2065700369125</v>
      </c>
      <c r="C389" s="6" t="str">
        <f>UPPER(Sheet1!B389)</f>
        <v>SHANYA GAJAREDDY</v>
      </c>
      <c r="D389" s="7" t="str">
        <f>IF(Sheet1!F389="F","FEMALE","MALE")</f>
        <v>FEMALE</v>
      </c>
      <c r="E389" s="6" t="str">
        <f>UPPER(Sheet1!G389)</f>
        <v>SUSHANTH GAJAREDDY</v>
      </c>
      <c r="F389" s="6" t="str">
        <f>UPPER(Sheet1!H389)</f>
        <v>SOUJANYA  KOMMULA</v>
      </c>
      <c r="G389" s="5" t="str">
        <f>TEXT(Sheet1!C389,"dd/mm/yyyy") &amp; "," &amp; Sheet1!D389</f>
        <v xml:space="preserve">30/08/2025,ST ALBANS , AUSTRALIA </v>
      </c>
      <c r="H389" s="57" t="str">
        <f>UPPER(Sheet1!K389 &amp; "," &amp; Sheet1!L389 &amp; "," &amp; Sheet1!M389)</f>
        <v>HNO 4-6-9,ALOOR ROAD,ARMOOR,NIZAMABAD,PIN:503224,TELANGANA,INDIA</v>
      </c>
      <c r="I389" s="8">
        <f>Sheet1!J389</f>
        <v>45951</v>
      </c>
      <c r="J389" s="5" t="str">
        <f>Sheet1!N389 &amp; "," &amp; TEXT(Sheet1!O389,"dd/mm/yy")</f>
        <v>202509068934,29/09/25</v>
      </c>
      <c r="K389" s="5" t="s">
        <v>14</v>
      </c>
      <c r="L389" s="38" t="s">
        <v>15</v>
      </c>
      <c r="M389" s="38">
        <v>45959</v>
      </c>
      <c r="N389" s="38" t="s">
        <v>16</v>
      </c>
    </row>
    <row r="390" spans="1:14" x14ac:dyDescent="0.35">
      <c r="A390" s="4" t="str">
        <f>Sheet1!A390 &amp; "/" &amp; "2025"</f>
        <v>1788/2025</v>
      </c>
      <c r="B390" s="5" t="str">
        <f>Sheet1!E390</f>
        <v>AU2065703188725</v>
      </c>
      <c r="C390" s="6" t="str">
        <f>UPPER(Sheet1!B390)</f>
        <v>HARLEEN KAUR</v>
      </c>
      <c r="D390" s="7" t="str">
        <f>IF(Sheet1!F390="F","FEMALE","MALE")</f>
        <v>FEMALE</v>
      </c>
      <c r="E390" s="6" t="str">
        <f>UPPER(Sheet1!G390)</f>
        <v>HARVINDER SINGH</v>
      </c>
      <c r="F390" s="6" t="str">
        <f>UPPER(Sheet1!H390)</f>
        <v>VANESSA MAE DESOY  CANLAS</v>
      </c>
      <c r="G390" s="5" t="str">
        <f>TEXT(Sheet1!C390,"dd/mm/yyyy") &amp; "," &amp; Sheet1!D390</f>
        <v xml:space="preserve">02/06/2025,ST ALBANS , AUSTRALIA </v>
      </c>
      <c r="H390" s="57" t="str">
        <f>UPPER(Sheet1!K390 &amp; "," &amp; Sheet1!L390 &amp; "," &amp; Sheet1!M390)</f>
        <v>VILLAGE,PHULAHI,HOSHIARPUR,PIN:146001,PUNJAB,INDIA</v>
      </c>
      <c r="I390" s="8">
        <f>Sheet1!J390</f>
        <v>45951</v>
      </c>
      <c r="J390" s="5" t="str">
        <f>Sheet1!N390 &amp; "," &amp; TEXT(Sheet1!O390,"dd/mm/yy")</f>
        <v>202509065240,15/09/25</v>
      </c>
      <c r="K390" s="5" t="s">
        <v>14</v>
      </c>
      <c r="L390" s="38" t="s">
        <v>15</v>
      </c>
      <c r="M390" s="38">
        <v>45959</v>
      </c>
      <c r="N390" s="38" t="s">
        <v>16</v>
      </c>
    </row>
    <row r="391" spans="1:14" x14ac:dyDescent="0.35">
      <c r="A391" s="4" t="str">
        <f>Sheet1!A391 &amp; "/" &amp; "2025"</f>
        <v>1789/2025</v>
      </c>
      <c r="B391" s="5" t="str">
        <f>Sheet1!E391</f>
        <v>AU2065703188325</v>
      </c>
      <c r="C391" s="6" t="str">
        <f>UPPER(Sheet1!B391)</f>
        <v>BARKAT KAUR HUNDAL</v>
      </c>
      <c r="D391" s="7" t="str">
        <f>IF(Sheet1!F391="F","FEMALE","MALE")</f>
        <v>FEMALE</v>
      </c>
      <c r="E391" s="6" t="str">
        <f>UPPER(Sheet1!G391)</f>
        <v>GURBHEJ SINGH</v>
      </c>
      <c r="F391" s="6" t="str">
        <f>UPPER(Sheet1!H391)</f>
        <v>GURLEEN  KAUR</v>
      </c>
      <c r="G391" s="5" t="str">
        <f>TEXT(Sheet1!C391,"dd/mm/yyyy") &amp; "," &amp; Sheet1!D391</f>
        <v xml:space="preserve">09/08/2025,ST ALBANS , AUSTRALIA </v>
      </c>
      <c r="H391" s="57" t="str">
        <f>UPPER(Sheet1!K391 &amp; "," &amp; Sheet1!L391 &amp; "," &amp; Sheet1!M391)</f>
        <v>VILL PANDORI,PO MEHMA,AMRITSAR,PIN:143022,PUNJAB,INDIA</v>
      </c>
      <c r="I391" s="8">
        <f>Sheet1!J391</f>
        <v>45951</v>
      </c>
      <c r="J391" s="5" t="str">
        <f>Sheet1!N391 &amp; "," &amp; TEXT(Sheet1!O391,"dd/mm/yy")</f>
        <v>202509064802,13/09/25</v>
      </c>
      <c r="K391" s="5" t="s">
        <v>14</v>
      </c>
      <c r="L391" s="38" t="s">
        <v>15</v>
      </c>
      <c r="M391" s="38">
        <v>45959</v>
      </c>
      <c r="N391" s="38" t="s">
        <v>16</v>
      </c>
    </row>
    <row r="392" spans="1:14" x14ac:dyDescent="0.35">
      <c r="A392" s="4" t="str">
        <f>Sheet1!A392 &amp; "/" &amp; "2025"</f>
        <v>1790/2025</v>
      </c>
      <c r="B392" s="5" t="str">
        <f>Sheet1!E392</f>
        <v>AU2065703198925</v>
      </c>
      <c r="C392" s="6" t="str">
        <f>UPPER(Sheet1!B392)</f>
        <v>YANSHVIR KHICHER</v>
      </c>
      <c r="D392" s="7" t="str">
        <f>IF(Sheet1!F392="F","FEMALE","MALE")</f>
        <v>MALE</v>
      </c>
      <c r="E392" s="6" t="str">
        <f>UPPER(Sheet1!G392)</f>
        <v>PRAMVIR KHICHER</v>
      </c>
      <c r="F392" s="6" t="str">
        <f>UPPER(Sheet1!H392)</f>
        <v>SONIKA </v>
      </c>
      <c r="G392" s="5" t="str">
        <f>TEXT(Sheet1!C392,"dd/mm/yyyy") &amp; "," &amp; Sheet1!D392</f>
        <v xml:space="preserve">15/05/2025,BERWICK , AUSTRALIA  </v>
      </c>
      <c r="H392" s="57" t="str">
        <f>UPPER(Sheet1!K392 &amp; "," &amp; Sheet1!L392 &amp; "," &amp; Sheet1!M392)</f>
        <v>430 DEFENCE COLONY,HISAR,HISAR,PIN:125001,HARYANA,INDIA</v>
      </c>
      <c r="I392" s="8">
        <f>Sheet1!J392</f>
        <v>45951</v>
      </c>
      <c r="J392" s="5" t="str">
        <f>Sheet1!N392 &amp; "," &amp; TEXT(Sheet1!O392,"dd/mm/yy")</f>
        <v>202509066944,21/09/25</v>
      </c>
      <c r="K392" s="5" t="s">
        <v>14</v>
      </c>
      <c r="L392" s="38" t="s">
        <v>15</v>
      </c>
      <c r="M392" s="38">
        <v>45959</v>
      </c>
      <c r="N392" s="38" t="s">
        <v>16</v>
      </c>
    </row>
    <row r="393" spans="1:14" x14ac:dyDescent="0.35">
      <c r="A393" s="4" t="str">
        <f>Sheet1!A393 &amp; "/" &amp; "2025"</f>
        <v>1791/2025</v>
      </c>
      <c r="B393" s="5" t="str">
        <f>Sheet1!E393</f>
        <v>AU2065699303725</v>
      </c>
      <c r="C393" s="6" t="str">
        <f>UPPER(Sheet1!B393)</f>
        <v>SIFAT KAUR GREWAL</v>
      </c>
      <c r="D393" s="7" t="str">
        <f>IF(Sheet1!F393="F","FEMALE","MALE")</f>
        <v>FEMALE</v>
      </c>
      <c r="E393" s="6" t="str">
        <f>UPPER(Sheet1!G393)</f>
        <v>FATEHDEEP SINGH GREWAL</v>
      </c>
      <c r="F393" s="6" t="str">
        <f>UPPER(Sheet1!H393)</f>
        <v>HARMANPREET KAUR </v>
      </c>
      <c r="G393" s="5" t="str">
        <f>TEXT(Sheet1!C393,"dd/mm/yyyy") &amp; "," &amp; Sheet1!D393</f>
        <v xml:space="preserve">05/04/2024,ST ALBANS , AUSTRALIA </v>
      </c>
      <c r="H393" s="57" t="str">
        <f>UPPER(Sheet1!K393 &amp; "," &amp; Sheet1!L393 &amp; "," &amp; Sheet1!M393)</f>
        <v>VILLAGE AND POST OFFICE SARABHA,SARABHA,JAGRAON (LUDHIANA),PIN:141105,PUNJAB,INDIA</v>
      </c>
      <c r="I393" s="8">
        <f>Sheet1!J393</f>
        <v>45951</v>
      </c>
      <c r="J393" s="5" t="str">
        <f>Sheet1!N393 &amp; "," &amp; TEXT(Sheet1!O393,"dd/mm/yy")</f>
        <v>202509065839,17/09/25</v>
      </c>
      <c r="K393" s="5" t="s">
        <v>14</v>
      </c>
      <c r="L393" s="38" t="s">
        <v>15</v>
      </c>
      <c r="M393" s="38">
        <v>45959</v>
      </c>
      <c r="N393" s="38" t="s">
        <v>16</v>
      </c>
    </row>
    <row r="394" spans="1:14" x14ac:dyDescent="0.35">
      <c r="A394" s="4" t="str">
        <f>Sheet1!A394 &amp; "/" &amp; "2025"</f>
        <v>1792/2025</v>
      </c>
      <c r="B394" s="5" t="str">
        <f>Sheet1!E394</f>
        <v>AU2065704155725</v>
      </c>
      <c r="C394" s="6" t="str">
        <f>UPPER(Sheet1!B394)</f>
        <v>HRIMAN VOJJALA</v>
      </c>
      <c r="D394" s="7" t="str">
        <f>IF(Sheet1!F394="F","FEMALE","MALE")</f>
        <v>MALE</v>
      </c>
      <c r="E394" s="6" t="str">
        <f>UPPER(Sheet1!G394)</f>
        <v>VIJAYKUMAR VOJJALA</v>
      </c>
      <c r="F394" s="6" t="str">
        <f>UPPER(Sheet1!H394)</f>
        <v>DEEPIKA  CHITNENI</v>
      </c>
      <c r="G394" s="5" t="str">
        <f>TEXT(Sheet1!C394,"dd/mm/yyyy") &amp; "," &amp; Sheet1!D394</f>
        <v xml:space="preserve">30/04/2025,LAUNCESTON , AUSTRALIA  </v>
      </c>
      <c r="H394" s="57" t="str">
        <f>UPPER(Sheet1!K394 &amp; "," &amp; Sheet1!L394 &amp; "," &amp; Sheet1!M394)</f>
        <v>7-125 THOTLAWADA,DHARMAPURI,JAGITYAL,PIN:505425,TELANGANA,INDIA</v>
      </c>
      <c r="I394" s="8">
        <f>Sheet1!J394</f>
        <v>45951</v>
      </c>
      <c r="J394" s="5" t="str">
        <f>Sheet1!N394 &amp; "," &amp; TEXT(Sheet1!O394,"dd/mm/yy")</f>
        <v>202509060344,26/08/25</v>
      </c>
      <c r="K394" s="5" t="s">
        <v>14</v>
      </c>
      <c r="L394" s="38" t="s">
        <v>15</v>
      </c>
      <c r="M394" s="38">
        <v>45959</v>
      </c>
      <c r="N394" s="38" t="s">
        <v>16</v>
      </c>
    </row>
    <row r="395" spans="1:14" x14ac:dyDescent="0.35">
      <c r="A395" s="4" t="str">
        <f>Sheet1!A395 &amp; "/" &amp; "2025"</f>
        <v>1793/2025</v>
      </c>
      <c r="B395" s="5" t="str">
        <f>Sheet1!E395</f>
        <v>AU2065866875425</v>
      </c>
      <c r="C395" s="6" t="str">
        <f>UPPER(Sheet1!B395)</f>
        <v>ARJAN SINGH GURU</v>
      </c>
      <c r="D395" s="7" t="str">
        <f>IF(Sheet1!F395="F","FEMALE","MALE")</f>
        <v>MALE</v>
      </c>
      <c r="E395" s="6" t="str">
        <f>UPPER(Sheet1!G395)</f>
        <v>RANJIT SINGH GURU</v>
      </c>
      <c r="F395" s="6" t="str">
        <f>UPPER(Sheet1!H395)</f>
        <v>BALJIT</v>
      </c>
      <c r="G395" s="5" t="str">
        <f>TEXT(Sheet1!C395,"dd/mm/yyyy") &amp; "," &amp; Sheet1!D395</f>
        <v xml:space="preserve">15/05/2025,HEIDELBERG , AUSTRALIA </v>
      </c>
      <c r="H395" s="57" t="str">
        <f>UPPER(Sheet1!K395 &amp; "," &amp; Sheet1!L395 &amp; "," &amp; Sheet1!M395)</f>
        <v xml:space="preserve">GREEN AVENUE,RAIKOT,JAGRAON (LUDHIANA),PIN:141109,PUNJAB,INDIA </v>
      </c>
      <c r="I395" s="8">
        <f>Sheet1!J395</f>
        <v>45957</v>
      </c>
      <c r="J395" s="5" t="str">
        <f>Sheet1!N395 &amp; "," &amp; TEXT(Sheet1!O395,"dd/mm/yy")</f>
        <v>202509069342,30/09/25</v>
      </c>
      <c r="K395" s="5" t="s">
        <v>14</v>
      </c>
      <c r="L395" s="38" t="s">
        <v>15</v>
      </c>
      <c r="M395" s="38">
        <v>45959</v>
      </c>
      <c r="N395" s="38" t="s">
        <v>16</v>
      </c>
    </row>
    <row r="396" spans="1:14" x14ac:dyDescent="0.35">
      <c r="A396" s="4" t="str">
        <f>Sheet1!A396 &amp; "/" &amp; "2025"</f>
        <v>1794/2025</v>
      </c>
      <c r="B396" s="5" t="str">
        <f>Sheet1!E396</f>
        <v>AU2065866875825</v>
      </c>
      <c r="C396" s="6" t="str">
        <f>UPPER(Sheet1!B396)</f>
        <v>FATEHVEER SINGH</v>
      </c>
      <c r="D396" s="7" t="str">
        <f>IF(Sheet1!F396="F","FEMALE","MALE")</f>
        <v>MALE</v>
      </c>
      <c r="E396" s="6" t="str">
        <f>UPPER(Sheet1!G396)</f>
        <v>PAWANPREET SINGH</v>
      </c>
      <c r="F396" s="6" t="str">
        <f>UPPER(Sheet1!H396)</f>
        <v>RAMNEEK</v>
      </c>
      <c r="G396" s="5" t="str">
        <f>TEXT(Sheet1!C396,"dd/mm/yyyy") &amp; "," &amp; Sheet1!D396</f>
        <v>18/02/2025,FRANKSTON, AUSTRALIA</v>
      </c>
      <c r="H396" s="57" t="str">
        <f>UPPER(Sheet1!K396 &amp; "," &amp; Sheet1!L396 &amp; "," &amp; Sheet1!M396)</f>
        <v xml:space="preserve">VILLAGE NEOR,VILLAGE NEOR,BATHINDA,PIN:151206,PUNJAB,INDIA </v>
      </c>
      <c r="I396" s="8">
        <f>Sheet1!J396</f>
        <v>45957</v>
      </c>
      <c r="J396" s="5" t="str">
        <f>Sheet1!N396 &amp; "," &amp; TEXT(Sheet1!O396,"dd/mm/yy")</f>
        <v>202509066470,19/09/25</v>
      </c>
      <c r="K396" s="5" t="s">
        <v>14</v>
      </c>
      <c r="L396" s="38" t="s">
        <v>15</v>
      </c>
      <c r="M396" s="38">
        <v>45959</v>
      </c>
      <c r="N396" s="38" t="s">
        <v>16</v>
      </c>
    </row>
    <row r="397" spans="1:14" x14ac:dyDescent="0.35">
      <c r="A397" s="4" t="str">
        <f>Sheet1!A397 &amp; "/" &amp; "2025"</f>
        <v>1795/2025</v>
      </c>
      <c r="B397" s="5" t="str">
        <f>Sheet1!E397</f>
        <v>AU2065866876025</v>
      </c>
      <c r="C397" s="6" t="str">
        <f>UPPER(Sheet1!B397)</f>
        <v>ANVITH CHAND AMPELLY</v>
      </c>
      <c r="D397" s="7" t="str">
        <f>IF(Sheet1!F397="F","FEMALE","MALE")</f>
        <v>MALE</v>
      </c>
      <c r="E397" s="6" t="str">
        <f>UPPER(Sheet1!G397)</f>
        <v>CHANDAN AMPELLY</v>
      </c>
      <c r="F397" s="6" t="str">
        <f>UPPER(Sheet1!H397)</f>
        <v>AKHILA AKUTHOTA</v>
      </c>
      <c r="G397" s="5" t="str">
        <f>TEXT(Sheet1!C397,"dd/mm/yyyy") &amp; "," &amp; Sheet1!D397</f>
        <v xml:space="preserve">12/09/2025,PARKVILLE , AUSTRALIA  </v>
      </c>
      <c r="H397" s="57" t="str">
        <f>UPPER(Sheet1!K397 &amp; "," &amp; Sheet1!L397 &amp; "," &amp; Sheet1!M397)</f>
        <v xml:space="preserve">H.NO:2-2 B C COLONY NARSIMHULAGUDEM,HANAMKONDA,WARANGAL URBAN,HANUMAKONDA,PIN:506003,TELANGANA,INDIA </v>
      </c>
      <c r="I397" s="8">
        <f>Sheet1!J397</f>
        <v>45957</v>
      </c>
      <c r="J397" s="5" t="str">
        <f>Sheet1!N397 &amp; "," &amp; TEXT(Sheet1!O397,"dd/mm/yy")</f>
        <v>202509071538,09/10/25</v>
      </c>
      <c r="K397" s="5" t="s">
        <v>14</v>
      </c>
      <c r="L397" s="38" t="s">
        <v>15</v>
      </c>
      <c r="M397" s="38">
        <v>45959</v>
      </c>
      <c r="N397" s="38" t="s">
        <v>16</v>
      </c>
    </row>
    <row r="398" spans="1:14" x14ac:dyDescent="0.35">
      <c r="A398" s="4" t="str">
        <f>Sheet1!A398 &amp; "/" &amp; "2025"</f>
        <v>1796/2025</v>
      </c>
      <c r="B398" s="5" t="str">
        <f>Sheet1!E398</f>
        <v>AU2065866876225</v>
      </c>
      <c r="C398" s="6" t="str">
        <f>UPPER(Sheet1!B398)</f>
        <v>PRABHLEEN KAUR BRAR</v>
      </c>
      <c r="D398" s="7" t="str">
        <f>IF(Sheet1!F398="F","FEMALE","MALE")</f>
        <v>FEMALE</v>
      </c>
      <c r="E398" s="6" t="str">
        <f>UPPER(Sheet1!G398)</f>
        <v>JASWINDER SINGH BRAR</v>
      </c>
      <c r="F398" s="6" t="str">
        <f>UPPER(Sheet1!H398)</f>
        <v>MANDEEP KAUR TOOR</v>
      </c>
      <c r="G398" s="5" t="str">
        <f>TEXT(Sheet1!C398,"dd/mm/yyyy") &amp; "," &amp; Sheet1!D398</f>
        <v xml:space="preserve">26/06/2025,ST ALBANS , AUSTRALIA </v>
      </c>
      <c r="H398" s="57" t="str">
        <f>UPPER(Sheet1!K398 &amp; "," &amp; Sheet1!L398 &amp; "," &amp; Sheet1!M398)</f>
        <v xml:space="preserve">VPO CHAND PURANA,TEHSIL BAGHA PURANA,MOGA,PIN:142038,PUNJAB,INDIA </v>
      </c>
      <c r="I398" s="8">
        <f>Sheet1!J398</f>
        <v>45957</v>
      </c>
      <c r="J398" s="5" t="str">
        <f>Sheet1!N398 &amp; "," &amp; TEXT(Sheet1!O398,"dd/mm/yy")</f>
        <v>202509072488,13/10/25</v>
      </c>
      <c r="K398" s="5" t="s">
        <v>14</v>
      </c>
      <c r="L398" s="38" t="s">
        <v>15</v>
      </c>
      <c r="M398" s="38">
        <v>45959</v>
      </c>
      <c r="N398" s="38" t="s">
        <v>16</v>
      </c>
    </row>
    <row r="399" spans="1:14" x14ac:dyDescent="0.35">
      <c r="A399" s="4" t="str">
        <f>Sheet1!A399 &amp; "/" &amp; "2025"</f>
        <v>1797/2025</v>
      </c>
      <c r="B399" s="5" t="str">
        <f>Sheet1!E399</f>
        <v>AU2065866876425</v>
      </c>
      <c r="C399" s="6" t="str">
        <f>UPPER(Sheet1!B399)</f>
        <v>VIYAAN SUMRA</v>
      </c>
      <c r="D399" s="7" t="str">
        <f>IF(Sheet1!F399="F","FEMALE","MALE")</f>
        <v>MALE</v>
      </c>
      <c r="E399" s="6" t="str">
        <f>UPPER(Sheet1!G399)</f>
        <v>JASHAN KUMAR SUMRA</v>
      </c>
      <c r="F399" s="6" t="str">
        <f>UPPER(Sheet1!H399)</f>
        <v>GAGANDEEP SUMRA</v>
      </c>
      <c r="G399" s="5" t="str">
        <f>TEXT(Sheet1!C399,"dd/mm/yyyy") &amp; "," &amp; Sheet1!D399</f>
        <v xml:space="preserve">05/05/2025,ST ALBANS , AUSTRALIA </v>
      </c>
      <c r="H399" s="57" t="str">
        <f>UPPER(Sheet1!K399 &amp; "," &amp; Sheet1!L399 &amp; "," &amp; Sheet1!M399)</f>
        <v xml:space="preserve">VPO NATHANA,PATTI SUKHU,BATHINDA,PIN:151102,PUNJAB,INDIA </v>
      </c>
      <c r="I399" s="8">
        <f>Sheet1!J399</f>
        <v>45957</v>
      </c>
      <c r="J399" s="5" t="str">
        <f>Sheet1!N399 &amp; "," &amp; TEXT(Sheet1!O399,"dd/mm/yy")</f>
        <v>202509071756,09/10/25</v>
      </c>
      <c r="K399" s="5" t="s">
        <v>14</v>
      </c>
      <c r="L399" s="38" t="s">
        <v>15</v>
      </c>
      <c r="M399" s="38">
        <v>45959</v>
      </c>
      <c r="N399" s="38" t="s">
        <v>16</v>
      </c>
    </row>
    <row r="400" spans="1:14" x14ac:dyDescent="0.35">
      <c r="A400" s="4" t="str">
        <f>Sheet1!A400 &amp; "/" &amp; "2025"</f>
        <v>1798/2025</v>
      </c>
      <c r="B400" s="5" t="str">
        <f>Sheet1!E400</f>
        <v>AU2065866876625</v>
      </c>
      <c r="C400" s="6" t="str">
        <f>UPPER(Sheet1!B400)</f>
        <v>PARVAAZ SINGH</v>
      </c>
      <c r="D400" s="7" t="str">
        <f>IF(Sheet1!F400="F","FEMALE","MALE")</f>
        <v>MALE</v>
      </c>
      <c r="E400" s="6" t="str">
        <f>UPPER(Sheet1!G400)</f>
        <v>MANINDERJIT SINGH</v>
      </c>
      <c r="F400" s="6" t="str">
        <f>UPPER(Sheet1!H400)</f>
        <v>KIRANDEEP KAUR</v>
      </c>
      <c r="G400" s="5" t="str">
        <f>TEXT(Sheet1!C400,"dd/mm/yyyy") &amp; "," &amp; Sheet1!D400</f>
        <v xml:space="preserve">20/07/2025,BERWICK , AUSTRALIA  </v>
      </c>
      <c r="H400" s="57" t="str">
        <f>UPPER(Sheet1!K400 &amp; "," &amp; Sheet1!L400 &amp; "," &amp; Sheet1!M400)</f>
        <v xml:space="preserve">H.NO,255 (NEAR KHERA),KUTHA KHERI,PATIALA,PIN:140701,PUNJAB,INDIA </v>
      </c>
      <c r="I400" s="8">
        <f>Sheet1!J400</f>
        <v>45957</v>
      </c>
      <c r="J400" s="5" t="str">
        <f>Sheet1!N400 &amp; "," &amp; TEXT(Sheet1!O400,"dd/mm/yy")</f>
        <v>202509072789,14/10/25</v>
      </c>
      <c r="K400" s="5" t="s">
        <v>14</v>
      </c>
      <c r="L400" s="38" t="s">
        <v>15</v>
      </c>
      <c r="M400" s="38">
        <v>45959</v>
      </c>
      <c r="N400" s="38" t="s">
        <v>16</v>
      </c>
    </row>
    <row r="401" spans="1:14" x14ac:dyDescent="0.35">
      <c r="A401" s="4" t="str">
        <f>Sheet1!A401 &amp; "/" &amp; "2025"</f>
        <v>1799/2025</v>
      </c>
      <c r="B401" s="5" t="str">
        <f>Sheet1!E401</f>
        <v>AU2065866908425</v>
      </c>
      <c r="C401" s="6" t="str">
        <f>UPPER(Sheet1!B401)</f>
        <v>NADAR NIHAAL SINGH</v>
      </c>
      <c r="D401" s="7" t="str">
        <f>IF(Sheet1!F401="F","FEMALE","MALE")</f>
        <v>MALE</v>
      </c>
      <c r="E401" s="6" t="str">
        <f>UPPER(Sheet1!G401)</f>
        <v>HASANPREET SINGH</v>
      </c>
      <c r="F401" s="6" t="str">
        <f>UPPER(Sheet1!H401)</f>
        <v>RAVNEET KAUR</v>
      </c>
      <c r="G401" s="5" t="str">
        <f>TEXT(Sheet1!C401,"dd/mm/yyyy") &amp; "," &amp; Sheet1!D401</f>
        <v xml:space="preserve">10/08/2025,ST ALBANS , AUSTRALIA </v>
      </c>
      <c r="H401" s="57" t="str">
        <f>UPPER(Sheet1!K401 &amp; "," &amp; Sheet1!L401 &amp; "," &amp; Sheet1!M401)</f>
        <v xml:space="preserve">VPO HARCHANDPURA,PATRAN,PATIALA,PIN:147102,PUNJAB,INDIA </v>
      </c>
      <c r="I401" s="8">
        <f>Sheet1!J401</f>
        <v>45957</v>
      </c>
      <c r="J401" s="5" t="str">
        <f>Sheet1!N401 &amp; "," &amp; TEXT(Sheet1!O401,"dd/mm/yy")</f>
        <v>202509072359,12/10/25</v>
      </c>
      <c r="K401" s="5" t="s">
        <v>14</v>
      </c>
      <c r="L401" s="38" t="s">
        <v>15</v>
      </c>
      <c r="M401" s="38">
        <v>45959</v>
      </c>
      <c r="N401" s="38" t="s">
        <v>16</v>
      </c>
    </row>
    <row r="402" spans="1:14" x14ac:dyDescent="0.35">
      <c r="A402" s="4" t="str">
        <f>Sheet1!A402 &amp; "/" &amp; "2025"</f>
        <v>1800/2025</v>
      </c>
      <c r="B402" s="5" t="str">
        <f>Sheet1!E402</f>
        <v>AU2065867421425</v>
      </c>
      <c r="C402" s="6" t="str">
        <f>UPPER(Sheet1!B402)</f>
        <v>ARZOI KAUR DHOT</v>
      </c>
      <c r="D402" s="7" t="str">
        <f>IF(Sheet1!F402="F","FEMALE","MALE")</f>
        <v>FEMALE</v>
      </c>
      <c r="E402" s="6" t="str">
        <f>UPPER(Sheet1!G402)</f>
        <v>JASMEET SINGH</v>
      </c>
      <c r="F402" s="6" t="str">
        <f>UPPER(Sheet1!H402)</f>
        <v>KOMALPREET KAUR</v>
      </c>
      <c r="G402" s="5" t="str">
        <f>TEXT(Sheet1!C402,"dd/mm/yyyy") &amp; "," &amp; Sheet1!D402</f>
        <v xml:space="preserve">17/08/2025,HEIDELBERG , AUSTRALIA </v>
      </c>
      <c r="H402" s="57" t="str">
        <f>UPPER(Sheet1!K402 &amp; "," &amp; Sheet1!L402 &amp; "," &amp; Sheet1!M402)</f>
        <v xml:space="preserve">64,KHERI DABDALAN,KURUKSHETRA,PIN:136132,HARYANA,INDIA </v>
      </c>
      <c r="I402" s="8">
        <f>Sheet1!J402</f>
        <v>45958</v>
      </c>
      <c r="J402" s="5" t="str">
        <f>Sheet1!N402 &amp; "," &amp; TEXT(Sheet1!O402,"dd/mm/yy")</f>
        <v>202509071546,09/10/25</v>
      </c>
      <c r="K402" s="5" t="s">
        <v>14</v>
      </c>
      <c r="L402" s="38" t="s">
        <v>15</v>
      </c>
      <c r="M402" s="38">
        <v>45959</v>
      </c>
      <c r="N402" s="38" t="s">
        <v>16</v>
      </c>
    </row>
    <row r="403" spans="1:14" x14ac:dyDescent="0.35">
      <c r="A403" s="4" t="str">
        <f>Sheet1!A403 &amp; "/" &amp; "2025"</f>
        <v>1801/2025</v>
      </c>
      <c r="B403" s="5" t="str">
        <f>Sheet1!E403</f>
        <v>AU2065867421625</v>
      </c>
      <c r="C403" s="6" t="str">
        <f>UPPER(Sheet1!B403)</f>
        <v>ANVIKAA SHARMA</v>
      </c>
      <c r="D403" s="7" t="str">
        <f>IF(Sheet1!F403="F","FEMALE","MALE")</f>
        <v>FEMALE</v>
      </c>
      <c r="E403" s="6" t="str">
        <f>UPPER(Sheet1!G403)</f>
        <v>ANKUSH SHARMA</v>
      </c>
      <c r="F403" s="6" t="str">
        <f>UPPER(Sheet1!H403)</f>
        <v>SANGEETA BALI</v>
      </c>
      <c r="G403" s="5" t="str">
        <f>TEXT(Sheet1!C403,"dd/mm/yyyy") &amp; "," &amp; Sheet1!D403</f>
        <v xml:space="preserve">23/09/2025,GEELONG , AUSTRALIA </v>
      </c>
      <c r="H403" s="57" t="str">
        <f>UPPER(Sheet1!K403 &amp; "," &amp; Sheet1!L403 &amp; "," &amp; Sheet1!M403)</f>
        <v xml:space="preserve">VILL BHALKHOON PO TALMEHRA TEH BANGANA DISTT UNA,BANGANA,UNA,PIN:174320,HIMACHAL PRADESH,INDIA </v>
      </c>
      <c r="I403" s="8">
        <f>Sheet1!J403</f>
        <v>45958</v>
      </c>
      <c r="J403" s="5" t="str">
        <f>Sheet1!N403 &amp; "," &amp; TEXT(Sheet1!O403,"dd/mm/yy")</f>
        <v>202509073112,15/10/25</v>
      </c>
      <c r="K403" s="5" t="s">
        <v>14</v>
      </c>
      <c r="L403" s="38" t="s">
        <v>15</v>
      </c>
      <c r="M403" s="38">
        <v>45959</v>
      </c>
      <c r="N403" s="38" t="s">
        <v>16</v>
      </c>
    </row>
    <row r="404" spans="1:14" x14ac:dyDescent="0.35">
      <c r="A404" s="4" t="str">
        <f>Sheet1!A404 &amp; "/" &amp; "2025"</f>
        <v>1802/2025</v>
      </c>
      <c r="B404" s="5" t="str">
        <f>Sheet1!E404</f>
        <v>AU2065867421825</v>
      </c>
      <c r="C404" s="6" t="str">
        <f>UPPER(Sheet1!B404)</f>
        <v>CARLO JOSIN KURIAKOSE</v>
      </c>
      <c r="D404" s="7" t="str">
        <f>IF(Sheet1!F404="F","FEMALE","MALE")</f>
        <v>MALE</v>
      </c>
      <c r="E404" s="6" t="str">
        <f>UPPER(Sheet1!G404)</f>
        <v>JOSIN KURIAKOSE KANNAMUNDAYIL</v>
      </c>
      <c r="F404" s="6" t="str">
        <f>UPPER(Sheet1!H404)</f>
        <v>SIJIMOL JOSEPH</v>
      </c>
      <c r="G404" s="5" t="str">
        <f>TEXT(Sheet1!C404,"dd/mm/yyyy") &amp; "," &amp; Sheet1!D404</f>
        <v xml:space="preserve">01/08/2025,GEELONG , AUSTRALIA </v>
      </c>
      <c r="H404" s="57" t="str">
        <f>UPPER(Sheet1!K404 &amp; "," &amp; Sheet1!L404 &amp; "," &amp; Sheet1!M404)</f>
        <v xml:space="preserve">KANNAMUNDAYIL CHINNAR P O,ELAPPARA,IDUKKI,PIN:685501,KERALA,INDIA </v>
      </c>
      <c r="I404" s="8">
        <f>Sheet1!J404</f>
        <v>45958</v>
      </c>
      <c r="J404" s="5" t="str">
        <f>Sheet1!N404 &amp; "," &amp; TEXT(Sheet1!O404,"dd/mm/yy")</f>
        <v>202509071207,08/10/25</v>
      </c>
      <c r="K404" s="5" t="s">
        <v>14</v>
      </c>
      <c r="L404" s="38" t="s">
        <v>15</v>
      </c>
      <c r="M404" s="38">
        <v>45959</v>
      </c>
      <c r="N404" s="38" t="s">
        <v>16</v>
      </c>
    </row>
    <row r="405" spans="1:14" x14ac:dyDescent="0.35">
      <c r="A405" s="4" t="str">
        <f>Sheet1!A405 &amp; "/" &amp; "2025"</f>
        <v>1803/2025</v>
      </c>
      <c r="B405" s="5" t="str">
        <f>Sheet1!E405</f>
        <v>AU2065867422025</v>
      </c>
      <c r="C405" s="6" t="str">
        <f>UPPER(Sheet1!B405)</f>
        <v>AARUSH KRISHNA KAPA</v>
      </c>
      <c r="D405" s="7" t="str">
        <f>IF(Sheet1!F405="F","FEMALE","MALE")</f>
        <v>MALE</v>
      </c>
      <c r="E405" s="6" t="str">
        <f>UPPER(Sheet1!G405)</f>
        <v>VAMSI KRISHNA KAPA</v>
      </c>
      <c r="F405" s="6" t="str">
        <f>UPPER(Sheet1!H405)</f>
        <v>SAI APEKSHA ANOOP</v>
      </c>
      <c r="G405" s="5" t="str">
        <f>TEXT(Sheet1!C405,"dd/mm/yyyy") &amp; "," &amp; Sheet1!D405</f>
        <v xml:space="preserve">04/09/2025,BUNDOORA, AUSTRALIA </v>
      </c>
      <c r="H405" s="57" t="str">
        <f>UPPER(Sheet1!K405 &amp; "," &amp; Sheet1!L405 &amp; "," &amp; Sheet1!M405)</f>
        <v xml:space="preserve">D-NO 1-39,KOTTA RAVICHERLA,NUZIVID MANDAL,KRISHNA,KRISHNA,PIN:521201,ANDHRA PRADESH,INDIA </v>
      </c>
      <c r="I405" s="8">
        <f>Sheet1!J405</f>
        <v>45958</v>
      </c>
      <c r="J405" s="5" t="str">
        <f>Sheet1!N405 &amp; "," &amp; TEXT(Sheet1!O405,"dd/mm/yy")</f>
        <v>202509072170,11/10/25</v>
      </c>
      <c r="K405" s="5" t="s">
        <v>14</v>
      </c>
      <c r="L405" s="38" t="s">
        <v>15</v>
      </c>
      <c r="M405" s="38">
        <v>45959</v>
      </c>
      <c r="N405" s="38" t="s">
        <v>16</v>
      </c>
    </row>
    <row r="406" spans="1:14" x14ac:dyDescent="0.35">
      <c r="A406" s="4" t="str">
        <f>Sheet1!A406 &amp; "/" &amp; "2025"</f>
        <v>1804/2025</v>
      </c>
      <c r="B406" s="5" t="str">
        <f>Sheet1!E406</f>
        <v>AU2065867422425</v>
      </c>
      <c r="C406" s="6" t="str">
        <f>UPPER(Sheet1!B406)</f>
        <v>RUDVED REDDY KOLACHI</v>
      </c>
      <c r="D406" s="7" t="str">
        <f>IF(Sheet1!F406="F","FEMALE","MALE")</f>
        <v>MALE</v>
      </c>
      <c r="E406" s="6" t="str">
        <f>UPPER(Sheet1!G406)</f>
        <v>ROHIT REDDY KOLACHI</v>
      </c>
      <c r="F406" s="6" t="str">
        <f>UPPER(Sheet1!H406)</f>
        <v>NAVYA REDDY BOGURAMPET</v>
      </c>
      <c r="G406" s="5" t="str">
        <f>TEXT(Sheet1!C406,"dd/mm/yyyy") &amp; "," &amp; Sheet1!D406</f>
        <v xml:space="preserve">09/07/2025,GOSFORD, AUSTRALIA  </v>
      </c>
      <c r="H406" s="57" t="str">
        <f>UPPER(Sheet1!K406 &amp; "," &amp; Sheet1!L406 &amp; "," &amp; Sheet1!M406)</f>
        <v xml:space="preserve">H NO 4-42,ALMASGUDA,SAROORNAGAR MANDAL,RANGAREDDY,PIN:500058,TELANGANA,INDIA </v>
      </c>
      <c r="I406" s="8">
        <f>Sheet1!J406</f>
        <v>45958</v>
      </c>
      <c r="J406" s="5" t="str">
        <f>Sheet1!N406 &amp; "," &amp; TEXT(Sheet1!O406,"dd/mm/yy")</f>
        <v>202509072799,14/10/25</v>
      </c>
      <c r="K406" s="5" t="s">
        <v>14</v>
      </c>
      <c r="L406" s="38" t="s">
        <v>15</v>
      </c>
      <c r="M406" s="38">
        <v>45959</v>
      </c>
      <c r="N406" s="38" t="s">
        <v>16</v>
      </c>
    </row>
    <row r="407" spans="1:14" x14ac:dyDescent="0.35">
      <c r="A407" s="4" t="str">
        <f>Sheet1!A407 &amp; "/" &amp; "2025"</f>
        <v>1805/2025</v>
      </c>
      <c r="B407" s="5" t="str">
        <f>Sheet1!E407</f>
        <v>AU2065867422625</v>
      </c>
      <c r="C407" s="6" t="str">
        <f>UPPER(Sheet1!B407)</f>
        <v>SADAA KAUR</v>
      </c>
      <c r="D407" s="7" t="str">
        <f>IF(Sheet1!F407="F","FEMALE","MALE")</f>
        <v>FEMALE</v>
      </c>
      <c r="E407" s="6" t="str">
        <f>UPPER(Sheet1!G407)</f>
        <v>SAHIL SINGH</v>
      </c>
      <c r="F407" s="6" t="str">
        <f>UPPER(Sheet1!H407)</f>
        <v>SEHAJPREET KAUR</v>
      </c>
      <c r="G407" s="5" t="str">
        <f>TEXT(Sheet1!C407,"dd/mm/yyyy") &amp; "," &amp; Sheet1!D407</f>
        <v xml:space="preserve">10/01/2025,ST ALBANS , AUSTRALIA </v>
      </c>
      <c r="H407" s="57" t="str">
        <f>UPPER(Sheet1!K407 &amp; "," &amp; Sheet1!L407 &amp; "," &amp; Sheet1!M407)</f>
        <v xml:space="preserve">VPO. MAAN SANDWAL,TEH. BATALA,GURDASPUR,PIN:143602,PUNJAB,INDIA </v>
      </c>
      <c r="I407" s="8">
        <f>Sheet1!J407</f>
        <v>45958</v>
      </c>
      <c r="J407" s="5" t="str">
        <f>Sheet1!N407 &amp; "," &amp; TEXT(Sheet1!O407,"dd/mm/yy")</f>
        <v>202509072787,14/10/25</v>
      </c>
      <c r="K407" s="5" t="s">
        <v>14</v>
      </c>
      <c r="L407" s="38" t="s">
        <v>15</v>
      </c>
      <c r="M407" s="38" t="s">
        <v>17</v>
      </c>
      <c r="N407" s="38" t="s">
        <v>16</v>
      </c>
    </row>
    <row r="408" spans="1:14" x14ac:dyDescent="0.35">
      <c r="A408" s="4" t="str">
        <f>Sheet1!A408 &amp; "/" &amp; "2025"</f>
        <v>1806/2025</v>
      </c>
      <c r="B408" s="5" t="str">
        <f>Sheet1!E408</f>
        <v>AU2065698248925</v>
      </c>
      <c r="C408" s="6" t="str">
        <f>UPPER(Sheet1!B408)</f>
        <v>VAAYU SINGH SANSANWAL</v>
      </c>
      <c r="D408" s="7" t="str">
        <f>IF(Sheet1!F408="F","FEMALE","MALE")</f>
        <v>MALE</v>
      </c>
      <c r="E408" s="6" t="str">
        <f>UPPER(Sheet1!G408)</f>
        <v>ARJUN SINGH SANSANWAL</v>
      </c>
      <c r="F408" s="6" t="str">
        <f>UPPER(Sheet1!H408)</f>
        <v>JYOTI  SIWAS</v>
      </c>
      <c r="G408" s="5" t="str">
        <f>TEXT(Sheet1!C408,"dd/mm/yyyy") &amp; "," &amp; Sheet1!D408</f>
        <v xml:space="preserve">30/05/2025,EPPING , AUSTRALIA </v>
      </c>
      <c r="H408" s="57" t="str">
        <f>UPPER(Sheet1!K408 &amp; "," &amp; Sheet1!L408 &amp; "," &amp; Sheet1!M408)</f>
        <v>D-41 NEELAMBER APARTMENT,RANI BAGH,DELHI,PIN:110034,DELHI,INDIA</v>
      </c>
      <c r="I408" s="8">
        <f>Sheet1!J408</f>
        <v>45961</v>
      </c>
      <c r="J408" s="5" t="str">
        <f>Sheet1!N408 &amp; "," &amp; TEXT(Sheet1!O408,"dd/mm/yy")</f>
        <v>202509068879,29/09/25</v>
      </c>
      <c r="K408" s="5" t="s">
        <v>14</v>
      </c>
      <c r="L408" s="38" t="s">
        <v>15</v>
      </c>
      <c r="M408" s="38" t="s">
        <v>17</v>
      </c>
      <c r="N408" s="38" t="s">
        <v>16</v>
      </c>
    </row>
    <row r="409" spans="1:14" x14ac:dyDescent="0.35">
      <c r="A409" s="4" t="str">
        <f>Sheet1!A409 &amp; "/" &amp; "2025"</f>
        <v>1807/2025</v>
      </c>
      <c r="B409" s="5" t="str">
        <f>Sheet1!E409</f>
        <v>AU2065867423025</v>
      </c>
      <c r="C409" s="6" t="str">
        <f>UPPER(Sheet1!B409)</f>
        <v>ADWITHA MARAR</v>
      </c>
      <c r="D409" s="7" t="str">
        <f>IF(Sheet1!F409="F","FEMALE","MALE")</f>
        <v>FEMALE</v>
      </c>
      <c r="E409" s="6" t="str">
        <f>UPPER(Sheet1!G409)</f>
        <v>ARJUN VASUDEVAN MARAR</v>
      </c>
      <c r="F409" s="6" t="str">
        <f>UPPER(Sheet1!H409)</f>
        <v>AMRITHA PARIYARATH</v>
      </c>
      <c r="G409" s="5" t="str">
        <f>TEXT(Sheet1!C409,"dd/mm/yyyy") &amp; "," &amp; Sheet1!D409</f>
        <v xml:space="preserve">19/08/2025,WERIBEE, AUSTRALIA </v>
      </c>
      <c r="H409" s="57" t="str">
        <f>UPPER(Sheet1!K409 &amp; "," &amp; Sheet1!L409 &amp; "," &amp; Sheet1!M409)</f>
        <v xml:space="preserve">KRISHNANJALI MARATH,KOTTAYI PO,KOTTAYI,PALAKKAD,PIN:678572,KERALA,INDIA </v>
      </c>
      <c r="I409" s="8">
        <f>Sheet1!J409</f>
        <v>45964</v>
      </c>
      <c r="J409" s="5" t="str">
        <f>Sheet1!N409 &amp; "," &amp; TEXT(Sheet1!O409,"dd/mm/yy")</f>
        <v>202509070414,05/10/25</v>
      </c>
      <c r="K409" s="5" t="s">
        <v>14</v>
      </c>
      <c r="L409" s="38" t="s">
        <v>15</v>
      </c>
      <c r="M409" s="38" t="s">
        <v>17</v>
      </c>
      <c r="N409" s="38" t="s">
        <v>16</v>
      </c>
    </row>
    <row r="410" spans="1:14" x14ac:dyDescent="0.35">
      <c r="A410" s="4" t="str">
        <f>Sheet1!A410 &amp; "/" &amp; "2025"</f>
        <v>1808/2025</v>
      </c>
      <c r="B410" s="5" t="str">
        <f>Sheet1!E410</f>
        <v>AU2065867423225</v>
      </c>
      <c r="C410" s="6" t="str">
        <f>UPPER(Sheet1!B410)</f>
        <v>MEHTAB SINGH</v>
      </c>
      <c r="D410" s="7" t="str">
        <f>IF(Sheet1!F410="F","FEMALE","MALE")</f>
        <v>MALE</v>
      </c>
      <c r="E410" s="6" t="str">
        <f>UPPER(Sheet1!G410)</f>
        <v>HARJINDER SINGH</v>
      </c>
      <c r="F410" s="6" t="str">
        <f>UPPER(Sheet1!H410)</f>
        <v>GURPREET KAUR</v>
      </c>
      <c r="G410" s="5" t="str">
        <f>TEXT(Sheet1!C410,"dd/mm/yyyy") &amp; "," &amp; Sheet1!D410</f>
        <v xml:space="preserve">07/09/2025,GEELONG , AUSTRALIA </v>
      </c>
      <c r="H410" s="57" t="str">
        <f>UPPER(Sheet1!K410 &amp; "," &amp; Sheet1!L410 &amp; "," &amp; Sheet1!M410)</f>
        <v xml:space="preserve">VPO,BHATTIKE,AMRITSAR,PIN:143116,PUNJAB,INDIA </v>
      </c>
      <c r="I410" s="8">
        <f>Sheet1!J410</f>
        <v>45964</v>
      </c>
      <c r="J410" s="5" t="str">
        <f>Sheet1!N410 &amp; "," &amp; TEXT(Sheet1!O410,"dd/mm/yy")</f>
        <v>202509072768,14/10/25</v>
      </c>
      <c r="K410" s="5" t="s">
        <v>14</v>
      </c>
      <c r="L410" s="38" t="s">
        <v>15</v>
      </c>
      <c r="M410" s="38" t="s">
        <v>17</v>
      </c>
      <c r="N410" s="38" t="s">
        <v>16</v>
      </c>
    </row>
    <row r="411" spans="1:14" x14ac:dyDescent="0.35">
      <c r="A411" s="4" t="str">
        <f>Sheet1!A411 &amp; "/" &amp; "2025"</f>
        <v>1809/2025</v>
      </c>
      <c r="B411" s="5" t="str">
        <f>Sheet1!E411</f>
        <v>AU2065867423425</v>
      </c>
      <c r="C411" s="6" t="str">
        <f>UPPER(Sheet1!B411)</f>
        <v>UPKAR KAUR BRAR</v>
      </c>
      <c r="D411" s="7" t="str">
        <f>IF(Sheet1!F411="F","FEMALE","MALE")</f>
        <v>FEMALE</v>
      </c>
      <c r="E411" s="6" t="str">
        <f>UPPER(Sheet1!G411)</f>
        <v>ARSHDEEP SINGH</v>
      </c>
      <c r="F411" s="6" t="str">
        <f>UPPER(Sheet1!H411)</f>
        <v>GURMINDER KAUR</v>
      </c>
      <c r="G411" s="5" t="str">
        <f>TEXT(Sheet1!C411,"dd/mm/yyyy") &amp; "," &amp; Sheet1!D411</f>
        <v xml:space="preserve">27/08/2025,ST ALBANS , AUSTRALIA </v>
      </c>
      <c r="H411" s="57" t="str">
        <f>UPPER(Sheet1!K411 &amp; "," &amp; Sheet1!L411 &amp; "," &amp; Sheet1!M411)</f>
        <v xml:space="preserve">MIRZA PATTI,VPO. PANJGRAIN KALAN,FARIDKOT,PIN:151207,PUNJAB,INDIA </v>
      </c>
      <c r="I411" s="8">
        <f>Sheet1!J411</f>
        <v>45964</v>
      </c>
      <c r="J411" s="5" t="str">
        <f>Sheet1!N411 &amp; "," &amp; TEXT(Sheet1!O411,"dd/mm/yy")</f>
        <v>202509073054,15/10/25</v>
      </c>
      <c r="K411" s="5" t="s">
        <v>14</v>
      </c>
      <c r="L411" s="38" t="s">
        <v>15</v>
      </c>
      <c r="M411" s="38" t="s">
        <v>17</v>
      </c>
      <c r="N411" s="38" t="s">
        <v>16</v>
      </c>
    </row>
    <row r="412" spans="1:14" x14ac:dyDescent="0.35">
      <c r="A412" s="4" t="str">
        <f>Sheet1!A412 &amp; "/" &amp; "2025"</f>
        <v>1810/2025</v>
      </c>
      <c r="B412" s="5" t="str">
        <f>Sheet1!E412</f>
        <v>AU2065867423625</v>
      </c>
      <c r="C412" s="6" t="str">
        <f>UPPER(Sheet1!B412)</f>
        <v>NIVAAN RANDHAWA</v>
      </c>
      <c r="D412" s="7" t="str">
        <f>IF(Sheet1!F412="F","FEMALE","MALE")</f>
        <v>MALE</v>
      </c>
      <c r="E412" s="6" t="str">
        <f>UPPER(Sheet1!G412)</f>
        <v>GURJEET SINGH</v>
      </c>
      <c r="F412" s="6" t="str">
        <f>UPPER(Sheet1!H412)</f>
        <v>KIRANDEEP KAUR</v>
      </c>
      <c r="G412" s="5" t="str">
        <f>TEXT(Sheet1!C412,"dd/mm/yyyy") &amp; "," &amp; Sheet1!D412</f>
        <v xml:space="preserve">29/05/2025,WERIBEE, AUSTRALIA </v>
      </c>
      <c r="H412" s="57" t="str">
        <f>UPPER(Sheet1!K412 &amp; "," &amp; Sheet1!L412 &amp; "," &amp; Sheet1!M412)</f>
        <v xml:space="preserve">VILL BHAMBRI,THE KHAMANO,FATEHGARH SAHIB,PIN:141801,PUNJAB,INDIA </v>
      </c>
      <c r="I412" s="8">
        <f>Sheet1!J412</f>
        <v>45964</v>
      </c>
      <c r="J412" s="5" t="str">
        <f>Sheet1!N412 &amp; "," &amp; TEXT(Sheet1!O412,"dd/mm/yy")</f>
        <v>202509071868,10/10/25</v>
      </c>
      <c r="K412" s="5" t="s">
        <v>14</v>
      </c>
      <c r="L412" s="38" t="s">
        <v>15</v>
      </c>
      <c r="M412" s="38" t="s">
        <v>17</v>
      </c>
      <c r="N412" s="38" t="s">
        <v>16</v>
      </c>
    </row>
    <row r="413" spans="1:14" x14ac:dyDescent="0.35">
      <c r="A413" s="4" t="str">
        <f>Sheet1!A413 &amp; "/" &amp; "2025"</f>
        <v>1811/2025</v>
      </c>
      <c r="B413" s="5" t="str">
        <f>Sheet1!E413</f>
        <v>AU2065867423825</v>
      </c>
      <c r="C413" s="6" t="str">
        <f>UPPER(Sheet1!B413)</f>
        <v>SHRIYANSH KONABOINA</v>
      </c>
      <c r="D413" s="7" t="str">
        <f>IF(Sheet1!F413="F","FEMALE","MALE")</f>
        <v>MALE</v>
      </c>
      <c r="E413" s="6" t="str">
        <f>UPPER(Sheet1!G413)</f>
        <v>NAVEEN KUMAR KONABOINA</v>
      </c>
      <c r="F413" s="6" t="str">
        <f>UPPER(Sheet1!H413)</f>
        <v>AISHWARYA LAXMI THOTA</v>
      </c>
      <c r="G413" s="5" t="str">
        <f>TEXT(Sheet1!C413,"dd/mm/yyyy") &amp; "," &amp; Sheet1!D413</f>
        <v xml:space="preserve">01/02/2025,ST ALBANS , AUSTRALIA </v>
      </c>
      <c r="H413" s="57" t="str">
        <f>UPPER(Sheet1!K413 &amp; "," &amp; Sheet1!L413 &amp; "," &amp; Sheet1!M413)</f>
        <v xml:space="preserve">58-17,SRIRAM NAGAR COLONY,CHINTAL,HMT TOWSHIP,QUTHUBULLAPUR,MEDCHAL,PIN:500054,TELANGANA,INDIA </v>
      </c>
      <c r="I413" s="8">
        <f>Sheet1!J413</f>
        <v>45964</v>
      </c>
      <c r="J413" s="5" t="str">
        <f>Sheet1!N413 &amp; "," &amp; TEXT(Sheet1!O413,"dd/mm/yy")</f>
        <v>202509070962,07/10/25</v>
      </c>
      <c r="K413" s="5" t="s">
        <v>14</v>
      </c>
      <c r="L413" s="38" t="s">
        <v>15</v>
      </c>
      <c r="M413" s="38" t="s">
        <v>17</v>
      </c>
      <c r="N413" s="38" t="s">
        <v>16</v>
      </c>
    </row>
    <row r="414" spans="1:14" x14ac:dyDescent="0.35">
      <c r="A414" s="4" t="str">
        <f>Sheet1!A414 &amp; "/" &amp; "2025"</f>
        <v>1812/2025</v>
      </c>
      <c r="B414" s="5" t="str">
        <f>Sheet1!E414</f>
        <v>AU2065867424025</v>
      </c>
      <c r="C414" s="6" t="str">
        <f>UPPER(Sheet1!B414)</f>
        <v>SHANEL KAUR SARAO</v>
      </c>
      <c r="D414" s="7" t="str">
        <f>IF(Sheet1!F414="F","FEMALE","MALE")</f>
        <v>FEMALE</v>
      </c>
      <c r="E414" s="6" t="str">
        <f>UPPER(Sheet1!G414)</f>
        <v>KULBIR SINGH SARAO</v>
      </c>
      <c r="F414" s="6" t="str">
        <f>UPPER(Sheet1!H414)</f>
        <v>SUKHDEEP KAUR SARAO</v>
      </c>
      <c r="G414" s="5" t="str">
        <f>TEXT(Sheet1!C414,"dd/mm/yyyy") &amp; "," &amp; Sheet1!D414</f>
        <v>02/09/2025,SHEPPARTON, AUSTRALIA</v>
      </c>
      <c r="H414" s="57" t="str">
        <f>UPPER(Sheet1!K414 &amp; "," &amp; Sheet1!L414 &amp; "," &amp; Sheet1!M414)</f>
        <v xml:space="preserve">VILL BABBANPUR PO BHASAUR,TEH. DHURI,SANGRUR,PIN:148024,PUNJAB,INDIA </v>
      </c>
      <c r="I414" s="8">
        <f>Sheet1!J414</f>
        <v>45964</v>
      </c>
      <c r="J414" s="5" t="str">
        <f>Sheet1!N414 &amp; "," &amp; TEXT(Sheet1!O414,"dd/mm/yy")</f>
        <v>202509073447,16/10/25</v>
      </c>
      <c r="K414" s="5" t="s">
        <v>14</v>
      </c>
      <c r="L414" s="38" t="s">
        <v>15</v>
      </c>
      <c r="M414" s="38" t="s">
        <v>17</v>
      </c>
      <c r="N414" s="38" t="s">
        <v>16</v>
      </c>
    </row>
    <row r="415" spans="1:14" x14ac:dyDescent="0.35">
      <c r="A415" s="4" t="str">
        <f>Sheet1!A415 &amp; "/" &amp; "2025"</f>
        <v>1813/2025</v>
      </c>
      <c r="B415" s="5" t="str">
        <f>Sheet1!E415</f>
        <v>AU2065869755625</v>
      </c>
      <c r="C415" s="6" t="str">
        <f>UPPER(Sheet1!B415)</f>
        <v>DHARSHIK PEDDI</v>
      </c>
      <c r="D415" s="7" t="str">
        <f>IF(Sheet1!F415="F","FEMALE","MALE")</f>
        <v>MALE</v>
      </c>
      <c r="E415" s="6" t="str">
        <f>UPPER(Sheet1!G415)</f>
        <v>DIXITH PEDDI</v>
      </c>
      <c r="F415" s="6" t="str">
        <f>UPPER(Sheet1!H415)</f>
        <v>HARINI AMBALLA</v>
      </c>
      <c r="G415" s="5" t="str">
        <f>TEXT(Sheet1!C415,"dd/mm/yyyy") &amp; "," &amp; Sheet1!D415</f>
        <v xml:space="preserve">02/09/2025,CLAYTON , AUSTRALIA  </v>
      </c>
      <c r="H415" s="57" t="str">
        <f>UPPER(Sheet1!K415 &amp; "," &amp; Sheet1!L415 &amp; "," &amp; Sheet1!M415)</f>
        <v xml:space="preserve">2-91,CHOUTPALLY,KAMMARPALLY,NIZAMABAD,PIN:503308,TELANGANA,INDIA </v>
      </c>
      <c r="I415" s="8">
        <f>Sheet1!J415</f>
        <v>45964</v>
      </c>
      <c r="J415" s="5" t="str">
        <f>Sheet1!N415 &amp; "," &amp; TEXT(Sheet1!O415,"dd/mm/yy")</f>
        <v>202509073448,16/10/25</v>
      </c>
      <c r="K415" s="5" t="s">
        <v>14</v>
      </c>
      <c r="L415" s="38" t="s">
        <v>15</v>
      </c>
      <c r="M415" s="38" t="s">
        <v>17</v>
      </c>
      <c r="N415" s="38" t="s">
        <v>16</v>
      </c>
    </row>
    <row r="416" spans="1:14" x14ac:dyDescent="0.35">
      <c r="A416" s="4" t="str">
        <f>Sheet1!A416 &amp; "/" &amp; "2025"</f>
        <v>1814/2025</v>
      </c>
      <c r="B416" s="5" t="str">
        <f>Sheet1!E416</f>
        <v>AU2065869756425</v>
      </c>
      <c r="C416" s="6" t="str">
        <f>UPPER(Sheet1!B416)</f>
        <v>HARFATEH SINGH</v>
      </c>
      <c r="D416" s="7" t="str">
        <f>IF(Sheet1!F416="F","FEMALE","MALE")</f>
        <v>MALE</v>
      </c>
      <c r="E416" s="6" t="str">
        <f>UPPER(Sheet1!G416)</f>
        <v>HARDEEP SINGH</v>
      </c>
      <c r="F416" s="6" t="str">
        <f>UPPER(Sheet1!H416)</f>
        <v>VARINDER KAUR</v>
      </c>
      <c r="G416" s="5" t="str">
        <f>TEXT(Sheet1!C416,"dd/mm/yyyy") &amp; "," &amp; Sheet1!D416</f>
        <v xml:space="preserve">18/06/2025,ST ALBANS , AUSTRALIA </v>
      </c>
      <c r="H416" s="57" t="str">
        <f>UPPER(Sheet1!K416 &amp; "," &amp; Sheet1!L416 &amp; "," &amp; Sheet1!M416)</f>
        <v xml:space="preserve">VILL.BANGANWALI PO BARDWAL,TEH DHURI,SANGRUR,PIN:148024,PUNJAB,INDIA </v>
      </c>
      <c r="I416" s="8">
        <f>Sheet1!J416</f>
        <v>45964</v>
      </c>
      <c r="J416" s="5" t="str">
        <f>Sheet1!N416 &amp; "," &amp; TEXT(Sheet1!O416,"dd/mm/yy")</f>
        <v>202509065662,16/09/25</v>
      </c>
      <c r="K416" s="5" t="s">
        <v>14</v>
      </c>
      <c r="L416" s="38" t="s">
        <v>15</v>
      </c>
      <c r="M416" s="38" t="s">
        <v>17</v>
      </c>
      <c r="N416" s="38" t="s">
        <v>16</v>
      </c>
    </row>
    <row r="417" spans="1:14" x14ac:dyDescent="0.35">
      <c r="A417" s="4" t="str">
        <f>Sheet1!A417 &amp; "/" &amp; "2025"</f>
        <v>1815/2025</v>
      </c>
      <c r="B417" s="5" t="str">
        <f>Sheet1!E417</f>
        <v>AU2065869756825</v>
      </c>
      <c r="C417" s="6" t="str">
        <f>UPPER(Sheet1!B417)</f>
        <v>JAHAAN SINGH GREWAL</v>
      </c>
      <c r="D417" s="7" t="str">
        <f>IF(Sheet1!F417="F","FEMALE","MALE")</f>
        <v>MALE</v>
      </c>
      <c r="E417" s="6" t="str">
        <f>UPPER(Sheet1!G417)</f>
        <v>NAVTEJ SINGH GREWAL</v>
      </c>
      <c r="F417" s="6" t="str">
        <f>UPPER(Sheet1!H417)</f>
        <v>MANDEEP KAUR</v>
      </c>
      <c r="G417" s="5" t="str">
        <f>TEXT(Sheet1!C417,"dd/mm/yyyy") &amp; "," &amp; Sheet1!D417</f>
        <v xml:space="preserve">11/03/2025,HEIDELBERG , AUSTRALIA </v>
      </c>
      <c r="H417" s="57" t="str">
        <f>UPPER(Sheet1!K417 &amp; "," &amp; Sheet1!L417 &amp; "," &amp; Sheet1!M417)</f>
        <v xml:space="preserve">VILLAGE - DHANER P.O. CHAK BHAI KA,P.S. MEHAL KALAN,BARNALA,PIN:148104,PUNJAB,INDIA </v>
      </c>
      <c r="I417" s="8">
        <f>Sheet1!J417</f>
        <v>45964</v>
      </c>
      <c r="J417" s="5" t="str">
        <f>Sheet1!N417 &amp; "," &amp; TEXT(Sheet1!O417,"dd/mm/yy")</f>
        <v>202509072294,12/10/25</v>
      </c>
      <c r="K417" s="5" t="s">
        <v>14</v>
      </c>
      <c r="L417" s="38" t="s">
        <v>15</v>
      </c>
      <c r="M417" s="38" t="s">
        <v>17</v>
      </c>
      <c r="N417" s="38" t="s">
        <v>16</v>
      </c>
    </row>
    <row r="418" spans="1:14" x14ac:dyDescent="0.35">
      <c r="A418" s="4" t="str">
        <f>Sheet1!A418 &amp; "/" &amp; "2025"</f>
        <v>1816/2025</v>
      </c>
      <c r="B418" s="5" t="str">
        <f>Sheet1!E418</f>
        <v>AU2065869757025</v>
      </c>
      <c r="C418" s="6" t="str">
        <f>UPPER(Sheet1!B418)</f>
        <v>JASSICA KAUR MAAN</v>
      </c>
      <c r="D418" s="7" t="str">
        <f>IF(Sheet1!F418="F","FEMALE","MALE")</f>
        <v>FEMALE</v>
      </c>
      <c r="E418" s="6" t="str">
        <f>UPPER(Sheet1!G418)</f>
        <v>JAGDEV SINGH MAAN</v>
      </c>
      <c r="F418" s="6" t="str">
        <f>UPPER(Sheet1!H418)</f>
        <v>JASPREET KAUR MAAN</v>
      </c>
      <c r="G418" s="5" t="str">
        <f>TEXT(Sheet1!C418,"dd/mm/yyyy") &amp; "," &amp; Sheet1!D418</f>
        <v xml:space="preserve">21/07/2025,KINGSWOOD, AUSTRALIA </v>
      </c>
      <c r="H418" s="57" t="str">
        <f>UPPER(Sheet1!K418 &amp; "," &amp; Sheet1!L418 &amp; "," &amp; Sheet1!M418)</f>
        <v xml:space="preserve">VPO KABUL SHAH KHUBAN,FAZILKA,FAZILKA,PIN:152123,PUNJAB,INDIA </v>
      </c>
      <c r="I418" s="8">
        <f>Sheet1!J418</f>
        <v>45964</v>
      </c>
      <c r="J418" s="5" t="str">
        <f>Sheet1!N418 &amp; "," &amp; TEXT(Sheet1!O418,"dd/mm/yy")</f>
        <v>202509070831,07/10/25</v>
      </c>
      <c r="K418" s="5" t="s">
        <v>14</v>
      </c>
      <c r="L418" s="38" t="s">
        <v>15</v>
      </c>
      <c r="M418" s="38" t="s">
        <v>17</v>
      </c>
      <c r="N418" s="38" t="s">
        <v>16</v>
      </c>
    </row>
    <row r="419" spans="1:14" x14ac:dyDescent="0.35">
      <c r="A419" s="4" t="str">
        <f>Sheet1!A419 &amp; "/" &amp; "2025"</f>
        <v>1817/2025</v>
      </c>
      <c r="B419" s="5" t="str">
        <f>Sheet1!E419</f>
        <v>AU2065869757225</v>
      </c>
      <c r="C419" s="6" t="str">
        <f>UPPER(Sheet1!B419)</f>
        <v>AIDEN ROBIN</v>
      </c>
      <c r="D419" s="7" t="str">
        <f>IF(Sheet1!F419="F","FEMALE","MALE")</f>
        <v>MALE</v>
      </c>
      <c r="E419" s="6" t="str">
        <f>UPPER(Sheet1!G419)</f>
        <v>ROBIN THERIKKAL THOMAS</v>
      </c>
      <c r="F419" s="6" t="str">
        <f>UPPER(Sheet1!H419)</f>
        <v>JULIE VALANAMKUZHIYIL JOSE</v>
      </c>
      <c r="G419" s="5" t="str">
        <f>TEXT(Sheet1!C419,"dd/mm/yyyy") &amp; "," &amp; Sheet1!D419</f>
        <v xml:space="preserve">14/09/2025,WODONGA , AUSTRALIA  </v>
      </c>
      <c r="H419" s="57" t="str">
        <f>UPPER(Sheet1!K419 &amp; "," &amp; Sheet1!L419 &amp; "," &amp; Sheet1!M419)</f>
        <v xml:space="preserve">THERIKKAL VEEDU,ESM COLONY,KULATHUPUZHA P O,KOLLAM,PIN:691310,KERALA,INDIA </v>
      </c>
      <c r="I419" s="8">
        <f>Sheet1!J419</f>
        <v>45964</v>
      </c>
      <c r="J419" s="5" t="str">
        <f>Sheet1!N419 &amp; "," &amp; TEXT(Sheet1!O419,"dd/mm/yy")</f>
        <v>202509072095,11/10/25</v>
      </c>
      <c r="K419" s="5" t="s">
        <v>14</v>
      </c>
      <c r="L419" s="38" t="s">
        <v>15</v>
      </c>
      <c r="M419" s="38" t="s">
        <v>17</v>
      </c>
      <c r="N419" s="38" t="s">
        <v>16</v>
      </c>
    </row>
    <row r="420" spans="1:14" x14ac:dyDescent="0.35">
      <c r="A420" s="4" t="str">
        <f>Sheet1!A420 &amp; "/" &amp; "2025"</f>
        <v>1818/2025</v>
      </c>
      <c r="B420" s="5" t="str">
        <f>Sheet1!E420</f>
        <v>AU2065869773825</v>
      </c>
      <c r="C420" s="6" t="str">
        <f>UPPER(Sheet1!B420)</f>
        <v>MASAQAT KAUR</v>
      </c>
      <c r="D420" s="7" t="str">
        <f>IF(Sheet1!F420="F","FEMALE","MALE")</f>
        <v>FEMALE</v>
      </c>
      <c r="E420" s="6" t="str">
        <f>UPPER(Sheet1!G420)</f>
        <v>HARDEEP SINGH</v>
      </c>
      <c r="F420" s="6" t="str">
        <f>UPPER(Sheet1!H420)</f>
        <v>AMANDEEP KAUR</v>
      </c>
      <c r="G420" s="5" t="str">
        <f>TEXT(Sheet1!C420,"dd/mm/yyyy") &amp; "," &amp; Sheet1!D420</f>
        <v xml:space="preserve">09/07/2025,ST ALBANS , AUSTRALIA </v>
      </c>
      <c r="H420" s="57" t="str">
        <f>UPPER(Sheet1!K420 &amp; "," &amp; Sheet1!L420 &amp; "," &amp; Sheet1!M420)</f>
        <v xml:space="preserve">VILL NEW DIWANA,PO DIWANA TEH PEHOWA,KURUKSHETRA,PIN:136128,HARYANA,INDIA </v>
      </c>
      <c r="I420" s="8">
        <f>Sheet1!J420</f>
        <v>45964</v>
      </c>
      <c r="J420" s="5" t="str">
        <f>Sheet1!N420 &amp; "," &amp; TEXT(Sheet1!O420,"dd/mm/yy")</f>
        <v>202509073439,16/10/25</v>
      </c>
      <c r="K420" s="5" t="s">
        <v>14</v>
      </c>
      <c r="L420" s="38" t="s">
        <v>15</v>
      </c>
      <c r="M420" s="38" t="s">
        <v>17</v>
      </c>
      <c r="N420" s="38" t="s">
        <v>16</v>
      </c>
    </row>
    <row r="421" spans="1:14" x14ac:dyDescent="0.35">
      <c r="A421" s="4" t="str">
        <f>Sheet1!A421 &amp; "/" &amp; "2025"</f>
        <v>1819/2025</v>
      </c>
      <c r="B421" s="5" t="str">
        <f>Sheet1!E421</f>
        <v>AU2065870882625</v>
      </c>
      <c r="C421" s="6" t="str">
        <f>UPPER(Sheet1!B421)</f>
        <v>ABHEG DIWAN SINGH SIDHU</v>
      </c>
      <c r="D421" s="7" t="str">
        <f>IF(Sheet1!F421="F","FEMALE","MALE")</f>
        <v>MALE</v>
      </c>
      <c r="E421" s="6" t="str">
        <f>UPPER(Sheet1!G421)</f>
        <v>GURSIRAT SINGH SIDHU</v>
      </c>
      <c r="F421" s="6" t="str">
        <f>UPPER(Sheet1!H421)</f>
        <v>ANKUSH</v>
      </c>
      <c r="G421" s="5" t="str">
        <f>TEXT(Sheet1!C421,"dd/mm/yyyy") &amp; "," &amp; Sheet1!D421</f>
        <v xml:space="preserve">16/09/2025,BERWICK , AUSTRALIA  </v>
      </c>
      <c r="H421" s="57" t="str">
        <f>UPPER(Sheet1!K421 &amp; "," &amp; Sheet1!L421 &amp; "," &amp; Sheet1!M421)</f>
        <v xml:space="preserve">5 M 20/21 JAWAHAR NAGAR,SRI GANGANAGAR,SRI GANGANAGAR,PIN:335001,RAJASTHAN,INDIA </v>
      </c>
      <c r="I421" s="8">
        <f>Sheet1!J421</f>
        <v>45965</v>
      </c>
      <c r="J421" s="5" t="str">
        <f>Sheet1!N421 &amp; "," &amp; TEXT(Sheet1!O421,"dd/mm/yy")</f>
        <v>202509074848,22/10/25</v>
      </c>
      <c r="K421" s="5" t="s">
        <v>14</v>
      </c>
      <c r="L421" s="38" t="s">
        <v>15</v>
      </c>
      <c r="M421" s="38" t="s">
        <v>17</v>
      </c>
      <c r="N421" s="38" t="s">
        <v>16</v>
      </c>
    </row>
    <row r="422" spans="1:14" x14ac:dyDescent="0.35">
      <c r="A422" s="4" t="str">
        <f>Sheet1!A422 &amp; "/" &amp; "2025"</f>
        <v>1820/2025</v>
      </c>
      <c r="B422" s="5" t="str">
        <f>Sheet1!E422</f>
        <v>AU2065870965025</v>
      </c>
      <c r="C422" s="6" t="str">
        <f>UPPER(Sheet1!B422)</f>
        <v>EDRIC ELDHO GEORGE</v>
      </c>
      <c r="D422" s="7" t="str">
        <f>IF(Sheet1!F422="F","FEMALE","MALE")</f>
        <v>MALE</v>
      </c>
      <c r="E422" s="6" t="str">
        <f>UPPER(Sheet1!G422)</f>
        <v>ELDHO GEORGE</v>
      </c>
      <c r="F422" s="6" t="str">
        <f>UPPER(Sheet1!H422)</f>
        <v>BINCY JOY</v>
      </c>
      <c r="G422" s="5" t="str">
        <f>TEXT(Sheet1!C422,"dd/mm/yyyy") &amp; "," &amp; Sheet1!D422</f>
        <v xml:space="preserve">02/09/2025,BERWICK , AUSTRALIA  </v>
      </c>
      <c r="H422" s="57" t="str">
        <f>UPPER(Sheet1!K422 &amp; "," &amp; Sheet1!L422 &amp; "," &amp; Sheet1!M422)</f>
        <v xml:space="preserve">MELATH HOUSE KADACKANADU PO,KOLENCHERY,ERNAKULAM,ERNAKULAM,PIN:682311,KERALA,INDIA </v>
      </c>
      <c r="I422" s="8">
        <f>Sheet1!J422</f>
        <v>45965</v>
      </c>
      <c r="J422" s="5" t="str">
        <f>Sheet1!N422 &amp; "," &amp; TEXT(Sheet1!O422,"dd/mm/yy")</f>
        <v>202509069017,29/09/25</v>
      </c>
      <c r="K422" s="5" t="s">
        <v>14</v>
      </c>
      <c r="L422" s="38" t="s">
        <v>15</v>
      </c>
      <c r="M422" s="38" t="s">
        <v>17</v>
      </c>
      <c r="N422" s="38" t="s">
        <v>16</v>
      </c>
    </row>
    <row r="423" spans="1:14" x14ac:dyDescent="0.35">
      <c r="A423" s="4" t="str">
        <f>Sheet1!A423 &amp; "/" &amp; "2025"</f>
        <v>1821/2025</v>
      </c>
      <c r="B423" s="5" t="str">
        <f>Sheet1!E423</f>
        <v>AU2065870966625</v>
      </c>
      <c r="C423" s="6" t="str">
        <f>UPPER(Sheet1!B423)</f>
        <v>MANVEER SINGH BAINS</v>
      </c>
      <c r="D423" s="7" t="str">
        <f>IF(Sheet1!F423="F","FEMALE","MALE")</f>
        <v>MALE</v>
      </c>
      <c r="E423" s="6" t="str">
        <f>UPPER(Sheet1!G423)</f>
        <v>JASDEEP SINGH</v>
      </c>
      <c r="F423" s="6" t="str">
        <f>UPPER(Sheet1!H423)</f>
        <v>NAVROOP KAUR</v>
      </c>
      <c r="G423" s="5" t="str">
        <f>TEXT(Sheet1!C423,"dd/mm/yyyy") &amp; "," &amp; Sheet1!D423</f>
        <v>12/07/2025,DANDENONG, AUSTRALIA</v>
      </c>
      <c r="H423" s="57" t="str">
        <f>UPPER(Sheet1!K423 &amp; "," &amp; Sheet1!L423 &amp; "," &amp; Sheet1!M423)</f>
        <v xml:space="preserve">99,BHAI BANNO JI NAGAR,VPO KHURLA KINGRA,JALANDHAR,PIN:144003,PUNJAB,INDIA </v>
      </c>
      <c r="I423" s="8">
        <f>Sheet1!J423</f>
        <v>45965</v>
      </c>
      <c r="J423" s="5" t="str">
        <f>Sheet1!N423 &amp; "," &amp; TEXT(Sheet1!O423,"dd/mm/yy")</f>
        <v>202509072436,13/10/25</v>
      </c>
      <c r="K423" s="5" t="s">
        <v>14</v>
      </c>
      <c r="L423" s="38" t="s">
        <v>15</v>
      </c>
      <c r="M423" s="38" t="s">
        <v>17</v>
      </c>
      <c r="N423" s="38" t="s">
        <v>16</v>
      </c>
    </row>
    <row r="424" spans="1:14" x14ac:dyDescent="0.35">
      <c r="A424" s="4" t="str">
        <f>Sheet1!A424 &amp; "/" &amp; "2025"</f>
        <v>1822/2025</v>
      </c>
      <c r="B424" s="5" t="str">
        <f>Sheet1!E424</f>
        <v>AU2065870970425</v>
      </c>
      <c r="C424" s="6" t="str">
        <f>UPPER(Sheet1!B424)</f>
        <v>ARMAAN SINGH AHIR</v>
      </c>
      <c r="D424" s="7" t="str">
        <f>IF(Sheet1!F424="F","FEMALE","MALE")</f>
        <v>MALE</v>
      </c>
      <c r="E424" s="6" t="str">
        <f>UPPER(Sheet1!G424)</f>
        <v>MUKESH KUMAR</v>
      </c>
      <c r="F424" s="6" t="str">
        <f>UPPER(Sheet1!H424)</f>
        <v>JASWINDER KAUR</v>
      </c>
      <c r="G424" s="5" t="str">
        <f>TEXT(Sheet1!C424,"dd/mm/yyyy") &amp; "," &amp; Sheet1!D424</f>
        <v xml:space="preserve">20/06/2025,ST ALBANS , AUSTRALIA </v>
      </c>
      <c r="H424" s="57" t="str">
        <f>UPPER(Sheet1!K424 &amp; "," &amp; Sheet1!L424 &amp; "," &amp; Sheet1!M424)</f>
        <v xml:space="preserve">VPO,SAMMIPUR,JALANDHAR,PIN:144026,PUNJAB,INDIA </v>
      </c>
      <c r="I424" s="8">
        <f>Sheet1!J424</f>
        <v>45965</v>
      </c>
      <c r="J424" s="5" t="str">
        <f>Sheet1!N424 &amp; "," &amp; TEXT(Sheet1!O424,"dd/mm/yy")</f>
        <v>202509071969,10/10/25</v>
      </c>
      <c r="K424" s="5" t="s">
        <v>14</v>
      </c>
      <c r="L424" s="38" t="s">
        <v>15</v>
      </c>
      <c r="M424" s="38" t="s">
        <v>17</v>
      </c>
      <c r="N424" s="38" t="s">
        <v>16</v>
      </c>
    </row>
    <row r="425" spans="1:14" x14ac:dyDescent="0.35">
      <c r="A425" s="4" t="str">
        <f>Sheet1!A425 &amp; "/" &amp; "2025"</f>
        <v>1823/2025</v>
      </c>
      <c r="B425" s="5" t="str">
        <f>Sheet1!E425</f>
        <v>AU2065870884625</v>
      </c>
      <c r="C425" s="6" t="str">
        <f>UPPER(Sheet1!B425)</f>
        <v>ZARA VINOTH</v>
      </c>
      <c r="D425" s="7" t="str">
        <f>IF(Sheet1!F425="F","FEMALE","MALE")</f>
        <v>FEMALE</v>
      </c>
      <c r="E425" s="6" t="str">
        <f>UPPER(Sheet1!G425)</f>
        <v>VINOTH SUBRAMANIYAN</v>
      </c>
      <c r="F425" s="6" t="str">
        <f>UPPER(Sheet1!H425)</f>
        <v>KRISHNA MAHENDRAN</v>
      </c>
      <c r="G425" s="5" t="str">
        <f>TEXT(Sheet1!C425,"dd/mm/yyyy") &amp; "," &amp; Sheet1!D425</f>
        <v xml:space="preserve">21/07/2025,GEELONG , AUSTRALIA </v>
      </c>
      <c r="H425" s="57" t="str">
        <f>UPPER(Sheet1!K425 &amp; "," &amp; Sheet1!L425 &amp; "," &amp; Sheet1!M425)</f>
        <v xml:space="preserve">4/100A,VALLAMEDU,SIRUKKINATHUPALAYAM,PERIYASOLIPALAYAM,P VELUR,NAMAKKAL,PIN:637204,TAMIL NADU,INDIA </v>
      </c>
      <c r="I425" s="8">
        <f>Sheet1!J425</f>
        <v>45965</v>
      </c>
      <c r="J425" s="5" t="str">
        <f>Sheet1!N425 &amp; "," &amp; TEXT(Sheet1!O425,"dd/mm/yy")</f>
        <v>202509060224,26/08/25</v>
      </c>
      <c r="K425" s="5" t="s">
        <v>14</v>
      </c>
      <c r="L425" s="38" t="s">
        <v>15</v>
      </c>
      <c r="M425" s="38" t="s">
        <v>17</v>
      </c>
      <c r="N425" s="38" t="s">
        <v>16</v>
      </c>
    </row>
    <row r="426" spans="1:14" x14ac:dyDescent="0.35">
      <c r="A426" s="4" t="str">
        <f>Sheet1!A426 &amp; "/" &amp; "2025"</f>
        <v>1824/2025</v>
      </c>
      <c r="B426" s="5" t="str">
        <f>Sheet1!E426</f>
        <v>AU2065870973225</v>
      </c>
      <c r="C426" s="6" t="str">
        <f>UPPER(Sheet1!B426)</f>
        <v>AARIV NIKUNJ VASANI</v>
      </c>
      <c r="D426" s="7" t="str">
        <f>IF(Sheet1!F426="F","FEMALE","MALE")</f>
        <v>MALE</v>
      </c>
      <c r="E426" s="6" t="str">
        <f>UPPER(Sheet1!G426)</f>
        <v>NIKUNJ VITHALBHAI VASANI</v>
      </c>
      <c r="F426" s="6" t="str">
        <f>UPPER(Sheet1!H426)</f>
        <v>BHUMIKA NIKUNJ VASANI</v>
      </c>
      <c r="G426" s="5" t="str">
        <f>TEXT(Sheet1!C426,"dd/mm/yyyy") &amp; "," &amp; Sheet1!D426</f>
        <v xml:space="preserve">01/05/2025,ST ALBANS , AUSTRALIA </v>
      </c>
      <c r="H426" s="57" t="str">
        <f>UPPER(Sheet1!K426 &amp; "," &amp; Sheet1!L426 &amp; "," &amp; Sheet1!M426)</f>
        <v xml:space="preserve">B/H HAVELI CHOWK,MOTA DAVDA,TAL GONDAL,RAJKOT,PIN:360311,GUJARAT,INDIA </v>
      </c>
      <c r="I426" s="8">
        <f>Sheet1!J426</f>
        <v>45965</v>
      </c>
      <c r="J426" s="5" t="str">
        <f>Sheet1!N426 &amp; "," &amp; TEXT(Sheet1!O426,"dd/mm/yy")</f>
        <v>202509074502,21/10/25</v>
      </c>
      <c r="K426" s="5" t="s">
        <v>14</v>
      </c>
      <c r="L426" s="38" t="s">
        <v>15</v>
      </c>
      <c r="M426" s="38" t="s">
        <v>17</v>
      </c>
      <c r="N426" s="38" t="s">
        <v>16</v>
      </c>
    </row>
    <row r="427" spans="1:14" x14ac:dyDescent="0.35">
      <c r="A427" s="4" t="str">
        <f>Sheet1!A427 &amp; "/" &amp; "2025"</f>
        <v>1825/2025</v>
      </c>
      <c r="B427" s="5" t="str">
        <f>Sheet1!E427</f>
        <v>AU2065870973825</v>
      </c>
      <c r="C427" s="6" t="str">
        <f>UPPER(Sheet1!B427)</f>
        <v>SEON SINGH</v>
      </c>
      <c r="D427" s="7" t="str">
        <f>IF(Sheet1!F427="F","FEMALE","MALE")</f>
        <v>MALE</v>
      </c>
      <c r="E427" s="6" t="str">
        <f>UPPER(Sheet1!G427)</f>
        <v>MANJOT SINGH</v>
      </c>
      <c r="F427" s="6" t="str">
        <f>UPPER(Sheet1!H427)</f>
        <v>SUSMITA SHRESTHA</v>
      </c>
      <c r="G427" s="5" t="str">
        <f>TEXT(Sheet1!C427,"dd/mm/yyyy") &amp; "," &amp; Sheet1!D427</f>
        <v xml:space="preserve">18/09/2025,EPPING , AUSTRALIA </v>
      </c>
      <c r="H427" s="57" t="str">
        <f>UPPER(Sheet1!K427 &amp; "," &amp; Sheet1!L427 &amp; "," &amp; Sheet1!M427)</f>
        <v xml:space="preserve">H.NO.74 ,WARD NO.16,PARAMJIT GANJ,KAPURTHALA,PIN:144601,PUNJAB,INDIA </v>
      </c>
      <c r="I427" s="8">
        <f>Sheet1!J427</f>
        <v>45965</v>
      </c>
      <c r="J427" s="5" t="str">
        <f>Sheet1!N427 &amp; "," &amp; TEXT(Sheet1!O427,"dd/mm/yy")</f>
        <v>202509073763,17/10/25</v>
      </c>
      <c r="K427" s="5" t="s">
        <v>14</v>
      </c>
      <c r="L427" s="38" t="s">
        <v>15</v>
      </c>
      <c r="M427" s="38" t="s">
        <v>17</v>
      </c>
      <c r="N427" s="38" t="s">
        <v>16</v>
      </c>
    </row>
    <row r="428" spans="1:14" x14ac:dyDescent="0.35">
      <c r="A428" s="4" t="str">
        <f>Sheet1!A428 &amp; "/" &amp; "2025"</f>
        <v>1826/2025</v>
      </c>
      <c r="B428" s="5" t="str">
        <f>Sheet1!E428</f>
        <v>AU2065870972225</v>
      </c>
      <c r="C428" s="6" t="str">
        <f>UPPER(Sheet1!B428)</f>
        <v>CHARVIK SRI VATSAVAYA</v>
      </c>
      <c r="D428" s="7" t="str">
        <f>IF(Sheet1!F428="F","FEMALE","MALE")</f>
        <v>MALE</v>
      </c>
      <c r="E428" s="6" t="str">
        <f>UPPER(Sheet1!G428)</f>
        <v>VAMSI SRI VATSAVAYA</v>
      </c>
      <c r="F428" s="6" t="str">
        <f>UPPER(Sheet1!H428)</f>
        <v>SARASWATHI SRAVANTHI TIRUMALARAJU</v>
      </c>
      <c r="G428" s="5" t="str">
        <f>TEXT(Sheet1!C428,"dd/mm/yyyy") &amp; "," &amp; Sheet1!D428</f>
        <v xml:space="preserve">14/08/2025,BUNDOORA, AUSTRALIA </v>
      </c>
      <c r="H428" s="57" t="str">
        <f>UPPER(Sheet1!K428 &amp; "," &amp; Sheet1!L428 &amp; "," &amp; Sheet1!M428)</f>
        <v xml:space="preserve">HNO 3-6-47/2,PLOT NO 121/5,ROAD 19,VIVEKANANDA,NAGAR COLONY,HYDERABAD,MEDCHAL,PIN:500072,TELANGANA,INDIA </v>
      </c>
      <c r="I428" s="8">
        <f>Sheet1!J428</f>
        <v>45965</v>
      </c>
      <c r="J428" s="5" t="str">
        <f>Sheet1!N428 &amp; "," &amp; TEXT(Sheet1!O428,"dd/mm/yy")</f>
        <v>202509074205,19/10/25</v>
      </c>
      <c r="K428" s="5" t="s">
        <v>14</v>
      </c>
      <c r="L428" s="38" t="s">
        <v>15</v>
      </c>
      <c r="M428" s="38" t="s">
        <v>17</v>
      </c>
      <c r="N428" s="38" t="s">
        <v>16</v>
      </c>
    </row>
    <row r="429" spans="1:14" x14ac:dyDescent="0.35">
      <c r="A429" s="4" t="str">
        <f>Sheet1!A429 &amp; "/" &amp; "2025"</f>
        <v>1827/2025</v>
      </c>
      <c r="B429" s="5" t="str">
        <f>Sheet1!E429</f>
        <v>AU2065870975225</v>
      </c>
      <c r="C429" s="6" t="str">
        <f>UPPER(Sheet1!B429)</f>
        <v>AHAAN PATEL</v>
      </c>
      <c r="D429" s="7" t="str">
        <f>IF(Sheet1!F429="F","FEMALE","MALE")</f>
        <v>MALE</v>
      </c>
      <c r="E429" s="6" t="str">
        <f>UPPER(Sheet1!G429)</f>
        <v>MAULIKKUMAR PATEL</v>
      </c>
      <c r="F429" s="6" t="str">
        <f>UPPER(Sheet1!H429)</f>
        <v>ANKITABEN MAULIKKUMAR PATEL</v>
      </c>
      <c r="G429" s="5" t="str">
        <f>TEXT(Sheet1!C429,"dd/mm/yyyy") &amp; "," &amp; Sheet1!D429</f>
        <v xml:space="preserve">03/07/2025,ST ALBANS , AUSTRALIA </v>
      </c>
      <c r="H429" s="57" t="str">
        <f>UPPER(Sheet1!K429 &amp; "," &amp; Sheet1!L429 &amp; "," &amp; Sheet1!M429)</f>
        <v xml:space="preserve">UMIYANAGAR LODRA,MANSA,GANDHINAGAR,PIN:382835,GUJARAT,INDIA </v>
      </c>
      <c r="I429" s="8">
        <f>Sheet1!J429</f>
        <v>45965</v>
      </c>
      <c r="J429" s="5" t="str">
        <f>Sheet1!N429 &amp; "," &amp; TEXT(Sheet1!O429,"dd/mm/yy")</f>
        <v>202509072870,14/10/25</v>
      </c>
      <c r="K429" s="5" t="s">
        <v>14</v>
      </c>
      <c r="L429" s="38" t="s">
        <v>15</v>
      </c>
      <c r="M429" s="38" t="s">
        <v>17</v>
      </c>
      <c r="N429" s="38" t="s">
        <v>16</v>
      </c>
    </row>
    <row r="430" spans="1:14" x14ac:dyDescent="0.35">
      <c r="A430" s="4" t="str">
        <f>Sheet1!A430 &amp; "/" &amp; "2025"</f>
        <v>1828/2025</v>
      </c>
      <c r="B430" s="5" t="str">
        <f>Sheet1!E430</f>
        <v>AU2065870977425</v>
      </c>
      <c r="C430" s="6" t="str">
        <f>UPPER(Sheet1!B430)</f>
        <v>ABBAS HYDER</v>
      </c>
      <c r="D430" s="7" t="str">
        <f>IF(Sheet1!F430="F","FEMALE","MALE")</f>
        <v>MALE</v>
      </c>
      <c r="E430" s="6" t="str">
        <f>UPPER(Sheet1!G430)</f>
        <v>KUMAIL HYDER</v>
      </c>
      <c r="F430" s="6" t="str">
        <f>UPPER(Sheet1!H430)</f>
        <v>SABAH NIHAAN SHEIKH</v>
      </c>
      <c r="G430" s="5" t="str">
        <f>TEXT(Sheet1!C430,"dd/mm/yyyy") &amp; "," &amp; Sheet1!D430</f>
        <v xml:space="preserve">27/09/2025,BACCHUS MARSH , AUSTRALIA  </v>
      </c>
      <c r="H430" s="57" t="str">
        <f>UPPER(Sheet1!K430 &amp; "," &amp; Sheet1!L430 &amp; "," &amp; Sheet1!M430)</f>
        <v xml:space="preserve">MEHDI COLONY,BUDGAM,BUDGAM,PIN:191111,JAMMU AND KASHMIR,INDIA </v>
      </c>
      <c r="I430" s="8">
        <f>Sheet1!J430</f>
        <v>45965</v>
      </c>
      <c r="J430" s="5" t="str">
        <f>Sheet1!N430 &amp; "," &amp; TEXT(Sheet1!O430,"dd/mm/yy")</f>
        <v>202509074602,21/10/25</v>
      </c>
      <c r="K430" s="5" t="s">
        <v>14</v>
      </c>
      <c r="L430" s="38" t="s">
        <v>15</v>
      </c>
      <c r="M430" s="38" t="s">
        <v>17</v>
      </c>
      <c r="N430" s="38" t="s">
        <v>16</v>
      </c>
    </row>
    <row r="431" spans="1:14" x14ac:dyDescent="0.35">
      <c r="A431" s="4" t="str">
        <f>Sheet1!A431 &amp; "/" &amp; "2025"</f>
        <v>1829/2025</v>
      </c>
      <c r="B431" s="5" t="str">
        <f>Sheet1!E431</f>
        <v>AU2065870978625</v>
      </c>
      <c r="C431" s="6" t="str">
        <f>UPPER(Sheet1!B431)</f>
        <v>VEDVIK RAM REDDY BOPPARAM</v>
      </c>
      <c r="D431" s="7" t="str">
        <f>IF(Sheet1!F431="F","FEMALE","MALE")</f>
        <v>MALE</v>
      </c>
      <c r="E431" s="6" t="str">
        <f>UPPER(Sheet1!G431)</f>
        <v>VIJAYA KRISHNAREDDY BOPPARAM</v>
      </c>
      <c r="F431" s="6" t="str">
        <f>UPPER(Sheet1!H431)</f>
        <v>SHIREESHA BADDAMOLLA</v>
      </c>
      <c r="G431" s="5" t="str">
        <f>TEXT(Sheet1!C431,"dd/mm/yyyy") &amp; "," &amp; Sheet1!D431</f>
        <v xml:space="preserve">16/07/2025,ST ALBANS , AUSTRALIA </v>
      </c>
      <c r="H431" s="57" t="str">
        <f>UPPER(Sheet1!K431 &amp; "," &amp; Sheet1!L431 &amp; "," &amp; Sheet1!M431)</f>
        <v xml:space="preserve">2-19,ASHTA,NIRMAL,PIN:504101,TELANGANA,INDIA </v>
      </c>
      <c r="I431" s="8">
        <f>Sheet1!J431</f>
        <v>45965</v>
      </c>
      <c r="J431" s="5" t="str">
        <f>Sheet1!N431 &amp; "," &amp; TEXT(Sheet1!O431,"dd/mm/yy")</f>
        <v>202509072517,13/10/25</v>
      </c>
      <c r="K431" s="5" t="s">
        <v>14</v>
      </c>
      <c r="L431" s="38" t="s">
        <v>15</v>
      </c>
      <c r="M431" s="38" t="s">
        <v>17</v>
      </c>
      <c r="N431" s="38" t="s">
        <v>16</v>
      </c>
    </row>
    <row r="432" spans="1:14" x14ac:dyDescent="0.35">
      <c r="A432" s="4" t="str">
        <f>Sheet1!A432 &amp; "/" &amp; "2025"</f>
        <v>1830/2025</v>
      </c>
      <c r="B432" s="5" t="str">
        <f>Sheet1!E432</f>
        <v>AU2065870979625</v>
      </c>
      <c r="C432" s="6" t="str">
        <f>UPPER(Sheet1!B432)</f>
        <v>HARJIND KAUR RANDHAWA</v>
      </c>
      <c r="D432" s="7" t="str">
        <f>IF(Sheet1!F432="F","FEMALE","MALE")</f>
        <v>FEMALE</v>
      </c>
      <c r="E432" s="6" t="str">
        <f>UPPER(Sheet1!G432)</f>
        <v>RASHPAL SINGH</v>
      </c>
      <c r="F432" s="6" t="str">
        <f>UPPER(Sheet1!H432)</f>
        <v>RAMANPREET KAUR</v>
      </c>
      <c r="G432" s="5" t="str">
        <f>TEXT(Sheet1!C432,"dd/mm/yyyy") &amp; "," &amp; Sheet1!D432</f>
        <v xml:space="preserve">26/03/2025,WERIBEE, AUSTRALIA </v>
      </c>
      <c r="H432" s="57" t="str">
        <f>UPPER(Sheet1!K432 &amp; "," &amp; Sheet1!L432 &amp; "," &amp; Sheet1!M432)</f>
        <v xml:space="preserve">B-16 ,GOVT . QT. ALIWAL ROAD,BATALA ,GURDASPUR,GURDASPUR,PIN:143505,PUNJAB,INDIA </v>
      </c>
      <c r="I432" s="8">
        <f>Sheet1!J432</f>
        <v>45965</v>
      </c>
      <c r="J432" s="5" t="str">
        <f>Sheet1!N432 &amp; "," &amp; TEXT(Sheet1!O432,"dd/mm/yy")</f>
        <v>202509074703,21/10/25</v>
      </c>
      <c r="K432" s="5" t="s">
        <v>14</v>
      </c>
      <c r="L432" s="38" t="s">
        <v>15</v>
      </c>
      <c r="M432" s="38" t="s">
        <v>17</v>
      </c>
      <c r="N432" s="38" t="s">
        <v>16</v>
      </c>
    </row>
    <row r="433" spans="1:14" x14ac:dyDescent="0.35">
      <c r="A433" s="4" t="str">
        <f>Sheet1!A433 &amp; "/" &amp; "2025"</f>
        <v>1831/2025</v>
      </c>
      <c r="B433" s="5" t="str">
        <f>Sheet1!E433</f>
        <v>AU2065870981025</v>
      </c>
      <c r="C433" s="6" t="str">
        <f>UPPER(Sheet1!B433)</f>
        <v>JASWANT SINGH</v>
      </c>
      <c r="D433" s="7" t="str">
        <f>IF(Sheet1!F433="F","FEMALE","MALE")</f>
        <v>MALE</v>
      </c>
      <c r="E433" s="6" t="str">
        <f>UPPER(Sheet1!G433)</f>
        <v>TARSEM SINGH</v>
      </c>
      <c r="F433" s="6" t="str">
        <f>UPPER(Sheet1!H433)</f>
        <v>SUKHWANT KAUR</v>
      </c>
      <c r="G433" s="5" t="str">
        <f>TEXT(Sheet1!C433,"dd/mm/yyyy") &amp; "," &amp; Sheet1!D433</f>
        <v xml:space="preserve">12/08/2025,BACCHUS MARSH , AUSTRALIA  </v>
      </c>
      <c r="H433" s="57" t="str">
        <f>UPPER(Sheet1!K433 &amp; "," &amp; Sheet1!L433 &amp; "," &amp; Sheet1!M433)</f>
        <v xml:space="preserve">VILLAGE MUSTAFABAD POST TIHAR,SITAPUR,SITAPUR,PIN:261121,UTTAR PRADESH,INDIA </v>
      </c>
      <c r="I433" s="8">
        <f>Sheet1!J433</f>
        <v>45965</v>
      </c>
      <c r="J433" s="5" t="str">
        <f>Sheet1!N433 &amp; "," &amp; TEXT(Sheet1!O433,"dd/mm/yy")</f>
        <v>202509074841,22/10/25</v>
      </c>
      <c r="K433" s="5" t="s">
        <v>14</v>
      </c>
      <c r="L433" s="38" t="s">
        <v>15</v>
      </c>
      <c r="M433" s="38" t="s">
        <v>17</v>
      </c>
      <c r="N433" s="38" t="s">
        <v>16</v>
      </c>
    </row>
    <row r="434" spans="1:14" x14ac:dyDescent="0.35">
      <c r="A434" s="4" t="str">
        <f>Sheet1!A434 &amp; "/" &amp; "2025"</f>
        <v>1832/2025</v>
      </c>
      <c r="B434" s="5" t="str">
        <f>Sheet1!E434</f>
        <v>AU2065870927425</v>
      </c>
      <c r="C434" s="6" t="str">
        <f>UPPER(Sheet1!B434)</f>
        <v>BISAM SINGH GILL</v>
      </c>
      <c r="D434" s="7" t="str">
        <f>IF(Sheet1!F434="F","FEMALE","MALE")</f>
        <v>MALE</v>
      </c>
      <c r="E434" s="6" t="str">
        <f>UPPER(Sheet1!G434)</f>
        <v>JATINDERPAL SINGH GILL</v>
      </c>
      <c r="F434" s="6" t="str">
        <f>UPPER(Sheet1!H434)</f>
        <v>HARMANPREET</v>
      </c>
      <c r="G434" s="5" t="str">
        <f>TEXT(Sheet1!C434,"dd/mm/yyyy") &amp; "," &amp; Sheet1!D434</f>
        <v xml:space="preserve">10/06/2025,EPPING , AUSTRALIA </v>
      </c>
      <c r="H434" s="57" t="str">
        <f>UPPER(Sheet1!K434 &amp; "," &amp; Sheet1!L434 &amp; "," &amp; Sheet1!M434)</f>
        <v xml:space="preserve">95,VPO-BHAINI DARERA,TEHSIL-RAIKOT,JAGRAON (LUDHIANA),PIN:141108,PUNJAB,INDIA </v>
      </c>
      <c r="I434" s="8">
        <f>Sheet1!J434</f>
        <v>45965</v>
      </c>
      <c r="J434" s="5" t="str">
        <f>Sheet1!N434 &amp; "," &amp; TEXT(Sheet1!O434,"dd/mm/yy")</f>
        <v>202509059324,22/08/25</v>
      </c>
      <c r="K434" s="5" t="s">
        <v>14</v>
      </c>
      <c r="L434" s="38" t="s">
        <v>15</v>
      </c>
      <c r="M434" s="38" t="s">
        <v>17</v>
      </c>
      <c r="N434" s="38" t="s">
        <v>16</v>
      </c>
    </row>
    <row r="435" spans="1:14" x14ac:dyDescent="0.35">
      <c r="A435" s="4" t="str">
        <f>Sheet1!A435 &amp; "/" &amp; "2025"</f>
        <v>1833/2025</v>
      </c>
      <c r="B435" s="5" t="str">
        <f>Sheet1!E435</f>
        <v>AU2065871851625</v>
      </c>
      <c r="C435" s="6" t="str">
        <f>UPPER(Sheet1!B435)</f>
        <v>ANANT KAUR DHILLON</v>
      </c>
      <c r="D435" s="7" t="str">
        <f>IF(Sheet1!F435="F","FEMALE","MALE")</f>
        <v>FEMALE</v>
      </c>
      <c r="E435" s="6" t="str">
        <f>UPPER(Sheet1!G435)</f>
        <v>TEJWINDER SINGH</v>
      </c>
      <c r="F435" s="6" t="str">
        <f>UPPER(Sheet1!H435)</f>
        <v>RAMANDEEP KAUR</v>
      </c>
      <c r="G435" s="5" t="str">
        <f>TEXT(Sheet1!C435,"dd/mm/yyyy") &amp; "," &amp; Sheet1!D435</f>
        <v>28/05/2025,SHEPPARTON, AUSTRALIA</v>
      </c>
      <c r="H435" s="57" t="str">
        <f>UPPER(Sheet1!K435 &amp; "," &amp; Sheet1!L435 &amp; "," &amp; Sheet1!M435)</f>
        <v xml:space="preserve">VILLAGE,BHUTTIWALA,SRI MUKTSAR SAHIB,PIN:152025,PUNJAB,INDIA </v>
      </c>
      <c r="I435" s="8">
        <f>Sheet1!J435</f>
        <v>45967</v>
      </c>
      <c r="J435" s="5" t="str">
        <f>Sheet1!N435 &amp; "," &amp; TEXT(Sheet1!O435,"dd/mm/yy")</f>
        <v>202509073092,15/10/25</v>
      </c>
      <c r="K435" s="5" t="s">
        <v>14</v>
      </c>
      <c r="L435" s="38" t="s">
        <v>15</v>
      </c>
      <c r="M435" s="38" t="s">
        <v>17</v>
      </c>
      <c r="N435" s="38" t="s">
        <v>16</v>
      </c>
    </row>
    <row r="436" spans="1:14" x14ac:dyDescent="0.35">
      <c r="A436" s="4" t="str">
        <f>Sheet1!A436 &amp; "/" &amp; "2025"</f>
        <v>1834/2025</v>
      </c>
      <c r="B436" s="5" t="str">
        <f>Sheet1!E436</f>
        <v>AU2065871853625</v>
      </c>
      <c r="C436" s="6" t="str">
        <f>UPPER(Sheet1!B436)</f>
        <v>VIRASAT MITTU</v>
      </c>
      <c r="D436" s="7" t="str">
        <f>IF(Sheet1!F436="F","FEMALE","MALE")</f>
        <v>FEMALE</v>
      </c>
      <c r="E436" s="6" t="str">
        <f>UPPER(Sheet1!G436)</f>
        <v>ASSEEM MITTU</v>
      </c>
      <c r="F436" s="6" t="str">
        <f>UPPER(Sheet1!H436)</f>
        <v>TANYA DHARIWAL</v>
      </c>
      <c r="G436" s="5" t="str">
        <f>TEXT(Sheet1!C436,"dd/mm/yyyy") &amp; "," &amp; Sheet1!D436</f>
        <v xml:space="preserve">06/03/2025,BUNDOORA, AUSTRALIA </v>
      </c>
      <c r="H436" s="57" t="str">
        <f>UPPER(Sheet1!K436 &amp; "," &amp; Sheet1!L436 &amp; "," &amp; Sheet1!M436)</f>
        <v xml:space="preserve">205,ST NO. 2,MAUR RD,SAHIBZADA JUJHAR SINGH C,RAMPURA,BATHINDA,PIN:151103,PUNJAB,INDIA </v>
      </c>
      <c r="I436" s="8">
        <f>Sheet1!J436</f>
        <v>45967</v>
      </c>
      <c r="J436" s="5" t="str">
        <f>Sheet1!N436 &amp; "," &amp; TEXT(Sheet1!O436,"dd/mm/yy")</f>
        <v>202509074245,19/10/25</v>
      </c>
      <c r="K436" s="5" t="s">
        <v>14</v>
      </c>
      <c r="L436" s="38" t="s">
        <v>15</v>
      </c>
      <c r="M436" s="38" t="s">
        <v>17</v>
      </c>
      <c r="N436" s="38" t="s">
        <v>16</v>
      </c>
    </row>
    <row r="437" spans="1:14" x14ac:dyDescent="0.35">
      <c r="A437" s="4" t="str">
        <f>Sheet1!A437 &amp; "/" &amp; "2025"</f>
        <v>1835/2025</v>
      </c>
      <c r="B437" s="5" t="str">
        <f>Sheet1!E437</f>
        <v>AU2065871854025</v>
      </c>
      <c r="C437" s="6" t="str">
        <f>UPPER(Sheet1!B437)</f>
        <v>AGAMJOT SINGH</v>
      </c>
      <c r="D437" s="7" t="str">
        <f>IF(Sheet1!F437="F","FEMALE","MALE")</f>
        <v>MALE</v>
      </c>
      <c r="E437" s="6" t="str">
        <f>UPPER(Sheet1!G437)</f>
        <v>RAVINDER SINGH</v>
      </c>
      <c r="F437" s="6" t="str">
        <f>UPPER(Sheet1!H437)</f>
        <v>SARANPREET KAUR</v>
      </c>
      <c r="G437" s="5" t="str">
        <f>TEXT(Sheet1!C437,"dd/mm/yyyy") &amp; "," &amp; Sheet1!D437</f>
        <v xml:space="preserve">25/07/2025,KILMORE, AUSTRALIA </v>
      </c>
      <c r="H437" s="57" t="str">
        <f>UPPER(Sheet1!K437 &amp; "," &amp; Sheet1!L437 &amp; "," &amp; Sheet1!M437)</f>
        <v xml:space="preserve">VILL JEO JULY PO SAHLE CHACK,TEHSIL KALANAUR,GURDASPUR,PIN:143526,PUNJAB,INDIA </v>
      </c>
      <c r="I437" s="8">
        <f>Sheet1!J437</f>
        <v>45967</v>
      </c>
      <c r="J437" s="5" t="str">
        <f>Sheet1!N437 &amp; "," &amp; TEXT(Sheet1!O437,"dd/mm/yy")</f>
        <v>202509073968,18/10/25</v>
      </c>
      <c r="K437" s="5" t="s">
        <v>14</v>
      </c>
      <c r="L437" s="38" t="s">
        <v>15</v>
      </c>
      <c r="M437" s="38" t="s">
        <v>17</v>
      </c>
      <c r="N437" s="38" t="s">
        <v>16</v>
      </c>
    </row>
    <row r="438" spans="1:14" x14ac:dyDescent="0.35">
      <c r="A438" s="4" t="str">
        <f>Sheet1!A438 &amp; "/" &amp; "2025"</f>
        <v>1836/2025</v>
      </c>
      <c r="B438" s="5" t="str">
        <f>Sheet1!E438</f>
        <v>AU2065871856025</v>
      </c>
      <c r="C438" s="6" t="str">
        <f>UPPER(Sheet1!B438)</f>
        <v>BARKAT KAUR</v>
      </c>
      <c r="D438" s="7" t="str">
        <f>IF(Sheet1!F438="F","FEMALE","MALE")</f>
        <v>FEMALE</v>
      </c>
      <c r="E438" s="6" t="str">
        <f>UPPER(Sheet1!G438)</f>
        <v>LOVEPREET SINGH</v>
      </c>
      <c r="F438" s="6" t="str">
        <f>UPPER(Sheet1!H438)</f>
        <v>GURLEEN KAUR</v>
      </c>
      <c r="G438" s="5" t="str">
        <f>TEXT(Sheet1!C438,"dd/mm/yyyy") &amp; "," &amp; Sheet1!D438</f>
        <v xml:space="preserve">06/04/2025,EPPING , AUSTRALIA </v>
      </c>
      <c r="H438" s="57" t="str">
        <f>UPPER(Sheet1!K438 &amp; "," &amp; Sheet1!L438 &amp; "," &amp; Sheet1!M438)</f>
        <v xml:space="preserve">NEAR TODAR MAL GATE,KAKRA,SANGRUR,PIN:148026,PUNJAB,INDIA </v>
      </c>
      <c r="I438" s="8">
        <f>Sheet1!J438</f>
        <v>45967</v>
      </c>
      <c r="J438" s="5" t="str">
        <f>Sheet1!N438 &amp; "," &amp; TEXT(Sheet1!O438,"dd/mm/yy")</f>
        <v>202509052965,29/07/25</v>
      </c>
      <c r="K438" s="5" t="s">
        <v>14</v>
      </c>
      <c r="L438" s="38" t="s">
        <v>15</v>
      </c>
      <c r="M438" s="38" t="s">
        <v>17</v>
      </c>
      <c r="N438" s="38" t="s">
        <v>16</v>
      </c>
    </row>
    <row r="439" spans="1:14" x14ac:dyDescent="0.35">
      <c r="A439" s="4" t="str">
        <f>Sheet1!A439 &amp; "/" &amp; "2025"</f>
        <v>1837/2025</v>
      </c>
      <c r="B439" s="5" t="str">
        <f>Sheet1!E439</f>
        <v>AU2065871857025</v>
      </c>
      <c r="C439" s="6" t="str">
        <f>UPPER(Sheet1!B439)</f>
        <v>NIHAL SINGH MADAHAR</v>
      </c>
      <c r="D439" s="7" t="str">
        <f>IF(Sheet1!F439="F","FEMALE","MALE")</f>
        <v>MALE</v>
      </c>
      <c r="E439" s="6" t="str">
        <f>UPPER(Sheet1!G439)</f>
        <v>CHATWINDER SINGH MADAHAR</v>
      </c>
      <c r="F439" s="6" t="str">
        <f>UPPER(Sheet1!H439)</f>
        <v>NARDEEP KAUR</v>
      </c>
      <c r="G439" s="5" t="str">
        <f>TEXT(Sheet1!C439,"dd/mm/yyyy") &amp; "," &amp; Sheet1!D439</f>
        <v>18/09/2025,FRANKSTON, AUSTRALIA</v>
      </c>
      <c r="H439" s="57" t="str">
        <f>UPPER(Sheet1!K439 &amp; "," &amp; Sheet1!L439 &amp; "," &amp; Sheet1!M439)</f>
        <v xml:space="preserve">ISSI,DHURI,SANGRUR,PIN:148024,PUNJAB,INDIA </v>
      </c>
      <c r="I439" s="8">
        <f>Sheet1!J439</f>
        <v>45967</v>
      </c>
      <c r="J439" s="5" t="str">
        <f>Sheet1!N439 &amp; "," &amp; TEXT(Sheet1!O439,"dd/mm/yy")</f>
        <v>202509073113,15/10/25</v>
      </c>
      <c r="K439" s="5" t="s">
        <v>14</v>
      </c>
      <c r="L439" s="38" t="s">
        <v>15</v>
      </c>
      <c r="M439" s="38" t="s">
        <v>17</v>
      </c>
      <c r="N439" s="38" t="s">
        <v>16</v>
      </c>
    </row>
    <row r="440" spans="1:14" x14ac:dyDescent="0.35">
      <c r="A440" s="4" t="str">
        <f>Sheet1!A440 &amp; "/" &amp; "2025"</f>
        <v>1838/2025</v>
      </c>
      <c r="B440" s="5" t="str">
        <f>Sheet1!E440</f>
        <v>AU2065871857825</v>
      </c>
      <c r="C440" s="6" t="str">
        <f>UPPER(Sheet1!B440)</f>
        <v>RANSHER SINGH</v>
      </c>
      <c r="D440" s="7" t="str">
        <f>IF(Sheet1!F440="F","FEMALE","MALE")</f>
        <v>MALE</v>
      </c>
      <c r="E440" s="6" t="str">
        <f>UPPER(Sheet1!G440)</f>
        <v>SUDESHINDER SINGH</v>
      </c>
      <c r="F440" s="6" t="str">
        <f>UPPER(Sheet1!H440)</f>
        <v>NAVNEET KAUR</v>
      </c>
      <c r="G440" s="5" t="str">
        <f>TEXT(Sheet1!C440,"dd/mm/yyyy") &amp; "," &amp; Sheet1!D440</f>
        <v xml:space="preserve">29/08/2025,PARKVILLE , AUSTRALIA  </v>
      </c>
      <c r="H440" s="57" t="str">
        <f>UPPER(Sheet1!K440 &amp; "," &amp; Sheet1!L440 &amp; "," &amp; Sheet1!M440)</f>
        <v xml:space="preserve">VILL NAJJU SHAH MISRI PO SHER KHAN WALA,FEROZEPUR,FEROZEPUR,PIN:152004,PUNJAB,INDIA </v>
      </c>
      <c r="I440" s="8">
        <f>Sheet1!J440</f>
        <v>45967</v>
      </c>
      <c r="J440" s="5" t="str">
        <f>Sheet1!N440 &amp; "," &amp; TEXT(Sheet1!O440,"dd/mm/yy")</f>
        <v>202509073858,17/10/25</v>
      </c>
      <c r="K440" s="5" t="s">
        <v>14</v>
      </c>
      <c r="L440" s="38" t="s">
        <v>15</v>
      </c>
      <c r="M440" s="38" t="s">
        <v>17</v>
      </c>
      <c r="N440" s="38" t="s">
        <v>16</v>
      </c>
    </row>
    <row r="441" spans="1:14" x14ac:dyDescent="0.35">
      <c r="A441" s="4" t="str">
        <f>Sheet1!A441 &amp; "/" &amp; "2025"</f>
        <v>1839/2025</v>
      </c>
      <c r="B441" s="5" t="str">
        <f>Sheet1!E441</f>
        <v>AU2065871858425</v>
      </c>
      <c r="C441" s="6" t="str">
        <f>UPPER(Sheet1!B441)</f>
        <v>GURNAWAB SINGH</v>
      </c>
      <c r="D441" s="7" t="str">
        <f>IF(Sheet1!F441="F","FEMALE","MALE")</f>
        <v>MALE</v>
      </c>
      <c r="E441" s="6" t="str">
        <f>UPPER(Sheet1!G441)</f>
        <v>NARINDER SINGH</v>
      </c>
      <c r="F441" s="6" t="str">
        <f>UPPER(Sheet1!H441)</f>
        <v>INDERJEET KAUR</v>
      </c>
      <c r="G441" s="5" t="str">
        <f>TEXT(Sheet1!C441,"dd/mm/yyyy") &amp; "," &amp; Sheet1!D441</f>
        <v xml:space="preserve">29/04/2025,EPPING , AUSTRALIA </v>
      </c>
      <c r="H441" s="57" t="str">
        <f>UPPER(Sheet1!K441 &amp; "," &amp; Sheet1!L441 &amp; "," &amp; Sheet1!M441)</f>
        <v xml:space="preserve">VILL. DHANOURI,P.O. KARHALI,PATIALA,PIN:147101,PUNJAB,INDIA </v>
      </c>
      <c r="I441" s="8">
        <f>Sheet1!J441</f>
        <v>45967</v>
      </c>
      <c r="J441" s="5" t="str">
        <f>Sheet1!N441 &amp; "," &amp; TEXT(Sheet1!O441,"dd/mm/yy")</f>
        <v>202509074223,19/10/25</v>
      </c>
      <c r="K441" s="5" t="s">
        <v>14</v>
      </c>
      <c r="L441" s="38" t="s">
        <v>15</v>
      </c>
      <c r="M441" s="38" t="s">
        <v>17</v>
      </c>
      <c r="N441" s="38" t="s">
        <v>16</v>
      </c>
    </row>
    <row r="442" spans="1:14" x14ac:dyDescent="0.35">
      <c r="A442" s="4" t="str">
        <f>Sheet1!A442 &amp; "/" &amp; "2025"</f>
        <v>1840/2025</v>
      </c>
      <c r="B442" s="5" t="str">
        <f>Sheet1!E442</f>
        <v>AU2065871859425</v>
      </c>
      <c r="C442" s="6" t="str">
        <f>UPPER(Sheet1!B442)</f>
        <v>VIDHATHRI THOTA</v>
      </c>
      <c r="D442" s="7" t="str">
        <f>IF(Sheet1!F442="F","FEMALE","MALE")</f>
        <v>FEMALE</v>
      </c>
      <c r="E442" s="6" t="str">
        <f>UPPER(Sheet1!G442)</f>
        <v>VINOD THOTA</v>
      </c>
      <c r="F442" s="6" t="str">
        <f>UPPER(Sheet1!H442)</f>
        <v>VYSHALI ARE</v>
      </c>
      <c r="G442" s="5" t="str">
        <f>TEXT(Sheet1!C442,"dd/mm/yyyy") &amp; "," &amp; Sheet1!D442</f>
        <v xml:space="preserve">01/09/2025,CLAYTON , AUSTRALIA  </v>
      </c>
      <c r="H442" s="57" t="str">
        <f>UPPER(Sheet1!K442 &amp; "," &amp; Sheet1!L442 &amp; "," &amp; Sheet1!M442)</f>
        <v xml:space="preserve">1-13 RAMADUGU MANDAL,VENKATRAOPALLI,KARIMNAGAR,PIN:505531,TELANGANA,INDIA </v>
      </c>
      <c r="I442" s="8">
        <f>Sheet1!J442</f>
        <v>45967</v>
      </c>
      <c r="J442" s="5" t="str">
        <f>Sheet1!N442 &amp; "," &amp; TEXT(Sheet1!O442,"dd/mm/yy")</f>
        <v>202509069050,29/09/25</v>
      </c>
      <c r="K442" s="5" t="s">
        <v>14</v>
      </c>
      <c r="L442" s="38" t="s">
        <v>15</v>
      </c>
      <c r="M442" s="38" t="s">
        <v>17</v>
      </c>
      <c r="N442" s="38" t="s">
        <v>16</v>
      </c>
    </row>
    <row r="443" spans="1:14" x14ac:dyDescent="0.35">
      <c r="A443" s="4" t="str">
        <f>Sheet1!A443 &amp; "/" &amp; "2025"</f>
        <v>1841/2025</v>
      </c>
      <c r="B443" s="5" t="str">
        <f>Sheet1!E443</f>
        <v>AU2065871860625</v>
      </c>
      <c r="C443" s="6" t="str">
        <f>UPPER(Sheet1!B443)</f>
        <v>KHADIJAH ABRAR</v>
      </c>
      <c r="D443" s="7" t="str">
        <f>IF(Sheet1!F443="F","FEMALE","MALE")</f>
        <v>FEMALE</v>
      </c>
      <c r="E443" s="6" t="str">
        <f>UPPER(Sheet1!G443)</f>
        <v>ABRAR AHMED</v>
      </c>
      <c r="F443" s="6" t="str">
        <f>UPPER(Sheet1!H443)</f>
        <v>JAVERIA SAMREEN</v>
      </c>
      <c r="G443" s="5" t="str">
        <f>TEXT(Sheet1!C443,"dd/mm/yyyy") &amp; "," &amp; Sheet1!D443</f>
        <v xml:space="preserve">25/09/2025,BUNDOORA, AUSTRALIA </v>
      </c>
      <c r="H443" s="57" t="str">
        <f>UPPER(Sheet1!K443 &amp; "," &amp; Sheet1!L443 &amp; "," &amp; Sheet1!M443)</f>
        <v xml:space="preserve">PLOT NO 1-2,RAHMAT NAGAR NEAR HUDA MASJID,OLD JEWRGI ROAD,KALABURAGI CITY,PIN:585102,KARNATAKA,INDIA </v>
      </c>
      <c r="I443" s="8">
        <f>Sheet1!J443</f>
        <v>45967</v>
      </c>
      <c r="J443" s="5" t="str">
        <f>Sheet1!N443 &amp; "," &amp; TEXT(Sheet1!O443,"dd/mm/yy")</f>
        <v>202509074347,20/10/25</v>
      </c>
      <c r="K443" s="5" t="s">
        <v>14</v>
      </c>
      <c r="L443" s="38" t="s">
        <v>15</v>
      </c>
      <c r="M443" s="38" t="s">
        <v>17</v>
      </c>
      <c r="N443" s="38" t="s">
        <v>16</v>
      </c>
    </row>
    <row r="444" spans="1:14" x14ac:dyDescent="0.35">
      <c r="A444" s="4" t="str">
        <f>Sheet1!A444 &amp; "/" &amp; "2025"</f>
        <v>1842/2025</v>
      </c>
      <c r="B444" s="5" t="str">
        <f>Sheet1!E444</f>
        <v>AU2065709285925</v>
      </c>
      <c r="C444" s="6" t="str">
        <f>UPPER(Sheet1!B444)</f>
        <v>YAANA ARORA</v>
      </c>
      <c r="D444" s="7" t="str">
        <f>IF(Sheet1!F444="F","FEMALE","MALE")</f>
        <v>FEMALE</v>
      </c>
      <c r="E444" s="6" t="str">
        <f>UPPER(Sheet1!G444)</f>
        <v>UDIT ARORA</v>
      </c>
      <c r="F444" s="6" t="str">
        <f>UPPER(Sheet1!H444)</f>
        <v>SHIVANI  VERMA</v>
      </c>
      <c r="G444" s="5" t="str">
        <f>TEXT(Sheet1!C444,"dd/mm/yyyy") &amp; "," &amp; Sheet1!D444</f>
        <v xml:space="preserve">11/06/2025,ST ALBANS , AUSTRALIA </v>
      </c>
      <c r="H444" s="57" t="str">
        <f>UPPER(Sheet1!K444 &amp; "," &amp; Sheet1!L444 &amp; "," &amp; Sheet1!M444)</f>
        <v>327 SECTOR 15,SONIPAT,SONIPAT,PIN:131001,HARYANA,INDIA</v>
      </c>
      <c r="I444" s="8">
        <f>Sheet1!J444</f>
        <v>45967</v>
      </c>
      <c r="J444" s="5" t="str">
        <f>Sheet1!N444 &amp; "," &amp; TEXT(Sheet1!O444,"dd/mm/yy")</f>
        <v>202509069799,02/10/25</v>
      </c>
      <c r="K444" s="5" t="s">
        <v>14</v>
      </c>
      <c r="L444" s="38" t="s">
        <v>15</v>
      </c>
      <c r="M444" s="38" t="s">
        <v>17</v>
      </c>
      <c r="N444" s="38" t="s">
        <v>16</v>
      </c>
    </row>
    <row r="445" spans="1:14" x14ac:dyDescent="0.35">
      <c r="A445" s="4" t="str">
        <f>Sheet1!A445 &amp; "/" &amp; "2025"</f>
        <v>1843/2025</v>
      </c>
      <c r="B445" s="5" t="str">
        <f>Sheet1!E445</f>
        <v>AU2065709299725</v>
      </c>
      <c r="C445" s="6" t="str">
        <f>UPPER(Sheet1!B445)</f>
        <v>GURSHAAN SINGH RANDHAWA</v>
      </c>
      <c r="D445" s="7" t="str">
        <f>IF(Sheet1!F445="F","FEMALE","MALE")</f>
        <v>MALE</v>
      </c>
      <c r="E445" s="6" t="str">
        <f>UPPER(Sheet1!G445)</f>
        <v>GAGANDEEP SINGH RANDHAWA</v>
      </c>
      <c r="F445" s="6" t="str">
        <f>UPPER(Sheet1!H445)</f>
        <v>KULJIT  KAUR</v>
      </c>
      <c r="G445" s="5" t="str">
        <f>TEXT(Sheet1!C445,"dd/mm/yyyy") &amp; "," &amp; Sheet1!D445</f>
        <v xml:space="preserve">14/04/2025,WERIBEE, AUSTRALIA </v>
      </c>
      <c r="H445" s="57" t="str">
        <f>UPPER(Sheet1!K445 &amp; "," &amp; Sheet1!L445 &amp; "," &amp; Sheet1!M445)</f>
        <v>3/98 MANDIR WALI GALI,RAMDAS AJNALA,AMRITSAR,PIN:143603,PUNJAB,INDIA</v>
      </c>
      <c r="I445" s="8">
        <f>Sheet1!J445</f>
        <v>45967</v>
      </c>
      <c r="J445" s="5" t="str">
        <f>Sheet1!N445 &amp; "," &amp; TEXT(Sheet1!O445,"dd/mm/yy")</f>
        <v>202509065039,14/09/25</v>
      </c>
      <c r="K445" s="5" t="s">
        <v>14</v>
      </c>
      <c r="L445" s="38" t="s">
        <v>15</v>
      </c>
      <c r="M445" s="38" t="s">
        <v>17</v>
      </c>
      <c r="N445" s="38" t="s">
        <v>16</v>
      </c>
    </row>
    <row r="446" spans="1:14" x14ac:dyDescent="0.35">
      <c r="A446" s="4" t="str">
        <f>Sheet1!A446 &amp; "/" &amp; "2025"</f>
        <v>1844/2025</v>
      </c>
      <c r="B446" s="5" t="str">
        <f>Sheet1!E446</f>
        <v>AU2065709299925</v>
      </c>
      <c r="C446" s="6" t="str">
        <f>UPPER(Sheet1!B446)</f>
        <v>VAANYA SAGWAL</v>
      </c>
      <c r="D446" s="7" t="str">
        <f>IF(Sheet1!F446="F","FEMALE","MALE")</f>
        <v>FEMALE</v>
      </c>
      <c r="E446" s="6" t="str">
        <f>UPPER(Sheet1!G446)</f>
        <v>ANUJ</v>
      </c>
      <c r="F446" s="6" t="str">
        <f>UPPER(Sheet1!H446)</f>
        <v>MANSI  DEVI</v>
      </c>
      <c r="G446" s="5" t="str">
        <f>TEXT(Sheet1!C446,"dd/mm/yyyy") &amp; "," &amp; Sheet1!D446</f>
        <v xml:space="preserve">30/04/2025,CLAYTON , AUSTRALIA  </v>
      </c>
      <c r="H446" s="57" t="str">
        <f>UPPER(Sheet1!K446 &amp; "," &amp; Sheet1!L446 &amp; "," &amp; Sheet1!M446)</f>
        <v>VPO,KAUL,KAITHAL,PIN:136021,HARYANA,INDIA</v>
      </c>
      <c r="I446" s="8">
        <f>Sheet1!J446</f>
        <v>45971</v>
      </c>
      <c r="J446" s="5" t="str">
        <f>Sheet1!N446 &amp; "," &amp; TEXT(Sheet1!O446,"dd/mm/yy")</f>
        <v>202509060628,27/08/25</v>
      </c>
      <c r="K446" s="5" t="s">
        <v>14</v>
      </c>
      <c r="L446" s="38" t="s">
        <v>15</v>
      </c>
      <c r="M446" s="38" t="s">
        <v>17</v>
      </c>
      <c r="N446" s="38" t="s">
        <v>16</v>
      </c>
    </row>
    <row r="447" spans="1:14" x14ac:dyDescent="0.35">
      <c r="A447" s="4" t="str">
        <f>Sheet1!A447 &amp; "/" &amp; "2025"</f>
        <v>1845/2025</v>
      </c>
      <c r="B447" s="5" t="str">
        <f>Sheet1!E447</f>
        <v>AU2065709300125</v>
      </c>
      <c r="C447" s="6" t="str">
        <f>UPPER(Sheet1!B447)</f>
        <v>NYRA VALLURI</v>
      </c>
      <c r="D447" s="7" t="str">
        <f>IF(Sheet1!F447="F","FEMALE","MALE")</f>
        <v>FEMALE</v>
      </c>
      <c r="E447" s="6" t="str">
        <f>UPPER(Sheet1!G447)</f>
        <v>RAVI KUMAR VALLURI</v>
      </c>
      <c r="F447" s="6" t="str">
        <f>UPPER(Sheet1!H447)</f>
        <v>NIVEDITA  KILARU</v>
      </c>
      <c r="G447" s="5" t="str">
        <f>TEXT(Sheet1!C447,"dd/mm/yyyy") &amp; "," &amp; Sheet1!D447</f>
        <v xml:space="preserve">29/08/2025,CLAYTON , AUSTRALIA  </v>
      </c>
      <c r="H447" s="57" t="str">
        <f>UPPER(Sheet1!K447 &amp; "," &amp; Sheet1!L447 &amp; "," &amp; Sheet1!M447)</f>
        <v>1-66-1,NEAR MILK CHILLING CENTRE,VELERU,BAPULAPADU,KRISHNA,PIN:521110,ANDHRA PRADESH,INDIA</v>
      </c>
      <c r="I447" s="8">
        <f>Sheet1!J447</f>
        <v>45971</v>
      </c>
      <c r="J447" s="5" t="str">
        <f>Sheet1!N447 &amp; "," &amp; TEXT(Sheet1!O447,"dd/mm/yy")</f>
        <v>202509068738,28/09/25</v>
      </c>
      <c r="K447" s="5" t="s">
        <v>14</v>
      </c>
      <c r="L447" s="38" t="s">
        <v>15</v>
      </c>
      <c r="M447" s="38" t="s">
        <v>17</v>
      </c>
      <c r="N447" s="38" t="s">
        <v>16</v>
      </c>
    </row>
    <row r="448" spans="1:14" x14ac:dyDescent="0.35">
      <c r="A448" s="4" t="str">
        <f>Sheet1!A448 &amp; "/" &amp; "2025"</f>
        <v>1846/2025</v>
      </c>
      <c r="B448" s="5" t="str">
        <f>Sheet1!E448</f>
        <v>AU2065709302325</v>
      </c>
      <c r="C448" s="6" t="str">
        <f>UPPER(Sheet1!B448)</f>
        <v>ZORAWAR SINGH GHUMAN</v>
      </c>
      <c r="D448" s="7" t="str">
        <f>IF(Sheet1!F448="F","FEMALE","MALE")</f>
        <v>MALE</v>
      </c>
      <c r="E448" s="6" t="str">
        <f>UPPER(Sheet1!G448)</f>
        <v>SHAMSHER SINGH</v>
      </c>
      <c r="F448" s="6" t="str">
        <f>UPPER(Sheet1!H448)</f>
        <v>AMANDEEP KAUR </v>
      </c>
      <c r="G448" s="5" t="str">
        <f>TEXT(Sheet1!C448,"dd/mm/yyyy") &amp; "," &amp; Sheet1!D448</f>
        <v>31/07/2025,SHEPPARTON, AUSTRALIA</v>
      </c>
      <c r="H448" s="57" t="str">
        <f>UPPER(Sheet1!K448 &amp; "," &amp; Sheet1!L448 &amp; "," &amp; Sheet1!M448)</f>
        <v>VPO,GHUMAN KALAN,GURDASPUR,PIN:143518,PUNJAB,INDIA</v>
      </c>
      <c r="I448" s="8">
        <f>Sheet1!J448</f>
        <v>45971</v>
      </c>
      <c r="J448" s="5" t="str">
        <f>Sheet1!N448 &amp; "," &amp; TEXT(Sheet1!O448,"dd/mm/yy")</f>
        <v>202509068878,29/09/25</v>
      </c>
      <c r="K448" s="5" t="s">
        <v>14</v>
      </c>
      <c r="L448" s="38" t="s">
        <v>15</v>
      </c>
      <c r="M448" s="38" t="s">
        <v>17</v>
      </c>
      <c r="N448" s="38" t="s">
        <v>16</v>
      </c>
    </row>
    <row r="449" spans="1:14" x14ac:dyDescent="0.35">
      <c r="A449" s="4" t="str">
        <f>Sheet1!A449 &amp; "/" &amp; "2025"</f>
        <v>1847/2025</v>
      </c>
      <c r="B449" s="5" t="str">
        <f>Sheet1!E449</f>
        <v>AU2065709302525</v>
      </c>
      <c r="C449" s="6" t="str">
        <f>UPPER(Sheet1!B449)</f>
        <v>NIYA SACHINKUMAR PATEL</v>
      </c>
      <c r="D449" s="7" t="str">
        <f>IF(Sheet1!F449="F","FEMALE","MALE")</f>
        <v>FEMALE</v>
      </c>
      <c r="E449" s="6" t="str">
        <f>UPPER(Sheet1!G449)</f>
        <v>SACHINKUMAR BABUBHAI PATEL</v>
      </c>
      <c r="F449" s="6" t="str">
        <f>UPPER(Sheet1!H449)</f>
        <v>NILAMKUMARI SACHINKUMAR  PATEL</v>
      </c>
      <c r="G449" s="5" t="str">
        <f>TEXT(Sheet1!C449,"dd/mm/yyyy") &amp; "," &amp; Sheet1!D449</f>
        <v xml:space="preserve">13/05/2025,EPPING , AUSTRALIA </v>
      </c>
      <c r="H449" s="57" t="str">
        <f>UPPER(Sheet1!K449 &amp; "," &amp; Sheet1!L449 &amp; "," &amp; Sheet1!M449)</f>
        <v>4176 HARSIDDHI SOC SHAKTI CHOWK NR HP GAS OFFICE,VANTA GOZARIA,MEHSANA,PIN:382825,GUJARAT,INDIA</v>
      </c>
      <c r="I449" s="8">
        <f>Sheet1!J449</f>
        <v>45971</v>
      </c>
      <c r="J449" s="5" t="str">
        <f>Sheet1!N449 &amp; "," &amp; TEXT(Sheet1!O449,"dd/mm/yy")</f>
        <v>202509067332,23/09/25</v>
      </c>
      <c r="K449" s="5" t="s">
        <v>14</v>
      </c>
      <c r="L449" s="38" t="s">
        <v>15</v>
      </c>
      <c r="M449" s="38" t="s">
        <v>17</v>
      </c>
      <c r="N449" s="38" t="s">
        <v>16</v>
      </c>
    </row>
    <row r="450" spans="1:14" x14ac:dyDescent="0.35">
      <c r="A450" s="4" t="str">
        <f>Sheet1!A450 &amp; "/" &amp; "2025"</f>
        <v>1848/2025</v>
      </c>
      <c r="B450" s="5" t="str">
        <f>Sheet1!E450</f>
        <v>AU2065709302725</v>
      </c>
      <c r="C450" s="6" t="str">
        <f>UPPER(Sheet1!B450)</f>
        <v>FATEH SINGH</v>
      </c>
      <c r="D450" s="7" t="str">
        <f>IF(Sheet1!F450="F","FEMALE","MALE")</f>
        <v>MALE</v>
      </c>
      <c r="E450" s="6" t="str">
        <f>UPPER(Sheet1!G450)</f>
        <v>GURPAL SINGH</v>
      </c>
      <c r="F450" s="6" t="str">
        <f>UPPER(Sheet1!H450)</f>
        <v>RANDEEP KAUR </v>
      </c>
      <c r="G450" s="5" t="str">
        <f>TEXT(Sheet1!C450,"dd/mm/yyyy") &amp; "," &amp; Sheet1!D450</f>
        <v xml:space="preserve">23/07/2025,GEELONG , AUSTRALIA </v>
      </c>
      <c r="H450" s="57" t="str">
        <f>UPPER(Sheet1!K450 &amp; "," &amp; Sheet1!L450 &amp; "," &amp; Sheet1!M450)</f>
        <v>VILL. MASTKOT,P O. DARGABAD,DISTT,GURDASPUR,PIN:143505,PUNJAB,INDIA</v>
      </c>
      <c r="I450" s="8">
        <f>Sheet1!J450</f>
        <v>45971</v>
      </c>
      <c r="J450" s="5" t="str">
        <f>Sheet1!N450 &amp; "," &amp; TEXT(Sheet1!O450,"dd/mm/yy")</f>
        <v>202509064227,11/09/25</v>
      </c>
      <c r="K450" s="5" t="s">
        <v>14</v>
      </c>
      <c r="L450" s="38" t="s">
        <v>15</v>
      </c>
      <c r="M450" s="38" t="s">
        <v>17</v>
      </c>
      <c r="N450" s="38" t="s">
        <v>16</v>
      </c>
    </row>
    <row r="451" spans="1:14" x14ac:dyDescent="0.35">
      <c r="A451" s="4" t="str">
        <f>Sheet1!A451 &amp; "/" &amp; "2025"</f>
        <v>1849/2025</v>
      </c>
      <c r="B451" s="5" t="str">
        <f>Sheet1!E451</f>
        <v>AU2065872923625</v>
      </c>
      <c r="C451" s="6" t="str">
        <f>UPPER(Sheet1!B451)</f>
        <v>HAMDAN SHAIK</v>
      </c>
      <c r="D451" s="7" t="str">
        <f>IF(Sheet1!F451="F","FEMALE","MALE")</f>
        <v>MALE</v>
      </c>
      <c r="E451" s="6" t="str">
        <f>UPPER(Sheet1!G451)</f>
        <v>SHAIK SOHAIL</v>
      </c>
      <c r="F451" s="6" t="str">
        <f>UPPER(Sheet1!H451)</f>
        <v>NIDA SADAF SYEDA</v>
      </c>
      <c r="G451" s="5" t="str">
        <f>TEXT(Sheet1!C451,"dd/mm/yyyy") &amp; "," &amp; Sheet1!D451</f>
        <v xml:space="preserve">11/09/2025,ST ALBANS , AUSTRALIA </v>
      </c>
      <c r="H451" s="57" t="str">
        <f>UPPER(Sheet1!K451 &amp; "," &amp; Sheet1!L451 &amp; "," &amp; Sheet1!M451)</f>
        <v xml:space="preserve">6-5-56/2/F HABEEBNAGAR,MAHABUBNAGAR,MAHABUBNAGAR,PIN:509001,TELANGANA,INDIA </v>
      </c>
      <c r="I451" s="8">
        <f>Sheet1!J451</f>
        <v>45972</v>
      </c>
      <c r="J451" s="5" t="str">
        <f>Sheet1!N451 &amp; "," &amp; TEXT(Sheet1!O451,"dd/mm/yy")</f>
        <v>202509072837,14/10/25</v>
      </c>
      <c r="K451" s="5" t="s">
        <v>14</v>
      </c>
      <c r="L451" s="38" t="s">
        <v>15</v>
      </c>
      <c r="M451" s="38" t="s">
        <v>17</v>
      </c>
      <c r="N451" s="38" t="s">
        <v>16</v>
      </c>
    </row>
    <row r="452" spans="1:14" x14ac:dyDescent="0.35">
      <c r="A452" s="4" t="str">
        <f>Sheet1!A452 &amp; "/" &amp; "2025"</f>
        <v>1850/2025</v>
      </c>
      <c r="B452" s="5" t="str">
        <f>Sheet1!E452</f>
        <v>AU2065872930625</v>
      </c>
      <c r="C452" s="6" t="str">
        <f>UPPER(Sheet1!B452)</f>
        <v>GURSANJH KAUR</v>
      </c>
      <c r="D452" s="7" t="str">
        <f>IF(Sheet1!F452="F","FEMALE","MALE")</f>
        <v>FEMALE</v>
      </c>
      <c r="E452" s="6" t="str">
        <f>UPPER(Sheet1!G452)</f>
        <v>HARPREET SINGH</v>
      </c>
      <c r="F452" s="6" t="str">
        <f>UPPER(Sheet1!H452)</f>
        <v>SUKHWINDER KAUR</v>
      </c>
      <c r="G452" s="5" t="str">
        <f>TEXT(Sheet1!C452,"dd/mm/yyyy") &amp; "," &amp; Sheet1!D452</f>
        <v xml:space="preserve">01/12/2024,BEDFORD PARK, AUSTRALIA  </v>
      </c>
      <c r="H452" s="57" t="str">
        <f>UPPER(Sheet1!K452 &amp; "," &amp; Sheet1!L452 &amp; "," &amp; Sheet1!M452)</f>
        <v xml:space="preserve">VPO,CHALAKI PO MORINDA,ROPAR,PIN:140101,PUNJAB,INDIA </v>
      </c>
      <c r="I452" s="8">
        <f>Sheet1!J452</f>
        <v>45972</v>
      </c>
      <c r="J452" s="5" t="str">
        <f>Sheet1!N452 &amp; "," &amp; TEXT(Sheet1!O452,"dd/mm/yy")</f>
        <v>202509075455,23/10/25</v>
      </c>
      <c r="K452" s="5" t="s">
        <v>14</v>
      </c>
      <c r="L452" s="38" t="s">
        <v>15</v>
      </c>
      <c r="M452" s="38" t="s">
        <v>17</v>
      </c>
      <c r="N452" s="38" t="s">
        <v>16</v>
      </c>
    </row>
    <row r="453" spans="1:14" x14ac:dyDescent="0.35">
      <c r="A453" s="4" t="str">
        <f>Sheet1!A453 &amp; "/" &amp; "2025"</f>
        <v>1851/2025</v>
      </c>
      <c r="B453" s="5" t="str">
        <f>Sheet1!E453</f>
        <v>AU2065872895025</v>
      </c>
      <c r="C453" s="6" t="str">
        <f>UPPER(Sheet1!B453)</f>
        <v>KARMAN SINGH</v>
      </c>
      <c r="D453" s="7" t="str">
        <f>IF(Sheet1!F453="F","FEMALE","MALE")</f>
        <v>MALE</v>
      </c>
      <c r="E453" s="6" t="str">
        <f>UPPER(Sheet1!G453)</f>
        <v>KARANDEEP SINGH</v>
      </c>
      <c r="F453" s="6" t="str">
        <f>UPPER(Sheet1!H453)</f>
        <v>AMANDEEP KAUR</v>
      </c>
      <c r="G453" s="5" t="str">
        <f>TEXT(Sheet1!C453,"dd/mm/yyyy") &amp; "," &amp; Sheet1!D453</f>
        <v xml:space="preserve">03/08/2025,ST ALBANS , AUSTRALIA </v>
      </c>
      <c r="H453" s="57" t="str">
        <f>UPPER(Sheet1!K453 &amp; "," &amp; Sheet1!L453 &amp; "," &amp; Sheet1!M453)</f>
        <v xml:space="preserve">HOUSE NO. 96 WARD NO. 14 PATWARI MOHALLA,GHARAUNDA,KARNAL,PIN:132114,HARYANA,INDIA </v>
      </c>
      <c r="I453" s="8">
        <f>Sheet1!J453</f>
        <v>45972</v>
      </c>
      <c r="J453" s="5" t="str">
        <f>Sheet1!N453 &amp; "," &amp; TEXT(Sheet1!O453,"dd/mm/yy")</f>
        <v>202509070870,07/10/25</v>
      </c>
      <c r="K453" s="5" t="s">
        <v>14</v>
      </c>
      <c r="L453" s="38" t="s">
        <v>15</v>
      </c>
      <c r="M453" s="38" t="s">
        <v>17</v>
      </c>
      <c r="N453" s="38" t="s">
        <v>16</v>
      </c>
    </row>
    <row r="454" spans="1:14" x14ac:dyDescent="0.35">
      <c r="A454" s="4" t="str">
        <f>Sheet1!A454 &amp; "/" &amp; "2025"</f>
        <v>1852/2025</v>
      </c>
      <c r="B454" s="5" t="str">
        <f>Sheet1!E454</f>
        <v>AU2065872899025</v>
      </c>
      <c r="C454" s="6" t="str">
        <f>UPPER(Sheet1!B454)</f>
        <v>NIHIRA CHERUKURI</v>
      </c>
      <c r="D454" s="7" t="str">
        <f>IF(Sheet1!F454="F","FEMALE","MALE")</f>
        <v>FEMALE</v>
      </c>
      <c r="E454" s="6" t="str">
        <f>UPPER(Sheet1!G454)</f>
        <v>VENU CHERUKURI</v>
      </c>
      <c r="F454" s="6" t="str">
        <f>UPPER(Sheet1!H454)</f>
        <v>SUPRAJA MALLINENI</v>
      </c>
      <c r="G454" s="5" t="str">
        <f>TEXT(Sheet1!C454,"dd/mm/yyyy") &amp; "," &amp; Sheet1!D454</f>
        <v xml:space="preserve">13/08/2025,WERIBEE, AUSTRALIA </v>
      </c>
      <c r="H454" s="57" t="str">
        <f>UPPER(Sheet1!K454 &amp; "," &amp; Sheet1!L454 &amp; "," &amp; Sheet1!M454)</f>
        <v xml:space="preserve">GANGAMITTA,PATHURU,VINJAMUR,SRI POTTI SRIRAMULU NELLORE,PIN:524228,ANDHRA PRADESH,INDIA </v>
      </c>
      <c r="I454" s="8">
        <f>Sheet1!J454</f>
        <v>45972</v>
      </c>
      <c r="J454" s="5" t="str">
        <f>Sheet1!N454 &amp; "," &amp; TEXT(Sheet1!O454,"dd/mm/yy")</f>
        <v>202509065517,16/09/25</v>
      </c>
      <c r="K454" s="5" t="s">
        <v>14</v>
      </c>
      <c r="L454" s="38" t="s">
        <v>15</v>
      </c>
      <c r="M454" s="38" t="s">
        <v>17</v>
      </c>
      <c r="N454" s="38" t="s">
        <v>18</v>
      </c>
    </row>
    <row r="455" spans="1:14" x14ac:dyDescent="0.35">
      <c r="A455" s="4" t="str">
        <f>Sheet1!A455 &amp; "/" &amp; "2025"</f>
        <v>1853/2025</v>
      </c>
      <c r="B455" s="5" t="str">
        <f>Sheet1!E455</f>
        <v>AU2065872900025</v>
      </c>
      <c r="C455" s="6" t="str">
        <f>UPPER(Sheet1!B455)</f>
        <v>ZAINAB FATIMA PERVEZ</v>
      </c>
      <c r="D455" s="7" t="str">
        <f>IF(Sheet1!F455="F","FEMALE","MALE")</f>
        <v>FEMALE</v>
      </c>
      <c r="E455" s="6" t="str">
        <f>UPPER(Sheet1!G455)</f>
        <v>PERVEZ AHMED SHERIFF NASSER</v>
      </c>
      <c r="F455" s="6" t="str">
        <f>UPPER(Sheet1!H455)</f>
        <v>ARIFA JAMAL ANAIKAR</v>
      </c>
      <c r="G455" s="5" t="str">
        <f>TEXT(Sheet1!C455,"dd/mm/yyyy") &amp; "," &amp; Sheet1!D455</f>
        <v xml:space="preserve">01/08/2025,PARKVILLE , AUSTRALIA  </v>
      </c>
      <c r="H455" s="57" t="str">
        <f>UPPER(Sheet1!K455 &amp; "," &amp; Sheet1!L455 &amp; "," &amp; Sheet1!M455)</f>
        <v xml:space="preserve">AG 121-124,1ST FLOOR,C,RIVER VIEW COLONY,CHENNAI,CHENNAI,PIN:600040,TAMIL NADU,INDIA </v>
      </c>
      <c r="I455" s="8">
        <f>Sheet1!J455</f>
        <v>45972</v>
      </c>
      <c r="J455" s="5" t="str">
        <f>Sheet1!N455 &amp; "," &amp; TEXT(Sheet1!O455,"dd/mm/yy")</f>
        <v>202509070883,07/10/25</v>
      </c>
      <c r="K455" s="5" t="s">
        <v>14</v>
      </c>
      <c r="L455" s="38" t="s">
        <v>15</v>
      </c>
      <c r="M455" s="38" t="s">
        <v>17</v>
      </c>
      <c r="N455" s="38" t="s">
        <v>16</v>
      </c>
    </row>
    <row r="456" spans="1:14" x14ac:dyDescent="0.35">
      <c r="A456" s="4" t="str">
        <f>Sheet1!A456 &amp; "/" &amp; "2025"</f>
        <v>1854/2025</v>
      </c>
      <c r="B456" s="5" t="str">
        <f>Sheet1!E456</f>
        <v>AU2065872890225</v>
      </c>
      <c r="C456" s="6" t="str">
        <f>UPPER(Sheet1!B456)</f>
        <v>DILAWAR SINGH BRAR</v>
      </c>
      <c r="D456" s="7" t="str">
        <f>IF(Sheet1!F456="F","FEMALE","MALE")</f>
        <v>MALE</v>
      </c>
      <c r="E456" s="6" t="str">
        <f>UPPER(Sheet1!G456)</f>
        <v>PARVINDER SINGH BRAR</v>
      </c>
      <c r="F456" s="6" t="str">
        <f>UPPER(Sheet1!H456)</f>
        <v>KULWINDER KAUR</v>
      </c>
      <c r="G456" s="5" t="str">
        <f>TEXT(Sheet1!C456,"dd/mm/yyyy") &amp; "," &amp; Sheet1!D456</f>
        <v xml:space="preserve">23/05/2025,ST ALBANS , AUSTRALIA </v>
      </c>
      <c r="H456" s="57" t="str">
        <f>UPPER(Sheet1!K456 &amp; "," &amp; Sheet1!L456 &amp; "," &amp; Sheet1!M456)</f>
        <v xml:space="preserve">VILL.BURJ HARIKA,TEH.JAITU,FARIDKOT,PIN:151208,PUNJAB,INDIA </v>
      </c>
      <c r="I456" s="8">
        <f>Sheet1!J456</f>
        <v>45972</v>
      </c>
      <c r="J456" s="5" t="str">
        <f>Sheet1!N456 &amp; "," &amp; TEXT(Sheet1!O456,"dd/mm/yy")</f>
        <v>202509072323,12/10/25</v>
      </c>
      <c r="K456" s="5" t="s">
        <v>14</v>
      </c>
      <c r="L456" s="38" t="s">
        <v>15</v>
      </c>
      <c r="M456" s="38" t="s">
        <v>17</v>
      </c>
      <c r="N456" s="38" t="s">
        <v>16</v>
      </c>
    </row>
    <row r="457" spans="1:14" x14ac:dyDescent="0.35">
      <c r="A457" s="4" t="str">
        <f>Sheet1!A457 &amp; "/" &amp; "2025"</f>
        <v>1855/2025</v>
      </c>
      <c r="B457" s="5" t="str">
        <f>Sheet1!E457</f>
        <v>AU2065872891625</v>
      </c>
      <c r="C457" s="6" t="str">
        <f>UPPER(Sheet1!B457)</f>
        <v>AYRAH CHHETRI</v>
      </c>
      <c r="D457" s="7" t="str">
        <f>IF(Sheet1!F457="F","FEMALE","MALE")</f>
        <v>FEMALE</v>
      </c>
      <c r="E457" s="6" t="str">
        <f>UPPER(Sheet1!G457)</f>
        <v>ANUJ CHHETRI</v>
      </c>
      <c r="F457" s="6" t="str">
        <f>UPPER(Sheet1!H457)</f>
        <v>HARCHARANKAMAL PREET KAUR</v>
      </c>
      <c r="G457" s="5" t="str">
        <f>TEXT(Sheet1!C457,"dd/mm/yyyy") &amp; "," &amp; Sheet1!D457</f>
        <v xml:space="preserve">12/08/2025,LAUNCESTON , AUSTRALIA  </v>
      </c>
      <c r="H457" s="57" t="str">
        <f>UPPER(Sheet1!K457 &amp; "," &amp; Sheet1!L457 &amp; "," &amp; Sheet1!M457)</f>
        <v xml:space="preserve">VILL / PO,SHAMSHER GARH,DEHRADUN,PIN:248001,UTTARAKHAND,INDIA </v>
      </c>
      <c r="I457" s="8">
        <f>Sheet1!J457</f>
        <v>45972</v>
      </c>
      <c r="J457" s="5" t="str">
        <f>Sheet1!N457 &amp; "," &amp; TEXT(Sheet1!O457,"dd/mm/yy")</f>
        <v>202509071867,10/10/25</v>
      </c>
      <c r="K457" s="5" t="s">
        <v>14</v>
      </c>
      <c r="L457" s="38" t="s">
        <v>15</v>
      </c>
      <c r="M457" s="38" t="s">
        <v>17</v>
      </c>
      <c r="N457" s="38" t="s">
        <v>16</v>
      </c>
    </row>
    <row r="458" spans="1:14" x14ac:dyDescent="0.35">
      <c r="A458" s="4" t="str">
        <f>Sheet1!A458 &amp; "/" &amp; "2025"</f>
        <v>1856/2025</v>
      </c>
      <c r="B458" s="5" t="str">
        <f>Sheet1!E458</f>
        <v>AU2065872892425</v>
      </c>
      <c r="C458" s="6" t="str">
        <f>UPPER(Sheet1!B458)</f>
        <v>AARVIK SONI</v>
      </c>
      <c r="D458" s="7" t="str">
        <f>IF(Sheet1!F458="F","FEMALE","MALE")</f>
        <v>MALE</v>
      </c>
      <c r="E458" s="6" t="str">
        <f>UPPER(Sheet1!G458)</f>
        <v>AMBER SONI</v>
      </c>
      <c r="F458" s="6" t="str">
        <f>UPPER(Sheet1!H458)</f>
        <v>RUPAL NAINA</v>
      </c>
      <c r="G458" s="5" t="str">
        <f>TEXT(Sheet1!C458,"dd/mm/yyyy") &amp; "," &amp; Sheet1!D458</f>
        <v xml:space="preserve">25/08/2025,PARKVILLE , AUSTRALIA  </v>
      </c>
      <c r="H458" s="57" t="str">
        <f>UPPER(Sheet1!K458 &amp; "," &amp; Sheet1!L458 &amp; "," &amp; Sheet1!M458)</f>
        <v xml:space="preserve">175,KAVI KALIDAS PATH,BARNAGAR,UJJAIN,PIN:456771,MADHYA PRADESH,INDIA </v>
      </c>
      <c r="I458" s="8">
        <f>Sheet1!J458</f>
        <v>45972</v>
      </c>
      <c r="J458" s="5" t="str">
        <f>Sheet1!N458 &amp; "," &amp; TEXT(Sheet1!O458,"dd/mm/yy")</f>
        <v>202509067995,25/09/25</v>
      </c>
      <c r="K458" s="5" t="s">
        <v>14</v>
      </c>
      <c r="L458" s="38" t="s">
        <v>15</v>
      </c>
      <c r="M458" s="38" t="s">
        <v>17</v>
      </c>
      <c r="N458" s="38" t="s">
        <v>16</v>
      </c>
    </row>
    <row r="459" spans="1:14" x14ac:dyDescent="0.35">
      <c r="A459" s="4" t="str">
        <f>Sheet1!A459 &amp; "/" &amp; "2025"</f>
        <v>1857/2025</v>
      </c>
      <c r="B459" s="5" t="str">
        <f>Sheet1!E459</f>
        <v>AU2065874879025</v>
      </c>
      <c r="C459" s="6" t="str">
        <f>UPPER(Sheet1!B459)</f>
        <v>ZAISH HILANI</v>
      </c>
      <c r="D459" s="7" t="str">
        <f>IF(Sheet1!F459="F","FEMALE","MALE")</f>
        <v>MALE</v>
      </c>
      <c r="E459" s="6" t="str">
        <f>UPPER(Sheet1!G459)</f>
        <v>ASIF DINUBHAI HILANI</v>
      </c>
      <c r="F459" s="6" t="str">
        <f>UPPER(Sheet1!H459)</f>
        <v>SONAM AMIRALI DHANANI</v>
      </c>
      <c r="G459" s="5" t="str">
        <f>TEXT(Sheet1!C459,"dd/mm/yyyy") &amp; "," &amp; Sheet1!D459</f>
        <v xml:space="preserve">24/07/2025,CLAYTON , AUSTRALIA  </v>
      </c>
      <c r="H459" s="57" t="str">
        <f>UPPER(Sheet1!K459 &amp; "," &amp; Sheet1!L459 &amp; "," &amp; Sheet1!M459)</f>
        <v xml:space="preserve">SRISHTI COMPLEX,SECTOR-III,SARAD APT,B-14,MIRA ROAD,THANE,PIN:401107,MAHARASHTRA,INDIA </v>
      </c>
      <c r="I459" s="8">
        <f>Sheet1!J459</f>
        <v>45974</v>
      </c>
      <c r="J459" s="5" t="str">
        <f>Sheet1!N459 &amp; "," &amp; TEXT(Sheet1!O459,"dd/mm/yy")</f>
        <v>202509074393,20/10/25</v>
      </c>
      <c r="K459" s="5" t="s">
        <v>14</v>
      </c>
      <c r="L459" s="38" t="s">
        <v>15</v>
      </c>
      <c r="M459" s="38" t="s">
        <v>17</v>
      </c>
      <c r="N459" s="38" t="s">
        <v>16</v>
      </c>
    </row>
    <row r="460" spans="1:14" x14ac:dyDescent="0.35">
      <c r="A460" s="4" t="str">
        <f>Sheet1!A460 &amp; "/" &amp; "2025"</f>
        <v>1858/2025</v>
      </c>
      <c r="B460" s="5" t="str">
        <f>Sheet1!E460</f>
        <v>AU2065874717625</v>
      </c>
      <c r="C460" s="6" t="str">
        <f>UPPER(Sheet1!B460)</f>
        <v>SIRJAN KAUR</v>
      </c>
      <c r="D460" s="7" t="str">
        <f>IF(Sheet1!F460="F","FEMALE","MALE")</f>
        <v>FEMALE</v>
      </c>
      <c r="E460" s="6" t="str">
        <f>UPPER(Sheet1!G460)</f>
        <v>KANWALPREET SINGH</v>
      </c>
      <c r="F460" s="6" t="str">
        <f>UPPER(Sheet1!H460)</f>
        <v>GURBACHAN KAUR</v>
      </c>
      <c r="G460" s="5" t="str">
        <f>TEXT(Sheet1!C460,"dd/mm/yyyy") &amp; "," &amp; Sheet1!D460</f>
        <v xml:space="preserve">19/09/2025,EPPING , AUSTRALIA </v>
      </c>
      <c r="H460" s="57" t="str">
        <f>UPPER(Sheet1!K460 &amp; "," &amp; Sheet1!L460 &amp; "," &amp; Sheet1!M460)</f>
        <v xml:space="preserve">H NO 309/10,EKTA COLONY,SHAHBAD,KURUKSHETRA,PIN:136135,HARYANA,INDIA </v>
      </c>
      <c r="I460" s="8">
        <f>Sheet1!J460</f>
        <v>45974</v>
      </c>
      <c r="J460" s="5" t="str">
        <f>Sheet1!N460 &amp; "," &amp; TEXT(Sheet1!O460,"dd/mm/yy")</f>
        <v>202509073582,16/10/25</v>
      </c>
      <c r="K460" s="5" t="s">
        <v>14</v>
      </c>
      <c r="L460" s="38" t="s">
        <v>15</v>
      </c>
      <c r="M460" s="38" t="s">
        <v>17</v>
      </c>
      <c r="N460" s="38" t="s">
        <v>16</v>
      </c>
    </row>
    <row r="461" spans="1:14" ht="30" customHeight="1" x14ac:dyDescent="0.35">
      <c r="A461" s="4" t="str">
        <f>Sheet1!A461 &amp; "/" &amp; "2025"</f>
        <v>1859/2025</v>
      </c>
      <c r="B461" s="5" t="str">
        <f>Sheet1!E461</f>
        <v>AU2065874717825</v>
      </c>
      <c r="C461" s="6" t="str">
        <f>UPPER(Sheet1!B461)</f>
        <v>PRANATI SHIVAPRASAD GOWDA</v>
      </c>
      <c r="D461" s="7" t="str">
        <f>IF(Sheet1!F461="F","FEMALE","MALE")</f>
        <v>FEMALE</v>
      </c>
      <c r="E461" s="6" t="str">
        <f>UPPER(Sheet1!G461)</f>
        <v>SHIVAPRASAD KOSTENAHALLY RAMAKRISHNEGOWDA</v>
      </c>
      <c r="F461" s="6" t="str">
        <f>UPPER(Sheet1!H461)</f>
        <v>VEENA SHREE RATHNAMMA PUTTASWAMY GOWDA</v>
      </c>
      <c r="G461" s="5" t="str">
        <f>TEXT(Sheet1!C461,"dd/mm/yyyy") &amp; "," &amp; Sheet1!D461</f>
        <v xml:space="preserve">31/07/2025,FITZROY, AUSTRALIA </v>
      </c>
      <c r="H461" s="57" t="str">
        <f>UPPER(Sheet1!K461 &amp; "," &amp; Sheet1!L461 &amp; "," &amp; Sheet1!M461)</f>
        <v xml:space="preserve">NO 46 NIRMAN LAYOUT,KOPPA VILLAGE,JIGANI,BENGALURU RURAL,PIN:560105,KARNATAKA,INDIA </v>
      </c>
      <c r="I461" s="8">
        <f>Sheet1!J461</f>
        <v>45974</v>
      </c>
      <c r="J461" s="5" t="str">
        <f>Sheet1!N461 &amp; "," &amp; TEXT(Sheet1!O461,"dd/mm/yy")</f>
        <v>202509075219,23/10/25</v>
      </c>
      <c r="K461" s="5" t="s">
        <v>14</v>
      </c>
      <c r="L461" s="38" t="s">
        <v>15</v>
      </c>
      <c r="M461" s="38" t="s">
        <v>17</v>
      </c>
      <c r="N461" s="38" t="s">
        <v>16</v>
      </c>
    </row>
    <row r="462" spans="1:14" x14ac:dyDescent="0.35">
      <c r="A462" s="4" t="str">
        <f>Sheet1!A462 &amp; "/" &amp; "2025"</f>
        <v>1860/2025</v>
      </c>
      <c r="B462" s="5" t="str">
        <f>Sheet1!E462</f>
        <v>AU2065874844625</v>
      </c>
      <c r="C462" s="6" t="str">
        <f>UPPER(Sheet1!B462)</f>
        <v>JIGAR SINGH AASI</v>
      </c>
      <c r="D462" s="7" t="str">
        <f>IF(Sheet1!F462="F","FEMALE","MALE")</f>
        <v>MALE</v>
      </c>
      <c r="E462" s="6" t="str">
        <f>UPPER(Sheet1!G462)</f>
        <v>LAKHBIR SINGH AASI</v>
      </c>
      <c r="F462" s="6" t="str">
        <f>UPPER(Sheet1!H462)</f>
        <v>RAVNEET KAUR</v>
      </c>
      <c r="G462" s="5" t="str">
        <f>TEXT(Sheet1!C462,"dd/mm/yyyy") &amp; "," &amp; Sheet1!D462</f>
        <v xml:space="preserve">27/08/2025,TRARALGON, AUSTRALIA </v>
      </c>
      <c r="H462" s="57" t="str">
        <f>UPPER(Sheet1!K462 &amp; "," &amp; Sheet1!L462 &amp; "," &amp; Sheet1!M462)</f>
        <v xml:space="preserve">BXIV/385 HARI NAGAR DHANAULA ROAD,BARNALA,BARNALA,PIN:148101,PUNJAB,INDIA </v>
      </c>
      <c r="I462" s="8">
        <f>Sheet1!J462</f>
        <v>45974</v>
      </c>
      <c r="J462" s="5" t="str">
        <f>Sheet1!N462 &amp; "," &amp; TEXT(Sheet1!O462,"dd/mm/yy")</f>
        <v>202509065547,16/09/25</v>
      </c>
      <c r="K462" s="5" t="s">
        <v>14</v>
      </c>
      <c r="L462" s="38" t="s">
        <v>15</v>
      </c>
      <c r="M462" s="38" t="s">
        <v>17</v>
      </c>
      <c r="N462" s="38" t="s">
        <v>16</v>
      </c>
    </row>
    <row r="463" spans="1:14" x14ac:dyDescent="0.35">
      <c r="A463" s="4" t="str">
        <f>Sheet1!A463 &amp; "/" &amp; "2025"</f>
        <v>1861/2025</v>
      </c>
      <c r="B463" s="5" t="str">
        <f>Sheet1!E463</f>
        <v>AU2065874845425</v>
      </c>
      <c r="C463" s="6" t="str">
        <f>UPPER(Sheet1!B463)</f>
        <v>MIHIRAAN SANGROHA</v>
      </c>
      <c r="D463" s="7" t="str">
        <f>IF(Sheet1!F463="F","FEMALE","MALE")</f>
        <v>MALE</v>
      </c>
      <c r="E463" s="6" t="str">
        <f>UPPER(Sheet1!G463)</f>
        <v>LOVEPREET SINGH</v>
      </c>
      <c r="F463" s="6" t="str">
        <f>UPPER(Sheet1!H463)</f>
        <v>MONIKA</v>
      </c>
      <c r="G463" s="5" t="str">
        <f>TEXT(Sheet1!C463,"dd/mm/yyyy") &amp; "," &amp; Sheet1!D463</f>
        <v xml:space="preserve">06/10/2025,HEIDELBERG , AUSTRALIA </v>
      </c>
      <c r="H463" s="57" t="str">
        <f>UPPER(Sheet1!K463 &amp; "," &amp; Sheet1!L463 &amp; "," &amp; Sheet1!M463)</f>
        <v xml:space="preserve">237,VPO MANUMAJRA DISTT,AMBALA,PIN:133205,HARYANA,INDIA </v>
      </c>
      <c r="I463" s="8">
        <f>Sheet1!J463</f>
        <v>45974</v>
      </c>
      <c r="J463" s="5" t="str">
        <f>Sheet1!N463 &amp; "," &amp; TEXT(Sheet1!O463,"dd/mm/yy")</f>
        <v>202509073117,15/10/25</v>
      </c>
      <c r="K463" s="5" t="s">
        <v>14</v>
      </c>
      <c r="L463" s="38" t="s">
        <v>15</v>
      </c>
      <c r="M463" s="38" t="s">
        <v>17</v>
      </c>
      <c r="N463" s="38" t="s">
        <v>16</v>
      </c>
    </row>
    <row r="464" spans="1:14" x14ac:dyDescent="0.35">
      <c r="A464" s="4" t="str">
        <f>Sheet1!A464 &amp; "/" &amp; "2025"</f>
        <v>1862/2025</v>
      </c>
      <c r="B464" s="5" t="str">
        <f>Sheet1!E464</f>
        <v>AU2065874846625</v>
      </c>
      <c r="C464" s="6" t="str">
        <f>UPPER(Sheet1!B464)</f>
        <v>MEHRAAB SINGH RANDHAWA</v>
      </c>
      <c r="D464" s="7" t="str">
        <f>IF(Sheet1!F464="F","FEMALE","MALE")</f>
        <v>MALE</v>
      </c>
      <c r="E464" s="6" t="str">
        <f>UPPER(Sheet1!G464)</f>
        <v>DILJOT SINGH</v>
      </c>
      <c r="F464" s="6" t="str">
        <f>UPPER(Sheet1!H464)</f>
        <v>KIRANPREET KAUR</v>
      </c>
      <c r="G464" s="5" t="str">
        <f>TEXT(Sheet1!C464,"dd/mm/yyyy") &amp; "," &amp; Sheet1!D464</f>
        <v xml:space="preserve">01/08/2025,BACCHUS MARSH , AUSTRALIA  </v>
      </c>
      <c r="H464" s="57" t="str">
        <f>UPPER(Sheet1!K464 &amp; "," &amp; Sheet1!L464 &amp; "," &amp; Sheet1!M464)</f>
        <v xml:space="preserve">VILLAGE. UDHOWALI KALAN,PO. UDHOWALI KURAD,GURDASPUR,PIN:143604,PUNJAB,INDIA </v>
      </c>
      <c r="I464" s="8">
        <f>Sheet1!J464</f>
        <v>45974</v>
      </c>
      <c r="J464" s="5" t="str">
        <f>Sheet1!N464 &amp; "," &amp; TEXT(Sheet1!O464,"dd/mm/yy")</f>
        <v>202509076189,27/10/25</v>
      </c>
      <c r="K464" s="5" t="s">
        <v>14</v>
      </c>
      <c r="L464" s="38" t="s">
        <v>15</v>
      </c>
      <c r="M464" s="38" t="s">
        <v>17</v>
      </c>
      <c r="N464" s="38" t="s">
        <v>16</v>
      </c>
    </row>
    <row r="465" spans="1:14" x14ac:dyDescent="0.35">
      <c r="A465" s="4" t="str">
        <f>Sheet1!A465 &amp; "/" &amp; "2025"</f>
        <v>1863/2025</v>
      </c>
      <c r="B465" s="5" t="str">
        <f>Sheet1!E465</f>
        <v>AU2065874847625</v>
      </c>
      <c r="C465" s="6" t="str">
        <f>UPPER(Sheet1!B465)</f>
        <v>VAMIKA DEEP SHARMA</v>
      </c>
      <c r="D465" s="7" t="str">
        <f>IF(Sheet1!F465="F","FEMALE","MALE")</f>
        <v>FEMALE</v>
      </c>
      <c r="E465" s="6" t="str">
        <f>UPPER(Sheet1!G465)</f>
        <v>DEEP SANJAY SHARMA</v>
      </c>
      <c r="F465" s="6" t="str">
        <f>UPPER(Sheet1!H465)</f>
        <v>HETAL SHARAD SOLANKI</v>
      </c>
      <c r="G465" s="5" t="str">
        <f>TEXT(Sheet1!C465,"dd/mm/yyyy") &amp; "," &amp; Sheet1!D465</f>
        <v xml:space="preserve">25/03/2025,HEIDELBERG , AUSTRALIA </v>
      </c>
      <c r="H465" s="57" t="str">
        <f>UPPER(Sheet1!K465 &amp; "," &amp; Sheet1!L465 &amp; "," &amp; Sheet1!M465)</f>
        <v xml:space="preserve">203,SHRENIK TOWER,AMRUT NAGAR,GHATKOPAR WEST,MUMBAI,PIN:400086,MAHARASHTRA,INDIA </v>
      </c>
      <c r="I465" s="8">
        <f>Sheet1!J465</f>
        <v>45974</v>
      </c>
      <c r="J465" s="5" t="str">
        <f>Sheet1!N465 &amp; "," &amp; TEXT(Sheet1!O465,"dd/mm/yy")</f>
        <v>202509065611,16/09/25</v>
      </c>
      <c r="K465" s="5" t="s">
        <v>14</v>
      </c>
      <c r="L465" s="38" t="s">
        <v>15</v>
      </c>
      <c r="M465" s="38" t="s">
        <v>17</v>
      </c>
      <c r="N465" s="38" t="s">
        <v>16</v>
      </c>
    </row>
    <row r="466" spans="1:14" x14ac:dyDescent="0.35">
      <c r="A466" s="4" t="str">
        <f>Sheet1!A466 &amp; "/" &amp; "2025"</f>
        <v>1864/2025</v>
      </c>
      <c r="B466" s="5" t="str">
        <f>Sheet1!E466</f>
        <v>AU2065874849825</v>
      </c>
      <c r="C466" s="6" t="str">
        <f>UPPER(Sheet1!B466)</f>
        <v>HARNIWAZ SINGH WARRAICH</v>
      </c>
      <c r="D466" s="7" t="str">
        <f>IF(Sheet1!F466="F","FEMALE","MALE")</f>
        <v>MALE</v>
      </c>
      <c r="E466" s="6" t="str">
        <f>UPPER(Sheet1!G466)</f>
        <v>KAMALJEET SINGH</v>
      </c>
      <c r="F466" s="6" t="str">
        <f>UPPER(Sheet1!H466)</f>
        <v>MANPREET KAUR</v>
      </c>
      <c r="G466" s="5" t="str">
        <f>TEXT(Sheet1!C466,"dd/mm/yyyy") &amp; "," &amp; Sheet1!D466</f>
        <v>23/06/2025,DANDENONG, AUSTRALIA</v>
      </c>
      <c r="H466" s="57" t="str">
        <f>UPPER(Sheet1!K466 &amp; "," &amp; Sheet1!L466 &amp; "," &amp; Sheet1!M466)</f>
        <v xml:space="preserve">VPO.CHABBA ,LEHNDI PATTI,TARN TARAN ROAD,TEH. AND DISTT,AMRITSAR,PIN:143022,PUNJAB,INDIA </v>
      </c>
      <c r="I466" s="8">
        <f>Sheet1!J466</f>
        <v>45974</v>
      </c>
      <c r="J466" s="5" t="str">
        <f>Sheet1!N466 &amp; "," &amp; TEXT(Sheet1!O466,"dd/mm/yy")</f>
        <v>202509074845,22/10/25</v>
      </c>
      <c r="K466" s="5" t="s">
        <v>14</v>
      </c>
      <c r="L466" s="38" t="s">
        <v>15</v>
      </c>
      <c r="M466" s="38" t="s">
        <v>17</v>
      </c>
      <c r="N466" s="38" t="s">
        <v>16</v>
      </c>
    </row>
    <row r="467" spans="1:14" x14ac:dyDescent="0.35">
      <c r="A467" s="4" t="str">
        <f>Sheet1!A467 &amp; "/" &amp; "2025"</f>
        <v>1865/2025</v>
      </c>
      <c r="B467" s="5" t="str">
        <f>Sheet1!E467</f>
        <v>AU2065874850425</v>
      </c>
      <c r="C467" s="6" t="str">
        <f>UPPER(Sheet1!B467)</f>
        <v>DILRAJ SINGH SIDHU</v>
      </c>
      <c r="D467" s="7" t="str">
        <f>IF(Sheet1!F467="F","FEMALE","MALE")</f>
        <v>MALE</v>
      </c>
      <c r="E467" s="6" t="str">
        <f>UPPER(Sheet1!G467)</f>
        <v>AMARJEET SINGH SIDHU</v>
      </c>
      <c r="F467" s="6" t="str">
        <f>UPPER(Sheet1!H467)</f>
        <v>KULVEER KAUR DHALIWAL</v>
      </c>
      <c r="G467" s="5" t="str">
        <f>TEXT(Sheet1!C467,"dd/mm/yyyy") &amp; "," &amp; Sheet1!D467</f>
        <v xml:space="preserve">23/07/2025,GEELONG , AUSTRALIA </v>
      </c>
      <c r="H467" s="57" t="str">
        <f>UPPER(Sheet1!K467 &amp; "," &amp; Sheet1!L467 &amp; "," &amp; Sheet1!M467)</f>
        <v xml:space="preserve">VILLAGE MALLESHAH,PO. KASSOANA,TEHSIL ZIRA,FEROZEPUR,PIN:142050,PUNJAB,INDIA </v>
      </c>
      <c r="I467" s="8">
        <f>Sheet1!J467</f>
        <v>45974</v>
      </c>
      <c r="J467" s="5" t="str">
        <f>Sheet1!N467 &amp; "," &amp; TEXT(Sheet1!O467,"dd/mm/yy")</f>
        <v>202509076187,27/10/25</v>
      </c>
      <c r="K467" s="5" t="s">
        <v>14</v>
      </c>
      <c r="L467" s="38" t="s">
        <v>15</v>
      </c>
      <c r="M467" s="38" t="s">
        <v>17</v>
      </c>
      <c r="N467" s="38" t="s">
        <v>16</v>
      </c>
    </row>
    <row r="468" spans="1:14" x14ac:dyDescent="0.35">
      <c r="A468" s="4" t="str">
        <f>Sheet1!A468 &amp; "/" &amp; "2025"</f>
        <v>1866/2025</v>
      </c>
      <c r="B468" s="5" t="str">
        <f>Sheet1!E468</f>
        <v>AU2065874861825</v>
      </c>
      <c r="C468" s="6" t="str">
        <f>UPPER(Sheet1!B468)</f>
        <v>ARMAAN JOSHI</v>
      </c>
      <c r="D468" s="7" t="str">
        <f>IF(Sheet1!F468="F","FEMALE","MALE")</f>
        <v>MALE</v>
      </c>
      <c r="E468" s="6" t="str">
        <f>UPPER(Sheet1!G468)</f>
        <v>AMAN JOSHI</v>
      </c>
      <c r="F468" s="6" t="str">
        <f>UPPER(Sheet1!H468)</f>
        <v>SAMRITI JOSHI</v>
      </c>
      <c r="G468" s="5" t="str">
        <f>TEXT(Sheet1!C468,"dd/mm/yyyy") &amp; "," &amp; Sheet1!D468</f>
        <v xml:space="preserve">06/10/2025,GEELONG , AUSTRALIA </v>
      </c>
      <c r="H468" s="57" t="str">
        <f>UPPER(Sheet1!K468 &amp; "," &amp; Sheet1!L468 &amp; "," &amp; Sheet1!M468)</f>
        <v xml:space="preserve">VPO PHARWALA TEHSIL PHILLAUR,JALANDHAR,JALANDHAR,PIN:144037,PUNJAB,INDIA </v>
      </c>
      <c r="I468" s="8">
        <f>Sheet1!J468</f>
        <v>45974</v>
      </c>
      <c r="J468" s="5" t="str">
        <f>Sheet1!N468 &amp; "," &amp; TEXT(Sheet1!O468,"dd/mm/yy")</f>
        <v>202509076905,29/10/25</v>
      </c>
      <c r="K468" s="5" t="s">
        <v>14</v>
      </c>
      <c r="L468" s="38" t="s">
        <v>15</v>
      </c>
      <c r="M468" s="38" t="s">
        <v>17</v>
      </c>
      <c r="N468" s="38" t="s">
        <v>16</v>
      </c>
    </row>
    <row r="469" spans="1:14" x14ac:dyDescent="0.35">
      <c r="A469" s="4" t="str">
        <f>Sheet1!A469 &amp; "/" &amp; "2025"</f>
        <v>1867/2025</v>
      </c>
      <c r="B469" s="5" t="str">
        <f>Sheet1!E469</f>
        <v>AU2065874862825</v>
      </c>
      <c r="C469" s="6" t="str">
        <f>UPPER(Sheet1!B469)</f>
        <v>NIRVAIR SINGH GILL</v>
      </c>
      <c r="D469" s="7" t="str">
        <f>IF(Sheet1!F469="F","FEMALE","MALE")</f>
        <v>MALE</v>
      </c>
      <c r="E469" s="6" t="str">
        <f>UPPER(Sheet1!G469)</f>
        <v>JAGPREET SINGH GILL</v>
      </c>
      <c r="F469" s="6" t="str">
        <f>UPPER(Sheet1!H469)</f>
        <v>KHUSHVEER KAUR</v>
      </c>
      <c r="G469" s="5" t="str">
        <f>TEXT(Sheet1!C469,"dd/mm/yyyy") &amp; "," &amp; Sheet1!D469</f>
        <v xml:space="preserve">07/10/2025,ST ALBANS , AUSTRALIA </v>
      </c>
      <c r="H469" s="57" t="str">
        <f>UPPER(Sheet1!K469 &amp; "," &amp; Sheet1!L469 &amp; "," &amp; Sheet1!M469)</f>
        <v xml:space="preserve">HOUSE NO: 100,RAISAR,BARNALA,PIN:148101,PUNJAB,INDIA </v>
      </c>
      <c r="I469" s="8">
        <f>Sheet1!J469</f>
        <v>45974</v>
      </c>
      <c r="J469" s="5" t="str">
        <f>Sheet1!N469 &amp; "," &amp; TEXT(Sheet1!O469,"dd/mm/yy")</f>
        <v>202509076543,28/10/25</v>
      </c>
      <c r="K469" s="5" t="s">
        <v>14</v>
      </c>
      <c r="L469" s="38" t="s">
        <v>15</v>
      </c>
      <c r="M469" s="38" t="s">
        <v>17</v>
      </c>
      <c r="N469" s="38" t="s">
        <v>16</v>
      </c>
    </row>
    <row r="470" spans="1:14" x14ac:dyDescent="0.35">
      <c r="A470" s="4" t="str">
        <f>Sheet1!A470 &amp; "/" &amp; "2025"</f>
        <v>1868/2025</v>
      </c>
      <c r="B470" s="5" t="str">
        <f>Sheet1!E470</f>
        <v>AU2065874863225</v>
      </c>
      <c r="C470" s="6" t="str">
        <f>UPPER(Sheet1!B470)</f>
        <v>JUJHAAR SINGH BAJWA</v>
      </c>
      <c r="D470" s="7" t="str">
        <f>IF(Sheet1!F470="F","FEMALE","MALE")</f>
        <v>MALE</v>
      </c>
      <c r="E470" s="6" t="str">
        <f>UPPER(Sheet1!G470)</f>
        <v>BARINDER SINGH</v>
      </c>
      <c r="F470" s="6" t="str">
        <f>UPPER(Sheet1!H470)</f>
        <v>GAGANDEEP KAUR</v>
      </c>
      <c r="G470" s="5" t="str">
        <f>TEXT(Sheet1!C470,"dd/mm/yyyy") &amp; "," &amp; Sheet1!D470</f>
        <v xml:space="preserve">06/08/2025,ST ALBANS , AUSTRALIA </v>
      </c>
      <c r="H470" s="57" t="str">
        <f>UPPER(Sheet1!K470 &amp; "," &amp; Sheet1!L470 &amp; "," &amp; Sheet1!M470)</f>
        <v xml:space="preserve">VILL. LADHU BHANA,P.O. UDHOKE,TEH. BATALA,GURDASPUR,PIN:143505,PUNJAB,INDIA </v>
      </c>
      <c r="I470" s="8">
        <f>Sheet1!J470</f>
        <v>45974</v>
      </c>
      <c r="J470" s="5" t="str">
        <f>Sheet1!N470 &amp; "," &amp; TEXT(Sheet1!O470,"dd/mm/yy")</f>
        <v>202509062251,03/09/25</v>
      </c>
      <c r="K470" s="5" t="s">
        <v>14</v>
      </c>
      <c r="L470" s="38" t="s">
        <v>15</v>
      </c>
      <c r="M470" s="38" t="s">
        <v>17</v>
      </c>
      <c r="N470" s="38" t="s">
        <v>16</v>
      </c>
    </row>
    <row r="471" spans="1:14" x14ac:dyDescent="0.35">
      <c r="A471" s="4" t="str">
        <f>Sheet1!A471 &amp; "/" &amp; "2025"</f>
        <v>1869/2025</v>
      </c>
      <c r="B471" s="5" t="str">
        <f>Sheet1!E471</f>
        <v>AU2065874865025</v>
      </c>
      <c r="C471" s="6" t="str">
        <f>UPPER(Sheet1!B471)</f>
        <v>NADAR KAUR DHINDSA</v>
      </c>
      <c r="D471" s="7" t="str">
        <f>IF(Sheet1!F471="F","FEMALE","MALE")</f>
        <v>FEMALE</v>
      </c>
      <c r="E471" s="6" t="str">
        <f>UPPER(Sheet1!G471)</f>
        <v>JASHANPREET SINGH</v>
      </c>
      <c r="F471" s="6" t="str">
        <f>UPPER(Sheet1!H471)</f>
        <v>PARNEET KAUR</v>
      </c>
      <c r="G471" s="5" t="str">
        <f>TEXT(Sheet1!C471,"dd/mm/yyyy") &amp; "," &amp; Sheet1!D471</f>
        <v xml:space="preserve">12/07/2025,BUNDOORA, AUSTRALIA </v>
      </c>
      <c r="H471" s="57" t="str">
        <f>UPPER(Sheet1!K471 &amp; "," &amp; Sheet1!L471 &amp; "," &amp; Sheet1!M471)</f>
        <v xml:space="preserve">VILLAGE KHARAURA,PO.ROORKI,FATEHGARH SAHIB,PIN:140406,PUNJAB,INDIA </v>
      </c>
      <c r="I471" s="8">
        <f>Sheet1!J471</f>
        <v>0</v>
      </c>
      <c r="J471" s="5" t="str">
        <f>Sheet1!N471 &amp; "," &amp; TEXT(Sheet1!O471,"dd/mm/yy")</f>
        <v>202509071275,08/10/25</v>
      </c>
      <c r="K471" s="5" t="s">
        <v>14</v>
      </c>
      <c r="L471" s="38" t="s">
        <v>15</v>
      </c>
      <c r="M471" s="38" t="s">
        <v>17</v>
      </c>
      <c r="N471" s="38" t="s">
        <v>16</v>
      </c>
    </row>
    <row r="472" spans="1:14" x14ac:dyDescent="0.35">
      <c r="A472" s="4" t="str">
        <f>Sheet1!A472 &amp; "/" &amp; "2025"</f>
        <v>1870/2025</v>
      </c>
      <c r="B472" s="5" t="str">
        <f>Sheet1!E472</f>
        <v>AU2065874865825</v>
      </c>
      <c r="C472" s="6" t="str">
        <f>UPPER(Sheet1!B472)</f>
        <v>OMAR RAYYAN MOHAMMED</v>
      </c>
      <c r="D472" s="7" t="str">
        <f>IF(Sheet1!F472="F","FEMALE","MALE")</f>
        <v>MALE</v>
      </c>
      <c r="E472" s="6" t="str">
        <f>UPPER(Sheet1!G472)</f>
        <v>ABDUL GHAFOOR MOHAMMED</v>
      </c>
      <c r="F472" s="6" t="str">
        <f>UPPER(Sheet1!H472)</f>
        <v>FARHATH SULTANA</v>
      </c>
      <c r="G472" s="5" t="str">
        <f>TEXT(Sheet1!C472,"dd/mm/yyyy") &amp; "," &amp; Sheet1!D472</f>
        <v xml:space="preserve">23/09/2025,PARKVILLE , AUSTRALIA  </v>
      </c>
      <c r="H472" s="57" t="str">
        <f>UPPER(Sheet1!K472 &amp; "," &amp; Sheet1!L472 &amp; "," &amp; Sheet1!M472)</f>
        <v xml:space="preserve">H NO 3-2-110,RAHMATHPURA,SANGAREDDY,SANGAREDDY,PIN:502001,TELANGANA,INDIA </v>
      </c>
      <c r="I472" s="8">
        <f>Sheet1!J472</f>
        <v>45974</v>
      </c>
      <c r="J472" s="5" t="str">
        <f>Sheet1!N472 &amp; "," &amp; TEXT(Sheet1!O472,"dd/mm/yy")</f>
        <v>202509074853,22/10/25</v>
      </c>
      <c r="K472" s="5" t="s">
        <v>14</v>
      </c>
      <c r="L472" s="38" t="s">
        <v>15</v>
      </c>
      <c r="M472" s="38" t="s">
        <v>17</v>
      </c>
      <c r="N472" s="38" t="s">
        <v>16</v>
      </c>
    </row>
    <row r="473" spans="1:14" x14ac:dyDescent="0.35">
      <c r="A473" s="4" t="str">
        <f>Sheet1!A473 &amp; "/" &amp; "2025"</f>
        <v>1871/2025</v>
      </c>
      <c r="B473" s="5" t="str">
        <f>Sheet1!E473</f>
        <v>AU2065874866025</v>
      </c>
      <c r="C473" s="6" t="str">
        <f>UPPER(Sheet1!B473)</f>
        <v>KIRPAL SINGH</v>
      </c>
      <c r="D473" s="7" t="str">
        <f>IF(Sheet1!F473="F","FEMALE","MALE")</f>
        <v>MALE</v>
      </c>
      <c r="E473" s="6" t="str">
        <f>UPPER(Sheet1!G473)</f>
        <v>PARAMJEET SINGH</v>
      </c>
      <c r="F473" s="6" t="str">
        <f>UPPER(Sheet1!H473)</f>
        <v>SUMAN KAUR</v>
      </c>
      <c r="G473" s="5" t="str">
        <f>TEXT(Sheet1!C473,"dd/mm/yyyy") &amp; "," &amp; Sheet1!D473</f>
        <v xml:space="preserve">10/08/2025,WERIBEE, AUSTRALIA </v>
      </c>
      <c r="H473" s="57" t="str">
        <f>UPPER(Sheet1!K473 &amp; "," &amp; Sheet1!L473 &amp; "," &amp; Sheet1!M473)</f>
        <v xml:space="preserve">VPO,CHAMMU KALAN,KURUKSHETRA,PIN:136128,HARYANA,INDIA </v>
      </c>
      <c r="I473" s="8">
        <f>Sheet1!J473</f>
        <v>45974</v>
      </c>
      <c r="J473" s="5" t="str">
        <f>Sheet1!N473 &amp; "," &amp; TEXT(Sheet1!O473,"dd/mm/yy")</f>
        <v>202509075516,24/10/25</v>
      </c>
      <c r="K473" s="5" t="s">
        <v>14</v>
      </c>
      <c r="L473" s="38" t="s">
        <v>15</v>
      </c>
      <c r="M473" s="38" t="s">
        <v>17</v>
      </c>
      <c r="N473" s="38" t="s">
        <v>16</v>
      </c>
    </row>
    <row r="474" spans="1:14" x14ac:dyDescent="0.35">
      <c r="A474" s="4" t="str">
        <f>Sheet1!A474 &amp; "/" &amp; "2025"</f>
        <v>1872/2025</v>
      </c>
      <c r="B474" s="5" t="str">
        <f>Sheet1!E474</f>
        <v>AU2065874867225</v>
      </c>
      <c r="C474" s="6" t="str">
        <f>UPPER(Sheet1!B474)</f>
        <v>SANVITH SACHIN SANGODE</v>
      </c>
      <c r="D474" s="7" t="str">
        <f>IF(Sheet1!F474="F","FEMALE","MALE")</f>
        <v>MALE</v>
      </c>
      <c r="E474" s="6" t="str">
        <f>UPPER(Sheet1!G474)</f>
        <v>SACHIN SANGODE</v>
      </c>
      <c r="F474" s="6" t="str">
        <f>UPPER(Sheet1!H474)</f>
        <v>NIVEDITA BHASKAR MESHRAM</v>
      </c>
      <c r="G474" s="5" t="str">
        <f>TEXT(Sheet1!C474,"dd/mm/yyyy") &amp; "," &amp; Sheet1!D474</f>
        <v xml:space="preserve">25/08/2025,CLAYTON , AUSTRALIA  </v>
      </c>
      <c r="H474" s="57" t="str">
        <f>UPPER(Sheet1!K474 &amp; "," &amp; Sheet1!L474 &amp; "," &amp; Sheet1!M474)</f>
        <v xml:space="preserve">401 MAHALAXMI PALACE 1,NARHARI NAGAR,MANEWADA BESA ROAD,NAGPUR CITY,PIN:440027,MAHARASHTRA,INDIA </v>
      </c>
      <c r="I474" s="8">
        <f>Sheet1!J474</f>
        <v>45974</v>
      </c>
      <c r="J474" s="5" t="str">
        <f>Sheet1!N474 &amp; "," &amp; TEXT(Sheet1!O474,"dd/mm/yy")</f>
        <v>202509074376,20/10/25</v>
      </c>
      <c r="K474" s="5" t="s">
        <v>14</v>
      </c>
      <c r="L474" s="38" t="s">
        <v>15</v>
      </c>
      <c r="M474" s="38" t="s">
        <v>17</v>
      </c>
      <c r="N474" s="38" t="s">
        <v>16</v>
      </c>
    </row>
    <row r="475" spans="1:14" x14ac:dyDescent="0.35">
      <c r="A475" s="4" t="str">
        <f>Sheet1!A475 &amp; "/" &amp; "2025"</f>
        <v>1873/2025</v>
      </c>
      <c r="B475" s="5" t="str">
        <f>Sheet1!E475</f>
        <v>AU2065874867625</v>
      </c>
      <c r="C475" s="6" t="str">
        <f>UPPER(Sheet1!B475)</f>
        <v>YUVREEN KAUR GREWAL</v>
      </c>
      <c r="D475" s="7" t="str">
        <f>IF(Sheet1!F475="F","FEMALE","MALE")</f>
        <v>FEMALE</v>
      </c>
      <c r="E475" s="6" t="str">
        <f>UPPER(Sheet1!G475)</f>
        <v>INDERPREET SINGH</v>
      </c>
      <c r="F475" s="6" t="str">
        <f>UPPER(Sheet1!H475)</f>
        <v>KOMALPREET KAUR</v>
      </c>
      <c r="G475" s="5" t="str">
        <f>TEXT(Sheet1!C475,"dd/mm/yyyy") &amp; "," &amp; Sheet1!D475</f>
        <v xml:space="preserve">16/07/2025,SANDRINGHAM, AUSTRALIA </v>
      </c>
      <c r="H475" s="57" t="str">
        <f>UPPER(Sheet1!K475 &amp; "," &amp; Sheet1!L475 &amp; "," &amp; Sheet1!M475)</f>
        <v xml:space="preserve">H NO 122,BADDOWAL,JAGRAON (LUDHIANA),PIN:142021,PUNJAB,INDIA </v>
      </c>
      <c r="I475" s="8">
        <f>Sheet1!J475</f>
        <v>45974</v>
      </c>
      <c r="J475" s="5" t="str">
        <f>Sheet1!N475 &amp; "," &amp; TEXT(Sheet1!O475,"dd/mm/yy")</f>
        <v>202509066255,18/09/25</v>
      </c>
      <c r="K475" s="5" t="s">
        <v>14</v>
      </c>
      <c r="L475" s="38" t="s">
        <v>15</v>
      </c>
      <c r="M475" s="38" t="s">
        <v>17</v>
      </c>
      <c r="N475" s="38" t="s">
        <v>16</v>
      </c>
    </row>
    <row r="476" spans="1:14" x14ac:dyDescent="0.35">
      <c r="A476" s="4" t="str">
        <f>Sheet1!A476 &amp; "/" &amp; "2025"</f>
        <v>1874/2025</v>
      </c>
      <c r="B476" s="5" t="str">
        <f>Sheet1!E476</f>
        <v>AU2065874868425</v>
      </c>
      <c r="C476" s="6" t="str">
        <f>UPPER(Sheet1!B476)</f>
        <v>DVITANSH DANDU</v>
      </c>
      <c r="D476" s="7" t="str">
        <f>IF(Sheet1!F476="F","FEMALE","MALE")</f>
        <v>MALE</v>
      </c>
      <c r="E476" s="6" t="str">
        <f>UPPER(Sheet1!G476)</f>
        <v>HARESH DANDU</v>
      </c>
      <c r="F476" s="6" t="str">
        <f>UPPER(Sheet1!H476)</f>
        <v>DIVYA ROOPA NAMBURI</v>
      </c>
      <c r="G476" s="5" t="str">
        <f>TEXT(Sheet1!C476,"dd/mm/yyyy") &amp; "," &amp; Sheet1!D476</f>
        <v xml:space="preserve">19/08/2025,CLAYTON , AUSTRALIA  </v>
      </c>
      <c r="H476" s="57" t="str">
        <f>UPPER(Sheet1!K476 &amp; "," &amp; Sheet1!L476 &amp; "," &amp; Sheet1!M476)</f>
        <v xml:space="preserve">H.NO : M.I.G.H -174 ,APHB COLONY,ADONI,KURNOOL,PIN:518301,ANDHRA PRADESH,INDIA </v>
      </c>
      <c r="I476" s="8">
        <f>Sheet1!J476</f>
        <v>45974</v>
      </c>
      <c r="J476" s="5" t="str">
        <f>Sheet1!N476 &amp; "," &amp; TEXT(Sheet1!O476,"dd/mm/yy")</f>
        <v>202509076538,28/10/25</v>
      </c>
      <c r="K476" s="5" t="s">
        <v>14</v>
      </c>
      <c r="L476" s="38" t="s">
        <v>15</v>
      </c>
      <c r="M476" s="38" t="s">
        <v>17</v>
      </c>
      <c r="N476" s="38" t="s">
        <v>16</v>
      </c>
    </row>
    <row r="477" spans="1:14" x14ac:dyDescent="0.35">
      <c r="A477" s="4" t="str">
        <f>Sheet1!A477 &amp; "/" &amp; "2025"</f>
        <v>1875/2025</v>
      </c>
      <c r="B477" s="5" t="str">
        <f>Sheet1!E477</f>
        <v>AU2065877895825</v>
      </c>
      <c r="C477" s="6" t="str">
        <f>UPPER(Sheet1!B477)</f>
        <v>RIA REDDY VANTERU</v>
      </c>
      <c r="D477" s="7" t="str">
        <f>IF(Sheet1!F477="F","FEMALE","MALE")</f>
        <v>FEMALE</v>
      </c>
      <c r="E477" s="6" t="str">
        <f>UPPER(Sheet1!G477)</f>
        <v>VENKATA KAMALESHWAR REDDY VANTERU</v>
      </c>
      <c r="F477" s="6" t="str">
        <f>UPPER(Sheet1!H477)</f>
        <v>SILPA PRIYA DRONADULA</v>
      </c>
      <c r="G477" s="5" t="str">
        <f>TEXT(Sheet1!C477,"dd/mm/yyyy") &amp; "," &amp; Sheet1!D477</f>
        <v xml:space="preserve">23/09/2025,WERIBEE, AUSTRALIA </v>
      </c>
      <c r="H477" s="57" t="str">
        <f>UPPER(Sheet1!K477 &amp; "," &amp; Sheet1!L477 &amp; "," &amp; Sheet1!M477)</f>
        <v xml:space="preserve">26-03-32,F. 103,SAHITHI RES,GATE ROAD,VEDAYAPALEM,SRI POTTI SRIRAMULU NELLORE,PIN:524004,ANDHRA PRADESH,INDIA </v>
      </c>
      <c r="I477" s="8">
        <f>Sheet1!J477</f>
        <v>45975</v>
      </c>
      <c r="J477" s="5" t="str">
        <f>Sheet1!N477 &amp; "," &amp; TEXT(Sheet1!O477,"dd/mm/yy")</f>
        <v>202509074726,21/10/25</v>
      </c>
      <c r="K477" s="5" t="s">
        <v>14</v>
      </c>
      <c r="L477" s="38" t="s">
        <v>15</v>
      </c>
      <c r="M477" s="38" t="s">
        <v>17</v>
      </c>
      <c r="N477" s="38" t="s">
        <v>16</v>
      </c>
    </row>
    <row r="478" spans="1:14" x14ac:dyDescent="0.35">
      <c r="A478" s="4" t="str">
        <f>Sheet1!A478 &amp; "/" &amp; "2025"</f>
        <v>1876/2025</v>
      </c>
      <c r="B478" s="5" t="str">
        <f>Sheet1!E478</f>
        <v>AU2065877901225</v>
      </c>
      <c r="C478" s="6" t="str">
        <f>UPPER(Sheet1!B478)</f>
        <v>IBADAT KAUR</v>
      </c>
      <c r="D478" s="7" t="str">
        <f>IF(Sheet1!F478="F","FEMALE","MALE")</f>
        <v>FEMALE</v>
      </c>
      <c r="E478" s="6" t="str">
        <f>UPPER(Sheet1!G478)</f>
        <v>KIRAT PAL SINGH VIRK</v>
      </c>
      <c r="F478" s="6" t="str">
        <f>UPPER(Sheet1!H478)</f>
        <v>SATPREET KAUR</v>
      </c>
      <c r="G478" s="5" t="str">
        <f>TEXT(Sheet1!C478,"dd/mm/yyyy") &amp; "," &amp; Sheet1!D478</f>
        <v xml:space="preserve">23/08/2025,CLAYTON , AUSTRALIA  </v>
      </c>
      <c r="H478" s="57" t="str">
        <f>UPPER(Sheet1!K478 &amp; "," &amp; Sheet1!L478 &amp; "," &amp; Sheet1!M478)</f>
        <v xml:space="preserve">VPO BALOO,TEHSIL NISSING,KARNAL,PIN:132001,HARYANA,INDIA </v>
      </c>
      <c r="I478" s="8">
        <f>Sheet1!J478</f>
        <v>45975</v>
      </c>
      <c r="J478" s="5" t="str">
        <f>Sheet1!N478 &amp; "," &amp; TEXT(Sheet1!O478,"dd/mm/yy")</f>
        <v>202509073496,16/10/25</v>
      </c>
      <c r="K478" s="5" t="s">
        <v>14</v>
      </c>
      <c r="L478" s="38" t="s">
        <v>15</v>
      </c>
      <c r="M478" s="38" t="s">
        <v>17</v>
      </c>
      <c r="N478" s="38" t="s">
        <v>16</v>
      </c>
    </row>
    <row r="479" spans="1:14" x14ac:dyDescent="0.35">
      <c r="A479" s="4" t="str">
        <f>Sheet1!A479 &amp; "/" &amp; "2025"</f>
        <v>1877/2025</v>
      </c>
      <c r="B479" s="5" t="str">
        <f>Sheet1!E479</f>
        <v>AU2065877901625</v>
      </c>
      <c r="C479" s="6" t="str">
        <f>UPPER(Sheet1!B479)</f>
        <v>YUGAN GOKULA KRISHNAN</v>
      </c>
      <c r="D479" s="7" t="str">
        <f>IF(Sheet1!F479="F","FEMALE","MALE")</f>
        <v>MALE</v>
      </c>
      <c r="E479" s="6" t="str">
        <f>UPPER(Sheet1!G479)</f>
        <v>GOKULA KRISHNAN MANICKAM</v>
      </c>
      <c r="F479" s="6" t="str">
        <f>UPPER(Sheet1!H479)</f>
        <v>BHUVANESWARI NACHIMUTHU</v>
      </c>
      <c r="G479" s="5" t="str">
        <f>TEXT(Sheet1!C479,"dd/mm/yyyy") &amp; "," &amp; Sheet1!D479</f>
        <v xml:space="preserve">28/09/2025,CLAYTON , AUSTRALIA  </v>
      </c>
      <c r="H479" s="57" t="str">
        <f>UPPER(Sheet1!K479 &amp; "," &amp; Sheet1!L479 &amp; "," &amp; Sheet1!M479)</f>
        <v xml:space="preserve">2/2793,UNION NAGAR,PAKKOTHIPALAYAM,SULEESWARAN PATTI,COIMBATORE RURAL,PIN:642006,TAMIL NADU,INDIA </v>
      </c>
      <c r="I479" s="8">
        <f>Sheet1!J479</f>
        <v>45975</v>
      </c>
      <c r="J479" s="5" t="str">
        <f>Sheet1!N479 &amp; "," &amp; TEXT(Sheet1!O479,"dd/mm/yy")</f>
        <v>202509074961,22/10/25</v>
      </c>
      <c r="K479" s="5" t="s">
        <v>14</v>
      </c>
      <c r="L479" s="38" t="s">
        <v>15</v>
      </c>
      <c r="M479" s="38" t="s">
        <v>17</v>
      </c>
      <c r="N479" s="38" t="s">
        <v>16</v>
      </c>
    </row>
    <row r="480" spans="1:14" x14ac:dyDescent="0.35">
      <c r="A480" s="4" t="str">
        <f>Sheet1!A480 &amp; "/" &amp; "2025"</f>
        <v>1878/2025</v>
      </c>
      <c r="B480" s="5" t="str">
        <f>Sheet1!E480</f>
        <v>AU2065877902425</v>
      </c>
      <c r="C480" s="6" t="str">
        <f>UPPER(Sheet1!B480)</f>
        <v>AVIRAJ GRAAK</v>
      </c>
      <c r="D480" s="7" t="str">
        <f>IF(Sheet1!F480="F","FEMALE","MALE")</f>
        <v>MALE</v>
      </c>
      <c r="E480" s="6" t="str">
        <f>UPPER(Sheet1!G480)</f>
        <v>AMAN KUMAR</v>
      </c>
      <c r="F480" s="6" t="str">
        <f>UPPER(Sheet1!H480)</f>
        <v>AARTI</v>
      </c>
      <c r="G480" s="5" t="str">
        <f>TEXT(Sheet1!C480,"dd/mm/yyyy") &amp; "," &amp; Sheet1!D480</f>
        <v xml:space="preserve">02/09/2025,ST ALBANS , AUSTRALIA </v>
      </c>
      <c r="H480" s="57" t="str">
        <f>UPPER(Sheet1!K480 &amp; "," &amp; Sheet1!L480 &amp; "," &amp; Sheet1!M480)</f>
        <v xml:space="preserve">H.NO-362,ROADO KA MOHALLA,VPO-CHOCHRA,TEH ASSANDH,KARNAL,PIN:132039,HARYANA,INDIA </v>
      </c>
      <c r="I480" s="8">
        <f>Sheet1!J480</f>
        <v>45975</v>
      </c>
      <c r="J480" s="5" t="str">
        <f>Sheet1!N480 &amp; "," &amp; TEXT(Sheet1!O480,"dd/mm/yy")</f>
        <v>202509073045,15/10/25</v>
      </c>
      <c r="K480" s="5" t="s">
        <v>14</v>
      </c>
      <c r="L480" s="38" t="s">
        <v>15</v>
      </c>
      <c r="M480" s="38" t="s">
        <v>17</v>
      </c>
      <c r="N480" s="38" t="s">
        <v>16</v>
      </c>
    </row>
    <row r="481" spans="1:14" x14ac:dyDescent="0.35">
      <c r="A481" s="4" t="str">
        <f>Sheet1!A481 &amp; "/" &amp; "2025"</f>
        <v>1879/2025</v>
      </c>
      <c r="B481" s="5" t="str">
        <f>Sheet1!E481</f>
        <v>AU2065709972525</v>
      </c>
      <c r="C481" s="6" t="str">
        <f>UPPER(Sheet1!B481)</f>
        <v>ARZOI KAUR</v>
      </c>
      <c r="D481" s="7" t="str">
        <f>IF(Sheet1!F481="F","FEMALE","MALE")</f>
        <v>FEMALE</v>
      </c>
      <c r="E481" s="6" t="str">
        <f>UPPER(Sheet1!G481)</f>
        <v>KANWALPREET SINGH</v>
      </c>
      <c r="F481" s="6" t="str">
        <f>UPPER(Sheet1!H481)</f>
        <v>SIMRANJEET  KAUR</v>
      </c>
      <c r="G481" s="5" t="str">
        <f>TEXT(Sheet1!C481,"dd/mm/yyyy") &amp; "," &amp; Sheet1!D481</f>
        <v xml:space="preserve">17/04/2025,BERWICK , AUSTRALIA  </v>
      </c>
      <c r="H481" s="57" t="str">
        <f>UPPER(Sheet1!K481 &amp; "," &amp; Sheet1!L481 &amp; "," &amp; Sheet1!M481)</f>
        <v>217,PREM NAGAR,MIRAN KOT CHOWNK,AJNALA ROAD,AMRITSAR,AMRITSAR,PIN:143001,PUNJAB,INDIA</v>
      </c>
      <c r="I481" s="8">
        <f>Sheet1!J481</f>
        <v>45978</v>
      </c>
      <c r="J481" s="5" t="str">
        <f>Sheet1!N481 &amp; "," &amp; TEXT(Sheet1!O481,"dd/mm/yy")</f>
        <v>202509042841,21/06/25</v>
      </c>
      <c r="K481" s="5" t="s">
        <v>14</v>
      </c>
      <c r="L481" s="38" t="s">
        <v>15</v>
      </c>
      <c r="M481" s="38" t="s">
        <v>17</v>
      </c>
      <c r="N481" s="38" t="s">
        <v>16</v>
      </c>
    </row>
    <row r="482" spans="1:14" x14ac:dyDescent="0.35">
      <c r="A482" s="4" t="str">
        <f>Sheet1!A482 &amp; "/" &amp; "2025"</f>
        <v>1880/2025</v>
      </c>
      <c r="B482" s="5" t="str">
        <f>Sheet1!E482</f>
        <v>AU2065709972725</v>
      </c>
      <c r="C482" s="6" t="str">
        <f>UPPER(Sheet1!B482)</f>
        <v>SANIMAR KAUR SANDHU</v>
      </c>
      <c r="D482" s="7" t="str">
        <f>IF(Sheet1!F482="F","FEMALE","MALE")</f>
        <v>FEMALE</v>
      </c>
      <c r="E482" s="6" t="str">
        <f>UPPER(Sheet1!G482)</f>
        <v>DARSHAN SINGH</v>
      </c>
      <c r="F482" s="6" t="str">
        <f>UPPER(Sheet1!H482)</f>
        <v>MANMEET KAUR  SANDHU</v>
      </c>
      <c r="G482" s="5" t="str">
        <f>TEXT(Sheet1!C482,"dd/mm/yyyy") &amp; "," &amp; Sheet1!D482</f>
        <v xml:space="preserve">09/01/2025,BERWICK , AUSTRALIA  </v>
      </c>
      <c r="H482" s="57" t="str">
        <f>UPPER(Sheet1!K482 &amp; "," &amp; Sheet1!L482 &amp; "," &amp; Sheet1!M482)</f>
        <v>VILL.VEERAM,P.O.BHIKHIWIND TEH PATTI,TARN TARAN,PIN:143401,PUNJAB,INDIA</v>
      </c>
      <c r="I482" s="8">
        <f>Sheet1!J482</f>
        <v>45978</v>
      </c>
      <c r="J482" s="5" t="str">
        <f>Sheet1!N482 &amp; "," &amp; TEXT(Sheet1!O482,"dd/mm/yy")</f>
        <v>202509069201,30/09/25</v>
      </c>
      <c r="K482" s="5" t="s">
        <v>14</v>
      </c>
      <c r="L482" s="38" t="s">
        <v>15</v>
      </c>
      <c r="M482" s="38" t="s">
        <v>17</v>
      </c>
      <c r="N482" s="38" t="s">
        <v>16</v>
      </c>
    </row>
    <row r="483" spans="1:14" ht="30" customHeight="1" x14ac:dyDescent="0.35">
      <c r="A483" s="4" t="str">
        <f>Sheet1!A483 &amp; "/" &amp; "2025"</f>
        <v>1881/2025</v>
      </c>
      <c r="B483" s="5" t="str">
        <f>Sheet1!E483</f>
        <v>AU2065709972925</v>
      </c>
      <c r="C483" s="6" t="str">
        <f>UPPER(Sheet1!B483)</f>
        <v>ARJUN SRUJALKUMAR CHAUDHARI</v>
      </c>
      <c r="D483" s="7" t="str">
        <f>IF(Sheet1!F483="F","FEMALE","MALE")</f>
        <v>MALE</v>
      </c>
      <c r="E483" s="6" t="str">
        <f>UPPER(Sheet1!G483)</f>
        <v>SRUJALKUMAR RAMESHBHAI CHAUDHARI</v>
      </c>
      <c r="F483" s="6" t="str">
        <f>UPPER(Sheet1!H483)</f>
        <v>NISHABEN SRUJALKUMAR  CHAUDHARI</v>
      </c>
      <c r="G483" s="5" t="str">
        <f>TEXT(Sheet1!C483,"dd/mm/yyyy") &amp; "," &amp; Sheet1!D483</f>
        <v xml:space="preserve">02/06/2025,BERWICK , AUSTRALIA  </v>
      </c>
      <c r="H483" s="57" t="str">
        <f>UPPER(Sheet1!K483 &amp; "," &amp; Sheet1!L483 &amp; "," &amp; Sheet1!M483)</f>
        <v>207 KH DANGLAVAAS,RANGAKUI VISNAGAR,MEHSANA,PIN:384315,GUJARAT,INDIA</v>
      </c>
      <c r="I483" s="8">
        <f>Sheet1!J483</f>
        <v>45978</v>
      </c>
      <c r="J483" s="5" t="str">
        <f>Sheet1!N483 &amp; "," &amp; TEXT(Sheet1!O483,"dd/mm/yy")</f>
        <v>202509077634,31/10/25</v>
      </c>
      <c r="K483" s="5" t="s">
        <v>14</v>
      </c>
      <c r="L483" s="38" t="s">
        <v>15</v>
      </c>
      <c r="M483" s="38" t="s">
        <v>17</v>
      </c>
      <c r="N483" s="38" t="s">
        <v>16</v>
      </c>
    </row>
    <row r="484" spans="1:14" x14ac:dyDescent="0.35">
      <c r="A484" s="4" t="str">
        <f>Sheet1!A484 &amp; "/" &amp; "2025"</f>
        <v>1882/2025</v>
      </c>
      <c r="B484" s="5" t="str">
        <f>Sheet1!E484</f>
        <v>AU2065880541225</v>
      </c>
      <c r="C484" s="6" t="str">
        <f>UPPER(Sheet1!B484)</f>
        <v>SAMRATH SINGH</v>
      </c>
      <c r="D484" s="7" t="str">
        <f>IF(Sheet1!F484="F","FEMALE","MALE")</f>
        <v>MALE</v>
      </c>
      <c r="E484" s="6" t="str">
        <f>UPPER(Sheet1!G484)</f>
        <v>SIKANDER SINGH</v>
      </c>
      <c r="F484" s="6" t="str">
        <f>UPPER(Sheet1!H484)</f>
        <v>DALPREET KAUR</v>
      </c>
      <c r="G484" s="5" t="str">
        <f>TEXT(Sheet1!C484,"dd/mm/yyyy") &amp; "," &amp; Sheet1!D484</f>
        <v xml:space="preserve">02/08/2025,BACCHUS MARSH , AUSTRALIA  </v>
      </c>
      <c r="H484" s="57" t="str">
        <f>UPPER(Sheet1!K484 &amp; "," &amp; Sheet1!L484 &amp; "," &amp; Sheet1!M484)</f>
        <v xml:space="preserve">WARD NO-17,6-BGP-A,SANGARIA,HANUMANGARH,PIN:335063,RAJASTHAN,INDIA </v>
      </c>
      <c r="I484" s="8">
        <f>Sheet1!J484</f>
        <v>45979</v>
      </c>
      <c r="J484" s="5" t="str">
        <f>Sheet1!N484 &amp; "," &amp; TEXT(Sheet1!O484,"dd/mm/yy")</f>
        <v>202509069507,01/10/.25</v>
      </c>
      <c r="K484" s="5" t="s">
        <v>14</v>
      </c>
      <c r="L484" s="38" t="s">
        <v>15</v>
      </c>
      <c r="M484" s="38" t="s">
        <v>17</v>
      </c>
      <c r="N484" s="38" t="s">
        <v>16</v>
      </c>
    </row>
    <row r="485" spans="1:14" x14ac:dyDescent="0.35">
      <c r="A485" s="4" t="str">
        <f>Sheet1!A485 &amp; "/" &amp; "2025"</f>
        <v>1883/2025</v>
      </c>
      <c r="B485" s="5" t="str">
        <f>Sheet1!E485</f>
        <v>AU2065880541625</v>
      </c>
      <c r="C485" s="6" t="str">
        <f>UPPER(Sheet1!B485)</f>
        <v>HARNAAZ KAUR</v>
      </c>
      <c r="D485" s="7" t="str">
        <f>IF(Sheet1!F485="F","FEMALE","MALE")</f>
        <v>FEMALE</v>
      </c>
      <c r="E485" s="6" t="str">
        <f>UPPER(Sheet1!G485)</f>
        <v>GURJEET SINGH</v>
      </c>
      <c r="F485" s="6" t="str">
        <f>UPPER(Sheet1!H485)</f>
        <v>PALVINDER KAUR</v>
      </c>
      <c r="G485" s="5" t="str">
        <f>TEXT(Sheet1!C485,"dd/mm/yyyy") &amp; "," &amp; Sheet1!D485</f>
        <v xml:space="preserve">30/07/2025,ST ALBANS , AUSTRALIA </v>
      </c>
      <c r="H485" s="57" t="str">
        <f>UPPER(Sheet1!K485 &amp; "," &amp; Sheet1!L485 &amp; "," &amp; Sheet1!M485)</f>
        <v xml:space="preserve">GAUGHAT KATHARRA GOLPLAT PO SURYA NAGAR,TEHSIL KICHHA,UDHAM SINGH NAGAR,PIN:263148,UTTARAKHAND,INDIA </v>
      </c>
      <c r="I485" s="8">
        <f>Sheet1!J485</f>
        <v>45979</v>
      </c>
      <c r="J485" s="5" t="str">
        <f>Sheet1!N485 &amp; "," &amp; TEXT(Sheet1!O485,"dd/mm/yy")</f>
        <v>202509071384,08/10/25</v>
      </c>
      <c r="K485" s="5" t="s">
        <v>14</v>
      </c>
      <c r="L485" s="38" t="s">
        <v>15</v>
      </c>
      <c r="M485" s="38" t="s">
        <v>17</v>
      </c>
      <c r="N485" s="38" t="s">
        <v>16</v>
      </c>
    </row>
    <row r="486" spans="1:14" x14ac:dyDescent="0.35">
      <c r="A486" s="4" t="str">
        <f>Sheet1!A486 &amp; "/" &amp; "2025"</f>
        <v>1884/2025</v>
      </c>
      <c r="B486" s="5" t="str">
        <f>Sheet1!E486</f>
        <v>AU2065881812425</v>
      </c>
      <c r="C486" s="6" t="str">
        <f>UPPER(Sheet1!B486)</f>
        <v>AAYRA AMGOTH</v>
      </c>
      <c r="D486" s="7" t="str">
        <f>IF(Sheet1!F486="F","FEMALE","MALE")</f>
        <v>FEMALE</v>
      </c>
      <c r="E486" s="6" t="str">
        <f>UPPER(Sheet1!G486)</f>
        <v>RAHUL NAIK AMGOTH</v>
      </c>
      <c r="F486" s="6" t="str">
        <f>UPPER(Sheet1!H486)</f>
        <v>MEENAKSHI MUDAVATH</v>
      </c>
      <c r="G486" s="5" t="str">
        <f>TEXT(Sheet1!C486,"dd/mm/yyyy") &amp; "," &amp; Sheet1!D486</f>
        <v xml:space="preserve">25/09/2025,GEELONG , AUSTRALIA </v>
      </c>
      <c r="H486" s="57" t="str">
        <f>UPPER(Sheet1!K486 &amp; "," &amp; Sheet1!L486 &amp; "," &amp; Sheet1!M486)</f>
        <v xml:space="preserve">1-68,AMRABAD MANCHIPPA,NIZAMABAD,PIN:503230,TELANGANA,INDIA </v>
      </c>
      <c r="I486" s="8">
        <f>Sheet1!J486</f>
        <v>45981</v>
      </c>
      <c r="J486" s="5" t="str">
        <f>Sheet1!N486 &amp; "," &amp; TEXT(Sheet1!O486,"dd/mm/yy")</f>
        <v>202509077233,30/10/25</v>
      </c>
      <c r="K486" s="5" t="s">
        <v>14</v>
      </c>
      <c r="L486" s="38" t="s">
        <v>15</v>
      </c>
      <c r="M486" s="38" t="s">
        <v>17</v>
      </c>
      <c r="N486" s="38" t="s">
        <v>16</v>
      </c>
    </row>
    <row r="487" spans="1:14" x14ac:dyDescent="0.35">
      <c r="A487" s="4" t="str">
        <f>Sheet1!A487 &amp; "/" &amp; "2025"</f>
        <v>1885/2025</v>
      </c>
      <c r="B487" s="5" t="str">
        <f>Sheet1!E487</f>
        <v>AU2065881813825</v>
      </c>
      <c r="C487" s="6" t="str">
        <f>UPPER(Sheet1!B487)</f>
        <v>ETHAN ANOOP</v>
      </c>
      <c r="D487" s="7" t="str">
        <f>IF(Sheet1!F487="F","FEMALE","MALE")</f>
        <v>MALE</v>
      </c>
      <c r="E487" s="6" t="str">
        <f>UPPER(Sheet1!G487)</f>
        <v>ANOOP YOHANNAN</v>
      </c>
      <c r="F487" s="6" t="str">
        <f>UPPER(Sheet1!H487)</f>
        <v>SHYMOL SHAJI</v>
      </c>
      <c r="G487" s="5" t="str">
        <f>TEXT(Sheet1!C487,"dd/mm/yyyy") &amp; "," &amp; Sheet1!D487</f>
        <v xml:space="preserve">29/09/2025,TRARALGON, AUSTRALIA </v>
      </c>
      <c r="H487" s="57" t="str">
        <f>UPPER(Sheet1!K487 &amp; "," &amp; Sheet1!L487 &amp; "," &amp; Sheet1!M487)</f>
        <v xml:space="preserve">ANU BHAVAN,NEELESWARAM P O,KOTTARAKARA,KOLLAM,PIN:691505,KERALA,INDIA </v>
      </c>
      <c r="I487" s="8">
        <f>Sheet1!J487</f>
        <v>45981</v>
      </c>
      <c r="J487" s="5" t="str">
        <f>Sheet1!N487 &amp; "," &amp; TEXT(Sheet1!O487,"dd/mm/yy")</f>
        <v>202509074917,22/10/25</v>
      </c>
      <c r="K487" s="5" t="s">
        <v>14</v>
      </c>
      <c r="L487" s="38" t="s">
        <v>15</v>
      </c>
      <c r="M487" s="38" t="s">
        <v>17</v>
      </c>
      <c r="N487" s="38" t="s">
        <v>16</v>
      </c>
    </row>
    <row r="488" spans="1:14" x14ac:dyDescent="0.35">
      <c r="A488" s="4" t="str">
        <f>Sheet1!A488 &amp; "/" &amp; "2025"</f>
        <v>1886/2025</v>
      </c>
      <c r="B488" s="5" t="str">
        <f>Sheet1!E488</f>
        <v>AU2065881815225</v>
      </c>
      <c r="C488" s="6" t="str">
        <f>UPPER(Sheet1!B488)</f>
        <v>ANAAD SINGH RANDHAWA</v>
      </c>
      <c r="D488" s="7" t="str">
        <f>IF(Sheet1!F488="F","FEMALE","MALE")</f>
        <v>MALE</v>
      </c>
      <c r="E488" s="6" t="str">
        <f>UPPER(Sheet1!G488)</f>
        <v>SURJIT SINGH RANDHAWA</v>
      </c>
      <c r="F488" s="6" t="str">
        <f>UPPER(Sheet1!H488)</f>
        <v>RAMANDEEP KAUR</v>
      </c>
      <c r="G488" s="5" t="str">
        <f>TEXT(Sheet1!C488,"dd/mm/yyyy") &amp; "," &amp; Sheet1!D488</f>
        <v xml:space="preserve">22/01/2025,CLEVELAND, AUSTRALIA </v>
      </c>
      <c r="H488" s="57" t="str">
        <f>UPPER(Sheet1!K488 &amp; "," &amp; Sheet1!L488 &amp; "," &amp; Sheet1!M488)</f>
        <v xml:space="preserve">MOH.SUFFI,RAILWAY ROAD,NAKODAR,JALANDHAR,PIN:144040,PUNJAB,INDIA </v>
      </c>
      <c r="I488" s="8">
        <f>Sheet1!J488</f>
        <v>45981</v>
      </c>
      <c r="J488" s="5" t="str">
        <f>Sheet1!N488 &amp; "," &amp; TEXT(Sheet1!O488,"dd/mm/yy")</f>
        <v>202509069505,01/10/25</v>
      </c>
      <c r="K488" s="5" t="s">
        <v>14</v>
      </c>
      <c r="L488" s="38" t="s">
        <v>15</v>
      </c>
      <c r="M488" s="38" t="s">
        <v>17</v>
      </c>
      <c r="N488" s="38" t="s">
        <v>16</v>
      </c>
    </row>
    <row r="489" spans="1:14" x14ac:dyDescent="0.35">
      <c r="A489" s="4" t="str">
        <f>Sheet1!A489 &amp; "/" &amp; "2025"</f>
        <v>1887/2025</v>
      </c>
      <c r="B489" s="5" t="str">
        <f>Sheet1!E489</f>
        <v>AU2065881816625</v>
      </c>
      <c r="C489" s="6" t="str">
        <f>UPPER(Sheet1!B489)</f>
        <v>ABDUL MALIK MOHAMMED</v>
      </c>
      <c r="D489" s="7" t="str">
        <f>IF(Sheet1!F489="F","FEMALE","MALE")</f>
        <v>MALE</v>
      </c>
      <c r="E489" s="6" t="str">
        <f>UPPER(Sheet1!G489)</f>
        <v>ABDUL RAHMAN MOHAMMED</v>
      </c>
      <c r="F489" s="6" t="str">
        <f>UPPER(Sheet1!H489)</f>
        <v>SAKINA BEGUM</v>
      </c>
      <c r="G489" s="5" t="str">
        <f>TEXT(Sheet1!C489,"dd/mm/yyyy") &amp; "," &amp; Sheet1!D489</f>
        <v xml:space="preserve">15/05/2025,GEELONG , AUSTRALIA </v>
      </c>
      <c r="H489" s="57" t="str">
        <f>UPPER(Sheet1!K489 &amp; "," &amp; Sheet1!L489 &amp; "," &amp; Sheet1!M489)</f>
        <v xml:space="preserve">18-2-241 FALAKNUMA,JANGAMMET,BANDLAGUDA,HYDERABAD,PIN:500053,TELANGANA,INDIA </v>
      </c>
      <c r="I489" s="8">
        <f>Sheet1!J489</f>
        <v>45981</v>
      </c>
      <c r="J489" s="5" t="str">
        <f>Sheet1!N489 &amp; "," &amp; TEXT(Sheet1!O489,"dd/mm/yy")</f>
        <v>202509075769,25/10/25</v>
      </c>
      <c r="K489" s="5" t="s">
        <v>14</v>
      </c>
      <c r="L489" s="38" t="s">
        <v>15</v>
      </c>
      <c r="M489" s="38" t="s">
        <v>17</v>
      </c>
      <c r="N489" s="38" t="s">
        <v>16</v>
      </c>
    </row>
    <row r="490" spans="1:14" x14ac:dyDescent="0.35">
      <c r="A490" s="4" t="str">
        <f>Sheet1!A490 &amp; "/" &amp; "2025"</f>
        <v>1888/2025</v>
      </c>
      <c r="B490" s="5" t="str">
        <f>Sheet1!E490</f>
        <v>AU2065881817425</v>
      </c>
      <c r="C490" s="6" t="str">
        <f>UPPER(Sheet1!B490)</f>
        <v>DITYA SANGWAN</v>
      </c>
      <c r="D490" s="7" t="str">
        <f>IF(Sheet1!F490="F","FEMALE","MALE")</f>
        <v>FEMALE</v>
      </c>
      <c r="E490" s="6" t="str">
        <f>UPPER(Sheet1!G490)</f>
        <v>ROHIT SANGWAN</v>
      </c>
      <c r="F490" s="6" t="str">
        <f>UPPER(Sheet1!H490)</f>
        <v>RENU</v>
      </c>
      <c r="G490" s="5" t="str">
        <f>TEXT(Sheet1!C490,"dd/mm/yyyy") &amp; "," &amp; Sheet1!D490</f>
        <v xml:space="preserve">25/04/2025,ST ALBANS , AUSTRALIA </v>
      </c>
      <c r="H490" s="57" t="str">
        <f>UPPER(Sheet1!K490 &amp; "," &amp; Sheet1!L490 &amp; "," &amp; Sheet1!M490)</f>
        <v xml:space="preserve">39,SHASTRI NAGAR,AZAD NAGAR,HISAR,HISAR,PIN:125001,HARYANA,INDIA </v>
      </c>
      <c r="I490" s="8">
        <f>Sheet1!J490</f>
        <v>45981</v>
      </c>
      <c r="J490" s="5" t="str">
        <f>Sheet1!N490 &amp; "," &amp; TEXT(Sheet1!O490,"dd/mm/yy")</f>
        <v>202509076972,29/10/25</v>
      </c>
      <c r="K490" s="5" t="s">
        <v>14</v>
      </c>
      <c r="L490" s="38" t="s">
        <v>15</v>
      </c>
      <c r="M490" s="38" t="s">
        <v>17</v>
      </c>
      <c r="N490" s="38" t="s">
        <v>16</v>
      </c>
    </row>
    <row r="491" spans="1:14" x14ac:dyDescent="0.35">
      <c r="A491" s="4" t="str">
        <f>Sheet1!A491 &amp; "/" &amp; "2025"</f>
        <v>1889/2025</v>
      </c>
      <c r="B491" s="5" t="str">
        <f>Sheet1!E491</f>
        <v>AU2065881819425</v>
      </c>
      <c r="C491" s="6" t="str">
        <f>UPPER(Sheet1!B491)</f>
        <v>GUNTAAZ SINGH</v>
      </c>
      <c r="D491" s="7" t="str">
        <f>IF(Sheet1!F491="F","FEMALE","MALE")</f>
        <v>MALE</v>
      </c>
      <c r="E491" s="6" t="str">
        <f>UPPER(Sheet1!G491)</f>
        <v>MICKY</v>
      </c>
      <c r="F491" s="6" t="str">
        <f>UPPER(Sheet1!H491)</f>
        <v>MONEY</v>
      </c>
      <c r="G491" s="5" t="str">
        <f>TEXT(Sheet1!C491,"dd/mm/yyyy") &amp; "," &amp; Sheet1!D491</f>
        <v xml:space="preserve">20/09/2025,PARKVILLE , AUSTRALIA  </v>
      </c>
      <c r="H491" s="57" t="str">
        <f>UPPER(Sheet1!K491 &amp; "," &amp; Sheet1!L491 &amp; "," &amp; Sheet1!M491)</f>
        <v xml:space="preserve">1050,LIGHTS FLATS,URBAN ESTATE,PHASE 1,DUGRI,LUDHIANA,PIN:141013,PUNJAB,INDIA </v>
      </c>
      <c r="I491" s="8">
        <f>Sheet1!J491</f>
        <v>45981</v>
      </c>
      <c r="J491" s="5" t="str">
        <f>Sheet1!N491 &amp; "," &amp; TEXT(Sheet1!O491,"dd/mm/yy")</f>
        <v>202509075751,25/10/25</v>
      </c>
      <c r="K491" s="5" t="s">
        <v>14</v>
      </c>
      <c r="L491" s="38" t="s">
        <v>15</v>
      </c>
      <c r="M491" s="38" t="s">
        <v>17</v>
      </c>
      <c r="N491" s="38" t="s">
        <v>16</v>
      </c>
    </row>
    <row r="492" spans="1:14" x14ac:dyDescent="0.35">
      <c r="A492" s="4" t="str">
        <f>Sheet1!A492 &amp; "/" &amp; "2025"</f>
        <v>1890/2025</v>
      </c>
      <c r="B492" s="5" t="str">
        <f>Sheet1!E492</f>
        <v>AU2065881823025</v>
      </c>
      <c r="C492" s="6" t="str">
        <f>UPPER(Sheet1!B492)</f>
        <v>AHMAD ALLAUDDIN MOHAMMED</v>
      </c>
      <c r="D492" s="7" t="str">
        <f>IF(Sheet1!F492="F","FEMALE","MALE")</f>
        <v>MALE</v>
      </c>
      <c r="E492" s="6" t="str">
        <f>UPPER(Sheet1!G492)</f>
        <v>MUJAHED MOHAMMED</v>
      </c>
      <c r="F492" s="6" t="str">
        <f>UPPER(Sheet1!H492)</f>
        <v>TAZEEN FATIMA</v>
      </c>
      <c r="G492" s="5" t="str">
        <f>TEXT(Sheet1!C492,"dd/mm/yyyy") &amp; "," &amp; Sheet1!D492</f>
        <v xml:space="preserve">14/02/2025,CAMPSIE, AUSTRALIA </v>
      </c>
      <c r="H492" s="57" t="str">
        <f>UPPER(Sheet1!K492 &amp; "," &amp; Sheet1!L492 &amp; "," &amp; Sheet1!M492)</f>
        <v xml:space="preserve">20-24-124/5 PUNCH MOHELLA,SHAH ALI BANDA,HYDERABAD,PIN:500002,TELANGANA,INDIA </v>
      </c>
      <c r="I492" s="8">
        <f>Sheet1!J492</f>
        <v>45981</v>
      </c>
      <c r="J492" s="5" t="str">
        <f>Sheet1!N492 &amp; "," &amp; TEXT(Sheet1!O492,"dd/mm/yy")</f>
        <v>202509077229,30/10/25</v>
      </c>
      <c r="K492" s="5" t="s">
        <v>14</v>
      </c>
      <c r="L492" s="38" t="s">
        <v>15</v>
      </c>
      <c r="M492" s="38" t="s">
        <v>17</v>
      </c>
      <c r="N492" s="38" t="s">
        <v>16</v>
      </c>
    </row>
    <row r="493" spans="1:14" x14ac:dyDescent="0.35">
      <c r="A493" s="4" t="str">
        <f>Sheet1!A493 &amp; "/" &amp; "2025"</f>
        <v>1891/2025</v>
      </c>
      <c r="B493" s="5" t="str">
        <f>Sheet1!E493</f>
        <v>AU2065881802625</v>
      </c>
      <c r="C493" s="6" t="str">
        <f>UPPER(Sheet1!B493)</f>
        <v>ADVIK SALWARA</v>
      </c>
      <c r="D493" s="7" t="str">
        <f>IF(Sheet1!F493="F","FEMALE","MALE")</f>
        <v>MALE</v>
      </c>
      <c r="E493" s="6" t="str">
        <f>UPPER(Sheet1!G493)</f>
        <v>HARMANDAR SINGH</v>
      </c>
      <c r="F493" s="6" t="str">
        <f>UPPER(Sheet1!H493)</f>
        <v>MANPREET KAUR</v>
      </c>
      <c r="G493" s="5" t="str">
        <f>TEXT(Sheet1!C493,"dd/mm/yyyy") &amp; "," &amp; Sheet1!D493</f>
        <v xml:space="preserve">25/09/2025,WERIBEE, AUSTRALIA </v>
      </c>
      <c r="H493" s="57" t="str">
        <f>UPPER(Sheet1!K493 &amp; "," &amp; Sheet1!L493 &amp; "," &amp; Sheet1!M493)</f>
        <v xml:space="preserve">VPO JANDWALA SIKHA WARD NO 1 ,15 AMP,TEH- SANGARIA,HANUMANGARH,PIN:335063,RAJASTHAN,INDIA </v>
      </c>
      <c r="I493" s="8">
        <f>Sheet1!J493</f>
        <v>45981</v>
      </c>
      <c r="J493" s="5" t="str">
        <f>Sheet1!N493 &amp; "," &amp; TEXT(Sheet1!O493,"dd/mm/yy")</f>
        <v>202509073828,17/10/25</v>
      </c>
      <c r="K493" s="5" t="s">
        <v>14</v>
      </c>
      <c r="L493" s="38" t="s">
        <v>15</v>
      </c>
      <c r="M493" s="38" t="s">
        <v>17</v>
      </c>
      <c r="N493" s="38" t="s">
        <v>16</v>
      </c>
    </row>
    <row r="494" spans="1:14" x14ac:dyDescent="0.35">
      <c r="A494" s="4" t="str">
        <f>Sheet1!A494 &amp; "/" &amp; "2025"</f>
        <v>1892/2025</v>
      </c>
      <c r="B494" s="5" t="str">
        <f>Sheet1!E494</f>
        <v>AU2065884786025</v>
      </c>
      <c r="C494" s="6" t="str">
        <f>UPPER(Sheet1!B494)</f>
        <v>SHIVANYA SHARMA</v>
      </c>
      <c r="D494" s="7" t="str">
        <f>IF(Sheet1!F494="F","FEMALE","MALE")</f>
        <v>FEMALE</v>
      </c>
      <c r="E494" s="6" t="str">
        <f>UPPER(Sheet1!G494)</f>
        <v>GAURAV KUMAR</v>
      </c>
      <c r="F494" s="6" t="str">
        <f>UPPER(Sheet1!H494)</f>
        <v>SWEETY SHARMA</v>
      </c>
      <c r="G494" s="5" t="str">
        <f>TEXT(Sheet1!C494,"dd/mm/yyyy") &amp; "," &amp; Sheet1!D494</f>
        <v xml:space="preserve">14/07/2025,PARKVILLE , AUSTRALIA  </v>
      </c>
      <c r="H494" s="57" t="str">
        <f>UPPER(Sheet1!K494 &amp; "," &amp; Sheet1!L494 &amp; "," &amp; Sheet1!M494)</f>
        <v xml:space="preserve">6,MUNNAREHRI,KAITHAL,PIN:136026,HARYANA,INDIA </v>
      </c>
      <c r="I494" s="8">
        <f>Sheet1!J494</f>
        <v>45982</v>
      </c>
      <c r="J494" s="5" t="str">
        <f>Sheet1!N494 &amp; "," &amp; TEXT(Sheet1!O494,"dd/mm/yy")</f>
        <v>202509064252,11/09/25</v>
      </c>
      <c r="K494" s="5" t="s">
        <v>14</v>
      </c>
      <c r="L494" s="38" t="s">
        <v>15</v>
      </c>
      <c r="M494" s="38" t="s">
        <v>17</v>
      </c>
      <c r="N494" s="38" t="s">
        <v>16</v>
      </c>
    </row>
    <row r="495" spans="1:14" x14ac:dyDescent="0.35">
      <c r="A495" s="4" t="str">
        <f>Sheet1!A495 &amp; "/" &amp; "2025"</f>
        <v>1893/2025</v>
      </c>
      <c r="B495" s="5" t="str">
        <f>Sheet1!E495</f>
        <v>AU2065872897025</v>
      </c>
      <c r="C495" s="6" t="str">
        <f>UPPER(Sheet1!B495)</f>
        <v>ARWA MUBIN SYEDA</v>
      </c>
      <c r="D495" s="7" t="str">
        <f>IF(Sheet1!F495="F","FEMALE","MALE")</f>
        <v>FEMALE</v>
      </c>
      <c r="E495" s="6" t="str">
        <f>UPPER(Sheet1!G495)</f>
        <v>MUBIN SYED</v>
      </c>
      <c r="F495" s="6" t="str">
        <f>UPPER(Sheet1!H495)</f>
        <v>AFSHAN SUMAYYA</v>
      </c>
      <c r="G495" s="5" t="str">
        <f>TEXT(Sheet1!C495,"dd/mm/yyyy") &amp; "," &amp; Sheet1!D495</f>
        <v xml:space="preserve">01/08/2025,ST ALBANS , AUSTRALIA </v>
      </c>
      <c r="H495" s="57" t="str">
        <f>UPPER(Sheet1!K495 &amp; "," &amp; Sheet1!L495 &amp; "," &amp; Sheet1!M495)</f>
        <v xml:space="preserve">10-10-1096/1,80 QUARTERS,NAGARAM,NIZAMABAD,NIZAMABAD,PIN:503001,TELANGANA,INDIA </v>
      </c>
      <c r="I495" s="8">
        <f>Sheet1!J495</f>
        <v>45985</v>
      </c>
      <c r="J495" s="5" t="str">
        <f>Sheet1!N495 &amp; "," &amp; TEXT(Sheet1!O495,"dd/mm/yy")</f>
        <v>202509069813,02/10/25</v>
      </c>
      <c r="K495" s="5" t="s">
        <v>14</v>
      </c>
      <c r="L495" s="38" t="s">
        <v>15</v>
      </c>
      <c r="M495" s="38" t="s">
        <v>17</v>
      </c>
      <c r="N495" s="38" t="s">
        <v>16</v>
      </c>
    </row>
    <row r="496" spans="1:14" x14ac:dyDescent="0.35">
      <c r="A496" s="4" t="str">
        <f>Sheet1!A496 &amp; "/" &amp; "2025"</f>
        <v>1894/2025</v>
      </c>
      <c r="B496" s="5" t="str">
        <f>Sheet1!E496</f>
        <v>AU2065884834625</v>
      </c>
      <c r="C496" s="6" t="str">
        <f>UPPER(Sheet1!B496)</f>
        <v>SYED IBRAHIM SHAH QUADRI</v>
      </c>
      <c r="D496" s="7" t="str">
        <f>IF(Sheet1!F496="F","FEMALE","MALE")</f>
        <v>MALE</v>
      </c>
      <c r="E496" s="6" t="str">
        <f>UPPER(Sheet1!G496)</f>
        <v>SYED MOHIUDDIN RAZA SHAH QUADRI</v>
      </c>
      <c r="F496" s="6" t="str">
        <f>UPPER(Sheet1!H496)</f>
        <v>AYESHA SADAF</v>
      </c>
      <c r="G496" s="5" t="str">
        <f>TEXT(Sheet1!C496,"dd/mm/yyyy") &amp; "," &amp; Sheet1!D496</f>
        <v xml:space="preserve">02/10/2025,WOLLONGONG, AUSTRALIA </v>
      </c>
      <c r="H496" s="57" t="str">
        <f>UPPER(Sheet1!K496 &amp; "," &amp; Sheet1!L496 &amp; "," &amp; Sheet1!M496)</f>
        <v xml:space="preserve">20-4-295,KHILWATH,HIMMATHPURA,HYDERABAD,PIN:500002,TELANGANA,INDIA </v>
      </c>
      <c r="I496" s="8">
        <f>Sheet1!J496</f>
        <v>45985</v>
      </c>
      <c r="J496" s="5" t="str">
        <f>Sheet1!N496 &amp; "," &amp; TEXT(Sheet1!O496,"dd/mm/yy")</f>
        <v>202509074634,21/10/25</v>
      </c>
      <c r="K496" s="5" t="s">
        <v>14</v>
      </c>
      <c r="L496" s="38" t="s">
        <v>15</v>
      </c>
      <c r="M496" s="38" t="s">
        <v>17</v>
      </c>
      <c r="N496" s="38" t="s">
        <v>16</v>
      </c>
    </row>
    <row r="497" spans="1:14" x14ac:dyDescent="0.35">
      <c r="A497" s="4" t="str">
        <f>Sheet1!A497 &amp; "/" &amp; "2025"</f>
        <v>1895/2025</v>
      </c>
      <c r="B497" s="5" t="str">
        <f>Sheet1!E497</f>
        <v>AU2065871852425</v>
      </c>
      <c r="C497" s="6" t="str">
        <f>UPPER(Sheet1!B497)</f>
        <v>ELAAHI KAUR</v>
      </c>
      <c r="D497" s="7" t="str">
        <f>IF(Sheet1!F497="F","FEMALE","MALE")</f>
        <v>FEMALE</v>
      </c>
      <c r="E497" s="6" t="str">
        <f>UPPER(Sheet1!G497)</f>
        <v>PRINCEDEEP SINGH</v>
      </c>
      <c r="F497" s="6" t="str">
        <f>UPPER(Sheet1!H497)</f>
        <v>HARPREET KAUR</v>
      </c>
      <c r="G497" s="5" t="str">
        <f>TEXT(Sheet1!C497,"dd/mm/yyyy") &amp; "," &amp; Sheet1!D497</f>
        <v xml:space="preserve">22/03/2025,BERWICK , AUSTRALIA  </v>
      </c>
      <c r="H497" s="57" t="str">
        <f>UPPER(Sheet1!K497 &amp; "," &amp; Sheet1!L497 &amp; "," &amp; Sheet1!M497)</f>
        <v xml:space="preserve">NEAR KIRPAL ASHRAM,JAGRAON,LUDHIANA,PIN:142026,PUNJAB,INDIA </v>
      </c>
      <c r="I497" s="8">
        <f>Sheet1!J497</f>
        <v>45986</v>
      </c>
      <c r="J497" s="5" t="str">
        <f>Sheet1!N497 &amp; "," &amp; TEXT(Sheet1!O497,"dd/mm/yy")</f>
        <v>202509059712,24/08/25</v>
      </c>
      <c r="K497" s="5" t="s">
        <v>14</v>
      </c>
      <c r="L497" s="38" t="s">
        <v>15</v>
      </c>
      <c r="M497" s="38" t="s">
        <v>17</v>
      </c>
      <c r="N497" s="38" t="s">
        <v>16</v>
      </c>
    </row>
    <row r="498" spans="1:14" x14ac:dyDescent="0.35">
      <c r="A498" s="4" t="str">
        <f>Sheet1!A498 &amp; "/" &amp; "2025"</f>
        <v>1896/2025</v>
      </c>
      <c r="B498" s="5" t="str">
        <f>Sheet1!E498</f>
        <v>AU2065886526425</v>
      </c>
      <c r="C498" s="6" t="str">
        <f>UPPER(Sheet1!B498)</f>
        <v>GURFATEH SINGH</v>
      </c>
      <c r="D498" s="7" t="str">
        <f>IF(Sheet1!F498="F","FEMALE","MALE")</f>
        <v>MALE</v>
      </c>
      <c r="E498" s="6" t="str">
        <f>UPPER(Sheet1!G498)</f>
        <v>GURVINDER SINGH</v>
      </c>
      <c r="F498" s="6" t="str">
        <f>UPPER(Sheet1!H498)</f>
        <v>PARDEEP KAUR</v>
      </c>
      <c r="G498" s="5" t="str">
        <f>TEXT(Sheet1!C498,"dd/mm/yyyy") &amp; "," &amp; Sheet1!D498</f>
        <v xml:space="preserve">03/07/2025,BACCHUS MARSH , AUSTRALIA  </v>
      </c>
      <c r="H498" s="57" t="str">
        <f>UPPER(Sheet1!K498 &amp; "," &amp; Sheet1!L498 &amp; "," &amp; Sheet1!M498)</f>
        <v xml:space="preserve">HN. 355,VILL MAUJGARH,DABWALI,PIN:125104,HARYANA,INDIA </v>
      </c>
      <c r="I498" s="8">
        <f>Sheet1!J498</f>
        <v>45986</v>
      </c>
      <c r="J498" s="5" t="str">
        <f>Sheet1!N498 &amp; "," &amp; TEXT(Sheet1!O498,"dd/mm/yy")</f>
        <v>202509073124,15/10/25</v>
      </c>
      <c r="K498" s="5" t="s">
        <v>14</v>
      </c>
      <c r="L498" s="38" t="s">
        <v>15</v>
      </c>
      <c r="M498" s="38" t="s">
        <v>17</v>
      </c>
      <c r="N498" s="38" t="s">
        <v>16</v>
      </c>
    </row>
    <row r="499" spans="1:14" x14ac:dyDescent="0.35">
      <c r="A499" s="4" t="str">
        <f>Sheet1!A499 &amp; "/" &amp; "2025"</f>
        <v>1897/2025</v>
      </c>
      <c r="B499" s="5" t="str">
        <f>Sheet1!E499</f>
        <v>AU2065886527225</v>
      </c>
      <c r="C499" s="6" t="str">
        <f>UPPER(Sheet1!B499)</f>
        <v>IRA ARJUN</v>
      </c>
      <c r="D499" s="7" t="str">
        <f>IF(Sheet1!F499="F","FEMALE","MALE")</f>
        <v>FEMALE</v>
      </c>
      <c r="E499" s="6" t="str">
        <f>UPPER(Sheet1!G499)</f>
        <v>ARJUN PAVITHRAN</v>
      </c>
      <c r="F499" s="6" t="str">
        <f>UPPER(Sheet1!H499)</f>
        <v>MARY REEMA ANTONY</v>
      </c>
      <c r="G499" s="5" t="str">
        <f>TEXT(Sheet1!C499,"dd/mm/yyyy") &amp; "," &amp; Sheet1!D499</f>
        <v xml:space="preserve">15/08/2025,EPPING , AUSTRALIA </v>
      </c>
      <c r="H499" s="57" t="str">
        <f>UPPER(Sheet1!K499 &amp; "," &amp; Sheet1!L499 &amp; "," &amp; Sheet1!M499)</f>
        <v xml:space="preserve">UTHRADAM HOUSE ARRAKAKADAVU ROAD,VENNALA P.O,ERNAKULAM,PIN:682028,KERALA,INDIA </v>
      </c>
      <c r="I499" s="8">
        <f>Sheet1!J499</f>
        <v>45986</v>
      </c>
      <c r="J499" s="5" t="str">
        <f>Sheet1!N499 &amp; "," &amp; TEXT(Sheet1!O499,"dd/mm/yy")</f>
        <v>202509074213,19/10/25</v>
      </c>
      <c r="K499" s="5" t="s">
        <v>14</v>
      </c>
      <c r="L499" s="38" t="s">
        <v>15</v>
      </c>
      <c r="M499" s="38" t="s">
        <v>17</v>
      </c>
      <c r="N499" s="38" t="s">
        <v>16</v>
      </c>
    </row>
    <row r="500" spans="1:14" x14ac:dyDescent="0.35">
      <c r="A500" s="4" t="str">
        <f>Sheet1!A500 &amp; "/" &amp; "2025"</f>
        <v>1898/2025</v>
      </c>
      <c r="B500" s="5" t="str">
        <f>Sheet1!E500</f>
        <v>AU2065886527825</v>
      </c>
      <c r="C500" s="6" t="str">
        <f>UPPER(Sheet1!B500)</f>
        <v>JUJHAR SINGH</v>
      </c>
      <c r="D500" s="7" t="str">
        <f>IF(Sheet1!F500="F","FEMALE","MALE")</f>
        <v>MALE</v>
      </c>
      <c r="E500" s="6" t="str">
        <f>UPPER(Sheet1!G500)</f>
        <v>GURWINDER SINGH</v>
      </c>
      <c r="F500" s="6" t="str">
        <f>UPPER(Sheet1!H500)</f>
        <v>SUKHMEET KAUR</v>
      </c>
      <c r="G500" s="5" t="str">
        <f>TEXT(Sheet1!C500,"dd/mm/yyyy") &amp; "," &amp; Sheet1!D500</f>
        <v xml:space="preserve">26/09/2025,ST ALBANS , AUSTRALIA </v>
      </c>
      <c r="H500" s="57" t="str">
        <f>UPPER(Sheet1!K500 &amp; "," &amp; Sheet1!L500 &amp; "," &amp; Sheet1!M500)</f>
        <v xml:space="preserve">VPO-CHAUNDA,AMARGARH,MALERKOTLA,PIN:148022,PUNJAB,INDIA </v>
      </c>
      <c r="I500" s="8">
        <f>Sheet1!J500</f>
        <v>45986</v>
      </c>
      <c r="J500" s="5" t="str">
        <f>Sheet1!N500 &amp; "," &amp; TEXT(Sheet1!O500,"dd/mm/yy")</f>
        <v>202509076200,27/10/25</v>
      </c>
      <c r="K500" s="5" t="s">
        <v>14</v>
      </c>
      <c r="L500" s="38" t="s">
        <v>15</v>
      </c>
      <c r="M500" s="38" t="s">
        <v>17</v>
      </c>
      <c r="N500" s="38" t="s">
        <v>16</v>
      </c>
    </row>
    <row r="501" spans="1:14" x14ac:dyDescent="0.35">
      <c r="A501" s="4" t="str">
        <f>Sheet1!A501 &amp; "/" &amp; "2025"</f>
        <v>1899/2025</v>
      </c>
      <c r="B501" s="5" t="str">
        <f>Sheet1!E501</f>
        <v>AU2065886528425</v>
      </c>
      <c r="C501" s="6" t="str">
        <f>UPPER(Sheet1!B501)</f>
        <v>NIVEDH REDDY MITTAPALLY</v>
      </c>
      <c r="D501" s="7" t="str">
        <f>IF(Sheet1!F501="F","FEMALE","MALE")</f>
        <v>MALE</v>
      </c>
      <c r="E501" s="6" t="str">
        <f>UPPER(Sheet1!G501)</f>
        <v>NIKITH REDDY MITTAPALLY</v>
      </c>
      <c r="F501" s="6" t="str">
        <f>UPPER(Sheet1!H501)</f>
        <v>ANOJA PANNALA</v>
      </c>
      <c r="G501" s="5" t="str">
        <f>TEXT(Sheet1!C501,"dd/mm/yyyy") &amp; "," &amp; Sheet1!D501</f>
        <v xml:space="preserve">16/09/2025,GEELONG , AUSTRALIA </v>
      </c>
      <c r="H501" s="57" t="str">
        <f>UPPER(Sheet1!K501 &amp; "," &amp; Sheet1!L501 &amp; "," &amp; Sheet1!M501)</f>
        <v xml:space="preserve">5-113/6,MENDORA,NIZAMABAD,PIN:503219,TELANGANA,INDIA </v>
      </c>
      <c r="I501" s="8">
        <f>Sheet1!J501</f>
        <v>45986</v>
      </c>
      <c r="J501" s="5" t="str">
        <f>Sheet1!N501 &amp; "," &amp; TEXT(Sheet1!O501,"dd/mm/yy")</f>
        <v>202509072834,14/10/25</v>
      </c>
      <c r="K501" s="5" t="s">
        <v>14</v>
      </c>
      <c r="L501" s="38" t="s">
        <v>15</v>
      </c>
      <c r="M501" s="38" t="s">
        <v>17</v>
      </c>
      <c r="N501" s="38" t="s">
        <v>16</v>
      </c>
    </row>
    <row r="502" spans="1:14" x14ac:dyDescent="0.35">
      <c r="A502" s="4" t="str">
        <f>Sheet1!A502 &amp; "/" &amp; "2025"</f>
        <v>1900/2025</v>
      </c>
      <c r="B502" s="5" t="str">
        <f>Sheet1!E502</f>
        <v>AU2065886536025</v>
      </c>
      <c r="C502" s="6" t="str">
        <f>UPPER(Sheet1!B502)</f>
        <v>ZORAWAR SINGH</v>
      </c>
      <c r="D502" s="7" t="str">
        <f>IF(Sheet1!F502="F","FEMALE","MALE")</f>
        <v>MALE</v>
      </c>
      <c r="E502" s="6" t="str">
        <f>UPPER(Sheet1!G502)</f>
        <v>GURVINDER SINGH</v>
      </c>
      <c r="F502" s="6" t="str">
        <f>UPPER(Sheet1!H502)</f>
        <v>HARPREET KAUR</v>
      </c>
      <c r="G502" s="5" t="str">
        <f>TEXT(Sheet1!C502,"dd/mm/yyyy") &amp; "," &amp; Sheet1!D502</f>
        <v xml:space="preserve">04/08/2025,ST ALBANS , AUSTRALIA </v>
      </c>
      <c r="H502" s="57" t="str">
        <f>UPPER(Sheet1!K502 &amp; "," &amp; Sheet1!L502 &amp; "," &amp; Sheet1!M502)</f>
        <v xml:space="preserve">VILLAGE PIPLI MAJRA,PO BHUSTHALA,KURUKSHETRA,PIN:136130,HARYANA,INDIA </v>
      </c>
      <c r="I502" s="8">
        <f>Sheet1!J502</f>
        <v>45986</v>
      </c>
      <c r="J502" s="5" t="str">
        <f>Sheet1!N502 &amp; "," &amp; TEXT(Sheet1!O502,"dd/mm/yy")</f>
        <v>202509073405,16/10/25</v>
      </c>
      <c r="K502" s="5" t="s">
        <v>14</v>
      </c>
      <c r="L502" s="38" t="s">
        <v>15</v>
      </c>
      <c r="M502" s="38" t="s">
        <v>17</v>
      </c>
      <c r="N502" s="38" t="s">
        <v>16</v>
      </c>
    </row>
    <row r="503" spans="1:14" x14ac:dyDescent="0.35">
      <c r="A503" s="4" t="str">
        <f>Sheet1!A503 &amp; "/" &amp; "2025"</f>
        <v>1901/2025</v>
      </c>
      <c r="B503" s="5" t="str">
        <f>Sheet1!E503</f>
        <v>AU2065886536625</v>
      </c>
      <c r="C503" s="6" t="str">
        <f>UPPER(Sheet1!B503)</f>
        <v>ARCHA KIRIT GODHANI</v>
      </c>
      <c r="D503" s="7" t="str">
        <f>IF(Sheet1!F503="F","FEMALE","MALE")</f>
        <v>FEMALE</v>
      </c>
      <c r="E503" s="6" t="str">
        <f>UPPER(Sheet1!G503)</f>
        <v>KIRIT JAYANTIBHAI GODHANI</v>
      </c>
      <c r="F503" s="6" t="str">
        <f>UPPER(Sheet1!H503)</f>
        <v>PURVISHA VINUBHAI BHESANIYA</v>
      </c>
      <c r="G503" s="5" t="str">
        <f>TEXT(Sheet1!C503,"dd/mm/yyyy") &amp; "," &amp; Sheet1!D503</f>
        <v xml:space="preserve">29/08/2025,WODONGA , AUSTRALIA  </v>
      </c>
      <c r="H503" s="57" t="str">
        <f>UPPER(Sheet1!K503 &amp; "," &amp; Sheet1!L503 &amp; "," &amp; Sheet1!M503)</f>
        <v xml:space="preserve">149,ASHIRWAD BUNGLOWS,PASODARA,SURAT CITY,PIN:395006,GUJARAT,INDIA </v>
      </c>
      <c r="I503" s="8">
        <f>Sheet1!J503</f>
        <v>45986</v>
      </c>
      <c r="J503" s="5" t="str">
        <f>Sheet1!N503 &amp; "," &amp; TEXT(Sheet1!O503,"dd/mm/yy")</f>
        <v>202509077101,29/10/25</v>
      </c>
      <c r="K503" s="5" t="s">
        <v>14</v>
      </c>
      <c r="L503" s="38" t="s">
        <v>15</v>
      </c>
      <c r="M503" s="38" t="s">
        <v>17</v>
      </c>
      <c r="N503" s="38" t="s">
        <v>16</v>
      </c>
    </row>
    <row r="504" spans="1:14" x14ac:dyDescent="0.35">
      <c r="A504" s="4" t="str">
        <f>Sheet1!A504 &amp; "/" &amp; "2025"</f>
        <v>1902/2025</v>
      </c>
      <c r="B504" s="5" t="str">
        <f>Sheet1!E504</f>
        <v>AU2065886537025</v>
      </c>
      <c r="C504" s="6" t="str">
        <f>UPPER(Sheet1!B504)</f>
        <v>RONAVDEEP SINGH DHILLON</v>
      </c>
      <c r="D504" s="7" t="str">
        <f>IF(Sheet1!F504="F","FEMALE","MALE")</f>
        <v>MALE</v>
      </c>
      <c r="E504" s="6" t="str">
        <f>UPPER(Sheet1!G504)</f>
        <v>SARABJOT SINGH</v>
      </c>
      <c r="F504" s="6" t="str">
        <f>UPPER(Sheet1!H504)</f>
        <v>ANTRA MAHAJAN</v>
      </c>
      <c r="G504" s="5" t="str">
        <f>TEXT(Sheet1!C504,"dd/mm/yyyy") &amp; "," &amp; Sheet1!D504</f>
        <v xml:space="preserve">20/09/2025,MITCHAM, AUSTRALIA </v>
      </c>
      <c r="H504" s="57" t="str">
        <f>UPPER(Sheet1!K504 &amp; "," &amp; Sheet1!L504 &amp; "," &amp; Sheet1!M504)</f>
        <v xml:space="preserve">H.NO. 2/31 DASHMESH AVENUE,FOCAL POINT LINK ROAD,AMRITSAR,PIN:143001,PUNJAB,INDIA </v>
      </c>
      <c r="I504" s="8">
        <f>Sheet1!J504</f>
        <v>45986</v>
      </c>
      <c r="J504" s="5" t="str">
        <f>Sheet1!N504 &amp; "," &amp; TEXT(Sheet1!O504,"dd/mm/yy")</f>
        <v>202509076546,28/10/25</v>
      </c>
      <c r="K504" s="5" t="s">
        <v>14</v>
      </c>
      <c r="L504" s="38" t="s">
        <v>15</v>
      </c>
      <c r="M504" s="38" t="s">
        <v>17</v>
      </c>
      <c r="N504" s="38" t="s">
        <v>16</v>
      </c>
    </row>
    <row r="505" spans="1:14" x14ac:dyDescent="0.35">
      <c r="A505" s="4" t="str">
        <f>Sheet1!A505 &amp; "/" &amp; "2025"</f>
        <v>1903/2025</v>
      </c>
      <c r="B505" s="5" t="str">
        <f>Sheet1!E505</f>
        <v>AU2065886537225</v>
      </c>
      <c r="C505" s="6" t="str">
        <f>UPPER(Sheet1!B505)</f>
        <v>USTAT KAUR BHANGU</v>
      </c>
      <c r="D505" s="7" t="str">
        <f>IF(Sheet1!F505="F","FEMALE","MALE")</f>
        <v>FEMALE</v>
      </c>
      <c r="E505" s="6" t="str">
        <f>UPPER(Sheet1!G505)</f>
        <v>SAHIB SINGH</v>
      </c>
      <c r="F505" s="6" t="str">
        <f>UPPER(Sheet1!H505)</f>
        <v>GURPREET KAUR</v>
      </c>
      <c r="G505" s="5" t="str">
        <f>TEXT(Sheet1!C505,"dd/mm/yyyy") &amp; "," &amp; Sheet1!D505</f>
        <v xml:space="preserve">08/10/2025,GEELONG , AUSTRALIA </v>
      </c>
      <c r="H505" s="57" t="str">
        <f>UPPER(Sheet1!K505 &amp; "," &amp; Sheet1!L505 &amp; "," &amp; Sheet1!M505)</f>
        <v xml:space="preserve">VILL,SAKRALA,HOSHIARPUR,PIN:144212,PUNJAB,INDIA </v>
      </c>
      <c r="I505" s="8">
        <f>Sheet1!J505</f>
        <v>45986</v>
      </c>
      <c r="J505" s="5" t="str">
        <f>Sheet1!N505 &amp; "," &amp; TEXT(Sheet1!O505,"dd/mm/yy")</f>
        <v>202509076944,29/10/25</v>
      </c>
      <c r="K505" s="5" t="s">
        <v>14</v>
      </c>
      <c r="L505" s="38" t="s">
        <v>15</v>
      </c>
      <c r="M505" s="38" t="s">
        <v>17</v>
      </c>
      <c r="N505" s="38" t="s">
        <v>16</v>
      </c>
    </row>
    <row r="506" spans="1:14" x14ac:dyDescent="0.35">
      <c r="A506" s="4" t="str">
        <f>Sheet1!A506 &amp; "/" &amp; "2025"</f>
        <v>1904/2025</v>
      </c>
      <c r="B506" s="5" t="str">
        <f>Sheet1!E506</f>
        <v>AU2065886537425</v>
      </c>
      <c r="C506" s="6" t="str">
        <f>UPPER(Sheet1!B506)</f>
        <v>ACHYUTH VENKATAKRISHNAN</v>
      </c>
      <c r="D506" s="7" t="str">
        <f>IF(Sheet1!F506="F","FEMALE","MALE")</f>
        <v>MALE</v>
      </c>
      <c r="E506" s="6" t="str">
        <f>UPPER(Sheet1!G506)</f>
        <v>VENKATAKRISHNAN BALASUBRAMANIAN</v>
      </c>
      <c r="F506" s="6" t="str">
        <f>UPPER(Sheet1!H506)</f>
        <v>MAYURRI PREMALATHAA KUMAR</v>
      </c>
      <c r="G506" s="5" t="str">
        <f>TEXT(Sheet1!C506,"dd/mm/yyyy") &amp; "," &amp; Sheet1!D506</f>
        <v xml:space="preserve">16/08/2025,CLAYTON , AUSTRALIA  </v>
      </c>
      <c r="H506" s="57" t="str">
        <f>UPPER(Sheet1!K506 &amp; "," &amp; Sheet1!L506 &amp; "," &amp; Sheet1!M506)</f>
        <v xml:space="preserve">5D,NATWEST VICEROY,49,VELACHERY TAMBARAM MAIN RD,PALLIKARANAI,CHENNAI,PIN:600100,TAMIL NADU,INDIA </v>
      </c>
      <c r="I506" s="8">
        <f>Sheet1!J506</f>
        <v>45986</v>
      </c>
      <c r="J506" s="5" t="str">
        <f>Sheet1!N506 &amp; "," &amp; TEXT(Sheet1!O506,"dd/mm/yy")</f>
        <v>202509074513,21/10/25</v>
      </c>
      <c r="K506" s="5" t="s">
        <v>14</v>
      </c>
      <c r="L506" s="38" t="s">
        <v>15</v>
      </c>
      <c r="M506" s="38" t="s">
        <v>17</v>
      </c>
      <c r="N506" s="38" t="s">
        <v>16</v>
      </c>
    </row>
    <row r="507" spans="1:14" x14ac:dyDescent="0.35">
      <c r="A507" s="4" t="str">
        <f>Sheet1!A507 &amp; "/" &amp; "2025"</f>
        <v>1905/2025</v>
      </c>
      <c r="B507" s="5" t="str">
        <f>Sheet1!E507</f>
        <v>AU2065886537825</v>
      </c>
      <c r="C507" s="6" t="str">
        <f>UPPER(Sheet1!B507)</f>
        <v>PARAMBIR SINGH</v>
      </c>
      <c r="D507" s="7" t="str">
        <f>IF(Sheet1!F507="F","FEMALE","MALE")</f>
        <v>MALE</v>
      </c>
      <c r="E507" s="6" t="str">
        <f>UPPER(Sheet1!G507)</f>
        <v>SUKHJINDER SINGH</v>
      </c>
      <c r="F507" s="6" t="str">
        <f>UPPER(Sheet1!H507)</f>
        <v>NAJDEEP KAUR</v>
      </c>
      <c r="G507" s="5" t="str">
        <f>TEXT(Sheet1!C507,"dd/mm/yyyy") &amp; "," &amp; Sheet1!D507</f>
        <v xml:space="preserve">03/09/2025,EPPING , AUSTRALIA </v>
      </c>
      <c r="H507" s="57" t="str">
        <f>UPPER(Sheet1!K507 &amp; "," &amp; Sheet1!L507 &amp; "," &amp; Sheet1!M507)</f>
        <v xml:space="preserve">VILL PADDE,P.O SHAHPUR JAJAN,TEH DERA BABA NANAK,GURDASPUR,PIN:143604,PUNJAB,INDIA </v>
      </c>
      <c r="I507" s="8">
        <f>Sheet1!J507</f>
        <v>45986</v>
      </c>
      <c r="J507" s="5" t="str">
        <f>Sheet1!N507 &amp; "," &amp; TEXT(Sheet1!O507,"dd/mm/yy")</f>
        <v>202509071547,09/10/25</v>
      </c>
      <c r="K507" s="5" t="s">
        <v>14</v>
      </c>
      <c r="L507" s="38" t="s">
        <v>15</v>
      </c>
      <c r="M507" s="38" t="s">
        <v>17</v>
      </c>
      <c r="N507" s="38" t="s">
        <v>16</v>
      </c>
    </row>
    <row r="508" spans="1:14" x14ac:dyDescent="0.35">
      <c r="A508" s="4" t="str">
        <f>Sheet1!A508 &amp; "/" &amp; "2025"</f>
        <v>1906/2025</v>
      </c>
      <c r="B508" s="5" t="str">
        <f>Sheet1!E508</f>
        <v>AU2065886538225</v>
      </c>
      <c r="C508" s="6" t="str">
        <f>UPPER(Sheet1!B508)</f>
        <v>ESHAN VRITIK PAKKI</v>
      </c>
      <c r="D508" s="7" t="str">
        <f>IF(Sheet1!F508="F","FEMALE","MALE")</f>
        <v>MALE</v>
      </c>
      <c r="E508" s="6" t="str">
        <f>UPPER(Sheet1!G508)</f>
        <v>CHAITANYA PAKKI</v>
      </c>
      <c r="F508" s="6" t="str">
        <f>UPPER(Sheet1!H508)</f>
        <v>GAYATRI DEVI PAKKI</v>
      </c>
      <c r="G508" s="5" t="str">
        <f>TEXT(Sheet1!C508,"dd/mm/yyyy") &amp; "," &amp; Sheet1!D508</f>
        <v xml:space="preserve">28/03/2025,GEELONG , AUSTRALIA </v>
      </c>
      <c r="H508" s="57" t="str">
        <f>UPPER(Sheet1!K508 &amp; "," &amp; Sheet1!L508 &amp; "," &amp; Sheet1!M508)</f>
        <v xml:space="preserve">6-67,RAVINDRA NAGAR,OLD DAIRY FARM,VISAKHAPATNAM,PIN:530040,ANDHRA PRADESH,INDIA </v>
      </c>
      <c r="I508" s="8">
        <f>Sheet1!J508</f>
        <v>45986</v>
      </c>
      <c r="J508" s="5" t="str">
        <f>Sheet1!N508 &amp; "," &amp; TEXT(Sheet1!O508,"dd/mm/yy")</f>
        <v>202509073984,18/10/25</v>
      </c>
      <c r="K508" s="5" t="s">
        <v>14</v>
      </c>
      <c r="L508" s="38" t="s">
        <v>15</v>
      </c>
      <c r="M508" s="38" t="s">
        <v>17</v>
      </c>
      <c r="N508" s="38" t="s">
        <v>16</v>
      </c>
    </row>
    <row r="509" spans="1:14" x14ac:dyDescent="0.35">
      <c r="A509" s="4" t="str">
        <f>Sheet1!A509 &amp; "/" &amp; "2025"</f>
        <v>1907/2025</v>
      </c>
      <c r="B509" s="5" t="str">
        <f>Sheet1!E509</f>
        <v>AU2065887787025</v>
      </c>
      <c r="C509" s="6" t="str">
        <f>UPPER(Sheet1!B509)</f>
        <v>RAUNAK KAUR GREWAL</v>
      </c>
      <c r="D509" s="7" t="str">
        <f>IF(Sheet1!F509="F","FEMALE","MALE")</f>
        <v>FEMALE</v>
      </c>
      <c r="E509" s="6" t="str">
        <f>UPPER(Sheet1!G509)</f>
        <v>GURDEEP SINGH</v>
      </c>
      <c r="F509" s="6" t="str">
        <f>UPPER(Sheet1!H509)</f>
        <v>MANPREET KAUR</v>
      </c>
      <c r="G509" s="5" t="str">
        <f>TEXT(Sheet1!C509,"dd/mm/yyyy") &amp; "," &amp; Sheet1!D509</f>
        <v xml:space="preserve">13/10/2025,PARKVILLE , AUSTRALIA  </v>
      </c>
      <c r="H509" s="57" t="str">
        <f>UPPER(Sheet1!K509 &amp; "," &amp; Sheet1!L509 &amp; "," &amp; Sheet1!M509)</f>
        <v xml:space="preserve">VILLAGE,SAKRODI,SANGRUR,PIN:148026,PUNJAB,INDIA </v>
      </c>
      <c r="I509" s="8">
        <f>Sheet1!J509</f>
        <v>45987</v>
      </c>
      <c r="J509" s="5" t="str">
        <f>Sheet1!N509 &amp; "," &amp; TEXT(Sheet1!O509,"dd/mm/yy")</f>
        <v>202509079866,09/11/25</v>
      </c>
      <c r="K509" s="5" t="s">
        <v>14</v>
      </c>
      <c r="L509" s="38" t="s">
        <v>15</v>
      </c>
      <c r="M509" s="38" t="s">
        <v>17</v>
      </c>
      <c r="N509" s="38" t="s">
        <v>16</v>
      </c>
    </row>
    <row r="510" spans="1:14" x14ac:dyDescent="0.35">
      <c r="A510" s="4" t="str">
        <f>Sheet1!A510 &amp; "/" &amp; "2025"</f>
        <v>1908/2025</v>
      </c>
      <c r="B510" s="5" t="str">
        <f>Sheet1!E510</f>
        <v>AU2065887788425</v>
      </c>
      <c r="C510" s="6" t="str">
        <f>UPPER(Sheet1!B510)</f>
        <v>ARJAN SINGH</v>
      </c>
      <c r="D510" s="7" t="str">
        <f>IF(Sheet1!F510="F","FEMALE","MALE")</f>
        <v>MALE</v>
      </c>
      <c r="E510" s="6" t="str">
        <f>UPPER(Sheet1!G510)</f>
        <v>CHARANJEET SINGH</v>
      </c>
      <c r="F510" s="6" t="str">
        <f>UPPER(Sheet1!H510)</f>
        <v>GURLEEN KAUR</v>
      </c>
      <c r="G510" s="5" t="str">
        <f>TEXT(Sheet1!C510,"dd/mm/yyyy") &amp; "," &amp; Sheet1!D510</f>
        <v xml:space="preserve">13/06/2025,GEELONG , AUSTRALIA </v>
      </c>
      <c r="H510" s="57" t="str">
        <f>UPPER(Sheet1!K510 &amp; "," &amp; Sheet1!L510 &amp; "," &amp; Sheet1!M510)</f>
        <v xml:space="preserve">84 SANT CHANAN SINGH COLONY,SULTANWIND ROAD,AMRITSAR,AMRITSAR,PIN:143001,PUNJAB,INDIA </v>
      </c>
      <c r="I510" s="8">
        <f>Sheet1!J510</f>
        <v>45987</v>
      </c>
      <c r="J510" s="5" t="str">
        <f>Sheet1!N510 &amp; "," &amp; TEXT(Sheet1!O510,"dd/mm/yy")</f>
        <v>202509069790,02/10/25</v>
      </c>
      <c r="K510" s="5" t="s">
        <v>14</v>
      </c>
      <c r="L510" s="38" t="s">
        <v>15</v>
      </c>
      <c r="M510" s="38" t="s">
        <v>17</v>
      </c>
      <c r="N510" s="38" t="s">
        <v>16</v>
      </c>
    </row>
    <row r="511" spans="1:14" x14ac:dyDescent="0.35">
      <c r="A511" s="4" t="str">
        <f>Sheet1!A511 &amp; "/" &amp; "2025"</f>
        <v>1909/2025</v>
      </c>
      <c r="B511" s="5" t="str">
        <f>Sheet1!E511</f>
        <v>AU2065887789225</v>
      </c>
      <c r="C511" s="6" t="str">
        <f>UPPER(Sheet1!B511)</f>
        <v>GURBAAZ SINGH</v>
      </c>
      <c r="D511" s="7" t="str">
        <f>IF(Sheet1!F511="F","FEMALE","MALE")</f>
        <v>MALE</v>
      </c>
      <c r="E511" s="6" t="str">
        <f>UPPER(Sheet1!G511)</f>
        <v>NAVAL DEEP SINGH CHANDI</v>
      </c>
      <c r="F511" s="6" t="str">
        <f>UPPER(Sheet1!H511)</f>
        <v>RUPINDER KAUR</v>
      </c>
      <c r="G511" s="5" t="str">
        <f>TEXT(Sheet1!C511,"dd/mm/yyyy") &amp; "," &amp; Sheet1!D511</f>
        <v xml:space="preserve">23/02/2024,BUNDOORA, AUSTRALIA </v>
      </c>
      <c r="H511" s="57" t="str">
        <f>UPPER(Sheet1!K511 &amp; "," &amp; Sheet1!L511 &amp; "," &amp; Sheet1!M511)</f>
        <v xml:space="preserve">SARASWATI VIHAR COLONY NO. 1,RAISINGHNAGAR,SRI GANGANAGAR,PIN:335051,RAJASTHAN,INDIA </v>
      </c>
      <c r="I511" s="8">
        <f>Sheet1!J511</f>
        <v>45987</v>
      </c>
      <c r="J511" s="5" t="str">
        <f>Sheet1!N511 &amp; "," &amp; TEXT(Sheet1!O511,"dd/mm/yy")</f>
        <v>202509079523,07/11/25</v>
      </c>
      <c r="K511" s="5" t="s">
        <v>14</v>
      </c>
      <c r="L511" s="38" t="s">
        <v>15</v>
      </c>
      <c r="M511" s="38" t="s">
        <v>17</v>
      </c>
      <c r="N511" s="38" t="s">
        <v>16</v>
      </c>
    </row>
    <row r="512" spans="1:14" x14ac:dyDescent="0.35">
      <c r="A512" s="4" t="str">
        <f>Sheet1!A512 &amp; "/" &amp; "2025"</f>
        <v>1910/2025</v>
      </c>
      <c r="B512" s="5" t="str">
        <f>Sheet1!E512</f>
        <v>AU2065887794025</v>
      </c>
      <c r="C512" s="6" t="str">
        <f>UPPER(Sheet1!B512)</f>
        <v>SUKOONPREET KAUR</v>
      </c>
      <c r="D512" s="7" t="str">
        <f>IF(Sheet1!F512="F","FEMALE","MALE")</f>
        <v>FEMALE</v>
      </c>
      <c r="E512" s="6" t="str">
        <f>UPPER(Sheet1!G512)</f>
        <v>GURPREET SINGH DHALIWAL</v>
      </c>
      <c r="F512" s="6" t="str">
        <f>UPPER(Sheet1!H512)</f>
        <v>JASHANPREET KAUR</v>
      </c>
      <c r="G512" s="5" t="str">
        <f>TEXT(Sheet1!C512,"dd/mm/yyyy") &amp; "," &amp; Sheet1!D512</f>
        <v xml:space="preserve">02/09/2025,CLAYTON , AUSTRALIA  </v>
      </c>
      <c r="H512" s="57" t="str">
        <f>UPPER(Sheet1!K512 &amp; "," &amp; Sheet1!L512 &amp; "," &amp; Sheet1!M512)</f>
        <v xml:space="preserve">VEERA SINGH PATTI,RAUKE KALAN,MOGA,PIN:142037,PUNJAB,INDIA </v>
      </c>
      <c r="I512" s="8">
        <f>Sheet1!J512</f>
        <v>45987</v>
      </c>
      <c r="J512" s="5" t="str">
        <f>Sheet1!N512 &amp; "," &amp; TEXT(Sheet1!O512,"dd/mm/yy")</f>
        <v>202509080028,10/11/25</v>
      </c>
      <c r="K512" s="5" t="s">
        <v>14</v>
      </c>
      <c r="L512" s="38" t="s">
        <v>15</v>
      </c>
      <c r="M512" s="38" t="s">
        <v>17</v>
      </c>
      <c r="N512" s="38" t="s">
        <v>16</v>
      </c>
    </row>
    <row r="513" spans="1:14" x14ac:dyDescent="0.35">
      <c r="A513" s="4" t="str">
        <f>Sheet1!A513 &amp; "/" &amp; "2025"</f>
        <v>1911/2025</v>
      </c>
      <c r="B513" s="5" t="str">
        <f>Sheet1!E513</f>
        <v>AU2065887795225</v>
      </c>
      <c r="C513" s="6" t="str">
        <f>UPPER(Sheet1!B513)</f>
        <v>GURMEHAR KAUR</v>
      </c>
      <c r="D513" s="7" t="str">
        <f>IF(Sheet1!F513="F","FEMALE","MALE")</f>
        <v>FEMALE</v>
      </c>
      <c r="E513" s="6" t="str">
        <f>UPPER(Sheet1!G513)</f>
        <v>KANWARBIR SINGH</v>
      </c>
      <c r="F513" s="6" t="str">
        <f>UPPER(Sheet1!H513)</f>
        <v>JASPREET KAUR</v>
      </c>
      <c r="G513" s="5" t="str">
        <f>TEXT(Sheet1!C513,"dd/mm/yyyy") &amp; "," &amp; Sheet1!D513</f>
        <v>02/09/2025,FRANKSTON, AUSTRALIA</v>
      </c>
      <c r="H513" s="57" t="str">
        <f>UPPER(Sheet1!K513 &amp; "," &amp; Sheet1!L513 &amp; "," &amp; Sheet1!M513)</f>
        <v xml:space="preserve">H.NO. 77 A DAVINDER NAGAR,KOT MIT SINGH,TARN TARAN ROAD,AMRITSAR,AMRITSAR,PIN:143001,PUNJAB,INDIA </v>
      </c>
      <c r="I513" s="8">
        <f>Sheet1!J513</f>
        <v>45987</v>
      </c>
      <c r="J513" s="5" t="str">
        <f>Sheet1!N513 &amp; "," &amp; TEXT(Sheet1!O513,"dd/mm/yy")</f>
        <v>202509074350,20/10/25</v>
      </c>
      <c r="K513" s="5" t="s">
        <v>14</v>
      </c>
      <c r="L513" s="38" t="s">
        <v>15</v>
      </c>
      <c r="M513" s="38" t="s">
        <v>17</v>
      </c>
      <c r="N513" s="38" t="s">
        <v>16</v>
      </c>
    </row>
    <row r="514" spans="1:14" ht="30" customHeight="1" x14ac:dyDescent="0.35">
      <c r="A514" s="4" t="str">
        <f>Sheet1!A514 &amp; "/" &amp; "2025"</f>
        <v>1912/2025</v>
      </c>
      <c r="B514" s="5" t="str">
        <f>Sheet1!E514</f>
        <v>AU2065887796625</v>
      </c>
      <c r="C514" s="6" t="str">
        <f>UPPER(Sheet1!B514)</f>
        <v>KRISHAAN MEENAKSHI SUNDARAM</v>
      </c>
      <c r="D514" s="7" t="str">
        <f>IF(Sheet1!F514="F","FEMALE","MALE")</f>
        <v>MALE</v>
      </c>
      <c r="E514" s="6" t="str">
        <f>UPPER(Sheet1!G514)</f>
        <v>MEENAKSHI SUNDARAM MANOHARAN</v>
      </c>
      <c r="F514" s="6" t="str">
        <f>UPPER(Sheet1!H514)</f>
        <v>VARDHINI DURAISWAMY</v>
      </c>
      <c r="G514" s="5" t="str">
        <f>TEXT(Sheet1!C514,"dd/mm/yyyy") &amp; "," &amp; Sheet1!D514</f>
        <v xml:space="preserve">26/09/2025,CLAYTON , AUSTRALIA  </v>
      </c>
      <c r="H514" s="57" t="str">
        <f>UPPER(Sheet1!K514 &amp; "," &amp; Sheet1!L514 &amp; "," &amp; Sheet1!M514)</f>
        <v xml:space="preserve">NO:35 ,2ND BHARATHIDASAN STREET ,DURGA NAGAR,TAMBARAM SANATORIUM,CHENNAI,PIN:600047,TAMIL NADU,INDIA </v>
      </c>
      <c r="I514" s="8">
        <f>Sheet1!J514</f>
        <v>45987</v>
      </c>
      <c r="J514" s="5" t="str">
        <f>Sheet1!N514 &amp; "," &amp; TEXT(Sheet1!O514,"dd/mm/yy")</f>
        <v>202509078884,05/11/25</v>
      </c>
      <c r="K514" s="5" t="s">
        <v>14</v>
      </c>
      <c r="L514" s="38" t="s">
        <v>15</v>
      </c>
      <c r="M514" s="38" t="s">
        <v>17</v>
      </c>
      <c r="N514" s="38" t="s">
        <v>16</v>
      </c>
    </row>
    <row r="515" spans="1:14" x14ac:dyDescent="0.35">
      <c r="A515" s="4" t="str">
        <f>Sheet1!A515 &amp; "/" &amp; "2025"</f>
        <v>1913/2025</v>
      </c>
      <c r="B515" s="5" t="str">
        <f>Sheet1!E515</f>
        <v>AU2065887797625</v>
      </c>
      <c r="C515" s="6" t="str">
        <f>UPPER(Sheet1!B515)</f>
        <v>HASRAT SINGH KHEHRA</v>
      </c>
      <c r="D515" s="7" t="str">
        <f>IF(Sheet1!F515="F","FEMALE","MALE")</f>
        <v>MALE</v>
      </c>
      <c r="E515" s="6" t="str">
        <f>UPPER(Sheet1!G515)</f>
        <v>DILAWAR SINGH</v>
      </c>
      <c r="F515" s="6" t="str">
        <f>UPPER(Sheet1!H515)</f>
        <v>HARPREET KAUR</v>
      </c>
      <c r="G515" s="5" t="str">
        <f>TEXT(Sheet1!C515,"dd/mm/yyyy") &amp; "," &amp; Sheet1!D515</f>
        <v xml:space="preserve">15/01/2025,ST ALBANS , AUSTRALIA </v>
      </c>
      <c r="H515" s="57" t="str">
        <f>UPPER(Sheet1!K515 &amp; "," &amp; Sheet1!L515 &amp; "," &amp; Sheet1!M515)</f>
        <v xml:space="preserve">VPO.,USMAN,TARN TARAN,PIN:143401,PUNJAB,INDIA </v>
      </c>
      <c r="I515" s="8">
        <f>Sheet1!J515</f>
        <v>45987</v>
      </c>
      <c r="J515" s="5" t="str">
        <f>Sheet1!N515 &amp; "," &amp; TEXT(Sheet1!O515,"dd/mm/yy")</f>
        <v>202509080032,10/11/25</v>
      </c>
      <c r="K515" s="5" t="s">
        <v>14</v>
      </c>
      <c r="L515" s="38" t="s">
        <v>15</v>
      </c>
      <c r="M515" s="38" t="s">
        <v>17</v>
      </c>
      <c r="N515" s="38" t="s">
        <v>16</v>
      </c>
    </row>
    <row r="516" spans="1:14" x14ac:dyDescent="0.35">
      <c r="A516" s="4" t="str">
        <f>Sheet1!A516 &amp; "/" &amp; "2025"</f>
        <v>1914/2025</v>
      </c>
      <c r="B516" s="5" t="str">
        <f>Sheet1!E516</f>
        <v>AU2065887799225</v>
      </c>
      <c r="C516" s="6" t="str">
        <f>UPPER(Sheet1!B516)</f>
        <v>HAZEL ARORA</v>
      </c>
      <c r="D516" s="7" t="str">
        <f>IF(Sheet1!F516="F","FEMALE","MALE")</f>
        <v>FEMALE</v>
      </c>
      <c r="E516" s="6" t="str">
        <f>UPPER(Sheet1!G516)</f>
        <v>HIMANSHU ARORA</v>
      </c>
      <c r="F516" s="6" t="str">
        <f>UPPER(Sheet1!H516)</f>
        <v>KANIKA ARORA</v>
      </c>
      <c r="G516" s="5" t="str">
        <f>TEXT(Sheet1!C516,"dd/mm/yyyy") &amp; "," &amp; Sheet1!D516</f>
        <v xml:space="preserve">14/10/2025,BURNIE, AUSTRALIA </v>
      </c>
      <c r="H516" s="57" t="str">
        <f>UPPER(Sheet1!K516 &amp; "," &amp; Sheet1!L516 &amp; "," &amp; Sheet1!M516)</f>
        <v xml:space="preserve">EA-157,SECOND FLOOR,TAGORE GARDEN,DELHI,PIN:110027,DELHI,INDIA </v>
      </c>
      <c r="I516" s="8">
        <f>Sheet1!J516</f>
        <v>45987</v>
      </c>
      <c r="J516" s="5" t="str">
        <f>Sheet1!N516 &amp; "," &amp; TEXT(Sheet1!O516,"dd/mm/yy")</f>
        <v>202509077502,30/10/25</v>
      </c>
      <c r="K516" s="5" t="s">
        <v>14</v>
      </c>
      <c r="L516" s="38" t="s">
        <v>15</v>
      </c>
      <c r="M516" s="38" t="s">
        <v>17</v>
      </c>
      <c r="N516" s="38" t="s">
        <v>16</v>
      </c>
    </row>
    <row r="517" spans="1:14" x14ac:dyDescent="0.35">
      <c r="A517" s="4" t="str">
        <f>Sheet1!A517 &amp; "/" &amp; "2025"</f>
        <v>1915/2025</v>
      </c>
      <c r="B517" s="5" t="str">
        <f>Sheet1!E517</f>
        <v>AU2065887800425</v>
      </c>
      <c r="C517" s="6" t="str">
        <f>UPPER(Sheet1!B517)</f>
        <v>BAKHSHISH KAUR</v>
      </c>
      <c r="D517" s="7" t="str">
        <f>IF(Sheet1!F517="F","FEMALE","MALE")</f>
        <v>FEMALE</v>
      </c>
      <c r="E517" s="6" t="str">
        <f>UPPER(Sheet1!G517)</f>
        <v>GURVINDER SINGH</v>
      </c>
      <c r="F517" s="6" t="str">
        <f>UPPER(Sheet1!H517)</f>
        <v>PAWANPREET KAUR</v>
      </c>
      <c r="G517" s="5" t="str">
        <f>TEXT(Sheet1!C517,"dd/mm/yyyy") &amp; "," &amp; Sheet1!D517</f>
        <v xml:space="preserve">08/09/2025,WODONGA , AUSTRALIA  </v>
      </c>
      <c r="H517" s="57" t="str">
        <f>UPPER(Sheet1!K517 &amp; "," &amp; Sheet1!L517 &amp; "," &amp; Sheet1!M517)</f>
        <v xml:space="preserve">VILL. SUREWAL ,P.O DHER,TEH.,ANANDPUR SAHIB,DISTT,ROPAR,PIN:140133,PUNJAB,INDIA </v>
      </c>
      <c r="I517" s="8">
        <f>Sheet1!J517</f>
        <v>45987</v>
      </c>
      <c r="J517" s="5" t="str">
        <f>Sheet1!N517 &amp; "," &amp; TEXT(Sheet1!O517,"dd/mm/yy")</f>
        <v>202509079114,06/11/25</v>
      </c>
      <c r="K517" s="5" t="s">
        <v>14</v>
      </c>
      <c r="L517" s="38" t="s">
        <v>15</v>
      </c>
      <c r="M517" s="38" t="s">
        <v>17</v>
      </c>
      <c r="N517" s="38" t="s">
        <v>16</v>
      </c>
    </row>
    <row r="518" spans="1:14" x14ac:dyDescent="0.35">
      <c r="A518" s="4" t="str">
        <f>Sheet1!A518 &amp; "/" &amp; "2025"</f>
        <v>1916/2025</v>
      </c>
      <c r="B518" s="5" t="str">
        <f>Sheet1!E518</f>
        <v>AU2065887801825</v>
      </c>
      <c r="C518" s="6" t="str">
        <f>UPPER(Sheet1!B518)</f>
        <v>RIVANSH MODI</v>
      </c>
      <c r="D518" s="7" t="str">
        <f>IF(Sheet1!F518="F","FEMALE","MALE")</f>
        <v>MALE</v>
      </c>
      <c r="E518" s="6" t="str">
        <f>UPPER(Sheet1!G518)</f>
        <v>NISHIT MUKESHKUMAR MODI</v>
      </c>
      <c r="F518" s="6" t="str">
        <f>UPPER(Sheet1!H518)</f>
        <v>SUHANI GHANSHYAMBHAI MODI</v>
      </c>
      <c r="G518" s="5" t="str">
        <f>TEXT(Sheet1!C518,"dd/mm/yyyy") &amp; "," &amp; Sheet1!D518</f>
        <v xml:space="preserve">01/08/2025,CLAYTON , AUSTRALIA  </v>
      </c>
      <c r="H518" s="57" t="str">
        <f>UPPER(Sheet1!K518 &amp; "," &amp; Sheet1!L518 &amp; "," &amp; Sheet1!M518)</f>
        <v xml:space="preserve">4 UTSAV SOCIETY,KUKARWADA,MEHSANA,PIN:382830,GUJARAT,INDIA </v>
      </c>
      <c r="I518" s="8">
        <f>Sheet1!J518</f>
        <v>45987</v>
      </c>
      <c r="J518" s="5" t="str">
        <f>Sheet1!N518 &amp; "," &amp; TEXT(Sheet1!O518,"dd/mm/yy")</f>
        <v>202509079892,09/11/25</v>
      </c>
      <c r="K518" s="5" t="s">
        <v>14</v>
      </c>
      <c r="L518" s="38" t="s">
        <v>15</v>
      </c>
      <c r="M518" s="38" t="s">
        <v>17</v>
      </c>
      <c r="N518" s="38" t="s">
        <v>16</v>
      </c>
    </row>
    <row r="519" spans="1:14" x14ac:dyDescent="0.35">
      <c r="A519" s="4" t="str">
        <f>Sheet1!A519 &amp; "/" &amp; "2025"</f>
        <v>1917/2025</v>
      </c>
      <c r="B519" s="5" t="str">
        <f>Sheet1!E519</f>
        <v>AU2065887810225</v>
      </c>
      <c r="C519" s="6" t="str">
        <f>UPPER(Sheet1!B519)</f>
        <v>NIVAAN SINGH</v>
      </c>
      <c r="D519" s="7" t="str">
        <f>IF(Sheet1!F519="F","FEMALE","MALE")</f>
        <v>MALE</v>
      </c>
      <c r="E519" s="6" t="str">
        <f>UPPER(Sheet1!G519)</f>
        <v>ADEEP SINGH MAGOO</v>
      </c>
      <c r="F519" s="6" t="str">
        <f>UPPER(Sheet1!H519)</f>
        <v>GURPREET KAUR</v>
      </c>
      <c r="G519" s="5" t="str">
        <f>TEXT(Sheet1!C519,"dd/mm/yyyy") &amp; "," &amp; Sheet1!D519</f>
        <v xml:space="preserve">21/06/2025,WERIBEE, AUSTRALIA </v>
      </c>
      <c r="H519" s="57" t="str">
        <f>UPPER(Sheet1!K519 &amp; "," &amp; Sheet1!L519 &amp; "," &amp; Sheet1!M519)</f>
        <v xml:space="preserve">A-565,DOUBLE STOREY,KALKAJI,DELHI,PIN:110019,DELHI,INDIA </v>
      </c>
      <c r="I519" s="8">
        <f>Sheet1!J519</f>
        <v>45987</v>
      </c>
      <c r="J519" s="5" t="str">
        <f>Sheet1!N519 &amp; "," &amp; TEXT(Sheet1!O519,"dd/mm/yy")</f>
        <v>202509077998,02/11/25</v>
      </c>
      <c r="K519" s="5" t="s">
        <v>14</v>
      </c>
      <c r="L519" s="38" t="s">
        <v>15</v>
      </c>
      <c r="M519" s="38" t="s">
        <v>17</v>
      </c>
      <c r="N519" s="38" t="s">
        <v>16</v>
      </c>
    </row>
    <row r="520" spans="1:14" x14ac:dyDescent="0.35">
      <c r="A520" s="4" t="str">
        <f>Sheet1!A520 &amp; "/" &amp; "2025"</f>
        <v>1918/2025</v>
      </c>
      <c r="B520" s="5" t="str">
        <f>Sheet1!E520</f>
        <v>AU2065888763025</v>
      </c>
      <c r="C520" s="6" t="str">
        <f>UPPER(Sheet1!B520)</f>
        <v>RAVNEET KAUR JAWANDA</v>
      </c>
      <c r="D520" s="7" t="str">
        <f>IF(Sheet1!F520="F","FEMALE","MALE")</f>
        <v>FEMALE</v>
      </c>
      <c r="E520" s="6" t="str">
        <f>UPPER(Sheet1!G520)</f>
        <v>ATMA SINGH JAWANDA</v>
      </c>
      <c r="F520" s="6" t="str">
        <f>UPPER(Sheet1!H520)</f>
        <v>RAJVEER KAUR</v>
      </c>
      <c r="G520" s="5" t="str">
        <f>TEXT(Sheet1!C520,"dd/mm/yyyy") &amp; "," &amp; Sheet1!D520</f>
        <v xml:space="preserve">21/08/2025,BACCHUS MARSH , AUSTRALIA  </v>
      </c>
      <c r="H520" s="57" t="str">
        <f>UPPER(Sheet1!K520 &amp; "," &amp; Sheet1!L520 &amp; "," &amp; Sheet1!M520)</f>
        <v xml:space="preserve">NEAR TERWANNI DERRA PATTI MALL,VPO. DALA,MOGA,PIN:142011,PUNJAB,INDIA </v>
      </c>
      <c r="I520" s="8">
        <f>Sheet1!J520</f>
        <v>45987</v>
      </c>
      <c r="J520" s="5" t="str">
        <f>Sheet1!N520 &amp; "," &amp; TEXT(Sheet1!O520,"dd/mm/yy")</f>
        <v>202509082355,18/11/25</v>
      </c>
      <c r="K520" s="5" t="s">
        <v>14</v>
      </c>
      <c r="L520" s="38" t="s">
        <v>15</v>
      </c>
      <c r="M520" s="38" t="s">
        <v>17</v>
      </c>
      <c r="N520" s="38" t="s">
        <v>16</v>
      </c>
    </row>
    <row r="521" spans="1:14" x14ac:dyDescent="0.35">
      <c r="A521" s="4" t="str">
        <f>Sheet1!A521 &amp; "/" &amp; "2025"</f>
        <v>1919/2025</v>
      </c>
      <c r="B521" s="5" t="str">
        <f>Sheet1!E521</f>
        <v>AU2065887673625</v>
      </c>
      <c r="C521" s="6" t="str">
        <f>UPPER(Sheet1!B521)</f>
        <v>VAMIKA RATHI</v>
      </c>
      <c r="D521" s="7" t="str">
        <f>IF(Sheet1!F521="F","FEMALE","MALE")</f>
        <v>FEMALE</v>
      </c>
      <c r="E521" s="6" t="str">
        <f>UPPER(Sheet1!G521)</f>
        <v>SUNNY PRAKASHBHAI RATHI</v>
      </c>
      <c r="F521" s="6" t="str">
        <f>UPPER(Sheet1!H521)</f>
        <v>MUDRA NILESHBHAI SHAH</v>
      </c>
      <c r="G521" s="5" t="str">
        <f>TEXT(Sheet1!C521,"dd/mm/yyyy") &amp; "," &amp; Sheet1!D521</f>
        <v xml:space="preserve">17/08/2025,GEELONG , AUSTRALIA </v>
      </c>
      <c r="H521" s="57" t="str">
        <f>UPPER(Sheet1!K521 &amp; "," &amp; Sheet1!L521 &amp; "," &amp; Sheet1!M521)</f>
        <v xml:space="preserve">61,NILKANTH SOCIETY,KARODIA ROAD,BAJWA,VADODARA,PIN:391310,GUJARAT,INDIA </v>
      </c>
      <c r="I521" s="8">
        <f>Sheet1!J521</f>
        <v>45988</v>
      </c>
      <c r="J521" s="5" t="str">
        <f>Sheet1!N521 &amp; "," &amp; TEXT(Sheet1!O521,"dd/mm/yy")</f>
        <v>202509076664,28/10/25</v>
      </c>
      <c r="K521" s="5" t="s">
        <v>14</v>
      </c>
      <c r="L521" s="38" t="s">
        <v>15</v>
      </c>
      <c r="M521" s="38" t="s">
        <v>17</v>
      </c>
      <c r="N521" s="38" t="s">
        <v>16</v>
      </c>
    </row>
    <row r="522" spans="1:14" x14ac:dyDescent="0.35">
      <c r="A522" s="4" t="str">
        <f>Sheet1!A522 &amp; "/" &amp; "2025"</f>
        <v>1920/2025</v>
      </c>
      <c r="B522" s="5" t="str">
        <f>Sheet1!E522</f>
        <v>AU2065887673825</v>
      </c>
      <c r="C522" s="6" t="str">
        <f>UPPER(Sheet1!B522)</f>
        <v>NIRVAN SINGH</v>
      </c>
      <c r="D522" s="7" t="str">
        <f>IF(Sheet1!F522="F","FEMALE","MALE")</f>
        <v>MALE</v>
      </c>
      <c r="E522" s="6" t="str">
        <f>UPPER(Sheet1!G522)</f>
        <v>SUKHMANPREET SINGH</v>
      </c>
      <c r="F522" s="6" t="str">
        <f>UPPER(Sheet1!H522)</f>
        <v>GURPREET KAUR</v>
      </c>
      <c r="G522" s="5" t="str">
        <f>TEXT(Sheet1!C522,"dd/mm/yyyy") &amp; "," &amp; Sheet1!D522</f>
        <v xml:space="preserve">17/09/2025,EPPING , AUSTRALIA </v>
      </c>
      <c r="H522" s="57" t="str">
        <f>UPPER(Sheet1!K522 &amp; "," &amp; Sheet1!L522 &amp; "," &amp; Sheet1!M522)</f>
        <v xml:space="preserve">H.NO 12,PREET VIHAR,ABADI PREM NAGAR,KHAIRABAD ROAD GUMTALA,AMRITSAR,PIN:143008,PUNJAB,INDIA </v>
      </c>
      <c r="I522" s="8">
        <f>Sheet1!J522</f>
        <v>45988</v>
      </c>
      <c r="J522" s="5" t="str">
        <f>Sheet1!N522 &amp; "," &amp; TEXT(Sheet1!O522,"dd/mm/yy")</f>
        <v>202509076693,28/10/25</v>
      </c>
      <c r="K522" s="5" t="s">
        <v>14</v>
      </c>
      <c r="L522" s="38" t="s">
        <v>15</v>
      </c>
      <c r="M522" s="38" t="s">
        <v>17</v>
      </c>
      <c r="N522" s="38" t="s">
        <v>16</v>
      </c>
    </row>
    <row r="523" spans="1:14" x14ac:dyDescent="0.35">
      <c r="A523" s="4" t="str">
        <f>Sheet1!A523 &amp; "/" &amp; "2025"</f>
        <v>1921/2025</v>
      </c>
      <c r="B523" s="5" t="str">
        <f>Sheet1!E523</f>
        <v>AU2065887674225</v>
      </c>
      <c r="C523" s="6" t="str">
        <f>UPPER(Sheet1!B523)</f>
        <v>TORIN PATEL</v>
      </c>
      <c r="D523" s="7" t="str">
        <f>IF(Sheet1!F523="F","FEMALE","MALE")</f>
        <v>MALE</v>
      </c>
      <c r="E523" s="6" t="str">
        <f>UPPER(Sheet1!G523)</f>
        <v>SAURABH VIJAYKUMAR PATEL</v>
      </c>
      <c r="F523" s="6" t="str">
        <f>UPPER(Sheet1!H523)</f>
        <v>DRUMA SAURABH PATEL</v>
      </c>
      <c r="G523" s="5" t="str">
        <f>TEXT(Sheet1!C523,"dd/mm/yyyy") &amp; "," &amp; Sheet1!D523</f>
        <v xml:space="preserve">22/09/2025,WERIBEE, AUSTRALIA </v>
      </c>
      <c r="H523" s="57" t="str">
        <f>UPPER(Sheet1!K523 &amp; "," &amp; Sheet1!L523 &amp; "," &amp; Sheet1!M523)</f>
        <v xml:space="preserve">18 ABHISHEK SOCIETY,MEGHANINAGAR,AHMEDABAD,PIN:380016,GUJARAT,INDIA </v>
      </c>
      <c r="I523" s="8">
        <f>Sheet1!J523</f>
        <v>45988</v>
      </c>
      <c r="J523" s="5" t="str">
        <f>Sheet1!N523 &amp; "," &amp; TEXT(Sheet1!O523,"dd/mm/yy")</f>
        <v>202509077062,29/10/25</v>
      </c>
      <c r="K523" s="5" t="s">
        <v>14</v>
      </c>
      <c r="L523" s="38" t="s">
        <v>15</v>
      </c>
      <c r="M523" s="38" t="s">
        <v>17</v>
      </c>
      <c r="N523" s="38" t="s">
        <v>16</v>
      </c>
    </row>
    <row r="524" spans="1:14" x14ac:dyDescent="0.35">
      <c r="A524" s="4" t="str">
        <f>Sheet1!A524 &amp; "/" &amp; "2025"</f>
        <v>1922/2025</v>
      </c>
      <c r="B524" s="5" t="str">
        <f>Sheet1!E524</f>
        <v>AU2065887675225</v>
      </c>
      <c r="C524" s="6" t="str">
        <f>UPPER(Sheet1!B524)</f>
        <v>HEER RAHULKUMAR PRAJAPATI</v>
      </c>
      <c r="D524" s="7" t="str">
        <f>IF(Sheet1!F524="F","FEMALE","MALE")</f>
        <v>FEMALE</v>
      </c>
      <c r="E524" s="6" t="str">
        <f>UPPER(Sheet1!G524)</f>
        <v>RAHULKUMAR RAMESHBHAI PRAJAPATI</v>
      </c>
      <c r="F524" s="6" t="str">
        <f>UPPER(Sheet1!H524)</f>
        <v>POOJABEN RAHULKUMAR PRAJAPATI</v>
      </c>
      <c r="G524" s="5" t="str">
        <f>TEXT(Sheet1!C524,"dd/mm/yyyy") &amp; "," &amp; Sheet1!D524</f>
        <v xml:space="preserve">17/09/2025,CLAYTON , AUSTRALIA  </v>
      </c>
      <c r="H524" s="57" t="str">
        <f>UPPER(Sheet1!K524 &amp; "," &amp; Sheet1!L524 &amp; "," &amp; Sheet1!M524)</f>
        <v xml:space="preserve">19 OMPARK KENALKOLONI SAME,DEESA,BANASKANTHA,PIN:385535,GUJARAT,INDIA </v>
      </c>
      <c r="I524" s="8">
        <f>Sheet1!J524</f>
        <v>45988</v>
      </c>
      <c r="J524" s="5" t="str">
        <f>Sheet1!N524 &amp; "," &amp; TEXT(Sheet1!O524,"dd/mm/yy")</f>
        <v>202509076000,26/10/25</v>
      </c>
      <c r="K524" s="5" t="s">
        <v>14</v>
      </c>
      <c r="L524" s="38" t="s">
        <v>15</v>
      </c>
      <c r="M524" s="38" t="s">
        <v>17</v>
      </c>
      <c r="N524" s="38" t="s">
        <v>16</v>
      </c>
    </row>
    <row r="525" spans="1:14" x14ac:dyDescent="0.35">
      <c r="A525" s="4" t="str">
        <f>Sheet1!A525 &amp; "/" &amp; "2025"</f>
        <v>1923/2025</v>
      </c>
      <c r="B525" s="5" t="str">
        <f>Sheet1!E525</f>
        <v>AU2065887675625</v>
      </c>
      <c r="C525" s="6" t="str">
        <f>UPPER(Sheet1!B525)</f>
        <v>KRIVANSH GAURAVKUMAR PATEL</v>
      </c>
      <c r="D525" s="7" t="str">
        <f>IF(Sheet1!F525="F","FEMALE","MALE")</f>
        <v>MALE</v>
      </c>
      <c r="E525" s="6" t="str">
        <f>UPPER(Sheet1!G525)</f>
        <v>GAURAVKUMAR RAJENDRABHAI PATEL</v>
      </c>
      <c r="F525" s="6" t="str">
        <f>UPPER(Sheet1!H525)</f>
        <v>VISHWA GAURAVKUMAR PATEL</v>
      </c>
      <c r="G525" s="5" t="str">
        <f>TEXT(Sheet1!C525,"dd/mm/yyyy") &amp; "," &amp; Sheet1!D525</f>
        <v xml:space="preserve">02/09/2025,BERWICK , AUSTRALIA  </v>
      </c>
      <c r="H525" s="57" t="str">
        <f>UPPER(Sheet1!K525 &amp; "," &amp; Sheet1!L525 &amp; "," &amp; Sheet1!M525)</f>
        <v xml:space="preserve">491,BHAGVATI PURA,TATOSAN,VIJAPUR,MEHSANA,PIN:382820,GUJARAT,INDIA </v>
      </c>
      <c r="I525" s="8">
        <f>Sheet1!J525</f>
        <v>45988</v>
      </c>
      <c r="J525" s="5" t="str">
        <f>Sheet1!N525 &amp; "," &amp; TEXT(Sheet1!O525,"dd/mm/yy")</f>
        <v>202509077013,29/10/25</v>
      </c>
      <c r="K525" s="5" t="s">
        <v>14</v>
      </c>
      <c r="L525" s="38" t="s">
        <v>15</v>
      </c>
      <c r="M525" s="38" t="s">
        <v>17</v>
      </c>
      <c r="N525" s="38" t="s">
        <v>16</v>
      </c>
    </row>
    <row r="526" spans="1:14" x14ac:dyDescent="0.35">
      <c r="A526" s="4" t="str">
        <f>Sheet1!A526 &amp; "/" &amp; "2025"</f>
        <v>1924/2025</v>
      </c>
      <c r="B526" s="5" t="str">
        <f>Sheet1!E526</f>
        <v>AU2065887676425</v>
      </c>
      <c r="C526" s="6" t="str">
        <f>UPPER(Sheet1!B526)</f>
        <v>VAMIKA VINAY VICHARE</v>
      </c>
      <c r="D526" s="7" t="str">
        <f>IF(Sheet1!F526="F","FEMALE","MALE")</f>
        <v>FEMALE</v>
      </c>
      <c r="E526" s="6" t="str">
        <f>UPPER(Sheet1!G526)</f>
        <v>VINAY VIJAY VICHARE</v>
      </c>
      <c r="F526" s="6" t="str">
        <f>UPPER(Sheet1!H526)</f>
        <v>BHAKTI VINAY VICHARE</v>
      </c>
      <c r="G526" s="5" t="str">
        <f>TEXT(Sheet1!C526,"dd/mm/yyyy") &amp; "," &amp; Sheet1!D526</f>
        <v xml:space="preserve">30/06/2025,GEELONG , AUSTRALIA </v>
      </c>
      <c r="H526" s="57" t="str">
        <f>UPPER(Sheet1!K526 &amp; "," &amp; Sheet1!L526 &amp; "," &amp; Sheet1!M526)</f>
        <v xml:space="preserve">A 1 201 VISHWAKARMA NAGAR PH - 2 OPP AMBADI RD,VASAI WEST,PALGHAR,PIN:401202,MAHARASHTRA,INDIA </v>
      </c>
      <c r="I526" s="8">
        <f>Sheet1!J526</f>
        <v>45988</v>
      </c>
      <c r="J526" s="5" t="str">
        <f>Sheet1!N526 &amp; "," &amp; TEXT(Sheet1!O526,"dd/mm/yy")</f>
        <v>202509076624,28/10/25</v>
      </c>
      <c r="K526" s="5" t="s">
        <v>14</v>
      </c>
      <c r="L526" s="38" t="s">
        <v>15</v>
      </c>
      <c r="M526" s="38" t="s">
        <v>17</v>
      </c>
      <c r="N526" s="38" t="s">
        <v>16</v>
      </c>
    </row>
    <row r="527" spans="1:14" x14ac:dyDescent="0.35">
      <c r="A527" s="4" t="str">
        <f>Sheet1!A527 &amp; "/" &amp; "2025"</f>
        <v>1925/2025</v>
      </c>
      <c r="B527" s="5" t="str">
        <f>Sheet1!E527</f>
        <v>AU2065887677025</v>
      </c>
      <c r="C527" s="6" t="str">
        <f>UPPER(Sheet1!B527)</f>
        <v>GULDAULAT KAUR SIDHU</v>
      </c>
      <c r="D527" s="7" t="str">
        <f>IF(Sheet1!F527="F","FEMALE","MALE")</f>
        <v>FEMALE</v>
      </c>
      <c r="E527" s="6" t="str">
        <f>UPPER(Sheet1!G527)</f>
        <v>SIMRANJEET SINGH SIDHU</v>
      </c>
      <c r="F527" s="6" t="str">
        <f>UPPER(Sheet1!H527)</f>
        <v>KULREET KAUR SIDHU</v>
      </c>
      <c r="G527" s="5" t="str">
        <f>TEXT(Sheet1!C527,"dd/mm/yyyy") &amp; "," &amp; Sheet1!D527</f>
        <v xml:space="preserve">28/05/2025,ST ALBANS , AUSTRALIA </v>
      </c>
      <c r="H527" s="57" t="str">
        <f>UPPER(Sheet1!K527 &amp; "," &amp; Sheet1!L527 &amp; "," &amp; Sheet1!M527)</f>
        <v xml:space="preserve">HNO.67 BABE BAHADAR SHAH DE SAHAMANE WALI GALI,VPO CHAND PURANA,MOGA,PIN:142038,PUNJAB,INDIA </v>
      </c>
      <c r="I527" s="8">
        <f>Sheet1!J527</f>
        <v>45988</v>
      </c>
      <c r="J527" s="5" t="str">
        <f>Sheet1!N527 &amp; "," &amp; TEXT(Sheet1!O527,"dd/mm/yy")</f>
        <v>202509065699,16/09/25</v>
      </c>
      <c r="K527" s="5" t="s">
        <v>14</v>
      </c>
      <c r="L527" s="38" t="s">
        <v>15</v>
      </c>
      <c r="M527" s="38" t="s">
        <v>17</v>
      </c>
      <c r="N527" s="38" t="s">
        <v>16</v>
      </c>
    </row>
    <row r="528" spans="1:14" x14ac:dyDescent="0.35">
      <c r="A528" s="4" t="str">
        <f>Sheet1!A528 &amp; "/" &amp; "2025"</f>
        <v>1926/2025</v>
      </c>
      <c r="B528" s="5" t="str">
        <f>Sheet1!E528</f>
        <v>AU2065887677625</v>
      </c>
      <c r="C528" s="6" t="str">
        <f>UPPER(Sheet1!B528)</f>
        <v>REHMAT KAUR RANDHAWA</v>
      </c>
      <c r="D528" s="7" t="str">
        <f>IF(Sheet1!F528="F","FEMALE","MALE")</f>
        <v>FEMALE</v>
      </c>
      <c r="E528" s="6" t="str">
        <f>UPPER(Sheet1!G528)</f>
        <v>JARMAN SINGH</v>
      </c>
      <c r="F528" s="6" t="str">
        <f>UPPER(Sheet1!H528)</f>
        <v>ROBANJIT KAUR</v>
      </c>
      <c r="G528" s="5" t="str">
        <f>TEXT(Sheet1!C528,"dd/mm/yyyy") &amp; "," &amp; Sheet1!D528</f>
        <v>23/10/2024,FRANKSTON, AUSTRALIA</v>
      </c>
      <c r="H528" s="57" t="str">
        <f>UPPER(Sheet1!K528 &amp; "," &amp; Sheet1!L528 &amp; "," &amp; Sheet1!M528)</f>
        <v xml:space="preserve">VILL PANDORI HASSAN,PO LALU GHUMAN,TARN TARAN,PIN:143401,PUNJAB,INDIA </v>
      </c>
      <c r="I528" s="8">
        <f>Sheet1!J528</f>
        <v>45988</v>
      </c>
      <c r="J528" s="5" t="str">
        <f>Sheet1!N528 &amp; "," &amp; TEXT(Sheet1!O528,"dd/mm/yy")</f>
        <v>202509077781,01/11/25</v>
      </c>
      <c r="K528" s="5" t="s">
        <v>14</v>
      </c>
      <c r="L528" s="38" t="s">
        <v>15</v>
      </c>
      <c r="M528" s="38" t="s">
        <v>17</v>
      </c>
      <c r="N528" s="38" t="s">
        <v>16</v>
      </c>
    </row>
    <row r="529" spans="1:14" x14ac:dyDescent="0.35">
      <c r="A529" s="4" t="str">
        <f>Sheet1!A529 &amp; "/" &amp; "2025"</f>
        <v>1927/2025</v>
      </c>
      <c r="B529" s="5" t="str">
        <f>Sheet1!E529</f>
        <v>AU2065887678025</v>
      </c>
      <c r="C529" s="6" t="str">
        <f>UPPER(Sheet1!B529)</f>
        <v>AGAMVEER SINGH SIDHU</v>
      </c>
      <c r="D529" s="7" t="str">
        <f>IF(Sheet1!F529="F","FEMALE","MALE")</f>
        <v>MALE</v>
      </c>
      <c r="E529" s="6" t="str">
        <f>UPPER(Sheet1!G529)</f>
        <v>PAVITTAR SINGH SIDHU</v>
      </c>
      <c r="F529" s="6" t="str">
        <f>UPPER(Sheet1!H529)</f>
        <v>SIMRANJEET KAUR BRAR</v>
      </c>
      <c r="G529" s="5" t="str">
        <f>TEXT(Sheet1!C529,"dd/mm/yyyy") &amp; "," &amp; Sheet1!D529</f>
        <v xml:space="preserve">20/04/2025,ST ALBANS , AUSTRALIA </v>
      </c>
      <c r="H529" s="57" t="str">
        <f>UPPER(Sheet1!K529 &amp; "," &amp; Sheet1!L529 &amp; "," &amp; Sheet1!M529)</f>
        <v xml:space="preserve">NEAR BUS STAND,BAKHTA PATTI,VPO-SEKHA KALAN,MOGA,PIN:142049,PUNJAB,INDIA </v>
      </c>
      <c r="I529" s="8">
        <f>Sheet1!J529</f>
        <v>45988</v>
      </c>
      <c r="J529" s="5" t="str">
        <f>Sheet1!N529 &amp; "," &amp; TEXT(Sheet1!O529,"dd/mm/yy")</f>
        <v>202509077558,31/10/25</v>
      </c>
      <c r="K529" s="5" t="s">
        <v>14</v>
      </c>
      <c r="L529" s="38" t="s">
        <v>15</v>
      </c>
      <c r="M529" s="38" t="s">
        <v>17</v>
      </c>
      <c r="N529" s="38" t="s">
        <v>16</v>
      </c>
    </row>
    <row r="530" spans="1:14" x14ac:dyDescent="0.35">
      <c r="A530" s="4" t="str">
        <f>Sheet1!A530 &amp; "/" &amp; "2025"</f>
        <v>1928/2025</v>
      </c>
      <c r="B530" s="5" t="str">
        <f>Sheet1!E530</f>
        <v>AU2065887678625</v>
      </c>
      <c r="C530" s="6" t="str">
        <f>UPPER(Sheet1!B530)</f>
        <v>VIRAAJ SINGH</v>
      </c>
      <c r="D530" s="7" t="str">
        <f>IF(Sheet1!F530="F","FEMALE","MALE")</f>
        <v>MALE</v>
      </c>
      <c r="E530" s="6" t="str">
        <f>UPPER(Sheet1!G530)</f>
        <v>HARMANPREET SINGH</v>
      </c>
      <c r="F530" s="6" t="str">
        <f>UPPER(Sheet1!H530)</f>
        <v>JAGMEET KAUR</v>
      </c>
      <c r="G530" s="5" t="str">
        <f>TEXT(Sheet1!C530,"dd/mm/yyyy") &amp; "," &amp; Sheet1!D530</f>
        <v xml:space="preserve">07/09/2025,WERIBEE, AUSTRALIA </v>
      </c>
      <c r="H530" s="57" t="str">
        <f>UPPER(Sheet1!K530 &amp; "," &amp; Sheet1!L530 &amp; "," &amp; Sheet1!M530)</f>
        <v xml:space="preserve">VILLAGE- SHEKHUPUR,POST- DUDHIA KHURD,PILIBHIT,PIN:262122,UTTAR PRADESH,INDIA </v>
      </c>
      <c r="I530" s="8">
        <f>Sheet1!J530</f>
        <v>45988</v>
      </c>
      <c r="J530" s="5" t="str">
        <f>Sheet1!N530 &amp; "," &amp; TEXT(Sheet1!O530,"dd/mm/yy")</f>
        <v>202509077981,02/11/25</v>
      </c>
      <c r="K530" s="5" t="s">
        <v>14</v>
      </c>
      <c r="L530" s="38" t="s">
        <v>15</v>
      </c>
      <c r="M530" s="38" t="s">
        <v>17</v>
      </c>
      <c r="N530" s="38" t="s">
        <v>16</v>
      </c>
    </row>
    <row r="531" spans="1:14" x14ac:dyDescent="0.35">
      <c r="A531" s="4" t="str">
        <f>Sheet1!A531 &amp; "/" &amp; "2025"</f>
        <v>1929/2025</v>
      </c>
      <c r="B531" s="5" t="str">
        <f>Sheet1!E531</f>
        <v>AU2065887696225</v>
      </c>
      <c r="C531" s="6" t="str">
        <f>UPPER(Sheet1!B531)</f>
        <v>HASRAT KAUR DHALIWAL</v>
      </c>
      <c r="D531" s="7" t="str">
        <f>IF(Sheet1!F531="F","FEMALE","MALE")</f>
        <v>FEMALE</v>
      </c>
      <c r="E531" s="6" t="str">
        <f>UPPER(Sheet1!G531)</f>
        <v>PARGAT SINGH DHALIWAL</v>
      </c>
      <c r="F531" s="6" t="str">
        <f>UPPER(Sheet1!H531)</f>
        <v>BAVANDEEP KAUR DHALIWAL</v>
      </c>
      <c r="G531" s="5" t="str">
        <f>TEXT(Sheet1!C531,"dd/mm/yyyy") &amp; "," &amp; Sheet1!D531</f>
        <v xml:space="preserve">30/08/2025,BUNDOORA, AUSTRALIA </v>
      </c>
      <c r="H531" s="57" t="str">
        <f>UPPER(Sheet1!K531 &amp; "," &amp; Sheet1!L531 &amp; "," &amp; Sheet1!M531)</f>
        <v xml:space="preserve">UMRA PATTI,LAKHA,JAGRAON (LUDHIANA),PIN:142031,PUNJAB,INDIA </v>
      </c>
      <c r="I531" s="8">
        <f>Sheet1!J531</f>
        <v>45988</v>
      </c>
      <c r="J531" s="5" t="str">
        <f>Sheet1!N531 &amp; "," &amp; TEXT(Sheet1!O531,"dd/mm/yy")</f>
        <v>202509075990,26/10/25</v>
      </c>
      <c r="K531" s="5" t="s">
        <v>14</v>
      </c>
      <c r="L531" s="38" t="s">
        <v>15</v>
      </c>
      <c r="M531" s="38" t="s">
        <v>17</v>
      </c>
      <c r="N531" s="38" t="s">
        <v>16</v>
      </c>
    </row>
    <row r="532" spans="1:14" x14ac:dyDescent="0.35">
      <c r="A532" s="4" t="str">
        <f>Sheet1!A532 &amp; "/" &amp; "2025"</f>
        <v>1930/2025</v>
      </c>
      <c r="B532" s="5" t="str">
        <f>Sheet1!E532</f>
        <v>AU2065887697025</v>
      </c>
      <c r="C532" s="6" t="str">
        <f>UPPER(Sheet1!B532)</f>
        <v>SIDAK KAUR</v>
      </c>
      <c r="D532" s="7" t="str">
        <f>IF(Sheet1!F532="F","FEMALE","MALE")</f>
        <v>FEMALE</v>
      </c>
      <c r="E532" s="6" t="str">
        <f>UPPER(Sheet1!G532)</f>
        <v>MAHAL SINGH</v>
      </c>
      <c r="F532" s="6" t="str">
        <f>UPPER(Sheet1!H532)</f>
        <v>SANDEEP KAUR</v>
      </c>
      <c r="G532" s="5" t="str">
        <f>TEXT(Sheet1!C532,"dd/mm/yyyy") &amp; "," &amp; Sheet1!D532</f>
        <v xml:space="preserve">06/06/2025,ST ALBANS , AUSTRALIA </v>
      </c>
      <c r="H532" s="57" t="str">
        <f>UPPER(Sheet1!K532 &amp; "," &amp; Sheet1!L532 &amp; "," &amp; Sheet1!M532)</f>
        <v xml:space="preserve">H.NO. 1,NEAR PYAR BUS SERVICE STATION,FOCAL POINT,G.T. ROAD,AMRITSAR,PIN:143001,PUNJAB,INDIA </v>
      </c>
      <c r="I532" s="8">
        <f>Sheet1!J532</f>
        <v>45988</v>
      </c>
      <c r="J532" s="5" t="str">
        <f>Sheet1!N532 &amp; "," &amp; TEXT(Sheet1!O532,"dd/mm/yy")</f>
        <v>202509073799,17/10/25</v>
      </c>
      <c r="K532" s="5" t="s">
        <v>14</v>
      </c>
      <c r="L532" s="38" t="s">
        <v>15</v>
      </c>
      <c r="M532" s="38" t="s">
        <v>17</v>
      </c>
      <c r="N532" s="38" t="s">
        <v>16</v>
      </c>
    </row>
    <row r="533" spans="1:14" x14ac:dyDescent="0.35">
      <c r="A533" s="4" t="str">
        <f>Sheet1!A533 &amp; "/" &amp; "2025"</f>
        <v>1931/2025</v>
      </c>
      <c r="B533" s="5" t="str">
        <f>Sheet1!E533</f>
        <v>AU2065887699825</v>
      </c>
      <c r="C533" s="6" t="str">
        <f>UPPER(Sheet1!B533)</f>
        <v>SHANVI MUDUGULA</v>
      </c>
      <c r="D533" s="7" t="str">
        <f>IF(Sheet1!F533="F","FEMALE","MALE")</f>
        <v>FEMALE</v>
      </c>
      <c r="E533" s="6" t="str">
        <f>UPPER(Sheet1!G533)</f>
        <v>SAI SAGAR MUDUGULA</v>
      </c>
      <c r="F533" s="6" t="str">
        <f>UPPER(Sheet1!H533)</f>
        <v>JUHI MUDUGULA</v>
      </c>
      <c r="G533" s="5" t="str">
        <f>TEXT(Sheet1!C533,"dd/mm/yyyy") &amp; "," &amp; Sheet1!D533</f>
        <v xml:space="preserve">10/07/2025,PARKVILLE , AUSTRALIA  </v>
      </c>
      <c r="H533" s="57" t="str">
        <f>UPPER(Sheet1!K533 &amp; "," &amp; Sheet1!L533 &amp; "," &amp; Sheet1!M533)</f>
        <v xml:space="preserve">H NO. 11113,PREM NAGAR,HAIBOWAL KALAN,LUDHIANA,LUDHIANA,PIN:141001,PUNJAB,INDIA </v>
      </c>
      <c r="I533" s="8">
        <f>Sheet1!J533</f>
        <v>45988</v>
      </c>
      <c r="J533" s="5" t="str">
        <f>Sheet1!N533 &amp; "," &amp; TEXT(Sheet1!O533,"dd/mm/yy")</f>
        <v>202509078273,03/11/25</v>
      </c>
      <c r="K533" s="5" t="s">
        <v>14</v>
      </c>
      <c r="L533" s="38" t="s">
        <v>15</v>
      </c>
      <c r="M533" s="38" t="s">
        <v>17</v>
      </c>
      <c r="N533" s="38" t="s">
        <v>16</v>
      </c>
    </row>
    <row r="534" spans="1:14" x14ac:dyDescent="0.35">
      <c r="A534" s="4" t="str">
        <f>Sheet1!A534 &amp; "/" &amp; "2025"</f>
        <v>1932/2025</v>
      </c>
      <c r="B534" s="5" t="str">
        <f>Sheet1!E534</f>
        <v>AU2065887701225</v>
      </c>
      <c r="C534" s="6" t="str">
        <f>UPPER(Sheet1!B534)</f>
        <v>ARZ KAUR BRAR</v>
      </c>
      <c r="D534" s="7" t="str">
        <f>IF(Sheet1!F534="F","FEMALE","MALE")</f>
        <v>FEMALE</v>
      </c>
      <c r="E534" s="6" t="str">
        <f>UPPER(Sheet1!G534)</f>
        <v>ATTINDERPAL SINGH</v>
      </c>
      <c r="F534" s="6" t="str">
        <f>UPPER(Sheet1!H534)</f>
        <v>MANPREET KAUR</v>
      </c>
      <c r="G534" s="5" t="str">
        <f>TEXT(Sheet1!C534,"dd/mm/yyyy") &amp; "," &amp; Sheet1!D534</f>
        <v xml:space="preserve">26/08/2025,ST ALBANS , AUSTRALIA </v>
      </c>
      <c r="H534" s="57" t="str">
        <f>UPPER(Sheet1!K534 &amp; "," &amp; Sheet1!L534 &amp; "," &amp; Sheet1!M534)</f>
        <v xml:space="preserve">VILLAGE KOTLI SANGHAR,PO. BHUTTIWALA,SRI MUKTSAR SAHIB,PIN:152025,PUNJAB,INDIA </v>
      </c>
      <c r="I534" s="8">
        <f>Sheet1!J534</f>
        <v>45988</v>
      </c>
      <c r="J534" s="5" t="str">
        <f>Sheet1!N534 &amp; "," &amp; TEXT(Sheet1!O534,"dd/mm/yy")</f>
        <v>202509077564,31/10/25</v>
      </c>
      <c r="K534" s="5" t="s">
        <v>14</v>
      </c>
      <c r="L534" s="38" t="s">
        <v>15</v>
      </c>
      <c r="M534" s="38" t="s">
        <v>17</v>
      </c>
      <c r="N534" s="38" t="s">
        <v>16</v>
      </c>
    </row>
    <row r="535" spans="1:14" x14ac:dyDescent="0.35">
      <c r="A535" s="4" t="str">
        <f>Sheet1!A535 &amp; "/" &amp; "2025"</f>
        <v>1933/2025</v>
      </c>
      <c r="B535" s="5" t="str">
        <f>Sheet1!E535</f>
        <v>AU2065887702025</v>
      </c>
      <c r="C535" s="6" t="str">
        <f>UPPER(Sheet1!B535)</f>
        <v>NIVAAN SINGH BRAR</v>
      </c>
      <c r="D535" s="7" t="str">
        <f>IF(Sheet1!F535="F","FEMALE","MALE")</f>
        <v>MALE</v>
      </c>
      <c r="E535" s="6" t="str">
        <f>UPPER(Sheet1!G535)</f>
        <v>LOVEPREET SINGH BRAR</v>
      </c>
      <c r="F535" s="6" t="str">
        <f>UPPER(Sheet1!H535)</f>
        <v>PAWANDEEP KAUR</v>
      </c>
      <c r="G535" s="5" t="str">
        <f>TEXT(Sheet1!C535,"dd/mm/yyyy") &amp; "," &amp; Sheet1!D535</f>
        <v xml:space="preserve">01/08/2025,BERWICK , AUSTRALIA  </v>
      </c>
      <c r="H535" s="57" t="str">
        <f>UPPER(Sheet1!K535 &amp; "," &amp; Sheet1!L535 &amp; "," &amp; Sheet1!M535)</f>
        <v xml:space="preserve">PATTI ALAM VPO ALAM WALA KALAN,TEHSIL BAGHA PURANA,MOGA,PIN:142038,PUNJAB,INDIA </v>
      </c>
      <c r="I535" s="8">
        <f>Sheet1!J535</f>
        <v>45988</v>
      </c>
      <c r="J535" s="5" t="str">
        <f>Sheet1!N535 &amp; "," &amp; TEXT(Sheet1!O535,"dd/mm/yy")</f>
        <v>202509077010,29/10/25</v>
      </c>
      <c r="K535" s="5" t="s">
        <v>14</v>
      </c>
      <c r="L535" s="38" t="s">
        <v>15</v>
      </c>
      <c r="M535" s="38" t="s">
        <v>17</v>
      </c>
      <c r="N535" s="38" t="s">
        <v>16</v>
      </c>
    </row>
    <row r="536" spans="1:14" x14ac:dyDescent="0.35">
      <c r="A536" s="4" t="str">
        <f>Sheet1!A536 &amp; "/" &amp; "2025"</f>
        <v>1934/2025</v>
      </c>
      <c r="B536" s="5" t="str">
        <f>Sheet1!E536</f>
        <v>AU2065887722025</v>
      </c>
      <c r="C536" s="6" t="str">
        <f>UPPER(Sheet1!B536)</f>
        <v>NADAR SINGH MEHRA</v>
      </c>
      <c r="D536" s="7" t="str">
        <f>IF(Sheet1!F536="F","FEMALE","MALE")</f>
        <v>MALE</v>
      </c>
      <c r="E536" s="6" t="str">
        <f>UPPER(Sheet1!G536)</f>
        <v>SARBJEET SINGH MEHRA</v>
      </c>
      <c r="F536" s="6" t="str">
        <f>UPPER(Sheet1!H536)</f>
        <v>SUPREET KAUR MEHRA</v>
      </c>
      <c r="G536" s="5" t="str">
        <f>TEXT(Sheet1!C536,"dd/mm/yyyy") &amp; "," &amp; Sheet1!D536</f>
        <v xml:space="preserve">22/11/2024,PARKVILLE , AUSTRALIA  </v>
      </c>
      <c r="H536" s="57" t="str">
        <f>UPPER(Sheet1!K536 &amp; "," &amp; Sheet1!L536 &amp; "," &amp; Sheet1!M536)</f>
        <v xml:space="preserve">ST.NO.3 BHAN SINGH COLONY,FARIDKOT,FARIDKOT,PIN:151203,PUNJAB,INDIA </v>
      </c>
      <c r="I536" s="8">
        <f>Sheet1!J536</f>
        <v>45988</v>
      </c>
      <c r="J536" s="5" t="str">
        <f>Sheet1!N536 &amp; "," &amp; TEXT(Sheet1!O536,"dd/mm/yy")</f>
        <v>202509079119,06/11/25</v>
      </c>
      <c r="K536" s="5" t="s">
        <v>14</v>
      </c>
      <c r="L536" s="38" t="s">
        <v>15</v>
      </c>
      <c r="M536" s="38" t="s">
        <v>17</v>
      </c>
      <c r="N536" s="38" t="s">
        <v>16</v>
      </c>
    </row>
    <row r="537" spans="1:14" x14ac:dyDescent="0.35">
      <c r="A537" s="4" t="str">
        <f>Sheet1!A537 &amp; "/" &amp; "2025"</f>
        <v>1935/2025</v>
      </c>
      <c r="B537" s="5" t="str">
        <f>Sheet1!E537</f>
        <v>AU2065887723425</v>
      </c>
      <c r="C537" s="6" t="str">
        <f>UPPER(Sheet1!B537)</f>
        <v>ADAM NOAH JOHN</v>
      </c>
      <c r="D537" s="7" t="str">
        <f>IF(Sheet1!F537="F","FEMALE","MALE")</f>
        <v>MALE</v>
      </c>
      <c r="E537" s="6" t="str">
        <f>UPPER(Sheet1!G537)</f>
        <v>NITHIN XAVIER</v>
      </c>
      <c r="F537" s="6" t="str">
        <f>UPPER(Sheet1!H537)</f>
        <v>TIFANIYA DEVASIA</v>
      </c>
      <c r="G537" s="5" t="str">
        <f>TEXT(Sheet1!C537,"dd/mm/yyyy") &amp; "," &amp; Sheet1!D537</f>
        <v>18/10/2025,BALLARAT CENTRAL, AUSTRALIA</v>
      </c>
      <c r="H537" s="57" t="str">
        <f>UPPER(Sheet1!K537 &amp; "," &amp; Sheet1!L537 &amp; "," &amp; Sheet1!M537)</f>
        <v xml:space="preserve">KANHIRATHINKAL HOUSE,CHEMBANODA PO,KOZHIKODE,PIN:673528,KERALA,INDIA </v>
      </c>
      <c r="I537" s="8">
        <f>Sheet1!J537</f>
        <v>45988</v>
      </c>
      <c r="J537" s="5" t="str">
        <f>Sheet1!N537 &amp; "," &amp; TEXT(Sheet1!O537,"dd/mm/yy")</f>
        <v>202509078533,04/11/25</v>
      </c>
      <c r="K537" s="5" t="s">
        <v>14</v>
      </c>
      <c r="L537" s="38" t="s">
        <v>15</v>
      </c>
      <c r="M537" s="38" t="s">
        <v>17</v>
      </c>
      <c r="N537" s="38" t="s">
        <v>16</v>
      </c>
    </row>
    <row r="538" spans="1:14" x14ac:dyDescent="0.35">
      <c r="A538" s="4" t="str">
        <f>Sheet1!A538 &amp; "/" &amp; "2025"</f>
        <v>1936/2025</v>
      </c>
      <c r="B538" s="5" t="str">
        <f>Sheet1!E538</f>
        <v>AU2065887725425</v>
      </c>
      <c r="C538" s="6" t="str">
        <f>UPPER(Sheet1!B538)</f>
        <v>AARVIBA SHAKTISINH GOHIL</v>
      </c>
      <c r="D538" s="7" t="str">
        <f>IF(Sheet1!F538="F","FEMALE","MALE")</f>
        <v>FEMALE</v>
      </c>
      <c r="E538" s="6" t="str">
        <f>UPPER(Sheet1!G538)</f>
        <v>SHAKTISINH TAKHUBHA GOHIL</v>
      </c>
      <c r="F538" s="6" t="str">
        <f>UPPER(Sheet1!H538)</f>
        <v>PRAFULLABA SUKHDEVSINH SARVAIYA</v>
      </c>
      <c r="G538" s="5" t="str">
        <f>TEXT(Sheet1!C538,"dd/mm/yyyy") &amp; "," &amp; Sheet1!D538</f>
        <v xml:space="preserve">13/08/2025,WODONGA , AUSTRALIA  </v>
      </c>
      <c r="H538" s="57" t="str">
        <f>UPPER(Sheet1!K538 &amp; "," &amp; Sheet1!L538 &amp; "," &amp; Sheet1!M538)</f>
        <v xml:space="preserve">PSI QUARTER BLOCK NO B2-17,POLICE LINE,AT-VALLABHIPUR,DIST,BHAVNAGAR,PIN:364310,GUJARAT,INDIA </v>
      </c>
      <c r="I538" s="8">
        <f>Sheet1!J538</f>
        <v>45988</v>
      </c>
      <c r="J538" s="5" t="str">
        <f>Sheet1!N538 &amp; "," &amp; TEXT(Sheet1!O538,"dd/mm/yy")</f>
        <v>202509078144,03/11/25</v>
      </c>
      <c r="K538" s="5" t="s">
        <v>14</v>
      </c>
      <c r="L538" s="38" t="s">
        <v>15</v>
      </c>
      <c r="M538" s="38" t="s">
        <v>17</v>
      </c>
      <c r="N538" s="38" t="s">
        <v>16</v>
      </c>
    </row>
    <row r="539" spans="1:14" ht="30" customHeight="1" x14ac:dyDescent="0.35">
      <c r="A539" s="4" t="str">
        <f>Sheet1!A539 &amp; "/" &amp; "2025"</f>
        <v>1937/2025</v>
      </c>
      <c r="B539" s="5" t="str">
        <f>Sheet1!E539</f>
        <v>AU2065887726625</v>
      </c>
      <c r="C539" s="6" t="str">
        <f>UPPER(Sheet1!B539)</f>
        <v>RUDRAVEERSINH VIRENDRASINH DABHI</v>
      </c>
      <c r="D539" s="7" t="str">
        <f>IF(Sheet1!F539="F","FEMALE","MALE")</f>
        <v>MALE</v>
      </c>
      <c r="E539" s="6" t="str">
        <f>UPPER(Sheet1!G539)</f>
        <v>VIRENDRASINH NAVUJI DABHI</v>
      </c>
      <c r="F539" s="6" t="str">
        <f>UPPER(Sheet1!H539)</f>
        <v>ASHABEN DEVUJI VIHOL</v>
      </c>
      <c r="G539" s="5" t="str">
        <f>TEXT(Sheet1!C539,"dd/mm/yyyy") &amp; "," &amp; Sheet1!D539</f>
        <v xml:space="preserve">11/05/2025,ST ALBANS , AUSTRALIA </v>
      </c>
      <c r="H539" s="57" t="str">
        <f>UPPER(Sheet1!K539 &amp; "," &amp; Sheet1!L539 &amp; "," &amp; Sheet1!M539)</f>
        <v xml:space="preserve">VACHLOVAS,KHORAJDABHI GANDHINAGAR,GANDHINAGAR,PIN:382735,GUJARAT,INDIA </v>
      </c>
      <c r="I539" s="8">
        <f>Sheet1!J539</f>
        <v>45988</v>
      </c>
      <c r="J539" s="5" t="str">
        <f>Sheet1!N539 &amp; "," &amp; TEXT(Sheet1!O539,"dd/mm/yy")</f>
        <v>202509070853,07/10/25</v>
      </c>
      <c r="K539" s="5" t="s">
        <v>14</v>
      </c>
      <c r="L539" s="38" t="s">
        <v>15</v>
      </c>
      <c r="M539" s="38" t="s">
        <v>17</v>
      </c>
      <c r="N539" s="38" t="s">
        <v>16</v>
      </c>
    </row>
    <row r="540" spans="1:14" x14ac:dyDescent="0.35">
      <c r="A540" s="4" t="str">
        <f>Sheet1!A540 &amp; "/" &amp; "2025"</f>
        <v>1938/2025</v>
      </c>
      <c r="B540" s="5" t="str">
        <f>Sheet1!E540</f>
        <v>AU2065887728625</v>
      </c>
      <c r="C540" s="6" t="str">
        <f>UPPER(Sheet1!B540)</f>
        <v>PRAVYA PATEL</v>
      </c>
      <c r="D540" s="7" t="str">
        <f>IF(Sheet1!F540="F","FEMALE","MALE")</f>
        <v>MALE</v>
      </c>
      <c r="E540" s="6" t="str">
        <f>UPPER(Sheet1!G540)</f>
        <v>ULPINKUMAR SANJAYKUMAR PATEL</v>
      </c>
      <c r="F540" s="6" t="str">
        <f>UPPER(Sheet1!H540)</f>
        <v>FORAM ULPINKUMAR PATEL</v>
      </c>
      <c r="G540" s="5" t="str">
        <f>TEXT(Sheet1!C540,"dd/mm/yyyy") &amp; "," &amp; Sheet1!D540</f>
        <v xml:space="preserve">27/08/2025,CLAYTON , AUSTRALIA  </v>
      </c>
      <c r="H540" s="57" t="str">
        <f>UPPER(Sheet1!K540 &amp; "," &amp; Sheet1!L540 &amp; "," &amp; Sheet1!M540)</f>
        <v xml:space="preserve">3 KHAWADWALA SOCIETY NEAR CHAYA FLAT RANNAPARK,GHATLODIA,AHMEDABAD,PIN:380061,GUJARAT,INDIA </v>
      </c>
      <c r="I540" s="8">
        <f>Sheet1!J540</f>
        <v>45988</v>
      </c>
      <c r="J540" s="5" t="str">
        <f>Sheet1!N540 &amp; "," &amp; TEXT(Sheet1!O540,"dd/mm/yy")</f>
        <v>202509079211,06/11/25</v>
      </c>
      <c r="K540" s="5" t="s">
        <v>14</v>
      </c>
      <c r="L540" s="38" t="s">
        <v>15</v>
      </c>
      <c r="M540" s="38" t="s">
        <v>17</v>
      </c>
      <c r="N540" s="38" t="s">
        <v>16</v>
      </c>
    </row>
    <row r="541" spans="1:14" x14ac:dyDescent="0.35">
      <c r="A541" s="4" t="str">
        <f>Sheet1!A541 &amp; "/" &amp; "2025"</f>
        <v>1939/2025</v>
      </c>
      <c r="B541" s="5" t="str">
        <f>Sheet1!E541</f>
        <v>AU2065887730225</v>
      </c>
      <c r="C541" s="6" t="str">
        <f>UPPER(Sheet1!B541)</f>
        <v>NIDHAAN SINGH MEHRA</v>
      </c>
      <c r="D541" s="7" t="str">
        <f>IF(Sheet1!F541="F","FEMALE","MALE")</f>
        <v>MALE</v>
      </c>
      <c r="E541" s="6" t="str">
        <f>UPPER(Sheet1!G541)</f>
        <v>SARBJEET SINGH MEHRA</v>
      </c>
      <c r="F541" s="6" t="str">
        <f>UPPER(Sheet1!H541)</f>
        <v>SUPREET KAUR MEHRA</v>
      </c>
      <c r="G541" s="5" t="str">
        <f>TEXT(Sheet1!C541,"dd/mm/yyyy") &amp; "," &amp; Sheet1!D541</f>
        <v xml:space="preserve">22/11/2024,PARKVILLE , AUSTRALIA  </v>
      </c>
      <c r="H541" s="57" t="str">
        <f>UPPER(Sheet1!K541 &amp; "," &amp; Sheet1!L541 &amp; "," &amp; Sheet1!M541)</f>
        <v xml:space="preserve">ST. NO. 3 BHAN SINGH COLONY,FARIDKOT,FARIDKOT,PIN:151203,PUNJAB,INDIA </v>
      </c>
      <c r="I541" s="8">
        <f>Sheet1!J541</f>
        <v>45988</v>
      </c>
      <c r="J541" s="5" t="str">
        <f>Sheet1!N541 &amp; "," &amp; TEXT(Sheet1!O541,"dd/mm/yy")</f>
        <v>202509079122,06/11/25</v>
      </c>
      <c r="K541" s="5" t="s">
        <v>14</v>
      </c>
      <c r="L541" s="38" t="s">
        <v>15</v>
      </c>
      <c r="M541" s="38" t="s">
        <v>17</v>
      </c>
      <c r="N541" s="38" t="s">
        <v>16</v>
      </c>
    </row>
    <row r="542" spans="1:14" x14ac:dyDescent="0.35">
      <c r="A542" s="4" t="str">
        <f>Sheet1!A542 &amp; "/" &amp; "2025"</f>
        <v>1940/2025</v>
      </c>
      <c r="B542" s="5" t="str">
        <f>Sheet1!E542</f>
        <v>AU2065887732025</v>
      </c>
      <c r="C542" s="6" t="str">
        <f>UPPER(Sheet1!B542)</f>
        <v>MEHRAJ SINGH</v>
      </c>
      <c r="D542" s="7" t="str">
        <f>IF(Sheet1!F542="F","FEMALE","MALE")</f>
        <v>MALE</v>
      </c>
      <c r="E542" s="6" t="str">
        <f>UPPER(Sheet1!G542)</f>
        <v>GAGANDEEP SINGH</v>
      </c>
      <c r="F542" s="6" t="str">
        <f>UPPER(Sheet1!H542)</f>
        <v>KAMALPREET KAUR</v>
      </c>
      <c r="G542" s="5" t="str">
        <f>TEXT(Sheet1!C542,"dd/mm/yyyy") &amp; "," &amp; Sheet1!D542</f>
        <v xml:space="preserve">18/06/2025,EPPING , AUSTRALIA </v>
      </c>
      <c r="H542" s="57" t="str">
        <f>UPPER(Sheet1!K542 &amp; "," &amp; Sheet1!L542 &amp; "," &amp; Sheet1!M542)</f>
        <v xml:space="preserve">1325/4-E SAHEED KARNAIL SINGH NAGAR PHASE 2,ST NO 4,PAKHOWAL ROAD,LUDHIANA,PIN:141013,PUNJAB,INDIA </v>
      </c>
      <c r="I542" s="8">
        <f>Sheet1!J542</f>
        <v>45988</v>
      </c>
      <c r="J542" s="5" t="str">
        <f>Sheet1!N542 &amp; "," &amp; TEXT(Sheet1!O542,"dd/mm/yy")</f>
        <v>202509069622,01/10/25</v>
      </c>
      <c r="K542" s="5" t="s">
        <v>14</v>
      </c>
      <c r="L542" s="38" t="s">
        <v>15</v>
      </c>
      <c r="M542" s="38" t="s">
        <v>17</v>
      </c>
      <c r="N542" s="38" t="s">
        <v>16</v>
      </c>
    </row>
    <row r="543" spans="1:14" x14ac:dyDescent="0.35">
      <c r="A543" s="4" t="str">
        <f>Sheet1!A543 &amp; "/" &amp; "2025"</f>
        <v>1941/2025</v>
      </c>
      <c r="B543" s="5" t="str">
        <f>Sheet1!E543</f>
        <v>AU2065887628425</v>
      </c>
      <c r="C543" s="6" t="str">
        <f>UPPER(Sheet1!B543)</f>
        <v>PRASHIV HARSHKUMAR PATEL</v>
      </c>
      <c r="D543" s="7" t="str">
        <f>IF(Sheet1!F543="F","FEMALE","MALE")</f>
        <v>MALE</v>
      </c>
      <c r="E543" s="6" t="str">
        <f>UPPER(Sheet1!G543)</f>
        <v>HARSHKUMAR RASIKBHAI PATEL</v>
      </c>
      <c r="F543" s="6" t="str">
        <f>UPPER(Sheet1!H543)</f>
        <v>SMITABEN JITENDRABHAI PATEL</v>
      </c>
      <c r="G543" s="5" t="str">
        <f>TEXT(Sheet1!C543,"dd/mm/yyyy") &amp; "," &amp; Sheet1!D543</f>
        <v xml:space="preserve">24/09/2025,CLAYTON , AUSTRALIA  </v>
      </c>
      <c r="H543" s="57" t="str">
        <f>UPPER(Sheet1!K543 &amp; "," &amp; Sheet1!L543 &amp; "," &amp; Sheet1!M543)</f>
        <v xml:space="preserve">BHRAMANVAS,SHIHI,MEHSANA,PIN:384170,GUJARAT,INDIA </v>
      </c>
      <c r="I543" s="8">
        <f>Sheet1!J543</f>
        <v>45988</v>
      </c>
      <c r="J543" s="5" t="str">
        <f>Sheet1!N543 &amp; "," &amp; TEXT(Sheet1!O543,"dd/mm/yy")</f>
        <v>202509079108,06/11/25</v>
      </c>
      <c r="K543" s="5" t="s">
        <v>14</v>
      </c>
      <c r="L543" s="38" t="s">
        <v>15</v>
      </c>
      <c r="M543" s="38" t="s">
        <v>17</v>
      </c>
      <c r="N543" s="38" t="s">
        <v>16</v>
      </c>
    </row>
    <row r="544" spans="1:14" x14ac:dyDescent="0.35">
      <c r="A544" s="4" t="str">
        <f>Sheet1!A544 &amp; "/" &amp; "2025"</f>
        <v>1942/2025</v>
      </c>
      <c r="B544" s="5" t="str">
        <f>Sheet1!E544</f>
        <v>AU2065887629225</v>
      </c>
      <c r="C544" s="6" t="str">
        <f>UPPER(Sheet1!B544)</f>
        <v>JIND KAUR</v>
      </c>
      <c r="D544" s="7" t="str">
        <f>IF(Sheet1!F544="F","FEMALE","MALE")</f>
        <v>FEMALE</v>
      </c>
      <c r="E544" s="6" t="str">
        <f>UPPER(Sheet1!G544)</f>
        <v>DHERWINDER SINGH</v>
      </c>
      <c r="F544" s="6" t="str">
        <f>UPPER(Sheet1!H544)</f>
        <v>GAGANPREET KAUR</v>
      </c>
      <c r="G544" s="5" t="str">
        <f>TEXT(Sheet1!C544,"dd/mm/yyyy") &amp; "," &amp; Sheet1!D544</f>
        <v xml:space="preserve">17/03/2025,WERIBEE, AUSTRALIA </v>
      </c>
      <c r="H544" s="57" t="str">
        <f>UPPER(Sheet1!K544 &amp; "," &amp; Sheet1!L544 &amp; "," &amp; Sheet1!M544)</f>
        <v xml:space="preserve">HNO-192 VILL-BADINPUR,PO-MANDI GOBINDGARH DISTT,FATEHGARH SAHIB,PIN:147301,PUNJAB,INDIA </v>
      </c>
      <c r="I544" s="8">
        <f>Sheet1!J544</f>
        <v>45988</v>
      </c>
      <c r="J544" s="5" t="str">
        <f>Sheet1!N544 &amp; "," &amp; TEXT(Sheet1!O544,"dd/mm/yy")</f>
        <v>202509079430,07/11/25</v>
      </c>
      <c r="K544" s="5" t="s">
        <v>14</v>
      </c>
      <c r="L544" s="38" t="s">
        <v>15</v>
      </c>
      <c r="M544" s="38" t="s">
        <v>17</v>
      </c>
      <c r="N544" s="38" t="s">
        <v>16</v>
      </c>
    </row>
    <row r="545" spans="1:14" x14ac:dyDescent="0.35">
      <c r="A545" s="4" t="str">
        <f>Sheet1!A545 &amp; "/" &amp; "2025"</f>
        <v>1943/2025</v>
      </c>
      <c r="B545" s="5" t="str">
        <f>Sheet1!E545</f>
        <v>AU2065887629425</v>
      </c>
      <c r="C545" s="6" t="str">
        <f>UPPER(Sheet1!B545)</f>
        <v>AMBER RANA</v>
      </c>
      <c r="D545" s="7" t="str">
        <f>IF(Sheet1!F545="F","FEMALE","MALE")</f>
        <v>FEMALE</v>
      </c>
      <c r="E545" s="6" t="str">
        <f>UPPER(Sheet1!G545)</f>
        <v>MOHIT RANA</v>
      </c>
      <c r="F545" s="6" t="str">
        <f>UPPER(Sheet1!H545)</f>
        <v>INDU RANI</v>
      </c>
      <c r="G545" s="5" t="str">
        <f>TEXT(Sheet1!C545,"dd/mm/yyyy") &amp; "," &amp; Sheet1!D545</f>
        <v xml:space="preserve">30/06/2025,HEIDELBERG , AUSTRALIA </v>
      </c>
      <c r="H545" s="57" t="str">
        <f>UPPER(Sheet1!K545 &amp; "," &amp; Sheet1!L545 &amp; "," &amp; Sheet1!M545)</f>
        <v xml:space="preserve">VILL. BHAMBHOLI,P.O. BHAMBHOL,TEH. JAGADHRI,YAMUNANAGAR,PIN:133103,HARYANA,INDIA </v>
      </c>
      <c r="I545" s="8">
        <f>Sheet1!J545</f>
        <v>45988</v>
      </c>
      <c r="J545" s="5" t="str">
        <f>Sheet1!N545 &amp; "," &amp; TEXT(Sheet1!O545,"dd/mm/yy")</f>
        <v>202509078202,03/11/25</v>
      </c>
      <c r="K545" s="5" t="s">
        <v>14</v>
      </c>
      <c r="L545" s="38" t="s">
        <v>15</v>
      </c>
      <c r="M545" s="38" t="s">
        <v>17</v>
      </c>
      <c r="N545" s="38" t="s">
        <v>16</v>
      </c>
    </row>
    <row r="546" spans="1:14" x14ac:dyDescent="0.35">
      <c r="A546" s="4" t="str">
        <f>Sheet1!A546 &amp; "/" &amp; "2025"</f>
        <v>1944/2025</v>
      </c>
      <c r="B546" s="5" t="str">
        <f>Sheet1!E546</f>
        <v>AU2065887629825</v>
      </c>
      <c r="C546" s="6" t="str">
        <f>UPPER(Sheet1!B546)</f>
        <v>VAAYUSH DUTTA</v>
      </c>
      <c r="D546" s="7" t="str">
        <f>IF(Sheet1!F546="F","FEMALE","MALE")</f>
        <v>MALE</v>
      </c>
      <c r="E546" s="6" t="str">
        <f>UPPER(Sheet1!G546)</f>
        <v>VARUN DUTTA</v>
      </c>
      <c r="F546" s="6" t="str">
        <f>UPPER(Sheet1!H546)</f>
        <v>SHIKHA CHAUDHARY</v>
      </c>
      <c r="G546" s="5" t="str">
        <f>TEXT(Sheet1!C546,"dd/mm/yyyy") &amp; "," &amp; Sheet1!D546</f>
        <v xml:space="preserve">10/06/2025,ST ALBANS , AUSTRALIA </v>
      </c>
      <c r="H546" s="57" t="str">
        <f>UPPER(Sheet1!K546 &amp; "," &amp; Sheet1!L546 &amp; "," &amp; Sheet1!M546)</f>
        <v xml:space="preserve">B1 MCH 1091/1 STREET NO-5,GAUTAM NAGAR,HOSHIARPUR,HOSHIARPUR,PIN:146001,PUNJAB,INDIA </v>
      </c>
      <c r="I546" s="8">
        <f>Sheet1!J546</f>
        <v>45988</v>
      </c>
      <c r="J546" s="5" t="str">
        <f>Sheet1!N546 &amp; "," &amp; TEXT(Sheet1!O546,"dd/mm/yy")</f>
        <v>202509065042,14/09/25</v>
      </c>
      <c r="K546" s="5" t="s">
        <v>14</v>
      </c>
      <c r="L546" s="38" t="s">
        <v>15</v>
      </c>
      <c r="M546" s="38" t="s">
        <v>17</v>
      </c>
      <c r="N546" s="38" t="s">
        <v>16</v>
      </c>
    </row>
    <row r="547" spans="1:14" x14ac:dyDescent="0.35">
      <c r="A547" s="4" t="str">
        <f>Sheet1!A547 &amp; "/" &amp; "2025"</f>
        <v>1945/2025</v>
      </c>
      <c r="B547" s="5" t="str">
        <f>Sheet1!E547</f>
        <v>AU2065887630025</v>
      </c>
      <c r="C547" s="6" t="str">
        <f>UPPER(Sheet1!B547)</f>
        <v>HIMMAT SINGH BAJWA</v>
      </c>
      <c r="D547" s="7" t="str">
        <f>IF(Sheet1!F547="F","FEMALE","MALE")</f>
        <v>MALE</v>
      </c>
      <c r="E547" s="6" t="str">
        <f>UPPER(Sheet1!G547)</f>
        <v>KULWINDER SINGH BAJWA</v>
      </c>
      <c r="F547" s="6" t="str">
        <f>UPPER(Sheet1!H547)</f>
        <v>KARMBEER KAUR BAJWA</v>
      </c>
      <c r="G547" s="5" t="str">
        <f>TEXT(Sheet1!C547,"dd/mm/yyyy") &amp; "," &amp; Sheet1!D547</f>
        <v xml:space="preserve">19/09/2025,BERWICK , AUSTRALIA  </v>
      </c>
      <c r="H547" s="57" t="str">
        <f>UPPER(Sheet1!K547 &amp; "," &amp; Sheet1!L547 &amp; "," &amp; Sheet1!M547)</f>
        <v xml:space="preserve">NEAR CHOTTA MOHALA,PHARWAHI,BARNALA,PIN:148101,PUNJAB,INDIA </v>
      </c>
      <c r="I547" s="8">
        <f>Sheet1!J547</f>
        <v>45988</v>
      </c>
      <c r="J547" s="5" t="str">
        <f>Sheet1!N547 &amp; "," &amp; TEXT(Sheet1!O547,"dd/mm/yy")</f>
        <v>202509080133,10/11/25</v>
      </c>
      <c r="K547" s="5" t="s">
        <v>14</v>
      </c>
      <c r="L547" s="38" t="s">
        <v>15</v>
      </c>
      <c r="M547" s="38" t="s">
        <v>17</v>
      </c>
      <c r="N547" s="38" t="s">
        <v>16</v>
      </c>
    </row>
    <row r="548" spans="1:14" x14ac:dyDescent="0.35">
      <c r="A548" s="4" t="str">
        <f>Sheet1!A548 &amp; "/" &amp; "2025"</f>
        <v>1946/2025</v>
      </c>
      <c r="B548" s="5" t="str">
        <f>Sheet1!E548</f>
        <v>AU2065887589825</v>
      </c>
      <c r="C548" s="6" t="str">
        <f>UPPER(Sheet1!B548)</f>
        <v>VAANI KAUR SOHAL</v>
      </c>
      <c r="D548" s="7" t="str">
        <f>IF(Sheet1!F548="F","FEMALE","MALE")</f>
        <v>FEMALE</v>
      </c>
      <c r="E548" s="6" t="str">
        <f>UPPER(Sheet1!G548)</f>
        <v>TANVIR SINGH</v>
      </c>
      <c r="F548" s="6" t="str">
        <f>UPPER(Sheet1!H548)</f>
        <v>HARDEEP KAUR</v>
      </c>
      <c r="G548" s="5" t="str">
        <f>TEXT(Sheet1!C548,"dd/mm/yyyy") &amp; "," &amp; Sheet1!D548</f>
        <v>14/08/2025,FRANKSTON, AUSTRALIA</v>
      </c>
      <c r="H548" s="57" t="str">
        <f>UPPER(Sheet1!K548 &amp; "," &amp; Sheet1!L548 &amp; "," &amp; Sheet1!M548)</f>
        <v xml:space="preserve">VPO SOHAL,GURDASPUR,GURDASPUR,PIN:143520,PUNJAB,INDIA </v>
      </c>
      <c r="I548" s="8">
        <f>Sheet1!J548</f>
        <v>45988</v>
      </c>
      <c r="J548" s="5" t="str">
        <f>Sheet1!N548 &amp; "," &amp; TEXT(Sheet1!O548,"dd/mm/yy")</f>
        <v>202509077235,30/10/25</v>
      </c>
      <c r="K548" s="5" t="s">
        <v>14</v>
      </c>
      <c r="L548" s="38" t="s">
        <v>15</v>
      </c>
      <c r="M548" s="38" t="s">
        <v>17</v>
      </c>
      <c r="N548" s="38" t="s">
        <v>16</v>
      </c>
    </row>
    <row r="549" spans="1:14" x14ac:dyDescent="0.35">
      <c r="A549" s="4" t="str">
        <f>Sheet1!A549 &amp; "/" &amp; "2025"</f>
        <v>1947/2025</v>
      </c>
      <c r="B549" s="5" t="str">
        <f>Sheet1!E549</f>
        <v>AU2065874864425</v>
      </c>
      <c r="C549" s="6" t="str">
        <f>UPPER(Sheet1!B549)</f>
        <v>HIMMAT SINGH BENIPAL</v>
      </c>
      <c r="D549" s="7" t="str">
        <f>IF(Sheet1!F549="F","FEMALE","MALE")</f>
        <v>MALE</v>
      </c>
      <c r="E549" s="6" t="str">
        <f>UPPER(Sheet1!G549)</f>
        <v>PARGAT SINGH</v>
      </c>
      <c r="F549" s="6" t="str">
        <f>UPPER(Sheet1!H549)</f>
        <v>SANDEEP KAUR</v>
      </c>
      <c r="G549" s="5" t="str">
        <f>TEXT(Sheet1!C549,"dd/mm/yyyy") &amp; "," &amp; Sheet1!D549</f>
        <v xml:space="preserve">08/06/2025,BACCHUS MARSH , AUSTRALIA  </v>
      </c>
      <c r="H549" s="57" t="str">
        <f>UPPER(Sheet1!K549 &amp; "," &amp; Sheet1!L549 &amp; "," &amp; Sheet1!M549)</f>
        <v xml:space="preserve">0,VPO GANDHUAN,TEH SUNAM,SANGRUR,PIN:148030,PUNJAB,INDIA </v>
      </c>
      <c r="I549" s="8">
        <f>Sheet1!J549</f>
        <v>45988</v>
      </c>
      <c r="J549" s="5" t="str">
        <f>Sheet1!N549 &amp; "," &amp; TEXT(Sheet1!O549,"dd/mm/yy")</f>
        <v>202509076240,27/10/25</v>
      </c>
      <c r="K549" s="5" t="s">
        <v>14</v>
      </c>
      <c r="L549" s="38" t="s">
        <v>15</v>
      </c>
      <c r="M549" s="38" t="s">
        <v>17</v>
      </c>
      <c r="N549" s="38" t="s">
        <v>16</v>
      </c>
    </row>
    <row r="550" spans="1:14" ht="30" customHeight="1" x14ac:dyDescent="0.35">
      <c r="A550" s="4" t="str">
        <f>Sheet1!A550 &amp; "/" &amp; "2025"</f>
        <v>1948/2025</v>
      </c>
      <c r="B550" s="5" t="str">
        <f>Sheet1!E550</f>
        <v>AU2065710714325</v>
      </c>
      <c r="C550" s="6" t="str">
        <f>UPPER(Sheet1!B550)</f>
        <v>BANI KAUR GILL</v>
      </c>
      <c r="D550" s="7" t="str">
        <f>IF(Sheet1!F550="F","FEMALE","MALE")</f>
        <v>FEMALE</v>
      </c>
      <c r="E550" s="6" t="str">
        <f>UPPER(Sheet1!G550)</f>
        <v>JAGDEEP SINGH</v>
      </c>
      <c r="F550" s="6" t="str">
        <f>UPPER(Sheet1!H550)</f>
        <v>GAGANDEEP KAUR </v>
      </c>
      <c r="G550" s="5" t="str">
        <f>TEXT(Sheet1!C550,"dd/mm/yyyy") &amp; "," &amp; Sheet1!D550</f>
        <v>05/06/2025,HOBART , AUSTRALIA</v>
      </c>
      <c r="H550" s="57" t="str">
        <f>UPPER(Sheet1!K550 &amp; "," &amp; Sheet1!L550 &amp; "," &amp; Sheet1!M550)</f>
        <v>VPO. KALSAN,TEHSIL RAIKOT,JAGRAON,JAGRAON (LUDHIANA),PIN:141109,PUNJAB,INDIA</v>
      </c>
      <c r="I550" s="8">
        <f>Sheet1!J550</f>
        <v>45988</v>
      </c>
      <c r="J550" s="5" t="str">
        <f>Sheet1!N550 &amp; "," &amp; TEXT(Sheet1!O550,"dd/mm/yy")</f>
        <v>202509067986,25/09/25</v>
      </c>
      <c r="K550" s="5" t="s">
        <v>14</v>
      </c>
      <c r="L550" s="38" t="s">
        <v>15</v>
      </c>
      <c r="M550" s="38" t="s">
        <v>17</v>
      </c>
      <c r="N550" s="38" t="s">
        <v>16</v>
      </c>
    </row>
    <row r="551" spans="1:14" x14ac:dyDescent="0.35">
      <c r="A551" s="4" t="str">
        <f>Sheet1!A551 &amp; "/" &amp; "2025"</f>
        <v>1949/2025</v>
      </c>
      <c r="B551" s="5" t="str">
        <f>Sheet1!E551</f>
        <v>AU2065889713825</v>
      </c>
      <c r="C551" s="6" t="str">
        <f>UPPER(Sheet1!B551)</f>
        <v>NAVYA PRAVEEN PRAJAPATI</v>
      </c>
      <c r="D551" s="7" t="str">
        <f>IF(Sheet1!F551="F","FEMALE","MALE")</f>
        <v>FEMALE</v>
      </c>
      <c r="E551" s="6" t="str">
        <f>UPPER(Sheet1!G551)</f>
        <v>PRAVEEN MURARILAL PRAJAPATI</v>
      </c>
      <c r="F551" s="6" t="str">
        <f>UPPER(Sheet1!H551)</f>
        <v>PRIYANKA PRAVEEN PRAJAPATI</v>
      </c>
      <c r="G551" s="5" t="str">
        <f>TEXT(Sheet1!C551,"dd/mm/yyyy") &amp; "," &amp; Sheet1!D551</f>
        <v xml:space="preserve">13/05/2025,EPPING , AUSTRALIA </v>
      </c>
      <c r="H551" s="57" t="str">
        <f>UPPER(Sheet1!K551 &amp; "," &amp; Sheet1!L551 &amp; "," &amp; Sheet1!M551)</f>
        <v xml:space="preserve">A-302,GAURAV TOWER,RANNA PARK,GHATLODIA,AHMEDABAD,PIN:380061,GUJARAT,INDIA </v>
      </c>
      <c r="I551" s="8">
        <f>Sheet1!J551</f>
        <v>45988</v>
      </c>
      <c r="J551" s="5" t="str">
        <f>Sheet1!N551 &amp; "," &amp; TEXT(Sheet1!O551,"dd/mm/yy")</f>
        <v>202509070213,04/10/25</v>
      </c>
      <c r="K551" s="5" t="s">
        <v>14</v>
      </c>
      <c r="L551" s="38" t="s">
        <v>15</v>
      </c>
      <c r="M551" s="38" t="s">
        <v>17</v>
      </c>
      <c r="N551" s="38" t="s">
        <v>16</v>
      </c>
    </row>
    <row r="552" spans="1:14" x14ac:dyDescent="0.35">
      <c r="A552" s="4" t="str">
        <f>Sheet1!A552 &amp; "/" &amp; "2025"</f>
        <v>1950/2025</v>
      </c>
      <c r="B552" s="5" t="str">
        <f>Sheet1!E552</f>
        <v>AU2065888797625</v>
      </c>
      <c r="C552" s="6" t="str">
        <f>UPPER(Sheet1!B552)</f>
        <v>ZAVIYAR SINGH</v>
      </c>
      <c r="D552" s="7" t="str">
        <f>IF(Sheet1!F552="F","FEMALE","MALE")</f>
        <v>MALE</v>
      </c>
      <c r="E552" s="6" t="str">
        <f>UPPER(Sheet1!G552)</f>
        <v>MALKEET SINGH</v>
      </c>
      <c r="F552" s="6" t="str">
        <f>UPPER(Sheet1!H552)</f>
        <v>JATINDER KAUR</v>
      </c>
      <c r="G552" s="5" t="str">
        <f>TEXT(Sheet1!C552,"dd/mm/yyyy") &amp; "," &amp; Sheet1!D552</f>
        <v>05/10/2025,BALLARAT CENTRAL, AUSTRALIA</v>
      </c>
      <c r="H552" s="57" t="str">
        <f>UPPER(Sheet1!K552 &amp; "," &amp; Sheet1!L552 &amp; "," &amp; Sheet1!M552)</f>
        <v xml:space="preserve">VILLAGE SULKHANI ,PO GOLPURA,TEHSIL SHAHABAD MARKANDA,KURUKSHETRA,PIN:136135,HARYANA,INDIA </v>
      </c>
      <c r="I552" s="8">
        <f>Sheet1!J552</f>
        <v>45989</v>
      </c>
      <c r="J552" s="5" t="str">
        <f>Sheet1!N552 &amp; "," &amp; TEXT(Sheet1!O552,"dd/mm/yy")</f>
        <v>202509077628,31/10/25</v>
      </c>
      <c r="K552" s="5" t="s">
        <v>14</v>
      </c>
      <c r="L552" s="38" t="s">
        <v>15</v>
      </c>
      <c r="M552" s="38" t="s">
        <v>17</v>
      </c>
      <c r="N552" s="38" t="s">
        <v>16</v>
      </c>
    </row>
    <row r="553" spans="1:14" x14ac:dyDescent="0.35">
      <c r="A553" s="4" t="str">
        <f>Sheet1!A553 &amp; "/" &amp; "2025"</f>
        <v>1951/2025</v>
      </c>
      <c r="B553" s="5" t="str">
        <f>Sheet1!E553</f>
        <v>AU2065888798425</v>
      </c>
      <c r="C553" s="6" t="str">
        <f>UPPER(Sheet1!B553)</f>
        <v>REYANSH THAPAR</v>
      </c>
      <c r="D553" s="7" t="str">
        <f>IF(Sheet1!F553="F","FEMALE","MALE")</f>
        <v>MALE</v>
      </c>
      <c r="E553" s="6" t="str">
        <f>UPPER(Sheet1!G553)</f>
        <v>ANIL KUMAR</v>
      </c>
      <c r="F553" s="6" t="str">
        <f>UPPER(Sheet1!H553)</f>
        <v>PAWANDEEP KAUR</v>
      </c>
      <c r="G553" s="5" t="str">
        <f>TEXT(Sheet1!C553,"dd/mm/yyyy") &amp; "," &amp; Sheet1!D553</f>
        <v xml:space="preserve">11/08/2025,BACCHUS MARSH , AUSTRALIA  </v>
      </c>
      <c r="H553" s="57" t="str">
        <f>UPPER(Sheet1!K553 &amp; "," &amp; Sheet1!L553 &amp; "," &amp; Sheet1!M553)</f>
        <v xml:space="preserve">HNO 516A KACHA KOT BASTI BAWA KHEL,JALANDHAR,JALANDHAR,PIN:144021,PUNJAB,INDIA </v>
      </c>
      <c r="I553" s="8">
        <f>Sheet1!J553</f>
        <v>45989</v>
      </c>
      <c r="J553" s="5" t="str">
        <f>Sheet1!N553 &amp; "," &amp; TEXT(Sheet1!O553,"dd/mm/yy")</f>
        <v>202509069643,01/10/25</v>
      </c>
      <c r="K553" s="5" t="s">
        <v>14</v>
      </c>
      <c r="L553" s="38" t="s">
        <v>15</v>
      </c>
      <c r="M553" s="38" t="s">
        <v>17</v>
      </c>
      <c r="N553" s="38" t="s">
        <v>16</v>
      </c>
    </row>
    <row r="554" spans="1:14" x14ac:dyDescent="0.35">
      <c r="A554" s="4" t="str">
        <f>Sheet1!A554 &amp; "/" &amp; "2025"</f>
        <v>1952/2025</v>
      </c>
      <c r="B554" s="5" t="str">
        <f>Sheet1!E554</f>
        <v>AU2065888799225</v>
      </c>
      <c r="C554" s="6" t="str">
        <f>UPPER(Sheet1!B554)</f>
        <v>HARNIWAAZ KAUR AUJLA</v>
      </c>
      <c r="D554" s="7" t="str">
        <f>IF(Sheet1!F554="F","FEMALE","MALE")</f>
        <v>FEMALE</v>
      </c>
      <c r="E554" s="6" t="str">
        <f>UPPER(Sheet1!G554)</f>
        <v>HARPREET SINGH</v>
      </c>
      <c r="F554" s="6" t="str">
        <f>UPPER(Sheet1!H554)</f>
        <v>KIRANDEEP KAUR ROOPRAI</v>
      </c>
      <c r="G554" s="5" t="str">
        <f>TEXT(Sheet1!C554,"dd/mm/yyyy") &amp; "," &amp; Sheet1!D554</f>
        <v xml:space="preserve">02/04/2024,GOSFORD, AUSTRALIA </v>
      </c>
      <c r="H554" s="57" t="str">
        <f>UPPER(Sheet1!K554 &amp; "," &amp; Sheet1!L554 &amp; "," &amp; Sheet1!M554)</f>
        <v xml:space="preserve">VILL SIHAN DAUD TEH PAYAL,DISTT,KHANNA (LUDHIANA),PIN:141119,PUNJAB,INDIA </v>
      </c>
      <c r="I554" s="8">
        <f>Sheet1!J554</f>
        <v>45989</v>
      </c>
      <c r="J554" s="5" t="str">
        <f>Sheet1!N554 &amp; "," &amp; TEXT(Sheet1!O554,"dd/mm/yy")</f>
        <v>202509076886,29/10/25</v>
      </c>
      <c r="K554" s="5" t="s">
        <v>14</v>
      </c>
      <c r="L554" s="38" t="s">
        <v>15</v>
      </c>
      <c r="M554" s="38" t="s">
        <v>17</v>
      </c>
      <c r="N554" s="38" t="s">
        <v>16</v>
      </c>
    </row>
    <row r="555" spans="1:14" x14ac:dyDescent="0.35">
      <c r="A555" s="4" t="str">
        <f>Sheet1!A555 &amp; "/" &amp; "2025"</f>
        <v>1953/2025</v>
      </c>
      <c r="B555" s="5" t="str">
        <f>Sheet1!E555</f>
        <v>AU2065888800025</v>
      </c>
      <c r="C555" s="6" t="str">
        <f>UPPER(Sheet1!B555)</f>
        <v>SIYA LAL</v>
      </c>
      <c r="D555" s="7" t="str">
        <f>IF(Sheet1!F555="F","FEMALE","MALE")</f>
        <v>FEMALE</v>
      </c>
      <c r="E555" s="6" t="str">
        <f>UPPER(Sheet1!G555)</f>
        <v>ABHISHEK KUMAR</v>
      </c>
      <c r="F555" s="6" t="str">
        <f>UPPER(Sheet1!H555)</f>
        <v>ARCHNA LAL</v>
      </c>
      <c r="G555" s="5" t="str">
        <f>TEXT(Sheet1!C555,"dd/mm/yyyy") &amp; "," &amp; Sheet1!D555</f>
        <v>27/09/2025,ABHISHEK KUMAR</v>
      </c>
      <c r="H555" s="57" t="str">
        <f>UPPER(Sheet1!K555 &amp; "," &amp; Sheet1!L555 &amp; "," &amp; Sheet1!M555)</f>
        <v xml:space="preserve">FLAT-23163,PRESTIGE WATERFORD,ECC RD,WHITEFIELD,BENGALURU,BENGALURU,PIN:560066,KARNATAKA,INDIA </v>
      </c>
      <c r="I555" s="8">
        <f>Sheet1!J555</f>
        <v>45989</v>
      </c>
      <c r="J555" s="5" t="str">
        <f>Sheet1!N555 &amp; "," &amp; TEXT(Sheet1!O555,"dd/mm/yy")</f>
        <v>202509078029,02/11/25</v>
      </c>
      <c r="K555" s="5" t="s">
        <v>14</v>
      </c>
      <c r="L555" s="38" t="s">
        <v>15</v>
      </c>
      <c r="M555" s="38" t="s">
        <v>17</v>
      </c>
      <c r="N555" s="38" t="s">
        <v>16</v>
      </c>
    </row>
    <row r="556" spans="1:14" x14ac:dyDescent="0.35">
      <c r="A556" s="4" t="str">
        <f>Sheet1!A556 &amp; "/" &amp; "2025"</f>
        <v>1954/2025</v>
      </c>
      <c r="B556" s="5" t="str">
        <f>Sheet1!E556</f>
        <v>AU2065888802425</v>
      </c>
      <c r="C556" s="6" t="str">
        <f>UPPER(Sheet1!B556)</f>
        <v>SAMRAAT SINGH BENIWAL</v>
      </c>
      <c r="D556" s="7" t="str">
        <f>IF(Sheet1!F556="F","FEMALE","MALE")</f>
        <v>MALE</v>
      </c>
      <c r="E556" s="6" t="str">
        <f>UPPER(Sheet1!G556)</f>
        <v>MANDEEP SINGH</v>
      </c>
      <c r="F556" s="6" t="str">
        <f>UPPER(Sheet1!H556)</f>
        <v>VEERPAL KAUR</v>
      </c>
      <c r="G556" s="5" t="str">
        <f>TEXT(Sheet1!C556,"dd/mm/yyyy") &amp; "," &amp; Sheet1!D556</f>
        <v xml:space="preserve">24/04/2025,CLAYTON , AUSTRALIA  </v>
      </c>
      <c r="H556" s="57" t="str">
        <f>UPPER(Sheet1!K556 &amp; "," &amp; Sheet1!L556 &amp; "," &amp; Sheet1!M556)</f>
        <v xml:space="preserve">L 4 SHALIMAAR BAGH,SRIGANGANAGAR,SRI GANGANAGAR,PIN:335001,RAJASTHAN,INDIA </v>
      </c>
      <c r="I556" s="8">
        <f>Sheet1!J556</f>
        <v>45989</v>
      </c>
      <c r="J556" s="5" t="str">
        <f>Sheet1!N556 &amp; "," &amp; TEXT(Sheet1!O556,"dd/mm/yy")</f>
        <v>202509077579,31/10/25</v>
      </c>
      <c r="K556" s="5" t="s">
        <v>14</v>
      </c>
      <c r="L556" s="38" t="s">
        <v>15</v>
      </c>
      <c r="M556" s="38" t="s">
        <v>17</v>
      </c>
      <c r="N556" s="38" t="s">
        <v>16</v>
      </c>
    </row>
    <row r="557" spans="1:14" x14ac:dyDescent="0.35">
      <c r="A557" s="4" t="str">
        <f>Sheet1!A557 &amp; "/" &amp; "2025"</f>
        <v>1955/2025</v>
      </c>
      <c r="B557" s="5" t="str">
        <f>Sheet1!E557</f>
        <v>AU2065889731225</v>
      </c>
      <c r="C557" s="6" t="str">
        <f>UPPER(Sheet1!B557)</f>
        <v>HARNIDH KAUR</v>
      </c>
      <c r="D557" s="7" t="str">
        <f>IF(Sheet1!F557="F","FEMALE","MALE")</f>
        <v>FEMALE</v>
      </c>
      <c r="E557" s="6" t="str">
        <f>UPPER(Sheet1!G557)</f>
        <v>INDERJEET SINGH</v>
      </c>
      <c r="F557" s="6" t="str">
        <f>UPPER(Sheet1!H557)</f>
        <v>PREETI</v>
      </c>
      <c r="G557" s="5" t="str">
        <f>TEXT(Sheet1!C557,"dd/mm/yyyy") &amp; "," &amp; Sheet1!D557</f>
        <v xml:space="preserve">06/08/2025,CLAYTON , AUSTRALIA  </v>
      </c>
      <c r="H557" s="57" t="str">
        <f>UPPER(Sheet1!K557 &amp; "," &amp; Sheet1!L557 &amp; "," &amp; Sheet1!M557)</f>
        <v xml:space="preserve">BLOCK NO 11 HOUSE NO 54 CHOPRA SHOP,PO GARHI,UDHAMPUR,PIN:182121,JAMMU AND KASHMIR,INDIA </v>
      </c>
      <c r="I557" s="8">
        <f>Sheet1!J557</f>
        <v>45989</v>
      </c>
      <c r="J557" s="5" t="str">
        <f>Sheet1!N557 &amp; "," &amp; TEXT(Sheet1!O557,"dd/mm/yy")</f>
        <v>202509080171,10/11/25</v>
      </c>
      <c r="K557" s="5" t="s">
        <v>14</v>
      </c>
      <c r="L557" s="38" t="s">
        <v>15</v>
      </c>
      <c r="M557" s="38" t="s">
        <v>17</v>
      </c>
      <c r="N557" s="38" t="s">
        <v>16</v>
      </c>
    </row>
    <row r="558" spans="1:14" x14ac:dyDescent="0.35">
      <c r="A558" s="4" t="str">
        <f>Sheet1!A558 &amp; "/" &amp; "2025"</f>
        <v>1956/2025</v>
      </c>
      <c r="B558" s="5" t="str">
        <f>Sheet1!E558</f>
        <v>AU2065889731425</v>
      </c>
      <c r="C558" s="6" t="str">
        <f>UPPER(Sheet1!B558)</f>
        <v>KULJIND KAUR LADHAR</v>
      </c>
      <c r="D558" s="7" t="str">
        <f>IF(Sheet1!F558="F","FEMALE","MALE")</f>
        <v>FEMALE</v>
      </c>
      <c r="E558" s="6" t="str">
        <f>UPPER(Sheet1!G558)</f>
        <v>SIMRANJEET SINGH</v>
      </c>
      <c r="F558" s="6" t="str">
        <f>UPPER(Sheet1!H558)</f>
        <v>ANMOLJYOT KAUR</v>
      </c>
      <c r="G558" s="5" t="str">
        <f>TEXT(Sheet1!C558,"dd/mm/yyyy") &amp; "," &amp; Sheet1!D558</f>
        <v xml:space="preserve">26/06/2025,ST ALBANS , AUSTRALIA </v>
      </c>
      <c r="H558" s="57" t="str">
        <f>UPPER(Sheet1!K558 &amp; "," &amp; Sheet1!L558 &amp; "," &amp; Sheet1!M558)</f>
        <v xml:space="preserve">342/15C NETAJI NAGAR NR JALANDHAR,BYEPASS CHOWK,LUDHIANA,PIN:141008,PUNJAB,INDIA </v>
      </c>
      <c r="I558" s="8">
        <f>Sheet1!J558</f>
        <v>45989</v>
      </c>
      <c r="J558" s="5" t="str">
        <f>Sheet1!N558 &amp; "," &amp; TEXT(Sheet1!O558,"dd/mm/yy")</f>
        <v>202509080688,12/11/25</v>
      </c>
      <c r="K558" s="5" t="s">
        <v>14</v>
      </c>
      <c r="L558" s="38" t="s">
        <v>15</v>
      </c>
      <c r="M558" s="38" t="s">
        <v>17</v>
      </c>
      <c r="N558" s="38" t="s">
        <v>16</v>
      </c>
    </row>
    <row r="559" spans="1:14" x14ac:dyDescent="0.35">
      <c r="A559" s="4" t="str">
        <f>Sheet1!A559 &amp; "/" &amp; "2025"</f>
        <v>1957/2025</v>
      </c>
      <c r="B559" s="5" t="str">
        <f>Sheet1!E559</f>
        <v>AU2065889732825</v>
      </c>
      <c r="C559" s="6" t="str">
        <f>UPPER(Sheet1!B559)</f>
        <v>JUNGBIR SINGH DEOL</v>
      </c>
      <c r="D559" s="7" t="str">
        <f>IF(Sheet1!F559="F","FEMALE","MALE")</f>
        <v>MALE</v>
      </c>
      <c r="E559" s="6" t="str">
        <f>UPPER(Sheet1!G559)</f>
        <v>MANPREET SINGH</v>
      </c>
      <c r="F559" s="6" t="str">
        <f>UPPER(Sheet1!H559)</f>
        <v>GURPREET KAUR</v>
      </c>
      <c r="G559" s="5" t="str">
        <f>TEXT(Sheet1!C559,"dd/mm/yyyy") &amp; "," &amp; Sheet1!D559</f>
        <v xml:space="preserve">04/08/2025,CLAYTON , AUSTRALIA  </v>
      </c>
      <c r="H559" s="57" t="str">
        <f>UPPER(Sheet1!K559 &amp; "," &amp; Sheet1!L559 &amp; "," &amp; Sheet1!M559)</f>
        <v xml:space="preserve">VILL CHACK SARAI,PO JASPALON,KHANNA (LUDHIANA),PIN:141421,PUNJAB,INDIA </v>
      </c>
      <c r="I559" s="8">
        <f>Sheet1!J559</f>
        <v>45989</v>
      </c>
      <c r="J559" s="5" t="str">
        <f>Sheet1!N559 &amp; "," &amp; TEXT(Sheet1!O559,"dd/mm/yy")</f>
        <v>202509070581,06/10/25</v>
      </c>
      <c r="K559" s="5" t="s">
        <v>14</v>
      </c>
      <c r="L559" s="38" t="s">
        <v>15</v>
      </c>
      <c r="M559" s="38" t="s">
        <v>17</v>
      </c>
      <c r="N559" s="38" t="s">
        <v>16</v>
      </c>
    </row>
    <row r="560" spans="1:14" x14ac:dyDescent="0.35">
      <c r="A560" s="4" t="str">
        <f>Sheet1!A560 &amp; "/" &amp; "2025"</f>
        <v>1958/2025</v>
      </c>
      <c r="B560" s="5" t="str">
        <f>Sheet1!E560</f>
        <v>AU2065889723025</v>
      </c>
      <c r="C560" s="6" t="str">
        <f>UPPER(Sheet1!B560)</f>
        <v>RADHYA MADAN</v>
      </c>
      <c r="D560" s="7" t="str">
        <f>IF(Sheet1!F560="F","FEMALE","MALE")</f>
        <v>FEMALE</v>
      </c>
      <c r="E560" s="6" t="str">
        <f>UPPER(Sheet1!G560)</f>
        <v>MOHIT MADAN</v>
      </c>
      <c r="F560" s="6" t="str">
        <f>UPPER(Sheet1!H560)</f>
        <v>NANCY CHHABRA</v>
      </c>
      <c r="G560" s="5" t="str">
        <f>TEXT(Sheet1!C560,"dd/mm/yyyy") &amp; "," &amp; Sheet1!D560</f>
        <v>29/08/2025,BALLARAT CENTRAL, AUSTRALIA</v>
      </c>
      <c r="H560" s="57" t="str">
        <f>UPPER(Sheet1!K560 &amp; "," &amp; Sheet1!L560 &amp; "," &amp; Sheet1!M560)</f>
        <v xml:space="preserve">F-84 ASHOK VIHAR PHASE-1,DELHI,DELHI,PIN:110052,DELHI,INDIA </v>
      </c>
      <c r="I560" s="8">
        <f>Sheet1!J560</f>
        <v>45989</v>
      </c>
      <c r="J560" s="5" t="str">
        <f>Sheet1!N560 &amp; "," &amp; TEXT(Sheet1!O560,"dd/mm/yy")</f>
        <v>202509079909,09/11/25</v>
      </c>
      <c r="K560" s="5" t="s">
        <v>14</v>
      </c>
      <c r="L560" s="38" t="s">
        <v>15</v>
      </c>
      <c r="M560" s="38" t="s">
        <v>17</v>
      </c>
      <c r="N560" s="38" t="s">
        <v>16</v>
      </c>
    </row>
    <row r="561" spans="1:14" x14ac:dyDescent="0.35">
      <c r="A561" s="4" t="str">
        <f>Sheet1!A561 &amp; "/" &amp; "2025"</f>
        <v>1959/2025</v>
      </c>
      <c r="B561" s="5" t="str">
        <f>Sheet1!E561</f>
        <v>AU2065889723625</v>
      </c>
      <c r="C561" s="6" t="str">
        <f>UPPER(Sheet1!B561)</f>
        <v>HARDIK SAHARAN</v>
      </c>
      <c r="D561" s="7" t="str">
        <f>IF(Sheet1!F561="F","FEMALE","MALE")</f>
        <v>MALE</v>
      </c>
      <c r="E561" s="6" t="str">
        <f>UPPER(Sheet1!G561)</f>
        <v>PARDEEP KUMAR</v>
      </c>
      <c r="F561" s="6" t="str">
        <f>UPPER(Sheet1!H561)</f>
        <v>POOJA</v>
      </c>
      <c r="G561" s="5" t="str">
        <f>TEXT(Sheet1!C561,"dd/mm/yyyy") &amp; "," &amp; Sheet1!D561</f>
        <v xml:space="preserve">21/08/2025,EPPING , AUSTRALIA </v>
      </c>
      <c r="H561" s="57" t="str">
        <f>UPPER(Sheet1!K561 &amp; "," &amp; Sheet1!L561 &amp; "," &amp; Sheet1!M561)</f>
        <v xml:space="preserve">787 MEHNA PATTI,KHARAK PANDWAN,KAITHAL,PIN:136117,HARYANA,INDIA </v>
      </c>
      <c r="I561" s="8">
        <f>Sheet1!J561</f>
        <v>45989</v>
      </c>
      <c r="J561" s="5" t="str">
        <f>Sheet1!N561 &amp; "," &amp; TEXT(Sheet1!O561,"dd/mm/yy")</f>
        <v>202509072828,14/10/25</v>
      </c>
      <c r="K561" s="5" t="s">
        <v>14</v>
      </c>
      <c r="L561" s="38" t="s">
        <v>15</v>
      </c>
      <c r="M561" s="38" t="s">
        <v>17</v>
      </c>
      <c r="N561" s="38" t="s">
        <v>16</v>
      </c>
    </row>
    <row r="562" spans="1:14" x14ac:dyDescent="0.35">
      <c r="A562" s="4" t="str">
        <f>Sheet1!A562 &amp; "/" &amp; "2025"</f>
        <v>1960/2025</v>
      </c>
      <c r="B562" s="5" t="str">
        <f>Sheet1!E562</f>
        <v>AU2065889724625</v>
      </c>
      <c r="C562" s="6" t="str">
        <f>UPPER(Sheet1!B562)</f>
        <v>GURSAHIB SINGH GILL</v>
      </c>
      <c r="D562" s="7" t="str">
        <f>IF(Sheet1!F562="F","FEMALE","MALE")</f>
        <v>MALE</v>
      </c>
      <c r="E562" s="6" t="str">
        <f>UPPER(Sheet1!G562)</f>
        <v>SUKHJINDER SINGH</v>
      </c>
      <c r="F562" s="6" t="str">
        <f>UPPER(Sheet1!H562)</f>
        <v>NAVNEET KAUR</v>
      </c>
      <c r="G562" s="5" t="str">
        <f>TEXT(Sheet1!C562,"dd/mm/yyyy") &amp; "," &amp; Sheet1!D562</f>
        <v xml:space="preserve">16/11/2024,PARKVILLE , AUSTRALIA  </v>
      </c>
      <c r="H562" s="57" t="str">
        <f>UPPER(Sheet1!K562 &amp; "," &amp; Sheet1!L562 &amp; "," &amp; Sheet1!M562)</f>
        <v xml:space="preserve">VPO-KHARAR RAVAL BASSI,TEH-GARHSHANKAR,HOSHIARPUR,PIN:146108,PUNJAB,INDIA </v>
      </c>
      <c r="I562" s="8">
        <f>Sheet1!J562</f>
        <v>45989</v>
      </c>
      <c r="J562" s="5" t="str">
        <f>Sheet1!N562 &amp; "," &amp; TEXT(Sheet1!O562,"dd/mm/yy")</f>
        <v>202509066535,19/09/25</v>
      </c>
      <c r="K562" s="5" t="s">
        <v>14</v>
      </c>
      <c r="L562" s="38" t="s">
        <v>15</v>
      </c>
      <c r="M562" s="38" t="s">
        <v>17</v>
      </c>
      <c r="N562" s="38" t="s">
        <v>16</v>
      </c>
    </row>
    <row r="563" spans="1:14" x14ac:dyDescent="0.35">
      <c r="A563" s="4" t="str">
        <f>Sheet1!A563 &amp; "/" &amp; "2025"</f>
        <v>1961/2025</v>
      </c>
      <c r="B563" s="5" t="str">
        <f>Sheet1!E563</f>
        <v>AU2065889725625</v>
      </c>
      <c r="C563" s="6" t="str">
        <f>UPPER(Sheet1!B563)</f>
        <v>ERISHAA SANDHU</v>
      </c>
      <c r="D563" s="7" t="str">
        <f>IF(Sheet1!F563="F","FEMALE","MALE")</f>
        <v>FEMALE</v>
      </c>
      <c r="E563" s="6" t="str">
        <f>UPPER(Sheet1!G563)</f>
        <v>SIMRANJEET SINGH</v>
      </c>
      <c r="F563" s="6" t="str">
        <f>UPPER(Sheet1!H563)</f>
        <v>SONAL TIWARI</v>
      </c>
      <c r="G563" s="5" t="str">
        <f>TEXT(Sheet1!C563,"dd/mm/yyyy") &amp; "," &amp; Sheet1!D563</f>
        <v xml:space="preserve">26/04/2025,ST ALBANS , AUSTRALIA </v>
      </c>
      <c r="H563" s="57" t="str">
        <f>UPPER(Sheet1!K563 &amp; "," &amp; Sheet1!L563 &amp; "," &amp; Sheet1!M563)</f>
        <v xml:space="preserve">E52 ASHOK VIHAR COLONY,PANDEYPUR,VARANASI,PIN:221007,UTTAR PRADESH,INDIA </v>
      </c>
      <c r="I563" s="8">
        <f>Sheet1!J563</f>
        <v>45989</v>
      </c>
      <c r="J563" s="5" t="str">
        <f>Sheet1!N563 &amp; "," &amp; TEXT(Sheet1!O563,"dd/mm/yy")</f>
        <v>202509079310,06/11/25</v>
      </c>
      <c r="K563" s="5" t="s">
        <v>14</v>
      </c>
      <c r="L563" s="38" t="s">
        <v>15</v>
      </c>
      <c r="M563" s="38" t="s">
        <v>17</v>
      </c>
      <c r="N563" s="38" t="s">
        <v>16</v>
      </c>
    </row>
    <row r="564" spans="1:14" x14ac:dyDescent="0.35">
      <c r="A564" s="4" t="str">
        <f>Sheet1!A564 &amp; "/" &amp; "2025"</f>
        <v>1962/2025</v>
      </c>
      <c r="B564" s="5" t="str">
        <f>Sheet1!E564</f>
        <v>AU2065889726625</v>
      </c>
      <c r="C564" s="6" t="str">
        <f>UPPER(Sheet1!B564)</f>
        <v>RUBANI KAUR DHILLON</v>
      </c>
      <c r="D564" s="7" t="str">
        <f>IF(Sheet1!F564="F","FEMALE","MALE")</f>
        <v>FEMALE</v>
      </c>
      <c r="E564" s="6" t="str">
        <f>UPPER(Sheet1!G564)</f>
        <v>PARWINDER SINGH DHILLON</v>
      </c>
      <c r="F564" s="6" t="str">
        <f>UPPER(Sheet1!H564)</f>
        <v>MANDEEP KAUR DHILLON</v>
      </c>
      <c r="G564" s="5" t="str">
        <f>TEXT(Sheet1!C564,"dd/mm/yyyy") &amp; "," &amp; Sheet1!D564</f>
        <v xml:space="preserve">01/06/2025,EPPING , AUSTRALIA </v>
      </c>
      <c r="H564" s="57" t="str">
        <f>UPPER(Sheet1!K564 &amp; "," &amp; Sheet1!L564 &amp; "," &amp; Sheet1!M564)</f>
        <v xml:space="preserve">A-9,NEAR WATER TANK,SHASTRI NAGAR,CHANDRAPUR,PIN:442401,MAHARASHTRA,INDIA </v>
      </c>
      <c r="I564" s="8">
        <f>Sheet1!J564</f>
        <v>45989</v>
      </c>
      <c r="J564" s="5" t="str">
        <f>Sheet1!N564 &amp; "," &amp; TEXT(Sheet1!O564,"dd/mm/yy")</f>
        <v>202509079095,06/11/25</v>
      </c>
      <c r="K564" s="5" t="s">
        <v>14</v>
      </c>
      <c r="L564" s="38" t="s">
        <v>15</v>
      </c>
      <c r="M564" s="38" t="s">
        <v>17</v>
      </c>
      <c r="N564" s="38" t="s">
        <v>16</v>
      </c>
    </row>
    <row r="565" spans="1:14" x14ac:dyDescent="0.35">
      <c r="A565" s="4" t="str">
        <f>Sheet1!A565 &amp; "/" &amp; "2025"</f>
        <v>1963/2025</v>
      </c>
      <c r="B565" s="5" t="str">
        <f>Sheet1!E565</f>
        <v>AU2065889727425</v>
      </c>
      <c r="C565" s="6" t="str">
        <f>UPPER(Sheet1!B565)</f>
        <v>JAIZDEEP SINGH</v>
      </c>
      <c r="D565" s="7" t="str">
        <f>IF(Sheet1!F565="F","FEMALE","MALE")</f>
        <v>MALE</v>
      </c>
      <c r="E565" s="6" t="str">
        <f>UPPER(Sheet1!G565)</f>
        <v>SUKHWINDER SINGH</v>
      </c>
      <c r="F565" s="6" t="str">
        <f>UPPER(Sheet1!H565)</f>
        <v>RAVINDER KAUR</v>
      </c>
      <c r="G565" s="5" t="str">
        <f>TEXT(Sheet1!C565,"dd/mm/yyyy") &amp; "," &amp; Sheet1!D565</f>
        <v xml:space="preserve">17/04/2025,ST ALBANS , AUSTRALIA </v>
      </c>
      <c r="H565" s="57" t="str">
        <f>UPPER(Sheet1!K565 &amp; "," &amp; Sheet1!L565 &amp; "," &amp; Sheet1!M565)</f>
        <v xml:space="preserve">H.NO.1251/2,ST.NO.1,BLOCK-C,ISHAR NAGAR,GILL ROAD,LUDHIANA,PIN:141006,PUNJAB,INDIA </v>
      </c>
      <c r="I565" s="8">
        <f>Sheet1!J565</f>
        <v>45989</v>
      </c>
      <c r="J565" s="5" t="str">
        <f>Sheet1!N565 &amp; "," &amp; TEXT(Sheet1!O565,"dd/mm/yy")</f>
        <v>202509080797,12/11/25</v>
      </c>
      <c r="K565" s="5" t="s">
        <v>14</v>
      </c>
      <c r="L565" s="38" t="s">
        <v>15</v>
      </c>
      <c r="M565" s="38" t="s">
        <v>17</v>
      </c>
      <c r="N565" s="38" t="s">
        <v>16</v>
      </c>
    </row>
    <row r="566" spans="1:14" x14ac:dyDescent="0.35">
      <c r="A566" s="4" t="str">
        <f>Sheet1!A566 &amp; "/" &amp; "2025"</f>
        <v>1964/2025</v>
      </c>
      <c r="B566" s="5" t="str">
        <f>Sheet1!E566</f>
        <v>AU2065889729025</v>
      </c>
      <c r="C566" s="6" t="str">
        <f>UPPER(Sheet1!B566)</f>
        <v>DHIYA PRATIKKUMAR BHATT</v>
      </c>
      <c r="D566" s="7" t="str">
        <f>IF(Sheet1!F566="F","FEMALE","MALE")</f>
        <v>FEMALE</v>
      </c>
      <c r="E566" s="6" t="str">
        <f>UPPER(Sheet1!G566)</f>
        <v>PRATIKKUMAR MANUBHAI BHATT</v>
      </c>
      <c r="F566" s="6" t="str">
        <f>UPPER(Sheet1!H566)</f>
        <v>HARNISHABAHEN PRATIKKUMAR BHATT</v>
      </c>
      <c r="G566" s="5" t="str">
        <f>TEXT(Sheet1!C566,"dd/mm/yyyy") &amp; "," &amp; Sheet1!D566</f>
        <v xml:space="preserve">02/09/2025,BERWICK , AUSTRALIA  </v>
      </c>
      <c r="H566" s="57" t="str">
        <f>UPPER(Sheet1!K566 &amp; "," &amp; Sheet1!L566 &amp; "," &amp; Sheet1!M566)</f>
        <v xml:space="preserve">H NO-4/3 177 NR AJANTA HOUSE,MAYFAIR ROAD DIS,ANAND,PIN:388001,GUJARAT,INDIA </v>
      </c>
      <c r="I566" s="8">
        <f>Sheet1!J566</f>
        <v>45989</v>
      </c>
      <c r="J566" s="5" t="str">
        <f>Sheet1!N566 &amp; "," &amp; TEXT(Sheet1!O566,"dd/mm/yy")</f>
        <v>202509080014,10/11/25</v>
      </c>
      <c r="K566" s="5" t="s">
        <v>14</v>
      </c>
      <c r="L566" s="38" t="s">
        <v>15</v>
      </c>
      <c r="M566" s="38" t="s">
        <v>17</v>
      </c>
      <c r="N566" s="38" t="s">
        <v>16</v>
      </c>
    </row>
    <row r="567" spans="1:14" x14ac:dyDescent="0.35">
      <c r="A567" s="4" t="str">
        <f>Sheet1!A567 &amp; "/" &amp; "2025"</f>
        <v>1965/2025</v>
      </c>
      <c r="B567" s="5" t="str">
        <f>Sheet1!E567</f>
        <v>AU2065889729425</v>
      </c>
      <c r="C567" s="6" t="str">
        <f>UPPER(Sheet1!B567)</f>
        <v>RABANI KAUR RAWALA</v>
      </c>
      <c r="D567" s="7" t="str">
        <f>IF(Sheet1!F567="F","FEMALE","MALE")</f>
        <v>FEMALE</v>
      </c>
      <c r="E567" s="6" t="str">
        <f>UPPER(Sheet1!G567)</f>
        <v>DHARAMPREET SINGH</v>
      </c>
      <c r="F567" s="6" t="str">
        <f>UPPER(Sheet1!H567)</f>
        <v>HARNEET KAUR</v>
      </c>
      <c r="G567" s="5" t="str">
        <f>TEXT(Sheet1!C567,"dd/mm/yyyy") &amp; "," &amp; Sheet1!D567</f>
        <v xml:space="preserve">31/08/2025,SANDRINGHAM, AUSTRALIA </v>
      </c>
      <c r="H567" s="57" t="str">
        <f>UPPER(Sheet1!K567 &amp; "," &amp; Sheet1!L567 &amp; "," &amp; Sheet1!M567)</f>
        <v xml:space="preserve">HNO. 69,VPO CHAUNTA,LUDHIANA,PIN:141126,PUNJAB,INDIA </v>
      </c>
      <c r="I567" s="8">
        <f>Sheet1!J567</f>
        <v>45989</v>
      </c>
      <c r="J567" s="5" t="str">
        <f>Sheet1!N567 &amp; "," &amp; TEXT(Sheet1!O567,"dd/mm/yy")</f>
        <v>202509074063,18/10/25</v>
      </c>
      <c r="K567" s="5" t="s">
        <v>14</v>
      </c>
      <c r="L567" s="38" t="s">
        <v>15</v>
      </c>
      <c r="M567" s="38" t="s">
        <v>17</v>
      </c>
      <c r="N567" s="38" t="s">
        <v>16</v>
      </c>
    </row>
    <row r="568" spans="1:14" x14ac:dyDescent="0.35">
      <c r="A568" s="4" t="str">
        <f>Sheet1!A568 &amp; "/" &amp; "2025"</f>
        <v>1966/2025</v>
      </c>
      <c r="B568" s="5" t="str">
        <f>Sheet1!E568</f>
        <v>AU2065889730425</v>
      </c>
      <c r="C568" s="6" t="str">
        <f>UPPER(Sheet1!B568)</f>
        <v>AARZA ARORA</v>
      </c>
      <c r="D568" s="7" t="str">
        <f>IF(Sheet1!F568="F","FEMALE","MALE")</f>
        <v>FEMALE</v>
      </c>
      <c r="E568" s="6" t="str">
        <f>UPPER(Sheet1!G568)</f>
        <v>MOHIT ARORA</v>
      </c>
      <c r="F568" s="6" t="str">
        <f>UPPER(Sheet1!H568)</f>
        <v>AMRIT GILL</v>
      </c>
      <c r="G568" s="5" t="str">
        <f>TEXT(Sheet1!C568,"dd/mm/yyyy") &amp; "," &amp; Sheet1!D568</f>
        <v xml:space="preserve">21/08/2025,MALVERN, AUSTRALIA </v>
      </c>
      <c r="H568" s="57" t="str">
        <f>UPPER(Sheet1!K568 &amp; "," &amp; Sheet1!L568 &amp; "," &amp; Sheet1!M568)</f>
        <v xml:space="preserve">3500,SECTOR 46 C CHANDIGARH,CHANDIGARH,PIN:160047,CHANDIGARH,INDIA </v>
      </c>
      <c r="I568" s="8">
        <f>Sheet1!J568</f>
        <v>45989</v>
      </c>
      <c r="J568" s="5" t="str">
        <f>Sheet1!N568 &amp; "," &amp; TEXT(Sheet1!O568,"dd/mm/yy")</f>
        <v>202509081033,13/11/25</v>
      </c>
      <c r="K568" s="5" t="s">
        <v>14</v>
      </c>
      <c r="L568" s="38" t="s">
        <v>15</v>
      </c>
      <c r="M568" s="38" t="s">
        <v>17</v>
      </c>
      <c r="N568" s="38" t="s">
        <v>16</v>
      </c>
    </row>
    <row r="569" spans="1:14" x14ac:dyDescent="0.35">
      <c r="A569" s="4" t="str">
        <f>Sheet1!A569 &amp; "/" &amp; "2025"</f>
        <v>1967/2025</v>
      </c>
      <c r="B569" s="5" t="str">
        <f>Sheet1!E569</f>
        <v>AU2065887626425</v>
      </c>
      <c r="C569" s="6" t="str">
        <f>UPPER(Sheet1!B569)</f>
        <v>JORAWAR SINGH SANDHU</v>
      </c>
      <c r="D569" s="7" t="str">
        <f>IF(Sheet1!F569="F","FEMALE","MALE")</f>
        <v>MALE</v>
      </c>
      <c r="E569" s="6" t="str">
        <f>UPPER(Sheet1!G569)</f>
        <v>JAGJIT SINGH</v>
      </c>
      <c r="F569" s="6" t="str">
        <f>UPPER(Sheet1!H569)</f>
        <v>PAVNEET KAUR</v>
      </c>
      <c r="G569" s="5" t="str">
        <f>TEXT(Sheet1!C569,"dd/mm/yyyy") &amp; "," &amp; Sheet1!D569</f>
        <v xml:space="preserve">26/08/2025,ST ALBANS , AUSTRALIA </v>
      </c>
      <c r="H569" s="57" t="str">
        <f>UPPER(Sheet1!K569 &amp; "," &amp; Sheet1!L569 &amp; "," &amp; Sheet1!M569)</f>
        <v xml:space="preserve">VPO KHASA,AMRITSAR,AMRITSAR,PIN:143107,PUNJAB,INDIA </v>
      </c>
      <c r="I569" s="8">
        <f>Sheet1!J569</f>
        <v>45989</v>
      </c>
      <c r="J569" s="5" t="str">
        <f>Sheet1!N569 &amp; "," &amp; TEXT(Sheet1!O569,"dd/mm/yy")</f>
        <v>202509077816,01/11/25</v>
      </c>
      <c r="K569" s="5" t="s">
        <v>14</v>
      </c>
      <c r="L569" s="38" t="s">
        <v>15</v>
      </c>
      <c r="M569" s="38" t="s">
        <v>17</v>
      </c>
      <c r="N569" s="38" t="s">
        <v>16</v>
      </c>
    </row>
    <row r="570" spans="1:14" x14ac:dyDescent="0.35">
      <c r="A570" s="4" t="str">
        <f>Sheet1!A570 &amp; "/" &amp; "2025"</f>
        <v>1968/2025</v>
      </c>
      <c r="B570" s="5" t="str">
        <f>Sheet1!E570</f>
        <v>AU2065887626825</v>
      </c>
      <c r="C570" s="6" t="str">
        <f>UPPER(Sheet1!B570)</f>
        <v>KISHAN RAKESH</v>
      </c>
      <c r="D570" s="7" t="str">
        <f>IF(Sheet1!F570="F","FEMALE","MALE")</f>
        <v>MALE</v>
      </c>
      <c r="E570" s="6" t="str">
        <f>UPPER(Sheet1!G570)</f>
        <v>RAKESH KRISHNAN</v>
      </c>
      <c r="F570" s="6" t="str">
        <f>UPPER(Sheet1!H570)</f>
        <v>SIMIMOL OTTAKUTTIYANKAL SREEDHARAN</v>
      </c>
      <c r="G570" s="5" t="str">
        <f>TEXT(Sheet1!C570,"dd/mm/yyyy") &amp; "," &amp; Sheet1!D570</f>
        <v>19/08/2025,BENDIGO, AUSTRALIA</v>
      </c>
      <c r="H570" s="57" t="str">
        <f>UPPER(Sheet1!K570 &amp; "," &amp; Sheet1!L570 &amp; "," &amp; Sheet1!M570)</f>
        <v xml:space="preserve">KAKKANATTU HOUSE,MEMADANGU PO,ARAKUZHA ,ERNAKULAM,PIN:686672,KERALA,INDIA </v>
      </c>
      <c r="I570" s="8">
        <f>Sheet1!J570</f>
        <v>45989</v>
      </c>
      <c r="J570" s="5" t="str">
        <f>Sheet1!N570 &amp; "," &amp; TEXT(Sheet1!O570,"dd/mm/yy")</f>
        <v>202509069604,01/10/25</v>
      </c>
      <c r="K570" s="5" t="s">
        <v>14</v>
      </c>
      <c r="L570" s="38" t="s">
        <v>15</v>
      </c>
      <c r="M570" s="38" t="s">
        <v>17</v>
      </c>
      <c r="N570" s="38" t="s">
        <v>16</v>
      </c>
    </row>
    <row r="571" spans="1:14" x14ac:dyDescent="0.35">
      <c r="A571" s="4" t="str">
        <f>Sheet1!A571 &amp; "/" &amp; "2025"</f>
        <v>1969/2025</v>
      </c>
      <c r="B571" s="5" t="str">
        <f>Sheet1!E571</f>
        <v>AU2065887627025</v>
      </c>
      <c r="C571" s="6" t="str">
        <f>UPPER(Sheet1!B571)</f>
        <v>AYLEEN KAUR DHAMRAIT</v>
      </c>
      <c r="D571" s="7" t="str">
        <f>IF(Sheet1!F571="F","FEMALE","MALE")</f>
        <v>FEMALE</v>
      </c>
      <c r="E571" s="6" t="str">
        <f>UPPER(Sheet1!G571)</f>
        <v>PARMINDER SINGH</v>
      </c>
      <c r="F571" s="6" t="str">
        <f>UPPER(Sheet1!H571)</f>
        <v>RANJU</v>
      </c>
      <c r="G571" s="5" t="str">
        <f>TEXT(Sheet1!C571,"dd/mm/yyyy") &amp; "," &amp; Sheet1!D571</f>
        <v xml:space="preserve">06/07/2025,ST ALBANS , AUSTRALIA </v>
      </c>
      <c r="H571" s="57" t="str">
        <f>UPPER(Sheet1!K571 &amp; "," &amp; Sheet1!L571 &amp; "," &amp; Sheet1!M571)</f>
        <v xml:space="preserve">3138 PINK ROSE SOCIETY SECTOR 49 D,CHANDIGARH,CHANDIGARH,PIN:160047,CHANDIGARH,INDIA </v>
      </c>
      <c r="I571" s="8">
        <f>Sheet1!J571</f>
        <v>45989</v>
      </c>
      <c r="J571" s="5" t="str">
        <f>Sheet1!N571 &amp; "," &amp; TEXT(Sheet1!O571,"dd/mm/yy")</f>
        <v>202509077584,31/10/25</v>
      </c>
      <c r="K571" s="5" t="s">
        <v>14</v>
      </c>
      <c r="L571" s="38" t="s">
        <v>15</v>
      </c>
      <c r="M571" s="38" t="s">
        <v>17</v>
      </c>
      <c r="N571" s="38" t="s">
        <v>16</v>
      </c>
    </row>
    <row r="572" spans="1:14" ht="30" customHeight="1" x14ac:dyDescent="0.35">
      <c r="A572" s="4" t="str">
        <f>Sheet1!A572 &amp; "/" &amp; "2025"</f>
        <v>1970/2025</v>
      </c>
      <c r="B572" s="5" t="str">
        <f>Sheet1!E572</f>
        <v>AU2065889717225</v>
      </c>
      <c r="C572" s="6" t="str">
        <f>UPPER(Sheet1!B572)</f>
        <v>FARAZ SAQUIB RAB</v>
      </c>
      <c r="D572" s="7" t="str">
        <f>IF(Sheet1!F572="F","FEMALE","MALE")</f>
        <v>MALE</v>
      </c>
      <c r="E572" s="6" t="str">
        <f>UPPER(Sheet1!G572)</f>
        <v>SAQUIB JAWED RAB</v>
      </c>
      <c r="F572" s="6" t="str">
        <f>UPPER(Sheet1!H572)</f>
        <v>ZEBA RASHID</v>
      </c>
      <c r="G572" s="5" t="str">
        <f>TEXT(Sheet1!C572,"dd/mm/yyyy") &amp; "," &amp; Sheet1!D572</f>
        <v xml:space="preserve">07/10/2025,BERWICK , AUSTRALIA  </v>
      </c>
      <c r="H572" s="57" t="str">
        <f>UPPER(Sheet1!K572 &amp; "," &amp; Sheet1!L572 &amp; "," &amp; Sheet1!M572)</f>
        <v xml:space="preserve">QADRI HOUSE 2,LAXMI COLONY,RC MARG,CHEMBUR,MUMBAI,PIN:400074,MAHARASHTRA,INDIA </v>
      </c>
      <c r="I572" s="8">
        <f>Sheet1!J572</f>
        <v>45989</v>
      </c>
      <c r="J572" s="5" t="str">
        <f>Sheet1!N572 &amp; "," &amp; TEXT(Sheet1!O572,"dd/mm/yy")</f>
        <v>202509080709,12/11/25</v>
      </c>
      <c r="K572" s="5" t="s">
        <v>14</v>
      </c>
      <c r="L572" s="38" t="s">
        <v>15</v>
      </c>
      <c r="M572" s="38" t="s">
        <v>17</v>
      </c>
      <c r="N572" s="38" t="s">
        <v>16</v>
      </c>
    </row>
    <row r="573" spans="1:14" x14ac:dyDescent="0.35">
      <c r="A573" s="4" t="str">
        <f>Sheet1!A573 &amp; "/" &amp; "2025"</f>
        <v>1971/2025</v>
      </c>
      <c r="B573" s="5" t="str">
        <f>Sheet1!E573</f>
        <v>AU2065890603025</v>
      </c>
      <c r="C573" s="6" t="str">
        <f>UPPER(Sheet1!B573)</f>
        <v>PARAMVEER DHANDA</v>
      </c>
      <c r="D573" s="7" t="str">
        <f>IF(Sheet1!F573="F","FEMALE","MALE")</f>
        <v>MALE</v>
      </c>
      <c r="E573" s="6" t="str">
        <f>UPPER(Sheet1!G573)</f>
        <v>SHUBHAM</v>
      </c>
      <c r="F573" s="6" t="str">
        <f>UPPER(Sheet1!H573)</f>
        <v>NEHA MALIK</v>
      </c>
      <c r="G573" s="5" t="str">
        <f>TEXT(Sheet1!C573,"dd/mm/yyyy") &amp; "," &amp; Sheet1!D573</f>
        <v xml:space="preserve">06/06/2025,PARKVILLE , AUSTRALIA  </v>
      </c>
      <c r="H573" s="57" t="str">
        <f>UPPER(Sheet1!K573 &amp; "," &amp; Sheet1!L573 &amp; "," &amp; Sheet1!M573)</f>
        <v xml:space="preserve">VILL-DUGARI,PO-GUDHA,KURUKSHETRA,PIN:136132,HARYANA,INDIA </v>
      </c>
      <c r="I573" s="8">
        <f>Sheet1!J573</f>
        <v>45992</v>
      </c>
      <c r="J573" s="5" t="str">
        <f>Sheet1!N573 &amp; "," &amp; TEXT(Sheet1!O573,"dd/mm/yy")</f>
        <v>202509070965,07/10/25</v>
      </c>
      <c r="K573" s="5" t="s">
        <v>14</v>
      </c>
      <c r="L573" s="38" t="s">
        <v>15</v>
      </c>
      <c r="M573" s="38" t="s">
        <v>17</v>
      </c>
      <c r="N573" s="38" t="s">
        <v>16</v>
      </c>
    </row>
    <row r="574" spans="1:14" x14ac:dyDescent="0.35">
      <c r="A574" s="4" t="str">
        <f>Sheet1!A574 &amp; "/" &amp; "2025"</f>
        <v>1972/2025</v>
      </c>
      <c r="B574" s="5" t="str">
        <f>Sheet1!E574</f>
        <v>AU2065890603225</v>
      </c>
      <c r="C574" s="6" t="str">
        <f>UPPER(Sheet1!B574)</f>
        <v>GOKULEYSH JIGAR PRAJAPATI</v>
      </c>
      <c r="D574" s="7" t="str">
        <f>IF(Sheet1!F574="F","FEMALE","MALE")</f>
        <v>MALE</v>
      </c>
      <c r="E574" s="6" t="str">
        <f>UPPER(Sheet1!G574)</f>
        <v>JIGAR MAYURKUMAR PRAJAPATI</v>
      </c>
      <c r="F574" s="6" t="str">
        <f>UPPER(Sheet1!H574)</f>
        <v>ARCHI HITESHBHAI PRAJAPATI</v>
      </c>
      <c r="G574" s="5" t="str">
        <f>TEXT(Sheet1!C574,"dd/mm/yyyy") &amp; "," &amp; Sheet1!D574</f>
        <v>04/10/2025,SHEPPARTON, AUSTRALIA</v>
      </c>
      <c r="H574" s="57" t="str">
        <f>UPPER(Sheet1!K574 &amp; "," &amp; Sheet1!L574 &amp; "," &amp; Sheet1!M574)</f>
        <v xml:space="preserve">A-1101,MILESTONE 7 HEAVEN,NEAR GAIL TOWNSHIP,VESU,SOUTH-WEST SURAT,SURAT CITY,PIN:395007,GUJARAT,INDIA </v>
      </c>
      <c r="I574" s="8">
        <f>Sheet1!J574</f>
        <v>45992</v>
      </c>
      <c r="J574" s="5" t="str">
        <f>Sheet1!N574 &amp; "," &amp; TEXT(Sheet1!O574,"dd/mm/yy")</f>
        <v>202509081025,13/11/25</v>
      </c>
      <c r="K574" s="5" t="s">
        <v>14</v>
      </c>
      <c r="L574" s="38" t="s">
        <v>15</v>
      </c>
      <c r="M574" s="38" t="s">
        <v>17</v>
      </c>
      <c r="N574" s="38" t="s">
        <v>16</v>
      </c>
    </row>
    <row r="575" spans="1:14" x14ac:dyDescent="0.35">
      <c r="A575" s="4" t="str">
        <f>Sheet1!A575 &amp; "/" &amp; "2025"</f>
        <v>1973/2025</v>
      </c>
      <c r="B575" s="5" t="str">
        <f>Sheet1!E575</f>
        <v>AU2065890603425</v>
      </c>
      <c r="C575" s="6" t="str">
        <f>UPPER(Sheet1!B575)</f>
        <v>SHANAYA KAUR GILL</v>
      </c>
      <c r="D575" s="7" t="str">
        <f>IF(Sheet1!F575="F","FEMALE","MALE")</f>
        <v>FEMALE</v>
      </c>
      <c r="E575" s="6" t="str">
        <f>UPPER(Sheet1!G575)</f>
        <v>NAVDEEP SINGH GILL</v>
      </c>
      <c r="F575" s="6" t="str">
        <f>UPPER(Sheet1!H575)</f>
        <v>KULBIR KAUR SANDHU</v>
      </c>
      <c r="G575" s="5" t="str">
        <f>TEXT(Sheet1!C575,"dd/mm/yyyy") &amp; "," &amp; Sheet1!D575</f>
        <v xml:space="preserve">01/09/2025,LAUNCESTON, AUSTRALIA </v>
      </c>
      <c r="H575" s="57" t="str">
        <f>UPPER(Sheet1!K575 &amp; "," &amp; Sheet1!L575 &amp; "," &amp; Sheet1!M575)</f>
        <v xml:space="preserve">MCBZ500478 ST.NO 1 BABA FARID NAGAR,BIBI WALA CHOWK,BATHINDA,PIN:151001,PUNJAB,INDIA </v>
      </c>
      <c r="I575" s="8">
        <f>Sheet1!J575</f>
        <v>45992</v>
      </c>
      <c r="J575" s="5" t="str">
        <f>Sheet1!N575 &amp; "," &amp; TEXT(Sheet1!O575,"dd/mm/yy")</f>
        <v>202509078166,03/11/25</v>
      </c>
      <c r="K575" s="5" t="s">
        <v>14</v>
      </c>
      <c r="L575" s="38" t="s">
        <v>15</v>
      </c>
      <c r="M575" s="38" t="s">
        <v>17</v>
      </c>
      <c r="N575" s="38" t="s">
        <v>16</v>
      </c>
    </row>
    <row r="576" spans="1:14" x14ac:dyDescent="0.35">
      <c r="A576" s="4" t="str">
        <f>Sheet1!A576 &amp; "/" &amp; "2025"</f>
        <v>1974/2025</v>
      </c>
      <c r="B576" s="5" t="str">
        <f>Sheet1!E576</f>
        <v>AU2065890603625</v>
      </c>
      <c r="C576" s="6" t="str">
        <f>UPPER(Sheet1!B576)</f>
        <v>HAMSINI DESH</v>
      </c>
      <c r="D576" s="7" t="str">
        <f>IF(Sheet1!F576="F","FEMALE","MALE")</f>
        <v>FEMALE</v>
      </c>
      <c r="E576" s="6" t="str">
        <f>UPPER(Sheet1!G576)</f>
        <v>SURESH YADAV DESH</v>
      </c>
      <c r="F576" s="6" t="str">
        <f>UPPER(Sheet1!H576)</f>
        <v>HARIKA KADHIRE</v>
      </c>
      <c r="G576" s="5" t="str">
        <f>TEXT(Sheet1!C576,"dd/mm/yyyy") &amp; "," &amp; Sheet1!D576</f>
        <v xml:space="preserve">17/09/2025,PARKVILLE , AUSTRALIA  </v>
      </c>
      <c r="H576" s="57" t="str">
        <f>UPPER(Sheet1!K576 &amp; "," &amp; Sheet1!L576 &amp; "," &amp; Sheet1!M576)</f>
        <v xml:space="preserve">19-35 DANDUGADDA COLONY,KOTHAKOTA,WANAPARTHY,PIN:509381,TELANGANA,INDIA </v>
      </c>
      <c r="I576" s="8">
        <f>Sheet1!J576</f>
        <v>45992</v>
      </c>
      <c r="J576" s="5" t="str">
        <f>Sheet1!N576 &amp; "," &amp; TEXT(Sheet1!O576,"dd/mm/yy")</f>
        <v>202509078917,05/11/25</v>
      </c>
      <c r="K576" s="5" t="s">
        <v>14</v>
      </c>
      <c r="L576" s="38" t="s">
        <v>15</v>
      </c>
      <c r="M576" s="38" t="s">
        <v>17</v>
      </c>
      <c r="N576" s="38" t="s">
        <v>16</v>
      </c>
    </row>
    <row r="577" spans="1:14" x14ac:dyDescent="0.35">
      <c r="A577" s="4" t="str">
        <f>Sheet1!A577 &amp; "/" &amp; "2025"</f>
        <v>1975/2025</v>
      </c>
      <c r="B577" s="5" t="str">
        <f>Sheet1!E577</f>
        <v>AU2065890601825</v>
      </c>
      <c r="C577" s="6" t="str">
        <f>UPPER(Sheet1!B577)</f>
        <v>VIHAAN KALICHARLA</v>
      </c>
      <c r="D577" s="7" t="str">
        <f>IF(Sheet1!F577="F","FEMALE","MALE")</f>
        <v>MALE</v>
      </c>
      <c r="E577" s="6" t="str">
        <f>UPPER(Sheet1!G577)</f>
        <v>RAJASEKHAR KALICHARLA</v>
      </c>
      <c r="F577" s="6" t="str">
        <f>UPPER(Sheet1!H577)</f>
        <v>DEDEEPYA SARIPELLA</v>
      </c>
      <c r="G577" s="5" t="str">
        <f>TEXT(Sheet1!C577,"dd/mm/yyyy") &amp; "," &amp; Sheet1!D577</f>
        <v xml:space="preserve">27/06/2025,GEELONG , AUSTRALIA </v>
      </c>
      <c r="H577" s="57" t="str">
        <f>UPPER(Sheet1!K577 &amp; "," &amp; Sheet1!L577 &amp; "," &amp; Sheet1!M577)</f>
        <v xml:space="preserve">18-13/1,NORTH EXTENSION,SEETHAMMADHARA,VISAKHAPATNAM,VISAKHAPATNAM,PIN:530013,ANDHRA PRADESH,INDIA </v>
      </c>
      <c r="I577" s="8">
        <f>Sheet1!J577</f>
        <v>45992</v>
      </c>
      <c r="J577" s="5" t="str">
        <f>Sheet1!N577 &amp; "," &amp; TEXT(Sheet1!O577,"dd/mm/yy")</f>
        <v>202509073109,15/10/25</v>
      </c>
      <c r="K577" s="5" t="s">
        <v>14</v>
      </c>
      <c r="L577" s="38" t="s">
        <v>15</v>
      </c>
      <c r="M577" s="38" t="s">
        <v>17</v>
      </c>
      <c r="N577" s="38" t="s">
        <v>16</v>
      </c>
    </row>
    <row r="578" spans="1:14" x14ac:dyDescent="0.35">
      <c r="A578" s="4" t="str">
        <f>Sheet1!A578 &amp; "/" &amp; "2025"</f>
        <v>1976/2025</v>
      </c>
      <c r="B578" s="5" t="str">
        <f>Sheet1!E578</f>
        <v>AU2065890602225</v>
      </c>
      <c r="C578" s="6" t="str">
        <f>UPPER(Sheet1!B578)</f>
        <v>RANTEG KAUR</v>
      </c>
      <c r="D578" s="7" t="str">
        <f>IF(Sheet1!F578="F","FEMALE","MALE")</f>
        <v>FEMALE</v>
      </c>
      <c r="E578" s="6" t="str">
        <f>UPPER(Sheet1!G578)</f>
        <v>BALJINDER SINGH</v>
      </c>
      <c r="F578" s="6" t="str">
        <f>UPPER(Sheet1!H578)</f>
        <v>PRABHJOT KAUR</v>
      </c>
      <c r="G578" s="5" t="str">
        <f>TEXT(Sheet1!C578,"dd/mm/yyyy") &amp; "," &amp; Sheet1!D578</f>
        <v xml:space="preserve">08/05/2025,WODONGA , AUSTRALIA  </v>
      </c>
      <c r="H578" s="57" t="str">
        <f>UPPER(Sheet1!K578 &amp; "," &amp; Sheet1!L578 &amp; "," &amp; Sheet1!M578)</f>
        <v xml:space="preserve">CHARDI PATI,VPO-CHABBA,TARN-TARAN RD,AMRITSAR,PIN:143022,PUNJAB,INDIA </v>
      </c>
      <c r="I578" s="8">
        <f>Sheet1!J578</f>
        <v>45992</v>
      </c>
      <c r="J578" s="5" t="str">
        <f>Sheet1!N578 &amp; "," &amp; TEXT(Sheet1!O578,"dd/mm/yy")</f>
        <v>202509073499,16/10/25</v>
      </c>
      <c r="K578" s="5" t="s">
        <v>14</v>
      </c>
      <c r="L578" s="38" t="s">
        <v>15</v>
      </c>
      <c r="M578" s="38" t="s">
        <v>17</v>
      </c>
      <c r="N578" s="38" t="s">
        <v>16</v>
      </c>
    </row>
    <row r="579" spans="1:14" x14ac:dyDescent="0.35">
      <c r="A579" s="4" t="str">
        <f>Sheet1!A579 &amp; "/" &amp; "2025"</f>
        <v>1977/2025</v>
      </c>
      <c r="B579" s="5" t="str">
        <f>Sheet1!E579</f>
        <v>AU2065890602425</v>
      </c>
      <c r="C579" s="6" t="str">
        <f>UPPER(Sheet1!B579)</f>
        <v>EKAM GILL</v>
      </c>
      <c r="D579" s="7" t="str">
        <f>IF(Sheet1!F579="F","FEMALE","MALE")</f>
        <v>FEMALE</v>
      </c>
      <c r="E579" s="6" t="str">
        <f>UPPER(Sheet1!G579)</f>
        <v>KARAMDEEP SINGH</v>
      </c>
      <c r="F579" s="6" t="str">
        <f>UPPER(Sheet1!H579)</f>
        <v>LOVEPREET KOUR</v>
      </c>
      <c r="G579" s="5" t="str">
        <f>TEXT(Sheet1!C579,"dd/mm/yyyy") &amp; "," &amp; Sheet1!D579</f>
        <v xml:space="preserve">08/08/2025,ST ALBANS , AUSTRALIA </v>
      </c>
      <c r="H579" s="57" t="str">
        <f>UPPER(Sheet1!K579 &amp; "," &amp; Sheet1!L579 &amp; "," &amp; Sheet1!M579)</f>
        <v xml:space="preserve">WARD NO-15,PUNJABI MOHALLA,HANUMANGARH TOWN,HANUMANGARH,PIN:335513,RAJASTHAN,INDIA </v>
      </c>
      <c r="I579" s="8">
        <f>Sheet1!J579</f>
        <v>45992</v>
      </c>
      <c r="J579" s="5" t="str">
        <f>Sheet1!N579 &amp; "," &amp; TEXT(Sheet1!O579,"dd/mm/yy")</f>
        <v>202509080012,10/11/25</v>
      </c>
      <c r="K579" s="5" t="s">
        <v>14</v>
      </c>
      <c r="L579" s="38" t="s">
        <v>15</v>
      </c>
      <c r="M579" s="38" t="s">
        <v>17</v>
      </c>
      <c r="N579" s="38" t="s">
        <v>16</v>
      </c>
    </row>
    <row r="580" spans="1:14" x14ac:dyDescent="0.35">
      <c r="A580" s="4" t="str">
        <f>Sheet1!A580 &amp; "/" &amp; "2025"</f>
        <v>1978/2025</v>
      </c>
      <c r="B580" s="5" t="str">
        <f>Sheet1!E580</f>
        <v>AU2065892488025</v>
      </c>
      <c r="C580" s="6" t="str">
        <f>UPPER(Sheet1!B580)</f>
        <v>SAMRATH SINGH MONGA</v>
      </c>
      <c r="D580" s="7" t="str">
        <f>IF(Sheet1!F580="F","FEMALE","MALE")</f>
        <v>MALE</v>
      </c>
      <c r="E580" s="6" t="str">
        <f>UPPER(Sheet1!G580)</f>
        <v>NEERAJ MONGA</v>
      </c>
      <c r="F580" s="6" t="str">
        <f>UPPER(Sheet1!H580)</f>
        <v>AMANJOT KAUR</v>
      </c>
      <c r="G580" s="5" t="str">
        <f>TEXT(Sheet1!C580,"dd/mm/yyyy") &amp; "," &amp; Sheet1!D580</f>
        <v xml:space="preserve">26/05/2025,BERWICK , AUSTRALIA  </v>
      </c>
      <c r="H580" s="57" t="str">
        <f>UPPER(Sheet1!K580 &amp; "," &amp; Sheet1!L580 &amp; "," &amp; Sheet1!M580)</f>
        <v xml:space="preserve">VILL-CHAK 13 G.B.,PO-KALYANKOTE,TEH-SRI VIJAYNAGAR,SRI GANGANAGAR,PIN:335704,RAJASTHAN,INDIA </v>
      </c>
      <c r="I580" s="8">
        <f>Sheet1!J580</f>
        <v>45993</v>
      </c>
      <c r="J580" s="5" t="str">
        <f>Sheet1!N580 &amp; "," &amp; TEXT(Sheet1!O580,"dd/mm/yy")</f>
        <v>202509071900,10/10/25</v>
      </c>
      <c r="K580" s="5" t="s">
        <v>14</v>
      </c>
      <c r="L580" s="38" t="s">
        <v>15</v>
      </c>
      <c r="M580" s="38" t="s">
        <v>17</v>
      </c>
      <c r="N580" s="38" t="s">
        <v>16</v>
      </c>
    </row>
    <row r="581" spans="1:14" x14ac:dyDescent="0.35">
      <c r="A581" s="4" t="str">
        <f>Sheet1!A581 &amp; "/" &amp; "2025"</f>
        <v>1979/2025</v>
      </c>
      <c r="B581" s="5" t="str">
        <f>Sheet1!E581</f>
        <v>AU2065892489225</v>
      </c>
      <c r="C581" s="6" t="str">
        <f>UPPER(Sheet1!B581)</f>
        <v>RUDRADEV REDDY ALETI</v>
      </c>
      <c r="D581" s="7" t="str">
        <f>IF(Sheet1!F581="F","FEMALE","MALE")</f>
        <v>MALE</v>
      </c>
      <c r="E581" s="6" t="str">
        <f>UPPER(Sheet1!G581)</f>
        <v>LINGA REDDY ALETI</v>
      </c>
      <c r="F581" s="6" t="str">
        <f>UPPER(Sheet1!H581)</f>
        <v>LAHARI KINI</v>
      </c>
      <c r="G581" s="5" t="str">
        <f>TEXT(Sheet1!C581,"dd/mm/yyyy") &amp; "," &amp; Sheet1!D581</f>
        <v xml:space="preserve">09/08/2025,ST ALBANS , AUSTRALIA </v>
      </c>
      <c r="H581" s="57" t="str">
        <f>UPPER(Sheet1!K581 &amp; "," &amp; Sheet1!L581 &amp; "," &amp; Sheet1!M581)</f>
        <v xml:space="preserve">H NO: 5-53,BIJJUR,BHAINSA,NIRMAL,PIN:504103,TELANGANA,INDIA </v>
      </c>
      <c r="I581" s="8">
        <f>Sheet1!J581</f>
        <v>45993</v>
      </c>
      <c r="J581" s="5" t="str">
        <f>Sheet1!N581 &amp; "," &amp; TEXT(Sheet1!O581,"dd/mm/yy")</f>
        <v>202509072800,14/10/25</v>
      </c>
      <c r="K581" s="5" t="s">
        <v>14</v>
      </c>
      <c r="L581" s="38" t="s">
        <v>15</v>
      </c>
      <c r="M581" s="38" t="s">
        <v>17</v>
      </c>
      <c r="N581" s="38" t="s">
        <v>16</v>
      </c>
    </row>
    <row r="582" spans="1:14" x14ac:dyDescent="0.35">
      <c r="A582" s="4" t="str">
        <f>Sheet1!A582 &amp; "/" &amp; "2025"</f>
        <v>1980/2025</v>
      </c>
      <c r="B582" s="5" t="str">
        <f>Sheet1!E582</f>
        <v>AU2065892489625</v>
      </c>
      <c r="C582" s="6" t="str">
        <f>UPPER(Sheet1!B582)</f>
        <v>RADHA GAMPALA</v>
      </c>
      <c r="D582" s="7" t="str">
        <f>IF(Sheet1!F582="F","FEMALE","MALE")</f>
        <v>FEMALE</v>
      </c>
      <c r="E582" s="6" t="str">
        <f>UPPER(Sheet1!G582)</f>
        <v>MAHESH GAMPALA</v>
      </c>
      <c r="F582" s="6" t="str">
        <f>UPPER(Sheet1!H582)</f>
        <v>SUMAN BAGADE</v>
      </c>
      <c r="G582" s="5" t="str">
        <f>TEXT(Sheet1!C582,"dd/mm/yyyy") &amp; "," &amp; Sheet1!D582</f>
        <v xml:space="preserve">27/08/2025,LAUNCESTON , AUSTRALIA  </v>
      </c>
      <c r="H582" s="57" t="str">
        <f>UPPER(Sheet1!K582 &amp; "," &amp; Sheet1!L582 &amp; "," &amp; Sheet1!M582)</f>
        <v xml:space="preserve">1-44,PONAGONDLA,JAYASHANKAR BHUPALPALLY,PIN:506348,TELANGANA,INDIA </v>
      </c>
      <c r="I582" s="8">
        <f>Sheet1!J582</f>
        <v>45993</v>
      </c>
      <c r="J582" s="5" t="str">
        <f>Sheet1!N582 &amp; "," &amp; TEXT(Sheet1!O582,"dd/mm/yy")</f>
        <v>202509072547,13/10/25</v>
      </c>
      <c r="K582" s="5" t="s">
        <v>14</v>
      </c>
      <c r="L582" s="38" t="s">
        <v>15</v>
      </c>
      <c r="M582" s="38" t="s">
        <v>17</v>
      </c>
      <c r="N582" s="38" t="s">
        <v>16</v>
      </c>
    </row>
    <row r="583" spans="1:14" x14ac:dyDescent="0.35">
      <c r="A583" s="4" t="str">
        <f>Sheet1!A583 &amp; "/" &amp; "2025"</f>
        <v>1981/2025</v>
      </c>
      <c r="B583" s="5" t="str">
        <f>Sheet1!E583</f>
        <v>AU2065892507225</v>
      </c>
      <c r="C583" s="6" t="str">
        <f>UPPER(Sheet1!B583)</f>
        <v>NITNEM SINGH</v>
      </c>
      <c r="D583" s="7" t="str">
        <f>IF(Sheet1!F583="F","FEMALE","MALE")</f>
        <v>MALE</v>
      </c>
      <c r="E583" s="6" t="str">
        <f>UPPER(Sheet1!G583)</f>
        <v>PARSANJEET SINGH</v>
      </c>
      <c r="F583" s="6" t="str">
        <f>UPPER(Sheet1!H583)</f>
        <v>RAMANDEEP KAUR</v>
      </c>
      <c r="G583" s="5" t="str">
        <f>TEXT(Sheet1!C583,"dd/mm/yyyy") &amp; "," &amp; Sheet1!D583</f>
        <v xml:space="preserve">21/06/2025,EPPING , AUSTRALIA </v>
      </c>
      <c r="H583" s="57" t="str">
        <f>UPPER(Sheet1!K583 &amp; "," &amp; Sheet1!L583 &amp; "," &amp; Sheet1!M583)</f>
        <v xml:space="preserve">VPO,NAURANGABAD,TARN TARAN,PIN:143401,PUNJAB,INDIA </v>
      </c>
      <c r="I583" s="8">
        <f>Sheet1!J583</f>
        <v>45993</v>
      </c>
      <c r="J583" s="5" t="str">
        <f>Sheet1!N583 &amp; "," &amp; TEXT(Sheet1!O583,"dd/mm/yy")</f>
        <v>202509082103,17/11/25</v>
      </c>
      <c r="K583" s="5" t="s">
        <v>14</v>
      </c>
      <c r="L583" s="38" t="s">
        <v>15</v>
      </c>
      <c r="M583" s="38" t="s">
        <v>17</v>
      </c>
      <c r="N583" s="38" t="s">
        <v>16</v>
      </c>
    </row>
    <row r="584" spans="1:14" x14ac:dyDescent="0.35">
      <c r="A584" s="4" t="str">
        <f>Sheet1!A584 &amp; "/" &amp; "2025"</f>
        <v>1982/2025</v>
      </c>
      <c r="B584" s="5" t="str">
        <f>Sheet1!E584</f>
        <v>AU2065892508625</v>
      </c>
      <c r="C584" s="6" t="str">
        <f>UPPER(Sheet1!B584)</f>
        <v>RUHANIYT KAUR</v>
      </c>
      <c r="D584" s="7" t="str">
        <f>IF(Sheet1!F584="F","FEMALE","MALE")</f>
        <v>FEMALE</v>
      </c>
      <c r="E584" s="6" t="str">
        <f>UPPER(Sheet1!G584)</f>
        <v>RAMANDEEP SINGH</v>
      </c>
      <c r="F584" s="6" t="str">
        <f>UPPER(Sheet1!H584)</f>
        <v>KOMAL</v>
      </c>
      <c r="G584" s="5" t="str">
        <f>TEXT(Sheet1!C584,"dd/mm/yyyy") &amp; "," &amp; Sheet1!D584</f>
        <v xml:space="preserve">18/09/2025,BERWICK , AUSTRALIA  </v>
      </c>
      <c r="H584" s="57" t="str">
        <f>UPPER(Sheet1!K584 &amp; "," &amp; Sheet1!L584 &amp; "," &amp; Sheet1!M584)</f>
        <v xml:space="preserve">HOUSE NO. 22,VILL. LALEENA,PO. SANOUR,PATIALA,PIN:147103,PUNJAB,INDIA </v>
      </c>
      <c r="I584" s="8">
        <f>Sheet1!J584</f>
        <v>45993</v>
      </c>
      <c r="J584" s="5" t="str">
        <f>Sheet1!N584 &amp; "," &amp; TEXT(Sheet1!O584,"dd/mm/yy")</f>
        <v>202509080534,11/11/25</v>
      </c>
      <c r="K584" s="5" t="s">
        <v>14</v>
      </c>
      <c r="L584" s="38" t="s">
        <v>15</v>
      </c>
      <c r="M584" s="38" t="s">
        <v>17</v>
      </c>
      <c r="N584" s="38" t="s">
        <v>16</v>
      </c>
    </row>
    <row r="585" spans="1:14" x14ac:dyDescent="0.35">
      <c r="A585" s="4" t="str">
        <f>Sheet1!A585 &amp; "/" &amp; "2025"</f>
        <v>1983/2025</v>
      </c>
      <c r="B585" s="5" t="str">
        <f>Sheet1!E585</f>
        <v>AU2065892510625</v>
      </c>
      <c r="C585" s="6" t="str">
        <f>UPPER(Sheet1!B585)</f>
        <v>DAIVIK GUDIMALLA</v>
      </c>
      <c r="D585" s="7" t="str">
        <f>IF(Sheet1!F585="F","FEMALE","MALE")</f>
        <v>MALE</v>
      </c>
      <c r="E585" s="6" t="str">
        <f>UPPER(Sheet1!G585)</f>
        <v>ARAVIND KUMAR GUDIMALLA</v>
      </c>
      <c r="F585" s="6" t="str">
        <f>UPPER(Sheet1!H585)</f>
        <v>MONIKA GUPTA</v>
      </c>
      <c r="G585" s="5" t="str">
        <f>TEXT(Sheet1!C585,"dd/mm/yyyy") &amp; "," &amp; Sheet1!D585</f>
        <v xml:space="preserve">29/09/2025,ST ALBANS , AUSTRALIA </v>
      </c>
      <c r="H585" s="57" t="str">
        <f>UPPER(Sheet1!K585 &amp; "," &amp; Sheet1!L585 &amp; "," &amp; Sheet1!M585)</f>
        <v xml:space="preserve">4-69/54/6/1/1A,VIDYARANYAPURI,THEEGALAGUTTAPALLY,KARIMNAGAR,PIN:505001,TELANGANA,INDIA </v>
      </c>
      <c r="I585" s="8">
        <f>Sheet1!J585</f>
        <v>45993</v>
      </c>
      <c r="J585" s="5" t="str">
        <f>Sheet1!N585 &amp; "," &amp; TEXT(Sheet1!O585,"dd/mm/yy")</f>
        <v>202509082201,17/11/25</v>
      </c>
      <c r="K585" s="5" t="s">
        <v>14</v>
      </c>
      <c r="L585" s="38" t="s">
        <v>15</v>
      </c>
      <c r="M585" s="38" t="s">
        <v>17</v>
      </c>
      <c r="N585" s="38" t="s">
        <v>16</v>
      </c>
    </row>
    <row r="586" spans="1:14" x14ac:dyDescent="0.35">
      <c r="A586" s="4" t="str">
        <f>Sheet1!A586 &amp; "/" &amp; "2025"</f>
        <v>1984/2025</v>
      </c>
      <c r="B586" s="5" t="str">
        <f>Sheet1!E586</f>
        <v>AU2065892511825</v>
      </c>
      <c r="C586" s="6" t="str">
        <f>UPPER(Sheet1!B586)</f>
        <v>RAMIEL JOSEPH SHINTO</v>
      </c>
      <c r="D586" s="7" t="str">
        <f>IF(Sheet1!F586="F","FEMALE","MALE")</f>
        <v>MALE</v>
      </c>
      <c r="E586" s="6" t="str">
        <f>UPPER(Sheet1!G586)</f>
        <v>SHINTO SAJU KALAPPURACKAL</v>
      </c>
      <c r="F586" s="6" t="str">
        <f>UPPER(Sheet1!H586)</f>
        <v>LINCY MOL ERATTAKULANGARA</v>
      </c>
      <c r="G586" s="5" t="str">
        <f>TEXT(Sheet1!C586,"dd/mm/yyyy") &amp; "," &amp; Sheet1!D586</f>
        <v xml:space="preserve">10/10/2025,BUNDOORA, AUSTRALIA </v>
      </c>
      <c r="H586" s="57" t="str">
        <f>UPPER(Sheet1!K586 &amp; "," &amp; Sheet1!L586 &amp; "," &amp; Sheet1!M586)</f>
        <v xml:space="preserve">KALAPPURACKAL HOUSE,PAMPAKUDA P O,ERNAKULAM,PIN:686667,KERALA,INDIA </v>
      </c>
      <c r="I586" s="8">
        <f>Sheet1!J586</f>
        <v>45993</v>
      </c>
      <c r="J586" s="5" t="str">
        <f>Sheet1!N586 &amp; "," &amp; TEXT(Sheet1!O586,"dd/mm/yy")</f>
        <v>202509081550,15/11/25</v>
      </c>
      <c r="K586" s="5" t="s">
        <v>14</v>
      </c>
      <c r="L586" s="38" t="s">
        <v>15</v>
      </c>
      <c r="M586" s="38" t="s">
        <v>17</v>
      </c>
      <c r="N586" s="38" t="s">
        <v>16</v>
      </c>
    </row>
    <row r="587" spans="1:14" x14ac:dyDescent="0.35">
      <c r="A587" s="4" t="str">
        <f>Sheet1!A587 &amp; "/" &amp; "2025"</f>
        <v>1985/2025</v>
      </c>
      <c r="B587" s="5" t="str">
        <f>Sheet1!E587</f>
        <v>AU2065892513225</v>
      </c>
      <c r="C587" s="6" t="str">
        <f>UPPER(Sheet1!B587)</f>
        <v>MEHRAB SINGH</v>
      </c>
      <c r="D587" s="7" t="str">
        <f>IF(Sheet1!F587="F","FEMALE","MALE")</f>
        <v>MALE</v>
      </c>
      <c r="E587" s="6" t="str">
        <f>UPPER(Sheet1!G587)</f>
        <v>AMANPREET SINGH</v>
      </c>
      <c r="F587" s="6" t="str">
        <f>UPPER(Sheet1!H587)</f>
        <v>MANINDERJIT KAUR</v>
      </c>
      <c r="G587" s="5" t="str">
        <f>TEXT(Sheet1!C587,"dd/mm/yyyy") &amp; "," &amp; Sheet1!D587</f>
        <v xml:space="preserve">25/08/2025,CLAYTON , AUSTRALIA  </v>
      </c>
      <c r="H587" s="57" t="str">
        <f>UPPER(Sheet1!K587 &amp; "," &amp; Sheet1!L587 &amp; "," &amp; Sheet1!M587)</f>
        <v xml:space="preserve">H NO. 1520,MOHALLA GARWA,WARD NO. 5,SIRHIND,DISTT,FATEHGARH SAHIB,PIN:140406,PUNJAB,INDIA </v>
      </c>
      <c r="I587" s="8">
        <f>Sheet1!J587</f>
        <v>45993</v>
      </c>
      <c r="J587" s="5" t="str">
        <f>Sheet1!N587 &amp; "," &amp; TEXT(Sheet1!O587,"dd/mm/yy")</f>
        <v>202509081947,17/11/25</v>
      </c>
      <c r="K587" s="5" t="s">
        <v>14</v>
      </c>
      <c r="L587" s="38" t="s">
        <v>15</v>
      </c>
      <c r="M587" s="38" t="s">
        <v>17</v>
      </c>
      <c r="N587" s="38" t="s">
        <v>16</v>
      </c>
    </row>
    <row r="588" spans="1:14" x14ac:dyDescent="0.35">
      <c r="A588" s="4" t="str">
        <f>Sheet1!A588 &amp; "/" &amp; "2025"</f>
        <v>1986/2025</v>
      </c>
      <c r="B588" s="5" t="str">
        <f>Sheet1!E588</f>
        <v>AU2065892513825</v>
      </c>
      <c r="C588" s="6" t="str">
        <f>UPPER(Sheet1!B588)</f>
        <v>RANTEGH SINGH SANDHA</v>
      </c>
      <c r="D588" s="7" t="str">
        <f>IF(Sheet1!F588="F","FEMALE","MALE")</f>
        <v>MALE</v>
      </c>
      <c r="E588" s="6" t="str">
        <f>UPPER(Sheet1!G588)</f>
        <v>RAVINDER SINGH</v>
      </c>
      <c r="F588" s="6" t="str">
        <f>UPPER(Sheet1!H588)</f>
        <v>GAGANDEEP KAUR</v>
      </c>
      <c r="G588" s="5" t="str">
        <f>TEXT(Sheet1!C588,"dd/mm/yyyy") &amp; "," &amp; Sheet1!D588</f>
        <v xml:space="preserve">19/06/2025,ST ALBANS , AUSTRALIA </v>
      </c>
      <c r="H588" s="57" t="str">
        <f>UPPER(Sheet1!K588 &amp; "," &amp; Sheet1!L588 &amp; "," &amp; Sheet1!M588)</f>
        <v xml:space="preserve">VILL THER SAMINDER SINGH P.O. FEROZABAD,RANIA,SIRSA,PIN:125055,HARYANA,INDIA </v>
      </c>
      <c r="I588" s="8">
        <f>Sheet1!J588</f>
        <v>45993</v>
      </c>
      <c r="J588" s="5" t="str">
        <f>Sheet1!N588 &amp; "," &amp; TEXT(Sheet1!O588,"dd/mm/yy")</f>
        <v>202509074194,19/10/25</v>
      </c>
      <c r="K588" s="5" t="s">
        <v>14</v>
      </c>
      <c r="L588" s="38" t="s">
        <v>15</v>
      </c>
      <c r="M588" s="38" t="s">
        <v>17</v>
      </c>
      <c r="N588" s="38" t="s">
        <v>16</v>
      </c>
    </row>
    <row r="589" spans="1:14" x14ac:dyDescent="0.35">
      <c r="A589" s="4" t="str">
        <f>Sheet1!A589 &amp; "/" &amp; "2025"</f>
        <v>1987/2025</v>
      </c>
      <c r="B589" s="5" t="str">
        <f>Sheet1!E589</f>
        <v>AU2065892515825</v>
      </c>
      <c r="C589" s="6" t="str">
        <f>UPPER(Sheet1!B589)</f>
        <v>JAPJI KAUR SANGHA</v>
      </c>
      <c r="D589" s="7" t="str">
        <f>IF(Sheet1!F589="F","FEMALE","MALE")</f>
        <v>FEMALE</v>
      </c>
      <c r="E589" s="6" t="str">
        <f>UPPER(Sheet1!G589)</f>
        <v>JEENA</v>
      </c>
      <c r="F589" s="6" t="str">
        <f>UPPER(Sheet1!H589)</f>
        <v>RAJWINDER KAUR</v>
      </c>
      <c r="G589" s="5" t="str">
        <f>TEXT(Sheet1!C589,"dd/mm/yyyy") &amp; "," &amp; Sheet1!D589</f>
        <v>05/06/2022,DANDENONG, AUSTRALIA</v>
      </c>
      <c r="H589" s="57" t="str">
        <f>UPPER(Sheet1!K589 &amp; "," &amp; Sheet1!L589 &amp; "," &amp; Sheet1!M589)</f>
        <v xml:space="preserve">VILL NANGLAN PO ROR MAJARA,TEH GARHSHANKAR,HOSHIARPUR,PIN:144527,PUNJAB,INDIA </v>
      </c>
      <c r="I589" s="8">
        <f>Sheet1!J589</f>
        <v>45993</v>
      </c>
      <c r="J589" s="5" t="str">
        <f>Sheet1!N589 &amp; "," &amp; TEXT(Sheet1!O589,"dd/mm/yy")</f>
        <v>202509076532,28/10/25</v>
      </c>
      <c r="K589" s="5" t="s">
        <v>14</v>
      </c>
      <c r="L589" s="38" t="s">
        <v>15</v>
      </c>
      <c r="M589" s="38" t="s">
        <v>17</v>
      </c>
      <c r="N589" s="38" t="s">
        <v>16</v>
      </c>
    </row>
    <row r="590" spans="1:14" x14ac:dyDescent="0.35">
      <c r="A590" s="4" t="str">
        <f>Sheet1!A590 &amp; "/" &amp; "2025"</f>
        <v>1988/2025</v>
      </c>
      <c r="B590" s="5" t="str">
        <f>Sheet1!E590</f>
        <v>AU2065892517425</v>
      </c>
      <c r="C590" s="6" t="str">
        <f>UPPER(Sheet1!B590)</f>
        <v>SAANJH LAGAH</v>
      </c>
      <c r="D590" s="7" t="str">
        <f>IF(Sheet1!F590="F","FEMALE","MALE")</f>
        <v>FEMALE</v>
      </c>
      <c r="E590" s="6" t="str">
        <f>UPPER(Sheet1!G590)</f>
        <v>RAMANDEEP KUMAR</v>
      </c>
      <c r="F590" s="6" t="str">
        <f>UPPER(Sheet1!H590)</f>
        <v>SONIA SAMRAI</v>
      </c>
      <c r="G590" s="5" t="str">
        <f>TEXT(Sheet1!C590,"dd/mm/yyyy") &amp; "," &amp; Sheet1!D590</f>
        <v xml:space="preserve">15/07/2025,ST ALBANS , AUSTRALIA </v>
      </c>
      <c r="H590" s="57" t="str">
        <f>UPPER(Sheet1!K590 &amp; "," &amp; Sheet1!L590 &amp; "," &amp; Sheet1!M590)</f>
        <v xml:space="preserve">VILL SUNNER KALAN,TEH PHILLAUR,JALANDHAR,PIN:144039,PUNJAB,INDIA </v>
      </c>
      <c r="I590" s="8">
        <f>Sheet1!J590</f>
        <v>45993</v>
      </c>
      <c r="J590" s="5" t="str">
        <f>Sheet1!N590 &amp; "," &amp; TEXT(Sheet1!O590,"dd/mm/yy")</f>
        <v>202509078203,03/11/25</v>
      </c>
      <c r="K590" s="5" t="s">
        <v>14</v>
      </c>
      <c r="L590" s="38" t="s">
        <v>15</v>
      </c>
      <c r="M590" s="38" t="s">
        <v>17</v>
      </c>
      <c r="N590" s="38" t="s">
        <v>16</v>
      </c>
    </row>
    <row r="591" spans="1:14" x14ac:dyDescent="0.35">
      <c r="A591" s="4" t="str">
        <f>Sheet1!A591 &amp; "/" &amp; "2025"</f>
        <v>1989/2025</v>
      </c>
      <c r="B591" s="5" t="str">
        <f>Sheet1!E591</f>
        <v>AU2065892518825</v>
      </c>
      <c r="C591" s="6" t="str">
        <f>UPPER(Sheet1!B591)</f>
        <v>JORAVAR SINGH GILL</v>
      </c>
      <c r="D591" s="7" t="str">
        <f>IF(Sheet1!F591="F","FEMALE","MALE")</f>
        <v>MALE</v>
      </c>
      <c r="E591" s="6" t="str">
        <f>UPPER(Sheet1!G591)</f>
        <v>SUPINDER SINGH GILL</v>
      </c>
      <c r="F591" s="6" t="str">
        <f>UPPER(Sheet1!H591)</f>
        <v>KIRANPREET KAUR</v>
      </c>
      <c r="G591" s="5" t="str">
        <f>TEXT(Sheet1!C591,"dd/mm/yyyy") &amp; "," &amp; Sheet1!D591</f>
        <v xml:space="preserve">15/09/2025,LENAH VALLEY TASMANIA, AUSTRALIA  </v>
      </c>
      <c r="H591" s="57" t="str">
        <f>UPPER(Sheet1!K591 &amp; "," &amp; Sheet1!L591 &amp; "," &amp; Sheet1!M591)</f>
        <v xml:space="preserve">VILL CHUHARPUR (JHAR SAHIB) PO BEHLOLPUR,TEH SAMRALA PS MACHHIWARA,KHANNA (LUDHIANA),PIN:141121,PUNJAB,INDIA </v>
      </c>
      <c r="I591" s="8">
        <f>Sheet1!J591</f>
        <v>45993</v>
      </c>
      <c r="J591" s="5" t="str">
        <f>Sheet1!N591 &amp; "," &amp; TEXT(Sheet1!O591,"dd/mm/yy")</f>
        <v>202509081342,14/11/25</v>
      </c>
      <c r="K591" s="5" t="s">
        <v>14</v>
      </c>
      <c r="L591" s="38" t="s">
        <v>15</v>
      </c>
      <c r="M591" s="38" t="s">
        <v>17</v>
      </c>
      <c r="N591" s="38" t="s">
        <v>16</v>
      </c>
    </row>
    <row r="592" spans="1:14" x14ac:dyDescent="0.35">
      <c r="A592" s="4" t="str">
        <f>Sheet1!A592 &amp; "/" &amp; "2025"</f>
        <v>1990/2025</v>
      </c>
      <c r="B592" s="5" t="str">
        <f>Sheet1!E592</f>
        <v>AU2065892520025</v>
      </c>
      <c r="C592" s="6" t="str">
        <f>UPPER(Sheet1!B592)</f>
        <v>GURDIT KAUR</v>
      </c>
      <c r="D592" s="7" t="str">
        <f>IF(Sheet1!F592="F","FEMALE","MALE")</f>
        <v>FEMALE</v>
      </c>
      <c r="E592" s="6" t="str">
        <f>UPPER(Sheet1!G592)</f>
        <v>GURBACHAN SINGH</v>
      </c>
      <c r="F592" s="6" t="str">
        <f>UPPER(Sheet1!H592)</f>
        <v>AMANPREET KAUR</v>
      </c>
      <c r="G592" s="5" t="str">
        <f>TEXT(Sheet1!C592,"dd/mm/yyyy") &amp; "," &amp; Sheet1!D592</f>
        <v xml:space="preserve">18/07/2025,SALE, AUSTRALIA </v>
      </c>
      <c r="H592" s="57" t="str">
        <f>UPPER(Sheet1!K592 &amp; "," &amp; Sheet1!L592 &amp; "," &amp; Sheet1!M592)</f>
        <v xml:space="preserve">VILL SALEMPUR MASANDAN,PO TALHAN,JALANDHAR,PIN:144101,PUNJAB,INDIA </v>
      </c>
      <c r="I592" s="8">
        <f>Sheet1!J592</f>
        <v>45993</v>
      </c>
      <c r="J592" s="5" t="str">
        <f>Sheet1!N592 &amp; "," &amp; TEXT(Sheet1!O592,"dd/mm/yy")</f>
        <v>202509072295,12/10/25</v>
      </c>
      <c r="K592" s="5" t="s">
        <v>14</v>
      </c>
      <c r="L592" s="38" t="s">
        <v>15</v>
      </c>
      <c r="M592" s="38" t="s">
        <v>17</v>
      </c>
      <c r="N592" s="38" t="s">
        <v>16</v>
      </c>
    </row>
    <row r="593" spans="1:14" x14ac:dyDescent="0.35">
      <c r="A593" s="4" t="str">
        <f>Sheet1!A593 &amp; "/" &amp; "2025"</f>
        <v>1991/2025</v>
      </c>
      <c r="B593" s="5" t="str">
        <f>Sheet1!E593</f>
        <v>AU2065892525025</v>
      </c>
      <c r="C593" s="6" t="str">
        <f>UPPER(Sheet1!B593)</f>
        <v>SRIDEEP LOKA</v>
      </c>
      <c r="D593" s="7" t="str">
        <f>IF(Sheet1!F593="F","FEMALE","MALE")</f>
        <v>MALE</v>
      </c>
      <c r="E593" s="6" t="str">
        <f>UPPER(Sheet1!G593)</f>
        <v>SANDEEP LOKA</v>
      </c>
      <c r="F593" s="6" t="str">
        <f>UPPER(Sheet1!H593)</f>
        <v>SHIRISHA KASTURI</v>
      </c>
      <c r="G593" s="5" t="str">
        <f>TEXT(Sheet1!C593,"dd/mm/yyyy") &amp; "," &amp; Sheet1!D593</f>
        <v xml:space="preserve">18/07/2025,CLAYTON , AUSTRALIA  </v>
      </c>
      <c r="H593" s="57" t="str">
        <f>UPPER(Sheet1!K593 &amp; "," &amp; Sheet1!L593 &amp; "," &amp; Sheet1!M593)</f>
        <v xml:space="preserve">87,VAMBAY COLONY,LAXMIGUDA,RANGAREDDY,RANGAREDDY,PIN:500005,TELANGANA,INDIA </v>
      </c>
      <c r="I593" s="8">
        <f>Sheet1!J593</f>
        <v>45993</v>
      </c>
      <c r="J593" s="5" t="str">
        <f>Sheet1!N593 &amp; "," &amp; TEXT(Sheet1!O593,"dd/mm/yy")</f>
        <v>202509071264,08/10/25</v>
      </c>
      <c r="K593" s="5" t="s">
        <v>14</v>
      </c>
      <c r="L593" s="38" t="s">
        <v>15</v>
      </c>
      <c r="M593" s="38" t="s">
        <v>17</v>
      </c>
      <c r="N593" s="38" t="s">
        <v>16</v>
      </c>
    </row>
    <row r="594" spans="1:14" x14ac:dyDescent="0.35">
      <c r="A594" s="4" t="str">
        <f>Sheet1!A594 &amp; "/" &amp; "2025"</f>
        <v>1992/2025</v>
      </c>
      <c r="B594" s="5" t="str">
        <f>Sheet1!E594</f>
        <v>AU2065892525825</v>
      </c>
      <c r="C594" s="6" t="str">
        <f>UPPER(Sheet1!B594)</f>
        <v>RUDRANSH DANDYAN</v>
      </c>
      <c r="D594" s="7" t="str">
        <f>IF(Sheet1!F594="F","FEMALE","MALE")</f>
        <v>MALE</v>
      </c>
      <c r="E594" s="6" t="str">
        <f>UPPER(Sheet1!G594)</f>
        <v>JAGBIR</v>
      </c>
      <c r="F594" s="6" t="str">
        <f>UPPER(Sheet1!H594)</f>
        <v>MINAXI RANI</v>
      </c>
      <c r="G594" s="5" t="str">
        <f>TEXT(Sheet1!C594,"dd/mm/yyyy") &amp; "," &amp; Sheet1!D594</f>
        <v>25/09/2025,SHEPPARTON, AUSTRALIA</v>
      </c>
      <c r="H594" s="57" t="str">
        <f>UPPER(Sheet1!K594 &amp; "," &amp; Sheet1!L594 &amp; "," &amp; Sheet1!M594)</f>
        <v xml:space="preserve">VPO BAKHLI,TEH PEHOWA,KURUKSHETRA,PIN:136128,HARYANA,INDIA </v>
      </c>
      <c r="I594" s="8">
        <f>Sheet1!J594</f>
        <v>45993</v>
      </c>
      <c r="J594" s="5" t="str">
        <f>Sheet1!N594 &amp; "," &amp; TEXT(Sheet1!O594,"dd/mm/yy")</f>
        <v>202509078846,05/11/25</v>
      </c>
      <c r="K594" s="5" t="s">
        <v>14</v>
      </c>
      <c r="L594" s="38" t="s">
        <v>15</v>
      </c>
      <c r="M594" s="38" t="s">
        <v>17</v>
      </c>
      <c r="N594" s="38" t="s">
        <v>16</v>
      </c>
    </row>
    <row r="595" spans="1:14" x14ac:dyDescent="0.35">
      <c r="A595" s="4" t="str">
        <f>Sheet1!A595 &amp; "/" &amp; "2025"</f>
        <v>1993/2025</v>
      </c>
      <c r="B595" s="5" t="str">
        <f>Sheet1!E595</f>
        <v>AU2065892526625</v>
      </c>
      <c r="C595" s="6" t="str">
        <f>UPPER(Sheet1!B595)</f>
        <v>PRISHA SAINI</v>
      </c>
      <c r="D595" s="7" t="str">
        <f>IF(Sheet1!F595="F","FEMALE","MALE")</f>
        <v>FEMALE</v>
      </c>
      <c r="E595" s="6" t="str">
        <f>UPPER(Sheet1!G595)</f>
        <v>PANKAJ KUMAR SAINI</v>
      </c>
      <c r="F595" s="6" t="str">
        <f>UPPER(Sheet1!H595)</f>
        <v>GURPREET KAUR</v>
      </c>
      <c r="G595" s="5" t="str">
        <f>TEXT(Sheet1!C595,"dd/mm/yyyy") &amp; "," &amp; Sheet1!D595</f>
        <v xml:space="preserve">23/07/2025,BOX HILL, AUSTRALIA </v>
      </c>
      <c r="H595" s="57" t="str">
        <f>UPPER(Sheet1!K595 &amp; "," &amp; Sheet1!L595 &amp; "," &amp; Sheet1!M595)</f>
        <v xml:space="preserve">VILL.BHAINI,PO.PARLADPUR,KURUKSHETRA,PIN:136132,HARYANA,INDIA </v>
      </c>
      <c r="I595" s="8">
        <f>Sheet1!J595</f>
        <v>45993</v>
      </c>
      <c r="J595" s="5" t="str">
        <f>Sheet1!N595 &amp; "," &amp; TEXT(Sheet1!O595,"dd/mm/yy")</f>
        <v>202509082574,18/11/25</v>
      </c>
      <c r="K595" s="5" t="s">
        <v>14</v>
      </c>
      <c r="L595" s="38" t="s">
        <v>15</v>
      </c>
      <c r="M595" s="38" t="s">
        <v>17</v>
      </c>
      <c r="N595" s="38" t="s">
        <v>16</v>
      </c>
    </row>
    <row r="596" spans="1:14" x14ac:dyDescent="0.35">
      <c r="A596" s="4" t="str">
        <f>Sheet1!A596 &amp; "/" &amp; "2025"</f>
        <v>1994/2025</v>
      </c>
      <c r="B596" s="5" t="str">
        <f>Sheet1!E596</f>
        <v>AU2065892527225</v>
      </c>
      <c r="C596" s="6" t="str">
        <f>UPPER(Sheet1!B596)</f>
        <v>CHANNPREET SINGH SAGGU</v>
      </c>
      <c r="D596" s="7" t="str">
        <f>IF(Sheet1!F596="F","FEMALE","MALE")</f>
        <v>MALE</v>
      </c>
      <c r="E596" s="6" t="str">
        <f>UPPER(Sheet1!G596)</f>
        <v>MEHAKDEEP SINGH</v>
      </c>
      <c r="F596" s="6" t="str">
        <f>UPPER(Sheet1!H596)</f>
        <v>POONAM VIRDI</v>
      </c>
      <c r="G596" s="5" t="str">
        <f>TEXT(Sheet1!C596,"dd/mm/yyyy") &amp; "," &amp; Sheet1!D596</f>
        <v xml:space="preserve">28/09/2025,PARKVILLE , AUSTRALIA  </v>
      </c>
      <c r="H596" s="57" t="str">
        <f>UPPER(Sheet1!K596 &amp; "," &amp; Sheet1!L596 &amp; "," &amp; Sheet1!M596)</f>
        <v xml:space="preserve">H.90 URBAN ESTATE,NEAR DERA BABA DARSHAN SINGH,KALE GHANUPUR,AMRITSAR,PIN:143105,PUNJAB,INDIA </v>
      </c>
      <c r="I596" s="8">
        <f>Sheet1!J596</f>
        <v>45993</v>
      </c>
      <c r="J596" s="5" t="str">
        <f>Sheet1!N596 &amp; "," &amp; TEXT(Sheet1!O596,"dd/mm/yy")</f>
        <v>202509081157,13/11/25</v>
      </c>
      <c r="K596" s="5" t="s">
        <v>14</v>
      </c>
      <c r="L596" s="38" t="s">
        <v>15</v>
      </c>
      <c r="M596" s="38" t="s">
        <v>17</v>
      </c>
      <c r="N596" s="38" t="s">
        <v>16</v>
      </c>
    </row>
    <row r="597" spans="1:14" x14ac:dyDescent="0.35">
      <c r="A597" s="4" t="str">
        <f>Sheet1!A597 &amp; "/" &amp; "2025"</f>
        <v>1995/2025</v>
      </c>
      <c r="B597" s="5" t="str">
        <f>Sheet1!E597</f>
        <v>AU2065892490825</v>
      </c>
      <c r="C597" s="6" t="str">
        <f>UPPER(Sheet1!B597)</f>
        <v>MISHIKA DHIMAN</v>
      </c>
      <c r="D597" s="7" t="str">
        <f>IF(Sheet1!F597="F","FEMALE","MALE")</f>
        <v>FEMALE</v>
      </c>
      <c r="E597" s="6" t="str">
        <f>UPPER(Sheet1!G597)</f>
        <v>VARUN KUMAR</v>
      </c>
      <c r="F597" s="6" t="str">
        <f>UPPER(Sheet1!H597)</f>
        <v>MEGHA SHARMA</v>
      </c>
      <c r="G597" s="5" t="str">
        <f>TEXT(Sheet1!C597,"dd/mm/yyyy") &amp; "," &amp; Sheet1!D597</f>
        <v xml:space="preserve">19/09/2025,ST ALBANS , AUSTRALIA </v>
      </c>
      <c r="H597" s="57" t="str">
        <f>UPPER(Sheet1!K597 &amp; "," &amp; Sheet1!L597 &amp; "," &amp; Sheet1!M597)</f>
        <v xml:space="preserve">VILL. RAOGARH,DISTT,KURUKSHETRA,PIN:136119,HARYANA,INDIA </v>
      </c>
      <c r="I597" s="8">
        <f>Sheet1!J597</f>
        <v>45993</v>
      </c>
      <c r="J597" s="5" t="str">
        <f>Sheet1!N597 &amp; "," &amp; TEXT(Sheet1!O597,"dd/mm/yy")</f>
        <v>202509082738,19/11/25</v>
      </c>
      <c r="K597" s="5" t="s">
        <v>14</v>
      </c>
      <c r="L597" s="38" t="s">
        <v>15</v>
      </c>
      <c r="M597" s="38" t="s">
        <v>17</v>
      </c>
      <c r="N597" s="38" t="s">
        <v>16</v>
      </c>
    </row>
    <row r="598" spans="1:14" x14ac:dyDescent="0.35">
      <c r="A598" s="4" t="str">
        <f>Sheet1!A598 &amp; "/" &amp; "2025"</f>
        <v>1996/2025</v>
      </c>
      <c r="B598" s="5" t="str">
        <f>Sheet1!E598</f>
        <v>AU2065892462425</v>
      </c>
      <c r="C598" s="6" t="str">
        <f>UPPER(Sheet1!B598)</f>
        <v>AKAALVEER SINGH SANDHU</v>
      </c>
      <c r="D598" s="7" t="str">
        <f>IF(Sheet1!F598="F","FEMALE","MALE")</f>
        <v>MALE</v>
      </c>
      <c r="E598" s="6" t="str">
        <f>UPPER(Sheet1!G598)</f>
        <v>YADVINDER SINGH</v>
      </c>
      <c r="F598" s="6" t="str">
        <f>UPPER(Sheet1!H598)</f>
        <v>RASDEEP KAUR</v>
      </c>
      <c r="G598" s="5" t="str">
        <f>TEXT(Sheet1!C598,"dd/mm/yyyy") &amp; "," &amp; Sheet1!D598</f>
        <v xml:space="preserve">05/06/2025,GRIFFITH, AUSTRALIA </v>
      </c>
      <c r="H598" s="57" t="str">
        <f>UPPER(Sheet1!K598 &amp; "," &amp; Sheet1!L598 &amp; "," &amp; Sheet1!M598)</f>
        <v xml:space="preserve">VILL HAREWA PO JAIDHARI,TEH CHHACHHRAULI,YAMUNANAGAR,PIN:135101,HARYANA,INDIA </v>
      </c>
      <c r="I598" s="8">
        <f>Sheet1!J598</f>
        <v>45993</v>
      </c>
      <c r="J598" s="5" t="str">
        <f>Sheet1!N598 &amp; "," &amp; TEXT(Sheet1!O598,"dd/mm/yy")</f>
        <v>202509082866,19/11/25</v>
      </c>
      <c r="K598" s="5" t="s">
        <v>14</v>
      </c>
      <c r="L598" s="38" t="s">
        <v>15</v>
      </c>
      <c r="M598" s="38" t="s">
        <v>17</v>
      </c>
      <c r="N598" s="38" t="s">
        <v>16</v>
      </c>
    </row>
    <row r="599" spans="1:14" x14ac:dyDescent="0.35">
      <c r="A599" s="4" t="str">
        <f>Sheet1!A599 &amp; "/" &amp; "2025"</f>
        <v>1997/2025</v>
      </c>
      <c r="B599" s="5" t="str">
        <f>Sheet1!E599</f>
        <v>AU2065892492425</v>
      </c>
      <c r="C599" s="6" t="str">
        <f>UPPER(Sheet1!B599)</f>
        <v>HARINI PATEL</v>
      </c>
      <c r="D599" s="7" t="str">
        <f>IF(Sheet1!F599="F","FEMALE","MALE")</f>
        <v>FEMALE</v>
      </c>
      <c r="E599" s="6" t="str">
        <f>UPPER(Sheet1!G599)</f>
        <v>HARDIKKUMAR SHAILESHBHAI PATEL</v>
      </c>
      <c r="F599" s="6" t="str">
        <f>UPPER(Sheet1!H599)</f>
        <v>DISHABEN JAYENDRABHAI PATEL</v>
      </c>
      <c r="G599" s="5" t="str">
        <f>TEXT(Sheet1!C599,"dd/mm/yyyy") &amp; "," &amp; Sheet1!D599</f>
        <v xml:space="preserve">17/09/2025,CLAYTON , AUSTRALIA  </v>
      </c>
      <c r="H599" s="57" t="str">
        <f>UPPER(Sheet1!K599 &amp; "," &amp; Sheet1!L599 &amp; "," &amp; Sheet1!M599)</f>
        <v xml:space="preserve">PATEL FALIYA,AT POST RAJBODELI,TA BODELI,VADODARA,PIN:391140,GUJARAT,INDIA </v>
      </c>
      <c r="I599" s="8">
        <f>Sheet1!J599</f>
        <v>45993</v>
      </c>
      <c r="J599" s="5" t="str">
        <f>Sheet1!N599 &amp; "," &amp; TEXT(Sheet1!O599,"dd/mm/yy")</f>
        <v>202509072510,13/10/25</v>
      </c>
      <c r="K599" s="5" t="s">
        <v>14</v>
      </c>
      <c r="L599" s="38" t="s">
        <v>15</v>
      </c>
      <c r="M599" s="38" t="s">
        <v>17</v>
      </c>
      <c r="N599" s="38" t="s">
        <v>16</v>
      </c>
    </row>
    <row r="600" spans="1:14" x14ac:dyDescent="0.35">
      <c r="A600" s="4" t="str">
        <f>Sheet1!A600 &amp; "/" &amp; "2025"</f>
        <v>1998/2025</v>
      </c>
      <c r="B600" s="5" t="str">
        <f>Sheet1!E600</f>
        <v>AU2065892493225</v>
      </c>
      <c r="C600" s="6" t="str">
        <f>UPPER(Sheet1!B600)</f>
        <v>BARKAT KAUR DHALIWAL</v>
      </c>
      <c r="D600" s="7" t="str">
        <f>IF(Sheet1!F600="F","FEMALE","MALE")</f>
        <v>FEMALE</v>
      </c>
      <c r="E600" s="6" t="str">
        <f>UPPER(Sheet1!G600)</f>
        <v>BUTA SINGH DHALIWAL</v>
      </c>
      <c r="F600" s="6" t="str">
        <f>UPPER(Sheet1!H600)</f>
        <v>AMANPREET KAUR UPPAL</v>
      </c>
      <c r="G600" s="5" t="str">
        <f>TEXT(Sheet1!C600,"dd/mm/yyyy") &amp; "," &amp; Sheet1!D600</f>
        <v>26/09/2025,BALLARAT CENTRAL, AUSTRALIA</v>
      </c>
      <c r="H600" s="57" t="str">
        <f>UPPER(Sheet1!K600 &amp; "," &amp; Sheet1!L600 &amp; "," &amp; Sheet1!M600)</f>
        <v xml:space="preserve">PATTI BHULLAR,VPO BUTTAR,MOGA,PIN:142040,PUNJAB,INDIA </v>
      </c>
      <c r="I600" s="8">
        <f>Sheet1!J600</f>
        <v>45993</v>
      </c>
      <c r="J600" s="5" t="str">
        <f>Sheet1!N600 &amp; "," &amp; TEXT(Sheet1!O600,"dd/mm/yy")</f>
        <v>202509082076,17/11/25</v>
      </c>
      <c r="K600" s="5" t="s">
        <v>14</v>
      </c>
      <c r="L600" s="38" t="s">
        <v>15</v>
      </c>
      <c r="M600" s="38" t="s">
        <v>17</v>
      </c>
      <c r="N600" s="38" t="s">
        <v>16</v>
      </c>
    </row>
    <row r="601" spans="1:14" x14ac:dyDescent="0.35">
      <c r="A601" s="4" t="str">
        <f>Sheet1!A601 &amp; "/" &amp; "2025"</f>
        <v>1999/2025</v>
      </c>
      <c r="B601" s="5" t="str">
        <f>Sheet1!E601</f>
        <v>AU2065892493825</v>
      </c>
      <c r="C601" s="6" t="str">
        <f>UPPER(Sheet1!B601)</f>
        <v>AADHYA RAVI PATEL</v>
      </c>
      <c r="D601" s="7" t="str">
        <f>IF(Sheet1!F601="F","FEMALE","MALE")</f>
        <v>FEMALE</v>
      </c>
      <c r="E601" s="6" t="str">
        <f>UPPER(Sheet1!G601)</f>
        <v>RAVI MANHARLAL PATEL</v>
      </c>
      <c r="F601" s="6" t="str">
        <f>UPPER(Sheet1!H601)</f>
        <v>BANSRI BHAVINBHAI PATEL</v>
      </c>
      <c r="G601" s="5" t="str">
        <f>TEXT(Sheet1!C601,"dd/mm/yyyy") &amp; "," &amp; Sheet1!D601</f>
        <v xml:space="preserve">09/04/2025,GEELONG , AUSTRALIA </v>
      </c>
      <c r="H601" s="57" t="str">
        <f>UPPER(Sheet1!K601 &amp; "," &amp; Sheet1!L601 &amp; "," &amp; Sheet1!M601)</f>
        <v xml:space="preserve">D 13 SARASWATI SOCIETY MITHIKUI,DHOLKA,AHMEDABAD,PIN:382225,GUJARAT,INDIA </v>
      </c>
      <c r="I601" s="8">
        <f>Sheet1!J601</f>
        <v>45993</v>
      </c>
      <c r="J601" s="5" t="str">
        <f>Sheet1!N601 &amp; "," &amp; TEXT(Sheet1!O601,"dd/mm/yy")</f>
        <v>202509081791,16/11/25</v>
      </c>
      <c r="K601" s="5" t="s">
        <v>14</v>
      </c>
      <c r="L601" s="38" t="s">
        <v>15</v>
      </c>
      <c r="M601" s="38" t="s">
        <v>17</v>
      </c>
      <c r="N601" s="38" t="s">
        <v>16</v>
      </c>
    </row>
    <row r="602" spans="1:14" x14ac:dyDescent="0.35">
      <c r="A602" s="4" t="str">
        <f>Sheet1!A602 &amp; "/" &amp; "2025"</f>
        <v>2000/2025</v>
      </c>
      <c r="B602" s="5" t="str">
        <f>Sheet1!E602</f>
        <v>AU2065887700225</v>
      </c>
      <c r="C602" s="6" t="str">
        <f>UPPER(Sheet1!B602)</f>
        <v>ADAM MOHAMMED</v>
      </c>
      <c r="D602" s="7" t="str">
        <f>IF(Sheet1!F602="F","FEMALE","MALE")</f>
        <v>MALE</v>
      </c>
      <c r="E602" s="6" t="str">
        <f>UPPER(Sheet1!G602)</f>
        <v>RIZWAN MOHAMMED</v>
      </c>
      <c r="F602" s="6" t="str">
        <f>UPPER(Sheet1!H602)</f>
        <v>SUPRIYA NAIDU</v>
      </c>
      <c r="G602" s="5" t="str">
        <f>TEXT(Sheet1!C602,"dd/mm/yyyy") &amp; "," &amp; Sheet1!D602</f>
        <v xml:space="preserve">13/07/2025,PARKVILLE , AUSTRALIA  </v>
      </c>
      <c r="H602" s="57" t="str">
        <f>UPPER(Sheet1!K602 &amp; "," &amp; Sheet1!L602 &amp; "," &amp; Sheet1!M602)</f>
        <v xml:space="preserve">3-6-416/1/11,STREET NO:4,HIMAYATH NAGAR,HYDERABAD,PIN:500029,TELANGANA,INDIA </v>
      </c>
      <c r="I602" s="8">
        <f>Sheet1!J602</f>
        <v>45996</v>
      </c>
      <c r="J602" s="5" t="str">
        <f>Sheet1!N602 &amp; "," &amp; TEXT(Sheet1!O602,"dd/mm/yy")</f>
        <v>202509071913,10/10/25</v>
      </c>
      <c r="K602" s="5" t="s">
        <v>14</v>
      </c>
      <c r="L602" s="38" t="s">
        <v>15</v>
      </c>
      <c r="M602" s="38" t="s">
        <v>17</v>
      </c>
      <c r="N602" s="38" t="s">
        <v>16</v>
      </c>
    </row>
    <row r="603" spans="1:14" ht="30" customHeight="1" x14ac:dyDescent="0.35">
      <c r="A603" s="4" t="str">
        <f>Sheet1!A603 &amp; "/" &amp; "2025"</f>
        <v>2001/2025</v>
      </c>
      <c r="B603" s="5" t="str">
        <f>Sheet1!E603</f>
        <v>AU2065893404225</v>
      </c>
      <c r="C603" s="6" t="str">
        <f>UPPER(Sheet1!B603)</f>
        <v>MUHAMMAD ALI MOINUDDIN SYED</v>
      </c>
      <c r="D603" s="7" t="str">
        <f>IF(Sheet1!F603="F","FEMALE","MALE")</f>
        <v>MALE</v>
      </c>
      <c r="E603" s="6" t="str">
        <f>UPPER(Sheet1!G603)</f>
        <v>SYED MOINUDDIN</v>
      </c>
      <c r="F603" s="6" t="str">
        <f>UPPER(Sheet1!H603)</f>
        <v>SYEDA WAJEEDA AHMED</v>
      </c>
      <c r="G603" s="5" t="str">
        <f>TEXT(Sheet1!C603,"dd/mm/yyyy") &amp; "," &amp; Sheet1!D603</f>
        <v>16/07/2025,BALLARAT CENTRAL, AUSTRALIA</v>
      </c>
      <c r="H603" s="57" t="str">
        <f>UPPER(Sheet1!K603 &amp; "," &amp; Sheet1!L603 &amp; "," &amp; Sheet1!M603)</f>
        <v xml:space="preserve">H NO. 7-4-30/D/ROAD NO 4,219,DREAM INDIA,GAGANPAHAD RAJENDERNAGAR,RANGAREDDY,PIN:500052,TELANGANA,INDIA </v>
      </c>
      <c r="I603" s="8">
        <f>Sheet1!J603</f>
        <v>45996</v>
      </c>
      <c r="J603" s="5" t="str">
        <f>Sheet1!N603 &amp; "," &amp; TEXT(Sheet1!O603,"dd/mm/yy")</f>
        <v>202509083329,21/11/25</v>
      </c>
      <c r="K603" s="5" t="s">
        <v>14</v>
      </c>
      <c r="L603" s="38" t="s">
        <v>15</v>
      </c>
      <c r="M603" s="38" t="s">
        <v>17</v>
      </c>
      <c r="N603" s="38" t="s">
        <v>16</v>
      </c>
    </row>
    <row r="604" spans="1:14" x14ac:dyDescent="0.35">
      <c r="A604" s="4" t="str">
        <f>Sheet1!A604 &amp; "/" &amp; "2025"</f>
        <v>2002/2025</v>
      </c>
      <c r="B604" s="5" t="str">
        <f>Sheet1!E604</f>
        <v>AU2065893404825</v>
      </c>
      <c r="C604" s="6" t="str">
        <f>UPPER(Sheet1!B604)</f>
        <v>REHRAABJOT SINGH</v>
      </c>
      <c r="D604" s="7" t="str">
        <f>IF(Sheet1!F604="F","FEMALE","MALE")</f>
        <v>MALE</v>
      </c>
      <c r="E604" s="6" t="str">
        <f>UPPER(Sheet1!G604)</f>
        <v>HARJOT SINGH</v>
      </c>
      <c r="F604" s="6" t="str">
        <f>UPPER(Sheet1!H604)</f>
        <v>RAMANDEEP KAUR</v>
      </c>
      <c r="G604" s="5" t="str">
        <f>TEXT(Sheet1!C604,"dd/mm/yyyy") &amp; "," &amp; Sheet1!D604</f>
        <v xml:space="preserve">02/11/2024,WERIBEE, AUSTRALIA </v>
      </c>
      <c r="H604" s="57" t="str">
        <f>UPPER(Sheet1!K604 &amp; "," &amp; Sheet1!L604 &amp; "," &amp; Sheet1!M604)</f>
        <v xml:space="preserve">M.I.G - 481,URBAN ESTATE ,PHASE -1,PATIALA,PATIALA,PIN:147002,PUNJAB,INDIA </v>
      </c>
      <c r="I604" s="8">
        <f>Sheet1!J604</f>
        <v>45996</v>
      </c>
      <c r="J604" s="5" t="str">
        <f>Sheet1!N604 &amp; "," &amp; TEXT(Sheet1!O604,"dd/mm/yy")</f>
        <v>202509072082,11/10/25</v>
      </c>
      <c r="K604" s="5" t="s">
        <v>14</v>
      </c>
      <c r="L604" s="38" t="s">
        <v>15</v>
      </c>
      <c r="M604" s="38" t="s">
        <v>17</v>
      </c>
      <c r="N604" s="38" t="s">
        <v>16</v>
      </c>
    </row>
    <row r="605" spans="1:14" x14ac:dyDescent="0.35">
      <c r="A605" s="4" t="str">
        <f>Sheet1!A605 &amp; "/" &amp; "2025"</f>
        <v>2003/2025</v>
      </c>
      <c r="B605" s="5" t="str">
        <f>Sheet1!E605</f>
        <v>AU2065893405025</v>
      </c>
      <c r="C605" s="6" t="str">
        <f>UPPER(Sheet1!B605)</f>
        <v>AMBER SANDHU</v>
      </c>
      <c r="D605" s="7" t="str">
        <f>IF(Sheet1!F605="F","FEMALE","MALE")</f>
        <v>FEMALE</v>
      </c>
      <c r="E605" s="6" t="str">
        <f>UPPER(Sheet1!G605)</f>
        <v>MANPREET SINGH SANDHU</v>
      </c>
      <c r="F605" s="6" t="str">
        <f>UPPER(Sheet1!H605)</f>
        <v>INDERJEET KAUR</v>
      </c>
      <c r="G605" s="5" t="str">
        <f>TEXT(Sheet1!C605,"dd/mm/yyyy") &amp; "," &amp; Sheet1!D605</f>
        <v>14/10/2025,HOBART , AUSTRALIA</v>
      </c>
      <c r="H605" s="57" t="str">
        <f>UPPER(Sheet1!K605 &amp; "," &amp; Sheet1!L605 &amp; "," &amp; Sheet1!M605)</f>
        <v xml:space="preserve">HOUSE NO-230,NEAR OLD POWER HOUSE,WARD 10,SHIVPURI,PIN:473660,MADHYA PRADESH,INDIA </v>
      </c>
      <c r="I605" s="8">
        <f>Sheet1!J605</f>
        <v>45996</v>
      </c>
      <c r="J605" s="5" t="str">
        <f>Sheet1!N605 &amp; "," &amp; TEXT(Sheet1!O605,"dd/mm/yy")</f>
        <v>202509079710,08/11/25</v>
      </c>
      <c r="K605" s="5" t="s">
        <v>14</v>
      </c>
      <c r="L605" s="38" t="s">
        <v>15</v>
      </c>
      <c r="M605" s="38" t="s">
        <v>17</v>
      </c>
      <c r="N605" s="38" t="s">
        <v>16</v>
      </c>
    </row>
    <row r="606" spans="1:14" x14ac:dyDescent="0.35">
      <c r="A606" s="4" t="str">
        <f>Sheet1!A606 &amp; "/" &amp; "2025"</f>
        <v>2004/2025</v>
      </c>
      <c r="B606" s="5" t="str">
        <f>Sheet1!E606</f>
        <v>AU2065893405425</v>
      </c>
      <c r="C606" s="6" t="str">
        <f>UPPER(Sheet1!B606)</f>
        <v>ALIFA MADHIH</v>
      </c>
      <c r="D606" s="7" t="str">
        <f>IF(Sheet1!F606="F","FEMALE","MALE")</f>
        <v>FEMALE</v>
      </c>
      <c r="E606" s="6" t="str">
        <f>UPPER(Sheet1!G606)</f>
        <v>MOHAMED MADHIH ANVAR</v>
      </c>
      <c r="F606" s="6" t="str">
        <f>UPPER(Sheet1!H606)</f>
        <v>SHIFFANA NAZEEMA ARABI MOHAMED</v>
      </c>
      <c r="G606" s="5" t="str">
        <f>TEXT(Sheet1!C606,"dd/mm/yyyy") &amp; "," &amp; Sheet1!D606</f>
        <v xml:space="preserve">26/09/2025,CLAYTON , AUSTRALIA  </v>
      </c>
      <c r="H606" s="57" t="str">
        <f>UPPER(Sheet1!K606 &amp; "," &amp; Sheet1!L606 &amp; "," &amp; Sheet1!M606)</f>
        <v xml:space="preserve">6K-1C-1,PARRY COMPANY ROAD,NEW LAKSHMI NAGAR,METTUPALAYAM,COIMBATORE RURAL,PIN:641305,TAMIL NADU,INDIA </v>
      </c>
      <c r="I606" s="8">
        <f>Sheet1!J606</f>
        <v>45996</v>
      </c>
      <c r="J606" s="5" t="str">
        <f>Sheet1!N606 &amp; "," &amp; TEXT(Sheet1!O606,"dd/mm/yy")</f>
        <v>202509076479,27/10/25</v>
      </c>
      <c r="K606" s="5" t="s">
        <v>14</v>
      </c>
      <c r="L606" s="38" t="s">
        <v>15</v>
      </c>
      <c r="M606" s="38" t="s">
        <v>17</v>
      </c>
      <c r="N606" s="38" t="s">
        <v>16</v>
      </c>
    </row>
    <row r="607" spans="1:14" x14ac:dyDescent="0.35">
      <c r="A607" s="4" t="str">
        <f>Sheet1!A607 &amp; "/" &amp; "2025"</f>
        <v>2005/2025</v>
      </c>
      <c r="B607" s="5" t="str">
        <f>Sheet1!E607</f>
        <v>AU2065893405825</v>
      </c>
      <c r="C607" s="6" t="str">
        <f>UPPER(Sheet1!B607)</f>
        <v>DILSHER SINGH LAKHANPAL</v>
      </c>
      <c r="D607" s="7" t="str">
        <f>IF(Sheet1!F607="F","FEMALE","MALE")</f>
        <v>MALE</v>
      </c>
      <c r="E607" s="6" t="str">
        <f>UPPER(Sheet1!G607)</f>
        <v>MALKEET SINGH LAKHANPAL</v>
      </c>
      <c r="F607" s="6" t="str">
        <f>UPPER(Sheet1!H607)</f>
        <v>KIRANDEEP KAUR DHALIWAL</v>
      </c>
      <c r="G607" s="5" t="str">
        <f>TEXT(Sheet1!C607,"dd/mm/yyyy") &amp; "," &amp; Sheet1!D607</f>
        <v>02/09/2025,SHEPPARTON, AUSTRALIA</v>
      </c>
      <c r="H607" s="57" t="str">
        <f>UPPER(Sheet1!K607 &amp; "," &amp; Sheet1!L607 &amp; "," &amp; Sheet1!M607)</f>
        <v xml:space="preserve">MASITAN ROAD VPO,KOT ISE KHAN,MOGA,PIN:142043,PUNJAB,INDIA </v>
      </c>
      <c r="I607" s="8">
        <f>Sheet1!J607</f>
        <v>45996</v>
      </c>
      <c r="J607" s="5" t="str">
        <f>Sheet1!N607 &amp; "," &amp; TEXT(Sheet1!O607,"dd/mm/yy")</f>
        <v>202509079393,07/11/25</v>
      </c>
      <c r="K607" s="5" t="s">
        <v>14</v>
      </c>
      <c r="L607" s="38" t="s">
        <v>15</v>
      </c>
      <c r="M607" s="38" t="s">
        <v>17</v>
      </c>
      <c r="N607" s="38" t="s">
        <v>16</v>
      </c>
    </row>
    <row r="608" spans="1:14" x14ac:dyDescent="0.35">
      <c r="A608" s="4" t="str">
        <f>Sheet1!A608 &amp; "/" &amp; "2025"</f>
        <v>2006/2025</v>
      </c>
      <c r="B608" s="5" t="str">
        <f>Sheet1!E608</f>
        <v>AU2065893406225</v>
      </c>
      <c r="C608" s="6" t="str">
        <f>UPPER(Sheet1!B608)</f>
        <v>NADAR KAUR THIND</v>
      </c>
      <c r="D608" s="7" t="str">
        <f>IF(Sheet1!F608="F","FEMALE","MALE")</f>
        <v>FEMALE</v>
      </c>
      <c r="E608" s="6" t="str">
        <f>UPPER(Sheet1!G608)</f>
        <v>GAGANDEEP SINGH</v>
      </c>
      <c r="F608" s="6" t="str">
        <f>UPPER(Sheet1!H608)</f>
        <v>SANDEEP KAUR</v>
      </c>
      <c r="G608" s="5" t="str">
        <f>TEXT(Sheet1!C608,"dd/mm/yyyy") &amp; "," &amp; Sheet1!D608</f>
        <v xml:space="preserve">21/09/2025,ST ALBANS , AUSTRALIA </v>
      </c>
      <c r="H608" s="57" t="str">
        <f>UPPER(Sheet1!K608 &amp; "," &amp; Sheet1!L608 &amp; "," &amp; Sheet1!M608)</f>
        <v xml:space="preserve">GORSIAN PEERAN,P.O- KOT BADAL KHAN,TEH- PHILLAUR,JALANDHAR,PIN:144039,PUNJAB,INDIA </v>
      </c>
      <c r="I608" s="8">
        <f>Sheet1!J608</f>
        <v>45996</v>
      </c>
      <c r="J608" s="5" t="str">
        <f>Sheet1!N608 &amp; "," &amp; TEXT(Sheet1!O608,"dd/mm/yy")</f>
        <v>202509080527,11/11/25</v>
      </c>
      <c r="K608" s="5" t="s">
        <v>14</v>
      </c>
      <c r="L608" s="38" t="s">
        <v>15</v>
      </c>
      <c r="M608" s="38" t="s">
        <v>17</v>
      </c>
      <c r="N608" s="38" t="s">
        <v>16</v>
      </c>
    </row>
    <row r="609" spans="1:14" x14ac:dyDescent="0.35">
      <c r="A609" s="4" t="str">
        <f>Sheet1!A609 &amp; "/" &amp; "2025"</f>
        <v>2007/2025</v>
      </c>
      <c r="B609" s="5" t="str">
        <f>Sheet1!E609</f>
        <v>AU2065893406425</v>
      </c>
      <c r="C609" s="6" t="str">
        <f>UPPER(Sheet1!B609)</f>
        <v>ANAAD KAUR BHATHAL</v>
      </c>
      <c r="D609" s="7" t="str">
        <f>IF(Sheet1!F609="F","FEMALE","MALE")</f>
        <v>FEMALE</v>
      </c>
      <c r="E609" s="6" t="str">
        <f>UPPER(Sheet1!G609)</f>
        <v>PAWANJIT SINGH BHATHAL</v>
      </c>
      <c r="F609" s="6" t="str">
        <f>UPPER(Sheet1!H609)</f>
        <v>TARNJOT KAUR</v>
      </c>
      <c r="G609" s="5" t="str">
        <f>TEXT(Sheet1!C609,"dd/mm/yyyy") &amp; "," &amp; Sheet1!D609</f>
        <v>29/09/2025,DANDENONG, AUSTRALIA</v>
      </c>
      <c r="H609" s="57" t="str">
        <f>UPPER(Sheet1!K609 &amp; "," &amp; Sheet1!L609 &amp; "," &amp; Sheet1!M609)</f>
        <v xml:space="preserve">VPO,BHANOHAR,JAGRAON (LUDHIANA),PIN:141102,PUNJAB,INDIA </v>
      </c>
      <c r="I609" s="8">
        <f>Sheet1!J609</f>
        <v>45996</v>
      </c>
      <c r="J609" s="5" t="str">
        <f>Sheet1!N609 &amp; "," &amp; TEXT(Sheet1!O609,"dd/mm/yy")</f>
        <v>202509078180,03/11/25</v>
      </c>
      <c r="K609" s="5" t="s">
        <v>14</v>
      </c>
      <c r="L609" s="38" t="s">
        <v>15</v>
      </c>
      <c r="M609" s="38" t="s">
        <v>17</v>
      </c>
      <c r="N609" s="38" t="s">
        <v>16</v>
      </c>
    </row>
    <row r="610" spans="1:14" x14ac:dyDescent="0.35">
      <c r="A610" s="4" t="str">
        <f>Sheet1!A610 &amp; "/" &amp; "2025"</f>
        <v>2008/2025</v>
      </c>
      <c r="B610" s="5" t="str">
        <f>Sheet1!E610</f>
        <v>AU2065893406825</v>
      </c>
      <c r="C610" s="6" t="str">
        <f>UPPER(Sheet1!B610)</f>
        <v>SHRINIKA DANDAMUDI</v>
      </c>
      <c r="D610" s="7" t="str">
        <f>IF(Sheet1!F610="F","FEMALE","MALE")</f>
        <v>FEMALE</v>
      </c>
      <c r="E610" s="6" t="str">
        <f>UPPER(Sheet1!G610)</f>
        <v>TEJA DANDAMUDI</v>
      </c>
      <c r="F610" s="6" t="str">
        <f>UPPER(Sheet1!H610)</f>
        <v>SRUTHI PENUMADULA</v>
      </c>
      <c r="G610" s="5" t="str">
        <f>TEXT(Sheet1!C610,"dd/mm/yyyy") &amp; "," &amp; Sheet1!D610</f>
        <v xml:space="preserve">31/07/2025,BERWICK , AUSTRALIA  </v>
      </c>
      <c r="H610" s="57" t="str">
        <f>UPPER(Sheet1!K610 &amp; "," &amp; Sheet1!L610 &amp; "," &amp; Sheet1!M610)</f>
        <v xml:space="preserve">F.NO. 301,CHALASANI TOWERS,ELECTRICITY COLONY,VATLURU,ELURU,PIN:534007,ANDHRA PRADESH,INDIA </v>
      </c>
      <c r="I610" s="8">
        <f>Sheet1!J610</f>
        <v>45996</v>
      </c>
      <c r="J610" s="5" t="str">
        <f>Sheet1!N610 &amp; "," &amp; TEXT(Sheet1!O610,"dd/mm/yy")</f>
        <v>202509078704,04/11/25</v>
      </c>
      <c r="K610" s="5" t="s">
        <v>14</v>
      </c>
      <c r="L610" s="38" t="s">
        <v>15</v>
      </c>
      <c r="M610" s="38" t="s">
        <v>17</v>
      </c>
      <c r="N610" s="38" t="s">
        <v>16</v>
      </c>
    </row>
    <row r="611" spans="1:14" x14ac:dyDescent="0.35">
      <c r="A611" s="4" t="str">
        <f>Sheet1!A611 &amp; "/" &amp; "2025"</f>
        <v>2009/2025</v>
      </c>
      <c r="B611" s="5" t="str">
        <f>Sheet1!E611</f>
        <v>AU2065893373225</v>
      </c>
      <c r="C611" s="6" t="str">
        <f>UPPER(Sheet1!B611)</f>
        <v>PARWAAZ SINGH BAJWA</v>
      </c>
      <c r="D611" s="7" t="str">
        <f>IF(Sheet1!F611="F","FEMALE","MALE")</f>
        <v>MALE</v>
      </c>
      <c r="E611" s="6" t="str">
        <f>UPPER(Sheet1!G611)</f>
        <v>AMRITPAL SINGH</v>
      </c>
      <c r="F611" s="6" t="str">
        <f>UPPER(Sheet1!H611)</f>
        <v>SHARANJIT KAUR</v>
      </c>
      <c r="G611" s="5" t="str">
        <f>TEXT(Sheet1!C611,"dd/mm/yyyy") &amp; "," &amp; Sheet1!D611</f>
        <v xml:space="preserve">10/06/2025,LAUNCESTON, AUSTRALIA </v>
      </c>
      <c r="H611" s="57" t="str">
        <f>UPPER(Sheet1!K611 &amp; "," &amp; Sheet1!L611 &amp; "," &amp; Sheet1!M611)</f>
        <v xml:space="preserve">VILL BAHADUR HUSSAIN KALAN,PO MASSANIAN TEH BATALA,GURDASPUR,PIN:143505,PUNJAB,INDIA </v>
      </c>
      <c r="I611" s="8">
        <f>Sheet1!J611</f>
        <v>45996</v>
      </c>
      <c r="J611" s="5" t="str">
        <f>Sheet1!N611 &amp; "," &amp; TEXT(Sheet1!O611,"dd/mm/yy")</f>
        <v>202509076448,27/10/25</v>
      </c>
      <c r="K611" s="5" t="s">
        <v>14</v>
      </c>
      <c r="L611" s="38" t="s">
        <v>15</v>
      </c>
      <c r="M611" s="38" t="s">
        <v>17</v>
      </c>
      <c r="N611" s="38" t="s">
        <v>16</v>
      </c>
    </row>
    <row r="612" spans="1:14" x14ac:dyDescent="0.35">
      <c r="A612" s="4" t="str">
        <f>Sheet1!A612 &amp; "/" &amp; "2025"</f>
        <v>2010/2025</v>
      </c>
      <c r="B612" s="5" t="str">
        <f>Sheet1!E612</f>
        <v>AU2065893373825</v>
      </c>
      <c r="C612" s="6" t="str">
        <f>UPPER(Sheet1!B612)</f>
        <v>NIRA PATEL</v>
      </c>
      <c r="D612" s="7" t="str">
        <f>IF(Sheet1!F612="F","FEMALE","MALE")</f>
        <v>FEMALE</v>
      </c>
      <c r="E612" s="6" t="str">
        <f>UPPER(Sheet1!G612)</f>
        <v>RAVINDRAKUMAR PATEL</v>
      </c>
      <c r="F612" s="6" t="str">
        <f>UPPER(Sheet1!H612)</f>
        <v>CHETANABAHEN RAVINDRAKUMAR PATEL</v>
      </c>
      <c r="G612" s="5" t="str">
        <f>TEXT(Sheet1!C612,"dd/mm/yyyy") &amp; "," &amp; Sheet1!D612</f>
        <v xml:space="preserve">14/05/2025,CLAYTON , AUSTRALIA  </v>
      </c>
      <c r="H612" s="57" t="str">
        <f>UPPER(Sheet1!K612 &amp; "," &amp; Sheet1!L612 &amp; "," &amp; Sheet1!M612)</f>
        <v xml:space="preserve">24-B,SRIRAMPARK SOCIETY,VIJAPUR,MEHSANA,PIN:382870,GUJARAT,INDIA </v>
      </c>
      <c r="I612" s="8">
        <f>Sheet1!J612</f>
        <v>45996</v>
      </c>
      <c r="J612" s="5" t="str">
        <f>Sheet1!N612 &amp; "," &amp; TEXT(Sheet1!O612,"dd/mm/yy")</f>
        <v>202509083845,23/11/25</v>
      </c>
      <c r="K612" s="5" t="s">
        <v>14</v>
      </c>
      <c r="L612" s="38" t="s">
        <v>15</v>
      </c>
      <c r="M612" s="38" t="s">
        <v>17</v>
      </c>
      <c r="N612" s="38" t="s">
        <v>16</v>
      </c>
    </row>
    <row r="613" spans="1:14" x14ac:dyDescent="0.35">
      <c r="A613" s="4" t="str">
        <f>Sheet1!A613 &amp; "/" &amp; "2025"</f>
        <v>2011/2025</v>
      </c>
      <c r="B613" s="5" t="str">
        <f>Sheet1!E613</f>
        <v>AU2065893374825</v>
      </c>
      <c r="C613" s="6" t="str">
        <f>UPPER(Sheet1!B613)</f>
        <v>USTAT KAUR</v>
      </c>
      <c r="D613" s="7" t="str">
        <f>IF(Sheet1!F613="F","FEMALE","MALE")</f>
        <v>FEMALE</v>
      </c>
      <c r="E613" s="6" t="str">
        <f>UPPER(Sheet1!G613)</f>
        <v>HARPAL SINGH</v>
      </c>
      <c r="F613" s="6" t="str">
        <f>UPPER(Sheet1!H613)</f>
        <v>SUKHNEET KAUR</v>
      </c>
      <c r="G613" s="5" t="str">
        <f>TEXT(Sheet1!C613,"dd/mm/yyyy") &amp; "," &amp; Sheet1!D613</f>
        <v xml:space="preserve">22/10/2025,ST ALBANS , AUSTRALIA </v>
      </c>
      <c r="H613" s="57" t="str">
        <f>UPPER(Sheet1!K613 &amp; "," &amp; Sheet1!L613 &amp; "," &amp; Sheet1!M613)</f>
        <v xml:space="preserve">VPO RAJDHAN,TEH BABA BAKALA,AMRITSAR,PIN:143001,PUNJAB,INDIA </v>
      </c>
      <c r="I613" s="8">
        <f>Sheet1!J613</f>
        <v>45996</v>
      </c>
      <c r="J613" s="5" t="str">
        <f>Sheet1!N613 &amp; "," &amp; TEXT(Sheet1!O613,"dd/mm/yy")</f>
        <v>202509082292,18/11/25</v>
      </c>
      <c r="K613" s="5" t="s">
        <v>14</v>
      </c>
      <c r="L613" s="38" t="s">
        <v>15</v>
      </c>
      <c r="M613" s="38" t="s">
        <v>17</v>
      </c>
      <c r="N613" s="38" t="s">
        <v>16</v>
      </c>
    </row>
    <row r="614" spans="1:14" x14ac:dyDescent="0.35">
      <c r="A614" s="4" t="str">
        <f>Sheet1!A614 &amp; "/" &amp; "2025"</f>
        <v>2012/2025</v>
      </c>
      <c r="B614" s="5" t="str">
        <f>Sheet1!E614</f>
        <v>AU2065893375825</v>
      </c>
      <c r="C614" s="6" t="str">
        <f>UPPER(Sheet1!B614)</f>
        <v>ALISHA PATEL</v>
      </c>
      <c r="D614" s="7" t="str">
        <f>IF(Sheet1!F614="F","FEMALE","MALE")</f>
        <v>FEMALE</v>
      </c>
      <c r="E614" s="6" t="str">
        <f>UPPER(Sheet1!G614)</f>
        <v>ROMIN JAYESHBHAI PATEL</v>
      </c>
      <c r="F614" s="6" t="str">
        <f>UPPER(Sheet1!H614)</f>
        <v>DHARTI ROMIN PATEL</v>
      </c>
      <c r="G614" s="5" t="str">
        <f>TEXT(Sheet1!C614,"dd/mm/yyyy") &amp; "," &amp; Sheet1!D614</f>
        <v xml:space="preserve">10/10/2025,HEIDELBERG , AUSTRALIA </v>
      </c>
      <c r="H614" s="57" t="str">
        <f>UPPER(Sheet1!K614 &amp; "," &amp; Sheet1!L614 &amp; "," &amp; Sheet1!M614)</f>
        <v xml:space="preserve">686 LILO DARWAJO,BHAYLI,VADODARA,PIN:391410,GUJARAT,INDIA </v>
      </c>
      <c r="I614" s="8">
        <f>Sheet1!J614</f>
        <v>45996</v>
      </c>
      <c r="J614" s="5" t="str">
        <f>Sheet1!N614 &amp; "," &amp; TEXT(Sheet1!O614,"dd/mm/yy")</f>
        <v>202509079439,07/11/25</v>
      </c>
      <c r="K614" s="5" t="s">
        <v>14</v>
      </c>
      <c r="L614" s="38" t="s">
        <v>15</v>
      </c>
      <c r="M614" s="38" t="s">
        <v>17</v>
      </c>
      <c r="N614" s="38" t="s">
        <v>16</v>
      </c>
    </row>
    <row r="615" spans="1:14" x14ac:dyDescent="0.35">
      <c r="A615" s="4" t="str">
        <f>Sheet1!A615 &amp; "/" &amp; "2025"</f>
        <v>2013/2025</v>
      </c>
      <c r="B615" s="5" t="str">
        <f>Sheet1!E615</f>
        <v>AU2065893380425</v>
      </c>
      <c r="C615" s="6" t="str">
        <f>UPPER(Sheet1!B615)</f>
        <v>HUKAM SINGH</v>
      </c>
      <c r="D615" s="7" t="str">
        <f>IF(Sheet1!F615="F","FEMALE","MALE")</f>
        <v>MALE</v>
      </c>
      <c r="E615" s="6" t="str">
        <f>UPPER(Sheet1!G615)</f>
        <v>HARPAL SINGH</v>
      </c>
      <c r="F615" s="6" t="str">
        <f>UPPER(Sheet1!H615)</f>
        <v>SUKHNEET KAUR</v>
      </c>
      <c r="G615" s="5" t="str">
        <f>TEXT(Sheet1!C615,"dd/mm/yyyy") &amp; "," &amp; Sheet1!D615</f>
        <v xml:space="preserve">22/10/2025,ST ALBANS , AUSTRALIA </v>
      </c>
      <c r="H615" s="57" t="str">
        <f>UPPER(Sheet1!K615 &amp; "," &amp; Sheet1!L615 &amp; "," &amp; Sheet1!M615)</f>
        <v xml:space="preserve">VPO RAJDHAN,TEH BABA BAKALA,AMRITSAR,PIN:143001,PUNJAB,INDIA </v>
      </c>
      <c r="I615" s="8">
        <f>Sheet1!J615</f>
        <v>45996</v>
      </c>
      <c r="J615" s="5" t="str">
        <f>Sheet1!N615 &amp; "," &amp; TEXT(Sheet1!O615,"dd/mm/yy")</f>
        <v>202509082289,18/11/25</v>
      </c>
      <c r="K615" s="5" t="s">
        <v>14</v>
      </c>
      <c r="L615" s="38" t="s">
        <v>15</v>
      </c>
      <c r="M615" s="38" t="s">
        <v>17</v>
      </c>
      <c r="N615" s="38" t="s">
        <v>16</v>
      </c>
    </row>
    <row r="616" spans="1:14" x14ac:dyDescent="0.35">
      <c r="A616" s="4" t="str">
        <f>Sheet1!A616 &amp; "/" &amp; "2025"</f>
        <v>2014/2025</v>
      </c>
      <c r="B616" s="5" t="str">
        <f>Sheet1!E616</f>
        <v>AU2065893381025</v>
      </c>
      <c r="C616" s="6" t="str">
        <f>UPPER(Sheet1!B616)</f>
        <v>INAYAT KAUR SANDHU</v>
      </c>
      <c r="D616" s="7" t="str">
        <f>IF(Sheet1!F616="F","FEMALE","MALE")</f>
        <v>FEMALE</v>
      </c>
      <c r="E616" s="6" t="str">
        <f>UPPER(Sheet1!G616)</f>
        <v>JATINDER SINGH SANDHU</v>
      </c>
      <c r="F616" s="6" t="str">
        <f>UPPER(Sheet1!H616)</f>
        <v>RATTANDEEP KAUR SANDHU</v>
      </c>
      <c r="G616" s="5" t="str">
        <f>TEXT(Sheet1!C616,"dd/mm/yyyy") &amp; "," &amp; Sheet1!D616</f>
        <v xml:space="preserve">31/07/2025,WONTHAGGI, AUSTRALIA </v>
      </c>
      <c r="H616" s="57" t="str">
        <f>UPPER(Sheet1!K616 &amp; "," &amp; Sheet1!L616 &amp; "," &amp; Sheet1!M616)</f>
        <v xml:space="preserve">H.NO. 1446/3,RAJPURA ROAD,CHHOTI HAIBOWAL,LUDHIANA,PIN:141003,PUNJAB,INDIA </v>
      </c>
      <c r="I616" s="8">
        <f>Sheet1!J616</f>
        <v>45996</v>
      </c>
      <c r="J616" s="5" t="str">
        <f>Sheet1!N616 &amp; "," &amp; TEXT(Sheet1!O616,"dd/mm/yy")</f>
        <v>202509082864,19/11/25</v>
      </c>
      <c r="K616" s="5" t="s">
        <v>14</v>
      </c>
      <c r="L616" s="38" t="s">
        <v>15</v>
      </c>
      <c r="M616" s="38" t="s">
        <v>17</v>
      </c>
      <c r="N616" s="38" t="s">
        <v>16</v>
      </c>
    </row>
    <row r="617" spans="1:14" x14ac:dyDescent="0.35">
      <c r="A617" s="4" t="str">
        <f>Sheet1!A617 &amp; "/" &amp; "2025"</f>
        <v>2015/2025</v>
      </c>
      <c r="B617" s="5" t="str">
        <f>Sheet1!E617</f>
        <v>AU2065893382625</v>
      </c>
      <c r="C617" s="6" t="str">
        <f>UPPER(Sheet1!B617)</f>
        <v>VARDAAN PANDEY</v>
      </c>
      <c r="D617" s="7" t="str">
        <f>IF(Sheet1!F617="F","FEMALE","MALE")</f>
        <v>MALE</v>
      </c>
      <c r="E617" s="6" t="str">
        <f>UPPER(Sheet1!G617)</f>
        <v>VISHNU PANDEY</v>
      </c>
      <c r="F617" s="6" t="str">
        <f>UPPER(Sheet1!H617)</f>
        <v>PRIYANKA NAGPAL</v>
      </c>
      <c r="G617" s="5" t="str">
        <f>TEXT(Sheet1!C617,"dd/mm/yyyy") &amp; "," &amp; Sheet1!D617</f>
        <v xml:space="preserve">02/10/2025,PARKVILLE , AUSTRALIA  </v>
      </c>
      <c r="H617" s="57" t="str">
        <f>UPPER(Sheet1!K617 &amp; "," &amp; Sheet1!L617 &amp; "," &amp; Sheet1!M617)</f>
        <v xml:space="preserve">776,ALKAPURI,ETAWAH,ETAWAH,PIN:206001,UTTAR PRADESH,INDIA </v>
      </c>
      <c r="I617" s="8">
        <f>Sheet1!J617</f>
        <v>45996</v>
      </c>
      <c r="J617" s="5" t="str">
        <f>Sheet1!N617 &amp; "," &amp; TEXT(Sheet1!O617,"dd/mm/yy")</f>
        <v>202509081191,13/11/25</v>
      </c>
      <c r="K617" s="5" t="s">
        <v>14</v>
      </c>
      <c r="L617" s="38" t="s">
        <v>15</v>
      </c>
      <c r="M617" s="38" t="s">
        <v>17</v>
      </c>
      <c r="N617" s="38" t="s">
        <v>16</v>
      </c>
    </row>
    <row r="618" spans="1:14" x14ac:dyDescent="0.35">
      <c r="A618" s="4" t="str">
        <f>Sheet1!A618 &amp; "/" &amp; "2025"</f>
        <v>2016/2025</v>
      </c>
      <c r="B618" s="5" t="str">
        <f>Sheet1!E618</f>
        <v>AU2065893382825</v>
      </c>
      <c r="C618" s="6" t="str">
        <f>UPPER(Sheet1!B618)</f>
        <v>ZORA BHULLAR</v>
      </c>
      <c r="D618" s="7" t="str">
        <f>IF(Sheet1!F618="F","FEMALE","MALE")</f>
        <v>MALE</v>
      </c>
      <c r="E618" s="6" t="str">
        <f>UPPER(Sheet1!G618)</f>
        <v>AKASHPREET SINGH</v>
      </c>
      <c r="F618" s="6" t="str">
        <f>UPPER(Sheet1!H618)</f>
        <v>ANMOLPREET KAUR</v>
      </c>
      <c r="G618" s="5" t="str">
        <f>TEXT(Sheet1!C618,"dd/mm/yyyy") &amp; "," &amp; Sheet1!D618</f>
        <v xml:space="preserve">01/04/2025,ST ALBANS , AUSTRALIA </v>
      </c>
      <c r="H618" s="57" t="str">
        <f>UPPER(Sheet1!K618 &amp; "," &amp; Sheet1!L618 &amp; "," &amp; Sheet1!M618)</f>
        <v xml:space="preserve">01 NEAR GURUDWARA,VILL NAWAN PIND,PO BAL BAWA TEH AJNALA,AMRITSAR,PIN:143001,PUNJAB,INDIA </v>
      </c>
      <c r="I618" s="8">
        <f>Sheet1!J618</f>
        <v>45996</v>
      </c>
      <c r="J618" s="5" t="str">
        <f>Sheet1!N618 &amp; "," &amp; TEXT(Sheet1!O618,"dd/mm/yy")</f>
        <v>202509083426,21/11/25</v>
      </c>
      <c r="K618" s="5" t="s">
        <v>14</v>
      </c>
      <c r="L618" s="38" t="s">
        <v>15</v>
      </c>
      <c r="M618" s="38" t="s">
        <v>17</v>
      </c>
      <c r="N618" s="38" t="s">
        <v>16</v>
      </c>
    </row>
    <row r="619" spans="1:14" x14ac:dyDescent="0.35">
      <c r="A619" s="4" t="str">
        <f>Sheet1!A619 &amp; "/" &amp; "2025"</f>
        <v>2017/2025</v>
      </c>
      <c r="B619" s="5" t="str">
        <f>Sheet1!E619</f>
        <v>AU2065893383425</v>
      </c>
      <c r="C619" s="6" t="str">
        <f>UPPER(Sheet1!B619)</f>
        <v>JORAWAR SINGH VIRK</v>
      </c>
      <c r="D619" s="7" t="str">
        <f>IF(Sheet1!F619="F","FEMALE","MALE")</f>
        <v>MALE</v>
      </c>
      <c r="E619" s="6" t="str">
        <f>UPPER(Sheet1!G619)</f>
        <v>HARSHDEEP VIRK</v>
      </c>
      <c r="F619" s="6" t="str">
        <f>UPPER(Sheet1!H619)</f>
        <v>MANDEEP KAUR VIRK</v>
      </c>
      <c r="G619" s="5" t="str">
        <f>TEXT(Sheet1!C619,"dd/mm/yyyy") &amp; "," &amp; Sheet1!D619</f>
        <v xml:space="preserve">24/09/2025,BERWICK , AUSTRALIA  </v>
      </c>
      <c r="H619" s="57" t="str">
        <f>UPPER(Sheet1!K619 &amp; "," &amp; Sheet1!L619 &amp; "," &amp; Sheet1!M619)</f>
        <v xml:space="preserve">VPO MASTGARH,TEH DISTT,KAITHAL,PIN:136027,HARYANA,INDIA </v>
      </c>
      <c r="I619" s="8">
        <f>Sheet1!J619</f>
        <v>45996</v>
      </c>
      <c r="J619" s="5" t="str">
        <f>Sheet1!N619 &amp; "," &amp; TEXT(Sheet1!O619,"dd/mm/yy")</f>
        <v>202509083409,21/11/25</v>
      </c>
      <c r="K619" s="5" t="s">
        <v>14</v>
      </c>
      <c r="L619" s="38" t="s">
        <v>15</v>
      </c>
      <c r="M619" s="38" t="s">
        <v>17</v>
      </c>
      <c r="N619" s="38" t="s">
        <v>16</v>
      </c>
    </row>
    <row r="620" spans="1:14" x14ac:dyDescent="0.35">
      <c r="A620" s="4" t="str">
        <f>Sheet1!A620 &amp; "/" &amp; "2025"</f>
        <v>2018/2025</v>
      </c>
      <c r="B620" s="5" t="str">
        <f>Sheet1!E620</f>
        <v>AU2065893385425</v>
      </c>
      <c r="C620" s="6" t="str">
        <f>UPPER(Sheet1!B620)</f>
        <v>ANAAD SINGH RANDHAWA</v>
      </c>
      <c r="D620" s="7" t="str">
        <f>IF(Sheet1!F620="F","FEMALE","MALE")</f>
        <v>MALE</v>
      </c>
      <c r="E620" s="6" t="str">
        <f>UPPER(Sheet1!G620)</f>
        <v>DAVINDER SINGH</v>
      </c>
      <c r="F620" s="6" t="str">
        <f>UPPER(Sheet1!H620)</f>
        <v>SANDEEP KAUR</v>
      </c>
      <c r="G620" s="5" t="str">
        <f>TEXT(Sheet1!C620,"dd/mm/yyyy") &amp; "," &amp; Sheet1!D620</f>
        <v xml:space="preserve">09/09/2025,ST ALBANS , AUSTRALIA </v>
      </c>
      <c r="H620" s="57" t="str">
        <f>UPPER(Sheet1!K620 &amp; "," &amp; Sheet1!L620 &amp; "," &amp; Sheet1!M620)</f>
        <v xml:space="preserve">H NO 12 VILL BARAHI PO MADHO TANDA,TEH PURANPUR,PILIBHIT,PIN:262122,UTTAR PRADESH,INDIA </v>
      </c>
      <c r="I620" s="8">
        <f>Sheet1!J620</f>
        <v>45996</v>
      </c>
      <c r="J620" s="5" t="str">
        <f>Sheet1!N620 &amp; "," &amp; TEXT(Sheet1!O620,"dd/mm/yy")</f>
        <v>202509082072,17/11/25</v>
      </c>
      <c r="K620" s="5" t="s">
        <v>14</v>
      </c>
      <c r="L620" s="38" t="s">
        <v>15</v>
      </c>
      <c r="M620" s="38" t="s">
        <v>17</v>
      </c>
      <c r="N620" s="38" t="s">
        <v>16</v>
      </c>
    </row>
    <row r="621" spans="1:14" x14ac:dyDescent="0.35">
      <c r="A621" s="4" t="str">
        <f>Sheet1!A621 &amp; "/" &amp; "2025"</f>
        <v>2019/2025</v>
      </c>
      <c r="B621" s="5" t="str">
        <f>Sheet1!E621</f>
        <v>AU2065893386625</v>
      </c>
      <c r="C621" s="6" t="str">
        <f>UPPER(Sheet1!B621)</f>
        <v>VAMIKA MISHRA</v>
      </c>
      <c r="D621" s="7" t="str">
        <f>IF(Sheet1!F621="F","FEMALE","MALE")</f>
        <v>FEMALE</v>
      </c>
      <c r="E621" s="6" t="str">
        <f>UPPER(Sheet1!G621)</f>
        <v>SAMEER KUMAR MISHRA</v>
      </c>
      <c r="F621" s="6" t="str">
        <f>UPPER(Sheet1!H621)</f>
        <v>BHAGYA SHRI MISHRA</v>
      </c>
      <c r="G621" s="5" t="str">
        <f>TEXT(Sheet1!C621,"dd/mm/yyyy") &amp; "," &amp; Sheet1!D621</f>
        <v xml:space="preserve">23/10/2025,PARKVILLE , AUSTRALIA  </v>
      </c>
      <c r="H621" s="57" t="str">
        <f>UPPER(Sheet1!K621 &amp; "," &amp; Sheet1!L621 &amp; "," &amp; Sheet1!M621)</f>
        <v xml:space="preserve">C WING 202 ROYAL RAHADAKI APARTMENT,RAHATANI,PIMPRI CHINCHWAD,PIN:411017,MAHARASHTRA,INDIA </v>
      </c>
      <c r="I621" s="8">
        <f>Sheet1!J621</f>
        <v>45996</v>
      </c>
      <c r="J621" s="5" t="str">
        <f>Sheet1!N621 &amp; "," &amp; TEXT(Sheet1!O621,"dd/mm/yy")</f>
        <v>202509083711,22/11/25</v>
      </c>
      <c r="K621" s="5" t="s">
        <v>14</v>
      </c>
      <c r="L621" s="38" t="s">
        <v>15</v>
      </c>
      <c r="M621" s="38" t="s">
        <v>17</v>
      </c>
      <c r="N621" s="38" t="s">
        <v>16</v>
      </c>
    </row>
    <row r="622" spans="1:14" x14ac:dyDescent="0.35">
      <c r="A622" s="4" t="str">
        <f>Sheet1!A622 &amp; "/" &amp; "2025"</f>
        <v>2020/2025</v>
      </c>
      <c r="B622" s="5" t="str">
        <f>Sheet1!E622</f>
        <v>AU2065896236225</v>
      </c>
      <c r="C622" s="6" t="str">
        <f>UPPER(Sheet1!B622)</f>
        <v>JAIKAAR SINGH</v>
      </c>
      <c r="D622" s="7" t="str">
        <f>IF(Sheet1!F622="F","FEMALE","MALE")</f>
        <v>MALE</v>
      </c>
      <c r="E622" s="6" t="str">
        <f>UPPER(Sheet1!G622)</f>
        <v>MANPREET SINGH</v>
      </c>
      <c r="F622" s="6" t="str">
        <f>UPPER(Sheet1!H622)</f>
        <v>PREETINDER KAUR GHOTRA</v>
      </c>
      <c r="G622" s="5" t="str">
        <f>TEXT(Sheet1!C622,"dd/mm/yyyy") &amp; "," &amp; Sheet1!D622</f>
        <v xml:space="preserve">10/09/2025,ST ALBANS , AUSTRALIA </v>
      </c>
      <c r="H622" s="57" t="str">
        <f>UPPER(Sheet1!K622 &amp; "," &amp; Sheet1!L622 &amp; "," &amp; Sheet1!M622)</f>
        <v xml:space="preserve">17/303 P.A.P LINES,BEANT NAGAR,JALANDHAR,JALANDHAR,PIN:144006,PUNJAB,INDIA </v>
      </c>
      <c r="I622" s="8">
        <f>Sheet1!J622</f>
        <v>45999</v>
      </c>
      <c r="J622" s="5" t="str">
        <f>Sheet1!N622 &amp; "," &amp; TEXT(Sheet1!O622,"dd/mm/yy")</f>
        <v>202509084300,25/11/25</v>
      </c>
      <c r="K622" s="5" t="s">
        <v>14</v>
      </c>
      <c r="L622" s="38" t="s">
        <v>15</v>
      </c>
      <c r="M622" s="38" t="s">
        <v>17</v>
      </c>
      <c r="N622" s="38" t="s">
        <v>16</v>
      </c>
    </row>
    <row r="623" spans="1:14" x14ac:dyDescent="0.35">
      <c r="A623" s="4" t="str">
        <f>Sheet1!A623 &amp; "/" &amp; "2025"</f>
        <v>2021/2025</v>
      </c>
      <c r="B623" s="5" t="str">
        <f>Sheet1!E623</f>
        <v>AU2065896236825</v>
      </c>
      <c r="C623" s="6" t="str">
        <f>UPPER(Sheet1!B623)</f>
        <v>HIMMAT SINGH AULAKH</v>
      </c>
      <c r="D623" s="7" t="str">
        <f>IF(Sheet1!F623="F","FEMALE","MALE")</f>
        <v>MALE</v>
      </c>
      <c r="E623" s="6" t="str">
        <f>UPPER(Sheet1!G623)</f>
        <v>GURWINDER SINGH</v>
      </c>
      <c r="F623" s="6" t="str">
        <f>UPPER(Sheet1!H623)</f>
        <v>GURSIMRAN KAUR</v>
      </c>
      <c r="G623" s="5" t="str">
        <f>TEXT(Sheet1!C623,"dd/mm/yyyy") &amp; "," &amp; Sheet1!D623</f>
        <v xml:space="preserve">12/10/2025,ELIZABETH VALE, AUSTRALIA </v>
      </c>
      <c r="H623" s="57" t="str">
        <f>UPPER(Sheet1!K623 &amp; "," &amp; Sheet1!L623 &amp; "," &amp; Sheet1!M623)</f>
        <v xml:space="preserve">VILL. CHAWINDA KALAN,TEH. AJNALA,AMRITSAR,PIN:143110,PUNJAB,INDIA </v>
      </c>
      <c r="I623" s="8">
        <f>Sheet1!J623</f>
        <v>45999</v>
      </c>
      <c r="J623" s="5" t="str">
        <f>Sheet1!N623 &amp; "," &amp; TEXT(Sheet1!O623,"dd/mm/yy")</f>
        <v>202509084026,24/11/25</v>
      </c>
      <c r="K623" s="5" t="s">
        <v>14</v>
      </c>
      <c r="L623" s="38" t="s">
        <v>15</v>
      </c>
      <c r="M623" s="38" t="s">
        <v>17</v>
      </c>
      <c r="N623" s="38" t="s">
        <v>16</v>
      </c>
    </row>
    <row r="624" spans="1:14" x14ac:dyDescent="0.35">
      <c r="A624" s="4" t="str">
        <f>Sheet1!A624 &amp; "/" &amp; "2025"</f>
        <v>2022/2025</v>
      </c>
      <c r="B624" s="5" t="str">
        <f>Sheet1!E624</f>
        <v>AU2065896241825</v>
      </c>
      <c r="C624" s="6" t="str">
        <f>UPPER(Sheet1!B624)</f>
        <v>VAYU DEV REDDY KATIPALLY</v>
      </c>
      <c r="D624" s="7" t="str">
        <f>IF(Sheet1!F624="F","FEMALE","MALE")</f>
        <v>MALE</v>
      </c>
      <c r="E624" s="6" t="str">
        <f>UPPER(Sheet1!G624)</f>
        <v>PRASHANTH KATIPALLY</v>
      </c>
      <c r="F624" s="6" t="str">
        <f>UPPER(Sheet1!H624)</f>
        <v>POOJITHA PANNALA</v>
      </c>
      <c r="G624" s="5" t="str">
        <f>TEXT(Sheet1!C624,"dd/mm/yyyy") &amp; "," &amp; Sheet1!D624</f>
        <v xml:space="preserve">18/09/2025,PARKVILLE , AUSTRALIA  </v>
      </c>
      <c r="H624" s="57" t="str">
        <f>UPPER(Sheet1!K624 &amp; "," &amp; Sheet1!L624 &amp; "," &amp; Sheet1!M624)</f>
        <v xml:space="preserve">6-137,THORLIKONDA,NIZAMABAD,PIN:503224,TELANGANA,INDIA </v>
      </c>
      <c r="I624" s="8">
        <f>Sheet1!J624</f>
        <v>45999</v>
      </c>
      <c r="J624" s="5" t="str">
        <f>Sheet1!N624 &amp; "," &amp; TEXT(Sheet1!O624,"dd/mm/yy")</f>
        <v>202509084589,26/11/25</v>
      </c>
      <c r="K624" s="5" t="s">
        <v>14</v>
      </c>
      <c r="L624" s="38" t="s">
        <v>15</v>
      </c>
      <c r="M624" s="38" t="s">
        <v>17</v>
      </c>
      <c r="N624" s="38" t="s">
        <v>16</v>
      </c>
    </row>
    <row r="625" spans="1:14" x14ac:dyDescent="0.35">
      <c r="A625" s="4" t="str">
        <f>Sheet1!A625 &amp; "/" &amp; "2025"</f>
        <v>2023/2025</v>
      </c>
      <c r="B625" s="5" t="str">
        <f>Sheet1!E625</f>
        <v>AU2065896242625</v>
      </c>
      <c r="C625" s="6" t="str">
        <f>UPPER(Sheet1!B625)</f>
        <v>HARNOOR KAUR SOMAL</v>
      </c>
      <c r="D625" s="7" t="str">
        <f>IF(Sheet1!F625="F","FEMALE","MALE")</f>
        <v>FEMALE</v>
      </c>
      <c r="E625" s="6" t="str">
        <f>UPPER(Sheet1!G625)</f>
        <v>MANPREET SINGH SOMAL</v>
      </c>
      <c r="F625" s="6" t="str">
        <f>UPPER(Sheet1!H625)</f>
        <v>PREETI</v>
      </c>
      <c r="G625" s="5" t="str">
        <f>TEXT(Sheet1!C625,"dd/mm/yyyy") &amp; "," &amp; Sheet1!D625</f>
        <v xml:space="preserve">10/10/2025,BACCHUS MARSH , AUSTRALIA  </v>
      </c>
      <c r="H625" s="57" t="str">
        <f>UPPER(Sheet1!K625 &amp; "," &amp; Sheet1!L625 &amp; "," &amp; Sheet1!M625)</f>
        <v xml:space="preserve">VILL DAULATPUR PO BABARPUR,TEH PAYAL,KHANNA (LUDHIANA),PIN:141119,PUNJAB,INDIA </v>
      </c>
      <c r="I625" s="8">
        <f>Sheet1!J625</f>
        <v>45999</v>
      </c>
      <c r="J625" s="5" t="str">
        <f>Sheet1!N625 &amp; "," &amp; TEXT(Sheet1!O625,"dd/mm/yy")</f>
        <v>202509083609,22/11/25</v>
      </c>
      <c r="K625" s="5" t="s">
        <v>14</v>
      </c>
      <c r="L625" s="38" t="s">
        <v>15</v>
      </c>
      <c r="M625" s="38" t="s">
        <v>17</v>
      </c>
      <c r="N625" s="38" t="s">
        <v>16</v>
      </c>
    </row>
    <row r="626" spans="1:14" x14ac:dyDescent="0.35">
      <c r="A626" s="4" t="str">
        <f>Sheet1!A626 &amp; "/" &amp; "2025"</f>
        <v>2024/2025</v>
      </c>
      <c r="B626" s="5" t="str">
        <f>Sheet1!E626</f>
        <v>AU2065894213025</v>
      </c>
      <c r="C626" s="6" t="str">
        <f>UPPER(Sheet1!B626)</f>
        <v>SHABEG SINGH BUTTAR</v>
      </c>
      <c r="D626" s="7" t="str">
        <f>IF(Sheet1!F626="F","FEMALE","MALE")</f>
        <v>MALE</v>
      </c>
      <c r="E626" s="6" t="str">
        <f>UPPER(Sheet1!G626)</f>
        <v>MANVIR SINGH BUTTAR</v>
      </c>
      <c r="F626" s="6" t="str">
        <f>UPPER(Sheet1!H626)</f>
        <v>SUKHPREET KAUR SIDHU</v>
      </c>
      <c r="G626" s="5" t="str">
        <f>TEXT(Sheet1!C626,"dd/mm/yyyy") &amp; "," &amp; Sheet1!D626</f>
        <v xml:space="preserve">09/04/2025,EPPING , AUSTRALIA </v>
      </c>
      <c r="H626" s="57" t="str">
        <f>UPPER(Sheet1!K626 &amp; "," &amp; Sheet1!L626 &amp; "," &amp; Sheet1!M626)</f>
        <v xml:space="preserve">NATHOWAL,V.P.O NATHOWAL TEH.RAIKOT,JAGRAON (LUDHIANA),PIN:142032,PUNJAB,INDIA </v>
      </c>
      <c r="I626" s="8">
        <f>Sheet1!J626</f>
        <v>45999</v>
      </c>
      <c r="J626" s="5" t="str">
        <f>Sheet1!N626 &amp; "," &amp; TEXT(Sheet1!O626,"dd/mm/yy")</f>
        <v>202509041627,17/06/25</v>
      </c>
      <c r="K626" s="5" t="s">
        <v>14</v>
      </c>
      <c r="L626" s="38" t="s">
        <v>15</v>
      </c>
      <c r="M626" s="38" t="s">
        <v>17</v>
      </c>
      <c r="N626" s="38" t="s">
        <v>16</v>
      </c>
    </row>
    <row r="627" spans="1:14" x14ac:dyDescent="0.35">
      <c r="A627" s="4" t="str">
        <f>Sheet1!A627 &amp; "/" &amp; "2025"</f>
        <v>2025/2025</v>
      </c>
      <c r="B627" s="5" t="str">
        <f>Sheet1!E627</f>
        <v>AU2065894214225</v>
      </c>
      <c r="C627" s="6" t="str">
        <f>UPPER(Sheet1!B627)</f>
        <v>SIDAK GILL</v>
      </c>
      <c r="D627" s="7" t="str">
        <f>IF(Sheet1!F627="F","FEMALE","MALE")</f>
        <v>FEMALE</v>
      </c>
      <c r="E627" s="6" t="str">
        <f>UPPER(Sheet1!G627)</f>
        <v>NAVPREET SINGH GILL</v>
      </c>
      <c r="F627" s="6" t="str">
        <f>UPPER(Sheet1!H627)</f>
        <v>JAGROOP KAUR</v>
      </c>
      <c r="G627" s="5" t="str">
        <f>TEXT(Sheet1!C627,"dd/mm/yyyy") &amp; "," &amp; Sheet1!D627</f>
        <v xml:space="preserve">11/09/2025,EPPING , AUSTRALIA </v>
      </c>
      <c r="H627" s="57" t="str">
        <f>UPPER(Sheet1!K627 &amp; "," &amp; Sheet1!L627 &amp; "," &amp; Sheet1!M627)</f>
        <v xml:space="preserve">GILL NIWAS,AJNALA ROAD,FATEHGARH CHURIAN,GURDASPUR,PIN:143602,PUNJAB,INDIA </v>
      </c>
      <c r="I627" s="8">
        <f>Sheet1!J627</f>
        <v>45999</v>
      </c>
      <c r="J627" s="5" t="str">
        <f>Sheet1!N627 &amp; "," &amp; TEXT(Sheet1!O627,"dd/mm/yy")</f>
        <v>202509079867,09/11/25</v>
      </c>
      <c r="K627" s="5" t="s">
        <v>14</v>
      </c>
      <c r="L627" s="38" t="s">
        <v>15</v>
      </c>
      <c r="M627" s="38" t="s">
        <v>17</v>
      </c>
      <c r="N627" s="38" t="s">
        <v>16</v>
      </c>
    </row>
    <row r="628" spans="1:14" ht="30" customHeight="1" x14ac:dyDescent="0.35">
      <c r="A628" s="4" t="str">
        <f>Sheet1!A628 &amp; "/" &amp; "2025"</f>
        <v>2026/2025</v>
      </c>
      <c r="B628" s="5" t="str">
        <f>Sheet1!E628</f>
        <v>AU2065894214825</v>
      </c>
      <c r="C628" s="6" t="str">
        <f>UPPER(Sheet1!B628)</f>
        <v>MISHIV SUBHAMKUMAR PATEL</v>
      </c>
      <c r="D628" s="7" t="str">
        <f>IF(Sheet1!F628="F","FEMALE","MALE")</f>
        <v>MALE</v>
      </c>
      <c r="E628" s="6" t="str">
        <f>UPPER(Sheet1!G628)</f>
        <v>SUBHAMKUMAR BHIKHABHAI PATEL</v>
      </c>
      <c r="F628" s="6" t="str">
        <f>UPPER(Sheet1!H628)</f>
        <v>RUCHIBEN SUBHAMKUMAR PATEL</v>
      </c>
      <c r="G628" s="5" t="str">
        <f>TEXT(Sheet1!C628,"dd/mm/yyyy") &amp; "," &amp; Sheet1!D628</f>
        <v xml:space="preserve">28/07/2025,ST ALBANS , AUSTRALIA </v>
      </c>
      <c r="H628" s="57" t="str">
        <f>UPPER(Sheet1!K628 &amp; "," &amp; Sheet1!L628 &amp; "," &amp; Sheet1!M628)</f>
        <v xml:space="preserve">843 AMBALIVALO VAS,ITADARA TA MANSA,GANDHINAGAR,PIN:382845,GUJARAT,INDIA </v>
      </c>
      <c r="I628" s="8">
        <f>Sheet1!J628</f>
        <v>45999</v>
      </c>
      <c r="J628" s="5" t="str">
        <f>Sheet1!N628 &amp; "," &amp; TEXT(Sheet1!O628,"dd/mm/yy")</f>
        <v>202509081956,17/11/25</v>
      </c>
      <c r="K628" s="5" t="s">
        <v>14</v>
      </c>
      <c r="L628" s="38" t="s">
        <v>15</v>
      </c>
      <c r="M628" s="38" t="s">
        <v>17</v>
      </c>
      <c r="N628" s="38" t="s">
        <v>16</v>
      </c>
    </row>
    <row r="629" spans="1:14" x14ac:dyDescent="0.35">
      <c r="A629" s="4" t="str">
        <f>Sheet1!A629 &amp; "/" &amp; "2025"</f>
        <v>2027/2025</v>
      </c>
      <c r="B629" s="5" t="str">
        <f>Sheet1!E629</f>
        <v>AU2065894215425</v>
      </c>
      <c r="C629" s="6" t="str">
        <f>UPPER(Sheet1!B629)</f>
        <v>HARVIN SINGH</v>
      </c>
      <c r="D629" s="7" t="str">
        <f>IF(Sheet1!F629="F","FEMALE","MALE")</f>
        <v>MALE</v>
      </c>
      <c r="E629" s="6" t="str">
        <f>UPPER(Sheet1!G629)</f>
        <v>GURJAPAN SINGH</v>
      </c>
      <c r="F629" s="6" t="str">
        <f>UPPER(Sheet1!H629)</f>
        <v>TANISHA</v>
      </c>
      <c r="G629" s="5" t="str">
        <f>TEXT(Sheet1!C629,"dd/mm/yyyy") &amp; "," &amp; Sheet1!D629</f>
        <v xml:space="preserve">01/11/2025,BOX HILL, AUSTRALIA </v>
      </c>
      <c r="H629" s="57" t="str">
        <f>UPPER(Sheet1!K629 &amp; "," &amp; Sheet1!L629 &amp; "," &amp; Sheet1!M629)</f>
        <v xml:space="preserve">DASHMESH SOUND,HOUSE135,WARD1,DR SETHI STREET,MANDI DABWALI,DABWALI,PIN:125104,HARYANA,INDIA </v>
      </c>
      <c r="I629" s="8">
        <f>Sheet1!J629</f>
        <v>45999</v>
      </c>
      <c r="J629" s="5" t="str">
        <f>Sheet1!N629 &amp; "," &amp; TEXT(Sheet1!O629,"dd/mm/yy")</f>
        <v>202509082342,18/11/25</v>
      </c>
      <c r="K629" s="5" t="s">
        <v>14</v>
      </c>
      <c r="L629" s="38" t="s">
        <v>15</v>
      </c>
      <c r="M629" s="38" t="s">
        <v>17</v>
      </c>
      <c r="N629" s="38" t="s">
        <v>16</v>
      </c>
    </row>
    <row r="630" spans="1:14" x14ac:dyDescent="0.35">
      <c r="A630" s="4" t="str">
        <f>Sheet1!A630 &amp; "/" &amp; "2025"</f>
        <v>2028/2025</v>
      </c>
      <c r="B630" s="5" t="str">
        <f>Sheet1!E630</f>
        <v>AU2065894216225</v>
      </c>
      <c r="C630" s="6" t="str">
        <f>UPPER(Sheet1!B630)</f>
        <v>SUBHTEJ KAUR CHAHAL</v>
      </c>
      <c r="D630" s="7" t="str">
        <f>IF(Sheet1!F630="F","FEMALE","MALE")</f>
        <v>FEMALE</v>
      </c>
      <c r="E630" s="6" t="str">
        <f>UPPER(Sheet1!G630)</f>
        <v>LAKHVIR SINGH</v>
      </c>
      <c r="F630" s="6" t="str">
        <f>UPPER(Sheet1!H630)</f>
        <v>SANDEEP KAUR CHAHAL</v>
      </c>
      <c r="G630" s="5" t="str">
        <f>TEXT(Sheet1!C630,"dd/mm/yyyy") &amp; "," &amp; Sheet1!D630</f>
        <v xml:space="preserve">02/06/2025,ST ALBANS , AUSTRALIA </v>
      </c>
      <c r="H630" s="57" t="str">
        <f>UPPER(Sheet1!K630 &amp; "," &amp; Sheet1!L630 &amp; "," &amp; Sheet1!M630)</f>
        <v xml:space="preserve">VPO. CHANGLI,NEAR DERA,TEHSIL DHURI,DIST.,SANGRUR,PIN:148025,PUNJAB,INDIA </v>
      </c>
      <c r="I630" s="8">
        <f>Sheet1!J630</f>
        <v>45999</v>
      </c>
      <c r="J630" s="5" t="str">
        <f>Sheet1!N630 &amp; "," &amp; TEXT(Sheet1!O630,"dd/mm/yy")</f>
        <v>202509079147,06/11/25</v>
      </c>
      <c r="K630" s="5" t="s">
        <v>14</v>
      </c>
      <c r="L630" s="38" t="s">
        <v>15</v>
      </c>
      <c r="M630" s="38" t="s">
        <v>17</v>
      </c>
      <c r="N630" s="38" t="s">
        <v>16</v>
      </c>
    </row>
    <row r="631" spans="1:14" x14ac:dyDescent="0.35">
      <c r="A631" s="4" t="str">
        <f>Sheet1!A631 &amp; "/" &amp; "2025"</f>
        <v>2029/2025</v>
      </c>
      <c r="B631" s="5" t="str">
        <f>Sheet1!E631</f>
        <v>AU2065894216425</v>
      </c>
      <c r="C631" s="6" t="str">
        <f>UPPER(Sheet1!B631)</f>
        <v>JAIVIK SINGH</v>
      </c>
      <c r="D631" s="7" t="str">
        <f>IF(Sheet1!F631="F","FEMALE","MALE")</f>
        <v>MALE</v>
      </c>
      <c r="E631" s="6" t="str">
        <f>UPPER(Sheet1!G631)</f>
        <v>VIKRAMJIT SINGH</v>
      </c>
      <c r="F631" s="6" t="str">
        <f>UPPER(Sheet1!H631)</f>
        <v>AMANDEEP KAUR</v>
      </c>
      <c r="G631" s="5" t="str">
        <f>TEXT(Sheet1!C631,"dd/mm/yyyy") &amp; "," &amp; Sheet1!D631</f>
        <v xml:space="preserve">05/07/2025,GEELONG , AUSTRALIA </v>
      </c>
      <c r="H631" s="57" t="str">
        <f>UPPER(Sheet1!K631 &amp; "," &amp; Sheet1!L631 &amp; "," &amp; Sheet1!M631)</f>
        <v xml:space="preserve">VILL. CHHAPA RAM SINGH,PO. FATEHPUR RAJPUTAN,AMRITSAR,PIN:143113,PUNJAB,INDIA </v>
      </c>
      <c r="I631" s="8">
        <f>Sheet1!J631</f>
        <v>45999</v>
      </c>
      <c r="J631" s="5" t="str">
        <f>Sheet1!N631 &amp; "," &amp; TEXT(Sheet1!O631,"dd/mm/yy")</f>
        <v>202509081129,13/11/25</v>
      </c>
      <c r="K631" s="5" t="s">
        <v>14</v>
      </c>
      <c r="L631" s="38" t="s">
        <v>15</v>
      </c>
      <c r="M631" s="38" t="s">
        <v>17</v>
      </c>
      <c r="N631" s="38" t="s">
        <v>16</v>
      </c>
    </row>
    <row r="632" spans="1:14" x14ac:dyDescent="0.35">
      <c r="A632" s="4" t="str">
        <f>Sheet1!A632 &amp; "/" &amp; "2025"</f>
        <v>2030/2025</v>
      </c>
      <c r="B632" s="5" t="str">
        <f>Sheet1!E632</f>
        <v>AU2065897813425</v>
      </c>
      <c r="C632" s="6" t="str">
        <f>UPPER(Sheet1!B632)</f>
        <v>JAINAM JAIMINKUMAR PATEL</v>
      </c>
      <c r="D632" s="7" t="str">
        <f>IF(Sheet1!F632="F","FEMALE","MALE")</f>
        <v>MALE</v>
      </c>
      <c r="E632" s="6" t="str">
        <f>UPPER(Sheet1!G632)</f>
        <v>JAIMINKUMAR PRAVINBHAI PATEL</v>
      </c>
      <c r="F632" s="6" t="str">
        <f>UPPER(Sheet1!H632)</f>
        <v>AMITABEN JAIMINKUMAR PATEL</v>
      </c>
      <c r="G632" s="5" t="str">
        <f>TEXT(Sheet1!C632,"dd/mm/yyyy") &amp; "," &amp; Sheet1!D632</f>
        <v xml:space="preserve">26/03/2025,BACCHUS MARSH , AUSTRALIA  </v>
      </c>
      <c r="H632" s="57" t="str">
        <f>UPPER(Sheet1!K632 &amp; "," &amp; Sheet1!L632 &amp; "," &amp; Sheet1!M632)</f>
        <v xml:space="preserve">16-DHANANJAY PARK,DEESA HIGHWAY,PALANPUR,BANASKANTHA,PIN:385001,GUJARAT,INDIA </v>
      </c>
      <c r="I632" s="8">
        <f>Sheet1!J632</f>
        <v>46001</v>
      </c>
      <c r="J632" s="5" t="str">
        <f>Sheet1!N632 &amp; "," &amp; TEXT(Sheet1!O632,"dd/mm/yy")</f>
        <v>202509084045,24/11/25</v>
      </c>
      <c r="K632" s="5" t="s">
        <v>14</v>
      </c>
      <c r="L632" s="38" t="s">
        <v>15</v>
      </c>
      <c r="M632" s="38" t="s">
        <v>17</v>
      </c>
      <c r="N632" s="38" t="s">
        <v>16</v>
      </c>
    </row>
    <row r="633" spans="1:14" x14ac:dyDescent="0.35">
      <c r="A633" s="4" t="str">
        <f>Sheet1!A633 &amp; "/" &amp; "2025"</f>
        <v>2031/2025</v>
      </c>
      <c r="B633" s="5" t="str">
        <f>Sheet1!E633</f>
        <v>AU2065898789025</v>
      </c>
      <c r="C633" s="6" t="str">
        <f>UPPER(Sheet1!B633)</f>
        <v>ARMAN SINGH</v>
      </c>
      <c r="D633" s="7" t="str">
        <f>IF(Sheet1!F633="F","FEMALE","MALE")</f>
        <v>MALE</v>
      </c>
      <c r="E633" s="6" t="str">
        <f>UPPER(Sheet1!G633)</f>
        <v>GURMEET SINGH</v>
      </c>
      <c r="F633" s="6" t="str">
        <f>UPPER(Sheet1!H633)</f>
        <v>HUSANPREET KAUR</v>
      </c>
      <c r="G633" s="5" t="str">
        <f>TEXT(Sheet1!C633,"dd/mm/yyyy") &amp; "," &amp; Sheet1!D633</f>
        <v xml:space="preserve">07/10/2025,CLAYTON , AUSTRALIA  </v>
      </c>
      <c r="H633" s="57" t="str">
        <f>UPPER(Sheet1!K633 &amp; "," &amp; Sheet1!L633 &amp; "," &amp; Sheet1!M633)</f>
        <v xml:space="preserve">PHERU PATTI,BEGOWAL,LUDHIANA,PIN:141418,PUNJAB,INDIA </v>
      </c>
      <c r="I633" s="8">
        <f>Sheet1!J633</f>
        <v>46002</v>
      </c>
      <c r="J633" s="5" t="str">
        <f>Sheet1!N633 &amp; "," &amp; TEXT(Sheet1!O633,"dd/mm/yy")</f>
        <v>202509081338,14/11/25</v>
      </c>
      <c r="K633" s="5" t="s">
        <v>14</v>
      </c>
      <c r="L633" s="38" t="s">
        <v>15</v>
      </c>
      <c r="M633" s="38" t="s">
        <v>17</v>
      </c>
      <c r="N633" s="38" t="s">
        <v>16</v>
      </c>
    </row>
    <row r="634" spans="1:14" x14ac:dyDescent="0.35">
      <c r="A634" s="4" t="str">
        <f>Sheet1!A634 &amp; "/" &amp; "2025"</f>
        <v>2032/2025</v>
      </c>
      <c r="B634" s="5" t="str">
        <f>Sheet1!E634</f>
        <v>AU2065898789225</v>
      </c>
      <c r="C634" s="6" t="str">
        <f>UPPER(Sheet1!B634)</f>
        <v>EKAMDEEP KAUR</v>
      </c>
      <c r="D634" s="7" t="str">
        <f>IF(Sheet1!F634="F","FEMALE","MALE")</f>
        <v>FEMALE</v>
      </c>
      <c r="E634" s="6" t="str">
        <f>UPPER(Sheet1!G634)</f>
        <v>HARSHDEEP SINGH</v>
      </c>
      <c r="F634" s="6" t="str">
        <f>UPPER(Sheet1!H634)</f>
        <v>RAMANDEEP KAUR</v>
      </c>
      <c r="G634" s="5" t="str">
        <f>TEXT(Sheet1!C634,"dd/mm/yyyy") &amp; "," &amp; Sheet1!D634</f>
        <v>21/02/2025,SHEPPARTON, AUSTRALIA</v>
      </c>
      <c r="H634" s="57" t="str">
        <f>UPPER(Sheet1!K634 &amp; "," &amp; Sheet1!L634 &amp; "," &amp; Sheet1!M634)</f>
        <v xml:space="preserve">DEVIGARH ROAD NEAR NANAKSAR GURUDWARA,ISHWAR NAGAR SAFERA,PATIALA,PIN:147001,PUNJAB,INDIA </v>
      </c>
      <c r="I634" s="8">
        <f>Sheet1!J634</f>
        <v>46002</v>
      </c>
      <c r="J634" s="5" t="str">
        <f>Sheet1!N634 &amp; "," &amp; TEXT(Sheet1!O634,"dd/mm/yy")</f>
        <v>202509081789,16/11/25</v>
      </c>
      <c r="K634" s="5" t="s">
        <v>14</v>
      </c>
      <c r="L634" s="38" t="s">
        <v>15</v>
      </c>
      <c r="M634" s="38" t="s">
        <v>17</v>
      </c>
      <c r="N634" s="38" t="s">
        <v>16</v>
      </c>
    </row>
    <row r="635" spans="1:14" x14ac:dyDescent="0.35">
      <c r="A635" s="4" t="str">
        <f>Sheet1!A635 &amp; "/" &amp; "2025"</f>
        <v>2033/2025</v>
      </c>
      <c r="B635" s="5" t="str">
        <f>Sheet1!E635</f>
        <v>AU2065898790025</v>
      </c>
      <c r="C635" s="6" t="str">
        <f>UPPER(Sheet1!B635)</f>
        <v>HANVI PATEL</v>
      </c>
      <c r="D635" s="7" t="str">
        <f>IF(Sheet1!F635="F","FEMALE","MALE")</f>
        <v>FEMALE</v>
      </c>
      <c r="E635" s="6" t="str">
        <f>UPPER(Sheet1!G635)</f>
        <v>MEET BHARATKUMAR PATEL</v>
      </c>
      <c r="F635" s="6" t="str">
        <f>UPPER(Sheet1!H635)</f>
        <v>JILL MEET PATEL</v>
      </c>
      <c r="G635" s="5" t="str">
        <f>TEXT(Sheet1!C635,"dd/mm/yyyy") &amp; "," &amp; Sheet1!D635</f>
        <v xml:space="preserve">22/08/2025,BERWICK , AUSTRALIA  </v>
      </c>
      <c r="H635" s="57" t="str">
        <f>UPPER(Sheet1!K635 &amp; "," &amp; Sheet1!L635 &amp; "," &amp; Sheet1!M635)</f>
        <v xml:space="preserve">C-404 SAUBHAGYA APPARTMENT,SOLA OVER BRIDGE,S.G. ROAD,THALTEJ,AHMEDABAD,PIN:380054,GUJARAT,INDIA </v>
      </c>
      <c r="I635" s="8">
        <f>Sheet1!J635</f>
        <v>46002</v>
      </c>
      <c r="J635" s="5" t="str">
        <f>Sheet1!N635 &amp; "," &amp; TEXT(Sheet1!O635,"dd/mm/yy")</f>
        <v>202509071727,09/10/25</v>
      </c>
      <c r="K635" s="5" t="s">
        <v>14</v>
      </c>
      <c r="L635" s="38" t="s">
        <v>15</v>
      </c>
      <c r="M635" s="38" t="s">
        <v>17</v>
      </c>
      <c r="N635" s="38" t="s">
        <v>16</v>
      </c>
    </row>
    <row r="636" spans="1:14" x14ac:dyDescent="0.35">
      <c r="A636" s="4" t="str">
        <f>Sheet1!A636 &amp; "/" &amp; "2025"</f>
        <v>2034/2025</v>
      </c>
      <c r="B636" s="5" t="str">
        <f>Sheet1!E636</f>
        <v>AU2065898790825</v>
      </c>
      <c r="C636" s="6" t="str">
        <f>UPPER(Sheet1!B636)</f>
        <v>BIRNAWAB SINGH CHAHAL</v>
      </c>
      <c r="D636" s="7" t="str">
        <f>IF(Sheet1!F636="F","FEMALE","MALE")</f>
        <v>MALE</v>
      </c>
      <c r="E636" s="6" t="str">
        <f>UPPER(Sheet1!G636)</f>
        <v>PARDEEP SINGH CHAHAL</v>
      </c>
      <c r="F636" s="6" t="str">
        <f>UPPER(Sheet1!H636)</f>
        <v>KAMALJEET KAUR BRAR</v>
      </c>
      <c r="G636" s="5" t="str">
        <f>TEXT(Sheet1!C636,"dd/mm/yyyy") &amp; "," &amp; Sheet1!D636</f>
        <v xml:space="preserve">10/09/2025,GEELONG , AUSTRALIA </v>
      </c>
      <c r="H636" s="57" t="str">
        <f>UPPER(Sheet1!K636 &amp; "," &amp; Sheet1!L636 &amp; "," &amp; Sheet1!M636)</f>
        <v xml:space="preserve">VPO GHUMAN KALAN,TEHSIL-MAUR MANDI,BATHINDA,PIN:151509,PUNJAB,INDIA </v>
      </c>
      <c r="I636" s="8">
        <f>Sheet1!J636</f>
        <v>46002</v>
      </c>
      <c r="J636" s="5" t="str">
        <f>Sheet1!N636 &amp; "," &amp; TEXT(Sheet1!O636,"dd/mm/yy")</f>
        <v>202509084607,26/11/25</v>
      </c>
      <c r="K636" s="5" t="s">
        <v>14</v>
      </c>
      <c r="L636" s="38" t="s">
        <v>15</v>
      </c>
      <c r="M636" s="38" t="s">
        <v>17</v>
      </c>
      <c r="N636" s="38" t="s">
        <v>16</v>
      </c>
    </row>
    <row r="637" spans="1:14" x14ac:dyDescent="0.35">
      <c r="A637" s="4" t="str">
        <f>Sheet1!A637 &amp; "/" &amp; "2025"</f>
        <v>2035/2025</v>
      </c>
      <c r="B637" s="5" t="str">
        <f>Sheet1!E637</f>
        <v>AU2065898791425</v>
      </c>
      <c r="C637" s="6" t="str">
        <f>UPPER(Sheet1!B637)</f>
        <v>GURBAAZ SINGH BHATIA</v>
      </c>
      <c r="D637" s="7" t="str">
        <f>IF(Sheet1!F637="F","FEMALE","MALE")</f>
        <v>MALE</v>
      </c>
      <c r="E637" s="6" t="str">
        <f>UPPER(Sheet1!G637)</f>
        <v>RAHUL BHATIA</v>
      </c>
      <c r="F637" s="6" t="str">
        <f>UPPER(Sheet1!H637)</f>
        <v>RAJWANT KAUR</v>
      </c>
      <c r="G637" s="5" t="str">
        <f>TEXT(Sheet1!C637,"dd/mm/yyyy") &amp; "," &amp; Sheet1!D637</f>
        <v xml:space="preserve">02/10/2025,WONTHAGGI, AUSTRALIA </v>
      </c>
      <c r="H637" s="57" t="str">
        <f>UPPER(Sheet1!K637 &amp; "," &amp; Sheet1!L637 &amp; "," &amp; Sheet1!M637)</f>
        <v xml:space="preserve">VPO . LALWAN,TEH GARHSHANKAR,HOSHIARPUR,PIN:144530,PUNJAB,INDIA </v>
      </c>
      <c r="I637" s="8">
        <f>Sheet1!J637</f>
        <v>46002</v>
      </c>
      <c r="J637" s="5" t="str">
        <f>Sheet1!N637 &amp; "," &amp; TEXT(Sheet1!O637,"dd/mm/yy")</f>
        <v>202509083157,20/11/25</v>
      </c>
      <c r="K637" s="5" t="s">
        <v>14</v>
      </c>
      <c r="L637" s="38" t="s">
        <v>15</v>
      </c>
      <c r="M637" s="38" t="s">
        <v>17</v>
      </c>
      <c r="N637" s="38" t="s">
        <v>16</v>
      </c>
    </row>
    <row r="638" spans="1:14" x14ac:dyDescent="0.35">
      <c r="A638" s="4" t="str">
        <f>Sheet1!A638 &amp; "/" &amp; "2025"</f>
        <v>2036/2025</v>
      </c>
      <c r="B638" s="5" t="str">
        <f>Sheet1!E638</f>
        <v>AU2065898792825</v>
      </c>
      <c r="C638" s="6" t="str">
        <f>UPPER(Sheet1!B638)</f>
        <v>AMANAT KAUR</v>
      </c>
      <c r="D638" s="7" t="str">
        <f>IF(Sheet1!F638="F","FEMALE","MALE")</f>
        <v>FEMALE</v>
      </c>
      <c r="E638" s="6" t="str">
        <f>UPPER(Sheet1!G638)</f>
        <v>ABHIJIT SINGH</v>
      </c>
      <c r="F638" s="6" t="str">
        <f>UPPER(Sheet1!H638)</f>
        <v>MANPREET KAUR</v>
      </c>
      <c r="G638" s="5" t="str">
        <f>TEXT(Sheet1!C638,"dd/mm/yyyy") &amp; "," &amp; Sheet1!D638</f>
        <v xml:space="preserve">11/10/2025,ST ALBANS , AUSTRALIA </v>
      </c>
      <c r="H638" s="57" t="str">
        <f>UPPER(Sheet1!K638 &amp; "," &amp; Sheet1!L638 &amp; "," &amp; Sheet1!M638)</f>
        <v xml:space="preserve">VILL BHOJ RAJ,PO DHARIWAL TEH &amp; DISTT,GURDASPUR,GURDASPUR,PIN:143519,PUNJAB,INDIA </v>
      </c>
      <c r="I638" s="8">
        <f>Sheet1!J638</f>
        <v>46002</v>
      </c>
      <c r="J638" s="5" t="str">
        <f>Sheet1!N638 &amp; "," &amp; TEXT(Sheet1!O638,"dd/mm/yy")</f>
        <v>202509079855,09/11/25</v>
      </c>
      <c r="K638" s="5" t="s">
        <v>14</v>
      </c>
      <c r="L638" s="38" t="s">
        <v>15</v>
      </c>
      <c r="M638" s="38" t="s">
        <v>17</v>
      </c>
      <c r="N638" s="38" t="s">
        <v>16</v>
      </c>
    </row>
    <row r="639" spans="1:14" x14ac:dyDescent="0.35">
      <c r="A639" s="4" t="str">
        <f>Sheet1!A639 &amp; "/" &amp; "2025"</f>
        <v>2037/2025</v>
      </c>
      <c r="B639" s="5" t="str">
        <f>Sheet1!E639</f>
        <v>AU2065898793625</v>
      </c>
      <c r="C639" s="6" t="str">
        <f>UPPER(Sheet1!B639)</f>
        <v>ANIKA HANDA</v>
      </c>
      <c r="D639" s="7" t="str">
        <f>IF(Sheet1!F639="F","FEMALE","MALE")</f>
        <v>FEMALE</v>
      </c>
      <c r="E639" s="6" t="str">
        <f>UPPER(Sheet1!G639)</f>
        <v>ANKUR HANDA</v>
      </c>
      <c r="F639" s="6" t="str">
        <f>UPPER(Sheet1!H639)</f>
        <v>KASHISH HANDA</v>
      </c>
      <c r="G639" s="5" t="str">
        <f>TEXT(Sheet1!C639,"dd/mm/yyyy") &amp; "," &amp; Sheet1!D639</f>
        <v>30/09/2025,BENDIGO, AUSTRALIA</v>
      </c>
      <c r="H639" s="57" t="str">
        <f>UPPER(Sheet1!K639 &amp; "," &amp; Sheet1!L639 &amp; "," &amp; Sheet1!M639)</f>
        <v xml:space="preserve">82-C,VIJAY NAGAR,JAGRAON (LUDHIANA),PIN:142026,PUNJAB,INDIA </v>
      </c>
      <c r="I639" s="8">
        <f>Sheet1!J639</f>
        <v>46002</v>
      </c>
      <c r="J639" s="5" t="str">
        <f>Sheet1!N639 &amp; "," &amp; TEXT(Sheet1!O639,"dd/mm/yy")</f>
        <v>202509084581,26/11/25</v>
      </c>
      <c r="K639" s="5" t="s">
        <v>14</v>
      </c>
      <c r="L639" s="38" t="s">
        <v>15</v>
      </c>
      <c r="M639" s="38" t="s">
        <v>17</v>
      </c>
      <c r="N639" s="38" t="s">
        <v>16</v>
      </c>
    </row>
    <row r="640" spans="1:14" x14ac:dyDescent="0.35">
      <c r="A640" s="4" t="str">
        <f>Sheet1!A640 &amp; "/" &amp; "2025"</f>
        <v>2038/2025</v>
      </c>
      <c r="B640" s="5" t="str">
        <f>Sheet1!E640</f>
        <v>AU2065898794225</v>
      </c>
      <c r="C640" s="6" t="str">
        <f>UPPER(Sheet1!B640)</f>
        <v>NAWAB SINGH VIRK</v>
      </c>
      <c r="D640" s="7" t="str">
        <f>IF(Sheet1!F640="F","FEMALE","MALE")</f>
        <v>MALE</v>
      </c>
      <c r="E640" s="6" t="str">
        <f>UPPER(Sheet1!G640)</f>
        <v>SATINDERJEET SINGH</v>
      </c>
      <c r="F640" s="6" t="str">
        <f>UPPER(Sheet1!H640)</f>
        <v>HARJEET KAUR</v>
      </c>
      <c r="G640" s="5" t="str">
        <f>TEXT(Sheet1!C640,"dd/mm/yyyy") &amp; "," &amp; Sheet1!D640</f>
        <v xml:space="preserve">27/09/2025,ST ALBANS , AUSTRALIA </v>
      </c>
      <c r="H640" s="57" t="str">
        <f>UPPER(Sheet1!K640 &amp; "," &amp; Sheet1!L640 &amp; "," &amp; Sheet1!M640)</f>
        <v xml:space="preserve">VILL RAMPURA,PO JHITA KALAN,AMRITSAR,PIN:143413,PUNJAB,INDIA </v>
      </c>
      <c r="I640" s="8">
        <f>Sheet1!J640</f>
        <v>46002</v>
      </c>
      <c r="J640" s="5" t="str">
        <f>Sheet1!N640 &amp; "," &amp; TEXT(Sheet1!O640,"dd/mm/yy")</f>
        <v>202509082426,18/11/25</v>
      </c>
      <c r="K640" s="5" t="s">
        <v>14</v>
      </c>
      <c r="L640" s="38" t="s">
        <v>15</v>
      </c>
      <c r="M640" s="38" t="s">
        <v>17</v>
      </c>
      <c r="N640" s="38" t="s">
        <v>16</v>
      </c>
    </row>
    <row r="641" spans="1:14" x14ac:dyDescent="0.35">
      <c r="A641" s="4" t="str">
        <f>Sheet1!A641 &amp; "/" &amp; "2025"</f>
        <v>2039/2025</v>
      </c>
      <c r="B641" s="5" t="str">
        <f>Sheet1!E641</f>
        <v>AU2065898794425</v>
      </c>
      <c r="C641" s="6" t="str">
        <f>UPPER(Sheet1!B641)</f>
        <v>VAANYA SINGH</v>
      </c>
      <c r="D641" s="7" t="str">
        <f>IF(Sheet1!F641="F","FEMALE","MALE")</f>
        <v>FEMALE</v>
      </c>
      <c r="E641" s="6" t="str">
        <f>UPPER(Sheet1!G641)</f>
        <v>RAJINDER SINGH</v>
      </c>
      <c r="F641" s="6" t="str">
        <f>UPPER(Sheet1!H641)</f>
        <v>CHANCHAL KUMARI</v>
      </c>
      <c r="G641" s="5" t="str">
        <f>TEXT(Sheet1!C641,"dd/mm/yyyy") &amp; "," &amp; Sheet1!D641</f>
        <v xml:space="preserve">23/06/2025,PARKVILLE , AUSTRALIA  </v>
      </c>
      <c r="H641" s="57" t="str">
        <f>UPPER(Sheet1!K641 &amp; "," &amp; Sheet1!L641 &amp; "," &amp; Sheet1!M641)</f>
        <v xml:space="preserve">303,SANDHYACHANDRA SANKUL APPT. HARIOM NAGAR,NASHIK ROAD,NASHIK,PIN:422101,MAHARASHTRA,INDIA </v>
      </c>
      <c r="I641" s="8">
        <f>Sheet1!J641</f>
        <v>46002</v>
      </c>
      <c r="J641" s="5" t="str">
        <f>Sheet1!N641 &amp; "," &amp; TEXT(Sheet1!O641,"dd/mm/yy")</f>
        <v>202509083604,22/11/25</v>
      </c>
      <c r="K641" s="5" t="s">
        <v>14</v>
      </c>
      <c r="L641" s="38" t="s">
        <v>15</v>
      </c>
      <c r="M641" s="38" t="s">
        <v>17</v>
      </c>
      <c r="N641" s="38" t="s">
        <v>16</v>
      </c>
    </row>
    <row r="642" spans="1:14" x14ac:dyDescent="0.35">
      <c r="A642" s="4" t="str">
        <f>Sheet1!A642 &amp; "/" &amp; "2025"</f>
        <v>2040/2025</v>
      </c>
      <c r="B642" s="5" t="str">
        <f>Sheet1!E642</f>
        <v>AU2065898795225</v>
      </c>
      <c r="C642" s="6" t="str">
        <f>UPPER(Sheet1!B642)</f>
        <v>INAYA FATIMA</v>
      </c>
      <c r="D642" s="7" t="str">
        <f>IF(Sheet1!F642="F","FEMALE","MALE")</f>
        <v>FEMALE</v>
      </c>
      <c r="E642" s="6" t="str">
        <f>UPPER(Sheet1!G642)</f>
        <v>MOHAMMED ZUBAIR KHAN</v>
      </c>
      <c r="F642" s="6" t="str">
        <f>UPPER(Sheet1!H642)</f>
        <v>HAFSA HUSSAIN SYEDA</v>
      </c>
      <c r="G642" s="5" t="str">
        <f>TEXT(Sheet1!C642,"dd/mm/yyyy") &amp; "," &amp; Sheet1!D642</f>
        <v xml:space="preserve">08/12/2024,BACCHUS MARSH , AUSTRALIA  </v>
      </c>
      <c r="H642" s="57" t="str">
        <f>UPPER(Sheet1!K642 &amp; "," &amp; Sheet1!L642 &amp; "," &amp; Sheet1!M642)</f>
        <v xml:space="preserve">H NO.20-4-20/9/C,PUNCH MOHALLA.,KHILWATH,HYDERABAD,PIN:500002,TELANGANA,INDIA </v>
      </c>
      <c r="I642" s="8">
        <f>Sheet1!J642</f>
        <v>46002</v>
      </c>
      <c r="J642" s="5" t="str">
        <f>Sheet1!N642 &amp; "," &amp; TEXT(Sheet1!O642,"dd/mm/yy")</f>
        <v>202509081334,14/11/25</v>
      </c>
      <c r="K642" s="5" t="s">
        <v>14</v>
      </c>
      <c r="L642" s="38" t="s">
        <v>15</v>
      </c>
      <c r="M642" s="38" t="s">
        <v>17</v>
      </c>
      <c r="N642" s="38" t="s">
        <v>16</v>
      </c>
    </row>
    <row r="643" spans="1:14" x14ac:dyDescent="0.35">
      <c r="A643" s="4" t="str">
        <f>Sheet1!A643 &amp; "/" &amp; "2025"</f>
        <v>2041/2025</v>
      </c>
      <c r="B643" s="5" t="str">
        <f>Sheet1!E643</f>
        <v>AU206589879582</v>
      </c>
      <c r="C643" s="6" t="str">
        <f>UPPER(Sheet1!B643)</f>
        <v>ANHAD KAUR MAAN</v>
      </c>
      <c r="D643" s="7" t="str">
        <f>IF(Sheet1!F643="F","FEMALE","MALE")</f>
        <v>FEMALE</v>
      </c>
      <c r="E643" s="6" t="str">
        <f>UPPER(Sheet1!G643)</f>
        <v>AZADWINDER SINGH MAAN</v>
      </c>
      <c r="F643" s="6" t="str">
        <f>UPPER(Sheet1!H643)</f>
        <v>GURINDER KAUR</v>
      </c>
      <c r="G643" s="5" t="str">
        <f>TEXT(Sheet1!C643,"dd/mm/yyyy") &amp; "," &amp; Sheet1!D643</f>
        <v xml:space="preserve">22/08/2025,EPPING , AUSTRALIA </v>
      </c>
      <c r="H643" s="57" t="str">
        <f>UPPER(Sheet1!K643 &amp; "," &amp; Sheet1!L643 &amp; "," &amp; Sheet1!M643)</f>
        <v xml:space="preserve">VPO,ARAYAN WALA KALAN,FARIDKOT,PIN:151203,PUNJAB,INDIA </v>
      </c>
      <c r="I643" s="8">
        <f>Sheet1!J643</f>
        <v>46002</v>
      </c>
      <c r="J643" s="5" t="str">
        <f>Sheet1!N643 &amp; "," &amp; TEXT(Sheet1!O643,"dd/mm/yy")</f>
        <v>202509072081,11/10/25</v>
      </c>
      <c r="K643" s="5" t="s">
        <v>14</v>
      </c>
      <c r="L643" s="38" t="s">
        <v>15</v>
      </c>
      <c r="M643" s="38" t="s">
        <v>17</v>
      </c>
      <c r="N643" s="38" t="s">
        <v>16</v>
      </c>
    </row>
    <row r="644" spans="1:14" x14ac:dyDescent="0.35">
      <c r="A644" s="4" t="str">
        <f>Sheet1!A644 &amp; "/" &amp; "2025"</f>
        <v>2042/2025</v>
      </c>
      <c r="B644" s="5" t="str">
        <f>Sheet1!E644</f>
        <v>AU2065897802625</v>
      </c>
      <c r="C644" s="6" t="str">
        <f>UPPER(Sheet1!B644)</f>
        <v>BALIHAR SINGH DHILLON</v>
      </c>
      <c r="D644" s="7" t="str">
        <f>IF(Sheet1!F644="F","FEMALE","MALE")</f>
        <v>MALE</v>
      </c>
      <c r="E644" s="6" t="str">
        <f>UPPER(Sheet1!G644)</f>
        <v>GAJENDER SINGH</v>
      </c>
      <c r="F644" s="6" t="str">
        <f>UPPER(Sheet1!H644)</f>
        <v>LOVEDEEP KAUR</v>
      </c>
      <c r="G644" s="5" t="str">
        <f>TEXT(Sheet1!C644,"dd/mm/yyyy") &amp; "," &amp; Sheet1!D644</f>
        <v xml:space="preserve">23/08/2025,BUNDOORA, AUSTRALIA </v>
      </c>
      <c r="H644" s="57" t="str">
        <f>UPPER(Sheet1!K644 &amp; "," &amp; Sheet1!L644 &amp; "," &amp; Sheet1!M644)</f>
        <v xml:space="preserve">WARD NO.1,TALAB PADA,SULTANPUR,KOTA,PIN:325204,RAJASTHAN,INDIA </v>
      </c>
      <c r="I644" s="8">
        <f>Sheet1!J644</f>
        <v>46003</v>
      </c>
      <c r="J644" s="5" t="str">
        <f>Sheet1!N644 &amp; "," &amp; TEXT(Sheet1!O644,"dd/mm/yy")</f>
        <v>202509078342,03/11/25</v>
      </c>
      <c r="K644" s="5" t="s">
        <v>14</v>
      </c>
      <c r="L644" s="38" t="s">
        <v>15</v>
      </c>
      <c r="M644" s="38" t="s">
        <v>17</v>
      </c>
      <c r="N644" s="38" t="s">
        <v>16</v>
      </c>
    </row>
    <row r="645" spans="1:14" x14ac:dyDescent="0.35">
      <c r="A645" s="4" t="str">
        <f>Sheet1!A645 &amp; "/" &amp; "2025"</f>
        <v>2043/2025</v>
      </c>
      <c r="B645" s="5" t="str">
        <f>Sheet1!E645</f>
        <v>AU2065897803225</v>
      </c>
      <c r="C645" s="6" t="str">
        <f>UPPER(Sheet1!B645)</f>
        <v>JIND KAUR DHALIWAL</v>
      </c>
      <c r="D645" s="7" t="str">
        <f>IF(Sheet1!F645="F","FEMALE","MALE")</f>
        <v>FEMALE</v>
      </c>
      <c r="E645" s="6" t="str">
        <f>UPPER(Sheet1!G645)</f>
        <v>JOBANBIR SINGH</v>
      </c>
      <c r="F645" s="6" t="str">
        <f>UPPER(Sheet1!H645)</f>
        <v>KARAMBIR KAUR</v>
      </c>
      <c r="G645" s="5" t="str">
        <f>TEXT(Sheet1!C645,"dd/mm/yyyy") &amp; "," &amp; Sheet1!D645</f>
        <v>13/10/2025,SHEPPARTON, AUSTRALIA</v>
      </c>
      <c r="H645" s="57" t="str">
        <f>UPPER(Sheet1!K645 &amp; "," &amp; Sheet1!L645 &amp; "," &amp; Sheet1!M645)</f>
        <v xml:space="preserve">VPO MACHRAI,SRI HARGOBINDPUR,GURDASPUR,PIN:143515,PUNJAB,INDIA </v>
      </c>
      <c r="I645" s="8">
        <f>Sheet1!J645</f>
        <v>46003</v>
      </c>
      <c r="J645" s="5" t="str">
        <f>Sheet1!N645 &amp; "," &amp; TEXT(Sheet1!O645,"dd/mm/yy")</f>
        <v>202509081005,13/11/25</v>
      </c>
      <c r="K645" s="5" t="s">
        <v>14</v>
      </c>
      <c r="L645" s="38" t="s">
        <v>15</v>
      </c>
      <c r="M645" s="38" t="s">
        <v>17</v>
      </c>
      <c r="N645" s="38" t="s">
        <v>16</v>
      </c>
    </row>
    <row r="646" spans="1:14" x14ac:dyDescent="0.35">
      <c r="A646" s="4" t="str">
        <f>Sheet1!A646 &amp; "/" &amp; "2025"</f>
        <v>2044/2025</v>
      </c>
      <c r="B646" s="5" t="str">
        <f>Sheet1!E646</f>
        <v>AU2065897804025</v>
      </c>
      <c r="C646" s="6" t="str">
        <f>UPPER(Sheet1!B646)</f>
        <v>YUVAN SINGH</v>
      </c>
      <c r="D646" s="7" t="str">
        <f>IF(Sheet1!F646="F","FEMALE","MALE")</f>
        <v>MALE</v>
      </c>
      <c r="E646" s="6" t="str">
        <f>UPPER(Sheet1!G646)</f>
        <v>SATINDER SINGH</v>
      </c>
      <c r="F646" s="6" t="str">
        <f>UPPER(Sheet1!H646)</f>
        <v>RASHIKA SHARMA</v>
      </c>
      <c r="G646" s="5" t="str">
        <f>TEXT(Sheet1!C646,"dd/mm/yyyy") &amp; "," &amp; Sheet1!D646</f>
        <v xml:space="preserve">30/08/2025,EPPING, AUSTRALIA </v>
      </c>
      <c r="H646" s="57" t="str">
        <f>UPPER(Sheet1!K646 &amp; "," &amp; Sheet1!L646 &amp; "," &amp; Sheet1!M646)</f>
        <v xml:space="preserve">H.NO. 154,SECTOR -2A,SHAM NAGAR,MANDI GOBINDGARH,FATEHGARH SAHIB,PIN:147301,PUNJAB,INDIA </v>
      </c>
      <c r="I646" s="8">
        <f>Sheet1!J646</f>
        <v>46003</v>
      </c>
      <c r="J646" s="5" t="str">
        <f>Sheet1!N646 &amp; "," &amp; TEXT(Sheet1!O646,"dd/mm/yy")</f>
        <v>202509082833,19/11/25</v>
      </c>
      <c r="K646" s="5" t="s">
        <v>14</v>
      </c>
      <c r="L646" s="38" t="s">
        <v>15</v>
      </c>
      <c r="M646" s="38" t="s">
        <v>17</v>
      </c>
      <c r="N646" s="38" t="s">
        <v>16</v>
      </c>
    </row>
    <row r="647" spans="1:14" x14ac:dyDescent="0.35">
      <c r="A647" s="4" t="str">
        <f>Sheet1!A647 &amp; "/" &amp; "2025"</f>
        <v>2045/2025</v>
      </c>
      <c r="B647" s="5" t="str">
        <f>Sheet1!E647</f>
        <v>AU2065897804225</v>
      </c>
      <c r="C647" s="6" t="str">
        <f>UPPER(Sheet1!B647)</f>
        <v>GURSANJH SINGH BRAR</v>
      </c>
      <c r="D647" s="7" t="str">
        <f>IF(Sheet1!F647="F","FEMALE","MALE")</f>
        <v>MALE</v>
      </c>
      <c r="E647" s="6" t="str">
        <f>UPPER(Sheet1!G647)</f>
        <v>NAHAR SINGH</v>
      </c>
      <c r="F647" s="6" t="str">
        <f>UPPER(Sheet1!H647)</f>
        <v>RAMANDEEP KAUR</v>
      </c>
      <c r="G647" s="5" t="str">
        <f>TEXT(Sheet1!C647,"dd/mm/yyyy") &amp; "," &amp; Sheet1!D647</f>
        <v>03/09/2025,DANDENONG, AUSTRALIA</v>
      </c>
      <c r="H647" s="57" t="str">
        <f>UPPER(Sheet1!K647 &amp; "," &amp; Sheet1!L647 &amp; "," &amp; Sheet1!M647)</f>
        <v xml:space="preserve">VPO. BHALOOR PATTI VAZIR,BAGHA PURANA,MOGA,PIN:142038,PUNJAB,INDIA </v>
      </c>
      <c r="I647" s="8">
        <f>Sheet1!J647</f>
        <v>46003</v>
      </c>
      <c r="J647" s="5" t="str">
        <f>Sheet1!N647 &amp; "," &amp; TEXT(Sheet1!O647,"dd/mm/yy")</f>
        <v>202509084630,26/11/25</v>
      </c>
      <c r="K647" s="5" t="s">
        <v>14</v>
      </c>
      <c r="L647" s="38" t="s">
        <v>15</v>
      </c>
      <c r="M647" s="38" t="s">
        <v>17</v>
      </c>
      <c r="N647" s="38" t="s">
        <v>16</v>
      </c>
    </row>
    <row r="648" spans="1:14" x14ac:dyDescent="0.35">
      <c r="A648" s="4" t="str">
        <f>Sheet1!A648 &amp; "/" &amp; "2025"</f>
        <v>2046/2025</v>
      </c>
      <c r="B648" s="5" t="str">
        <f>Sheet1!E648</f>
        <v>AU2065897805425</v>
      </c>
      <c r="C648" s="6" t="str">
        <f>UPPER(Sheet1!B648)</f>
        <v>RUAN GRAK</v>
      </c>
      <c r="D648" s="7" t="str">
        <f>IF(Sheet1!F648="F","FEMALE","MALE")</f>
        <v>MALE</v>
      </c>
      <c r="E648" s="6" t="str">
        <f>UPPER(Sheet1!G648)</f>
        <v>ANKIT KUMAR</v>
      </c>
      <c r="F648" s="6" t="str">
        <f>UPPER(Sheet1!H648)</f>
        <v>NANCI CHAUDHARY</v>
      </c>
      <c r="G648" s="5" t="str">
        <f>TEXT(Sheet1!C648,"dd/mm/yyyy") &amp; "," &amp; Sheet1!D648</f>
        <v xml:space="preserve">22/10/2025,CLAYTON , AUSTRALIA  </v>
      </c>
      <c r="H648" s="57" t="str">
        <f>UPPER(Sheet1!K648 &amp; "," &amp; Sheet1!L648 &amp; "," &amp; Sheet1!M648)</f>
        <v xml:space="preserve">H. NO. 130,VILL. KHANODA,PO TEEK,KAITHAL,PIN:136027,HARYANA,INDIA </v>
      </c>
      <c r="I648" s="8">
        <f>Sheet1!J648</f>
        <v>46003</v>
      </c>
      <c r="J648" s="5" t="str">
        <f>Sheet1!N648 &amp; "," &amp; TEXT(Sheet1!O648,"dd/mm/yy")</f>
        <v>202509081988,17/11/25</v>
      </c>
      <c r="K648" s="5" t="s">
        <v>14</v>
      </c>
      <c r="L648" s="38" t="s">
        <v>15</v>
      </c>
      <c r="M648" s="38" t="s">
        <v>17</v>
      </c>
      <c r="N648" s="38" t="s">
        <v>16</v>
      </c>
    </row>
    <row r="649" spans="1:14" x14ac:dyDescent="0.35">
      <c r="A649" s="4" t="str">
        <f>Sheet1!A649 &amp; "/" &amp; "2025"</f>
        <v>2047/2025</v>
      </c>
      <c r="B649" s="5" t="str">
        <f>Sheet1!E649</f>
        <v>AU2065897807225</v>
      </c>
      <c r="C649" s="6" t="str">
        <f>UPPER(Sheet1!B649)</f>
        <v>NADAR KAUR SANDHU</v>
      </c>
      <c r="D649" s="7" t="str">
        <f>IF(Sheet1!F649="F","FEMALE","MALE")</f>
        <v>FEMALE</v>
      </c>
      <c r="E649" s="6" t="str">
        <f>UPPER(Sheet1!G649)</f>
        <v>GURJANT SINGH</v>
      </c>
      <c r="F649" s="6" t="str">
        <f>UPPER(Sheet1!H649)</f>
        <v>KARAMJEET KAUR</v>
      </c>
      <c r="G649" s="5" t="str">
        <f>TEXT(Sheet1!C649,"dd/mm/yyyy") &amp; "," &amp; Sheet1!D649</f>
        <v xml:space="preserve">24/09/2025,ST ALBANS , AUSTRALIA </v>
      </c>
      <c r="H649" s="57" t="str">
        <f>UPPER(Sheet1!K649 &amp; "," &amp; Sheet1!L649 &amp; "," &amp; Sheet1!M649)</f>
        <v xml:space="preserve">VPO. VALTOHA,TEHSIL PATTI,TARN TARAN,PIN:143412,PUNJAB,INDIA </v>
      </c>
      <c r="I649" s="8">
        <f>Sheet1!J649</f>
        <v>46003</v>
      </c>
      <c r="J649" s="5" t="str">
        <f>Sheet1!N649 &amp; "," &amp; TEXT(Sheet1!O649,"dd/mm/yy")</f>
        <v>202509078881,05/11/25</v>
      </c>
      <c r="K649" s="5" t="s">
        <v>14</v>
      </c>
      <c r="L649" s="38" t="s">
        <v>15</v>
      </c>
      <c r="M649" s="38" t="s">
        <v>17</v>
      </c>
      <c r="N649" s="38" t="s">
        <v>16</v>
      </c>
    </row>
    <row r="650" spans="1:14" x14ac:dyDescent="0.35">
      <c r="A650" s="4" t="str">
        <f>Sheet1!A650 &amp; "/" &amp; "2025"</f>
        <v>2048/2025</v>
      </c>
      <c r="B650" s="5" t="str">
        <f>Sheet1!E650</f>
        <v>AU2065897808225</v>
      </c>
      <c r="C650" s="6" t="str">
        <f>UPPER(Sheet1!B650)</f>
        <v>NOVA JOHNCY</v>
      </c>
      <c r="D650" s="7" t="str">
        <f>IF(Sheet1!F650="F","FEMALE","MALE")</f>
        <v>FEMALE</v>
      </c>
      <c r="E650" s="6" t="str">
        <f>UPPER(Sheet1!G650)</f>
        <v>JOHNCY MOHAN JACOB</v>
      </c>
      <c r="F650" s="6" t="str">
        <f>UPPER(Sheet1!H650)</f>
        <v>LINNETTE CHACKO</v>
      </c>
      <c r="G650" s="5" t="str">
        <f>TEXT(Sheet1!C650,"dd/mm/yyyy") &amp; "," &amp; Sheet1!D650</f>
        <v>28/09/2025,DANDENONG, AUSTRALIA</v>
      </c>
      <c r="H650" s="57" t="str">
        <f>UPPER(Sheet1!K650 &amp; "," &amp; Sheet1!L650 &amp; "," &amp; Sheet1!M650)</f>
        <v xml:space="preserve">PUTHEN VEETTIL JOY VILLA,NAVODAYA,KAKKANADU,ERNAKULAM,PIN:682036,KERALA,INDIA </v>
      </c>
      <c r="I650" s="8">
        <f>Sheet1!J650</f>
        <v>46003</v>
      </c>
      <c r="J650" s="5" t="str">
        <f>Sheet1!N650 &amp; "," &amp; TEXT(Sheet1!O650,"dd/mm/yy")</f>
        <v>202509075222,23/10/25</v>
      </c>
      <c r="K650" s="5" t="s">
        <v>14</v>
      </c>
      <c r="L650" s="38" t="s">
        <v>15</v>
      </c>
      <c r="M650" s="38" t="s">
        <v>17</v>
      </c>
      <c r="N650" s="38" t="s">
        <v>16</v>
      </c>
    </row>
    <row r="651" spans="1:14" x14ac:dyDescent="0.35">
      <c r="A651" s="4" t="str">
        <f>Sheet1!A651 &amp; "/" &amp; "2025"</f>
        <v>2049/2025</v>
      </c>
      <c r="B651" s="5" t="str">
        <f>Sheet1!E651</f>
        <v>AU2065900901825</v>
      </c>
      <c r="C651" s="6" t="str">
        <f>UPPER(Sheet1!B651)</f>
        <v>AKAAL SINGH SANDHU</v>
      </c>
      <c r="D651" s="7" t="str">
        <f>IF(Sheet1!F651="F","FEMALE","MALE")</f>
        <v>MALE</v>
      </c>
      <c r="E651" s="6" t="str">
        <f>UPPER(Sheet1!G651)</f>
        <v>ARVINDER SINGH SANDHU</v>
      </c>
      <c r="F651" s="6" t="str">
        <f>UPPER(Sheet1!H651)</f>
        <v>JAGDEEP KAUR</v>
      </c>
      <c r="G651" s="5" t="str">
        <f>TEXT(Sheet1!C651,"dd/mm/yyyy") &amp; "," &amp; Sheet1!D651</f>
        <v xml:space="preserve">16/09/2025,CLAYTON , AUSTRALIA  </v>
      </c>
      <c r="H651" s="57" t="str">
        <f>UPPER(Sheet1!K651 &amp; "," &amp; Sheet1!L651 &amp; "," &amp; Sheet1!M651)</f>
        <v xml:space="preserve">KULARA FARM,PO. HARDASPUR,PILIBHIT,PIN:262302,UTTAR PRADESH,INDIA </v>
      </c>
      <c r="I651" s="8">
        <f>Sheet1!J651</f>
        <v>46003</v>
      </c>
      <c r="J651" s="5" t="str">
        <f>Sheet1!N651 &amp; "," &amp; TEXT(Sheet1!O651,"dd/mm/yy")</f>
        <v>202509081799,16/11/25</v>
      </c>
      <c r="K651" s="5" t="s">
        <v>14</v>
      </c>
      <c r="L651" s="38" t="s">
        <v>15</v>
      </c>
      <c r="M651" s="38" t="s">
        <v>17</v>
      </c>
      <c r="N651" s="38" t="s">
        <v>16</v>
      </c>
    </row>
    <row r="652" spans="1:14" x14ac:dyDescent="0.35">
      <c r="A652" s="4" t="str">
        <f>Sheet1!A652 &amp; "/" &amp; "2025"</f>
        <v>2050/2025</v>
      </c>
      <c r="B652" s="5" t="str">
        <f>Sheet1!E652</f>
        <v>AU2065900903025</v>
      </c>
      <c r="C652" s="6" t="str">
        <f>UPPER(Sheet1!B652)</f>
        <v>HUNAR KAUR SPALL</v>
      </c>
      <c r="D652" s="7" t="str">
        <f>IF(Sheet1!F652="F","FEMALE","MALE")</f>
        <v>FEMALE</v>
      </c>
      <c r="E652" s="6" t="str">
        <f>UPPER(Sheet1!G652)</f>
        <v>PARDEEP SINGH</v>
      </c>
      <c r="F652" s="6" t="str">
        <f>UPPER(Sheet1!H652)</f>
        <v>KAMALJEET KAUR</v>
      </c>
      <c r="G652" s="5" t="str">
        <f>TEXT(Sheet1!C652,"dd/mm/yyyy") &amp; "," &amp; Sheet1!D652</f>
        <v xml:space="preserve">05/09/2025,BERWICK , AUSTRALIA  </v>
      </c>
      <c r="H652" s="57" t="str">
        <f>UPPER(Sheet1!K652 &amp; "," &amp; Sheet1!L652 &amp; "," &amp; Sheet1!M652)</f>
        <v xml:space="preserve">1 CANTT ROAD,HIRA BAGH COLONY,NEAR GRID CHOWK,NABHA,PATIALA,PIN:147201,PUNJAB,INDIA </v>
      </c>
      <c r="I652" s="8">
        <f>Sheet1!J652</f>
        <v>46003</v>
      </c>
      <c r="J652" s="5" t="str">
        <f>Sheet1!N652 &amp; "," &amp; TEXT(Sheet1!O652,"dd/mm/yy")</f>
        <v>202509085631,29/11/25</v>
      </c>
      <c r="K652" s="5" t="s">
        <v>14</v>
      </c>
      <c r="L652" s="38" t="s">
        <v>15</v>
      </c>
      <c r="M652" s="38" t="s">
        <v>17</v>
      </c>
      <c r="N652" s="38" t="s">
        <v>16</v>
      </c>
    </row>
    <row r="653" spans="1:14" x14ac:dyDescent="0.35">
      <c r="A653" s="4" t="str">
        <f>Sheet1!A653 &amp; "/" &amp; "2025"</f>
        <v>2051/2025</v>
      </c>
      <c r="B653" s="5" t="str">
        <f>Sheet1!E653</f>
        <v>AU2065900903225</v>
      </c>
      <c r="C653" s="6" t="str">
        <f>UPPER(Sheet1!B653)</f>
        <v>GUNVEER SINGH AHLUWALIA</v>
      </c>
      <c r="D653" s="7" t="str">
        <f>IF(Sheet1!F653="F","FEMALE","MALE")</f>
        <v>MALE</v>
      </c>
      <c r="E653" s="6" t="str">
        <f>UPPER(Sheet1!G653)</f>
        <v>AMANPREET SINGH</v>
      </c>
      <c r="F653" s="6" t="str">
        <f>UPPER(Sheet1!H653)</f>
        <v>HARPREET KAUR</v>
      </c>
      <c r="G653" s="5" t="str">
        <f>TEXT(Sheet1!C653,"dd/mm/yyyy") &amp; "," &amp; Sheet1!D653</f>
        <v>23/08/2025,HOBART , AUSTRALIA</v>
      </c>
      <c r="H653" s="57" t="str">
        <f>UPPER(Sheet1!K653 &amp; "," &amp; Sheet1!L653 &amp; "," &amp; Sheet1!M653)</f>
        <v xml:space="preserve">VPO GANDHOWAL,TEH. GARHSHANKAR,HOSHIARPUR,PIN:146109,PUNJAB,INDIA </v>
      </c>
      <c r="I653" s="8">
        <f>Sheet1!J653</f>
        <v>46003</v>
      </c>
      <c r="J653" s="5" t="str">
        <f>Sheet1!N653 &amp; "," &amp; TEXT(Sheet1!O653,"dd/mm/yy")</f>
        <v>202509070583,06/10/25</v>
      </c>
      <c r="K653" s="5" t="s">
        <v>14</v>
      </c>
      <c r="L653" s="38" t="s">
        <v>15</v>
      </c>
      <c r="M653" s="38" t="s">
        <v>17</v>
      </c>
      <c r="N653" s="38" t="s">
        <v>16</v>
      </c>
    </row>
    <row r="654" spans="1:14" x14ac:dyDescent="0.35">
      <c r="A654" s="4" t="str">
        <f>Sheet1!A654 &amp; "/" &amp; "2025"</f>
        <v>2052/2025</v>
      </c>
      <c r="B654" s="5" t="str">
        <f>Sheet1!E654</f>
        <v>AU2065900903825</v>
      </c>
      <c r="C654" s="6" t="str">
        <f>UPPER(Sheet1!B654)</f>
        <v>RABAB KAUR</v>
      </c>
      <c r="D654" s="7" t="str">
        <f>IF(Sheet1!F654="F","FEMALE","MALE")</f>
        <v>FEMALE</v>
      </c>
      <c r="E654" s="6" t="str">
        <f>UPPER(Sheet1!G654)</f>
        <v>PRABHDEEP SINGH</v>
      </c>
      <c r="F654" s="6" t="str">
        <f>UPPER(Sheet1!H654)</f>
        <v>NAVJOT KAUR</v>
      </c>
      <c r="G654" s="5" t="str">
        <f>TEXT(Sheet1!C654,"dd/mm/yyyy") &amp; "," &amp; Sheet1!D654</f>
        <v xml:space="preserve">23/02/2025,CLAYTON , AUSTRALIA  </v>
      </c>
      <c r="H654" s="57" t="str">
        <f>UPPER(Sheet1!K654 &amp; "," &amp; Sheet1!L654 &amp; "," &amp; Sheet1!M654)</f>
        <v xml:space="preserve">VILL-MAHOLI KHURD,PO-MAHOLI KALAN,TEHSIL-MALERKOTLA,MALERKOTLA,PIN:148021,PUNJAB,INDIA </v>
      </c>
      <c r="I654" s="8">
        <f>Sheet1!J654</f>
        <v>46003</v>
      </c>
      <c r="J654" s="5" t="str">
        <f>Sheet1!N654 &amp; "," &amp; TEXT(Sheet1!O654,"dd/mm/yy")</f>
        <v>202509081917,17/11/25</v>
      </c>
      <c r="K654" s="5" t="s">
        <v>14</v>
      </c>
      <c r="L654" s="38" t="s">
        <v>15</v>
      </c>
      <c r="M654" s="38" t="s">
        <v>17</v>
      </c>
      <c r="N654" s="38" t="s">
        <v>16</v>
      </c>
    </row>
    <row r="655" spans="1:14" x14ac:dyDescent="0.35">
      <c r="A655" s="4" t="str">
        <f>Sheet1!A655 &amp; "/" &amp; "2025"</f>
        <v>2053/2025</v>
      </c>
      <c r="B655" s="5" t="str">
        <f>Sheet1!E655</f>
        <v>AU2065900904425</v>
      </c>
      <c r="C655" s="6" t="str">
        <f>UPPER(Sheet1!B655)</f>
        <v>AMANAT KAUR SIDHU</v>
      </c>
      <c r="D655" s="7" t="str">
        <f>IF(Sheet1!F655="F","FEMALE","MALE")</f>
        <v>FEMALE</v>
      </c>
      <c r="E655" s="6" t="str">
        <f>UPPER(Sheet1!G655)</f>
        <v>NAPINDER JIT SINGH SIDHU</v>
      </c>
      <c r="F655" s="6" t="str">
        <f>UPPER(Sheet1!H655)</f>
        <v>HARPREET KAUR SIDHU</v>
      </c>
      <c r="G655" s="5" t="str">
        <f>TEXT(Sheet1!C655,"dd/mm/yyyy") &amp; "," &amp; Sheet1!D655</f>
        <v>03/08/2025,HOBART , AUSTRALIA</v>
      </c>
      <c r="H655" s="57" t="str">
        <f>UPPER(Sheet1!K655 &amp; "," &amp; Sheet1!L655 &amp; "," &amp; Sheet1!M655)</f>
        <v xml:space="preserve">BATHAN,VPO BATHAN,MALERKOTLA,PIN:148022,PUNJAB,INDIA </v>
      </c>
      <c r="I655" s="8">
        <f>Sheet1!J655</f>
        <v>46003</v>
      </c>
      <c r="J655" s="5" t="str">
        <f>Sheet1!N655 &amp; "," &amp; TEXT(Sheet1!O655,"dd/mm/yy")</f>
        <v>202509067369,23/09/25</v>
      </c>
      <c r="K655" s="5" t="s">
        <v>14</v>
      </c>
      <c r="L655" s="38" t="s">
        <v>15</v>
      </c>
      <c r="M655" s="38" t="s">
        <v>17</v>
      </c>
      <c r="N655" s="38" t="s">
        <v>16</v>
      </c>
    </row>
    <row r="656" spans="1:14" x14ac:dyDescent="0.35">
      <c r="A656" s="4" t="str">
        <f>Sheet1!A656 &amp; "/" &amp; "2025"</f>
        <v>2054/2025</v>
      </c>
      <c r="B656" s="5" t="str">
        <f>Sheet1!E656</f>
        <v>AU2065900931225</v>
      </c>
      <c r="C656" s="6" t="str">
        <f>UPPER(Sheet1!B656)</f>
        <v>ISHRITHI CHERUKURI</v>
      </c>
      <c r="D656" s="7" t="str">
        <f>IF(Sheet1!F656="F","FEMALE","MALE")</f>
        <v>FEMALE</v>
      </c>
      <c r="E656" s="6" t="str">
        <f>UPPER(Sheet1!G656)</f>
        <v>KRISHNA CHAITANYA CHERUKURI</v>
      </c>
      <c r="F656" s="6" t="str">
        <f>UPPER(Sheet1!H656)</f>
        <v>KEERTHI PRIYA PATIBANDLA</v>
      </c>
      <c r="G656" s="5" t="str">
        <f>TEXT(Sheet1!C656,"dd/mm/yyyy") &amp; "," &amp; Sheet1!D656</f>
        <v xml:space="preserve">05/09/2025,ST ALBANS , AUSTRALIA </v>
      </c>
      <c r="H656" s="57" t="str">
        <f>UPPER(Sheet1!K656 &amp; "," &amp; Sheet1!L656 &amp; "," &amp; Sheet1!M656)</f>
        <v xml:space="preserve">1-101 NEAR PANCHAYA OFFICE,JAGANNADHAPURAM,WEST GODAVARI,PIN:534145,ANDHRA PRADESH,INDIA </v>
      </c>
      <c r="I656" s="8">
        <f>Sheet1!J656</f>
        <v>46006</v>
      </c>
      <c r="J656" s="5" t="str">
        <f>Sheet1!N656 &amp; "," &amp; TEXT(Sheet1!O656,"dd/mm/yy")</f>
        <v>202509086312,02/12/25</v>
      </c>
      <c r="K656" s="5" t="s">
        <v>14</v>
      </c>
      <c r="L656" s="38" t="s">
        <v>15</v>
      </c>
      <c r="M656" s="38" t="s">
        <v>17</v>
      </c>
      <c r="N656" s="38" t="s">
        <v>16</v>
      </c>
    </row>
    <row r="657" spans="1:14" x14ac:dyDescent="0.35">
      <c r="A657" s="4" t="str">
        <f>Sheet1!A657 &amp; "/" &amp; "2025"</f>
        <v>2055/2025</v>
      </c>
      <c r="B657" s="5" t="str">
        <f>Sheet1!E657</f>
        <v>AU2065900937425</v>
      </c>
      <c r="C657" s="6" t="str">
        <f>UPPER(Sheet1!B657)</f>
        <v>GURSIFAT KAUR</v>
      </c>
      <c r="D657" s="7" t="str">
        <f>IF(Sheet1!F657="F","FEMALE","MALE")</f>
        <v>FEMALE</v>
      </c>
      <c r="E657" s="6" t="str">
        <f>UPPER(Sheet1!G657)</f>
        <v>CHARANJEET SINGH</v>
      </c>
      <c r="F657" s="6" t="str">
        <f>UPPER(Sheet1!H657)</f>
        <v>RANJEET KAUR</v>
      </c>
      <c r="G657" s="5" t="str">
        <f>TEXT(Sheet1!C657,"dd/mm/yyyy") &amp; "," &amp; Sheet1!D657</f>
        <v>08/08/2025,HOBART , AUSTRALIA</v>
      </c>
      <c r="H657" s="57" t="str">
        <f>UPPER(Sheet1!K657 &amp; "," &amp; Sheet1!L657 &amp; "," &amp; Sheet1!M657)</f>
        <v xml:space="preserve">WARD NO. 3,PUBOWAL,UNA,PIN:174503,HIMACHAL PRADESH,INDIA </v>
      </c>
      <c r="I657" s="8">
        <f>Sheet1!J657</f>
        <v>46006</v>
      </c>
      <c r="J657" s="5" t="str">
        <f>Sheet1!N657 &amp; "," &amp; TEXT(Sheet1!O657,"dd/mm/yy")</f>
        <v>202509080038,10/11/25</v>
      </c>
      <c r="K657" s="5" t="s">
        <v>14</v>
      </c>
      <c r="L657" s="38" t="s">
        <v>15</v>
      </c>
      <c r="M657" s="38" t="s">
        <v>17</v>
      </c>
      <c r="N657" s="38" t="s">
        <v>16</v>
      </c>
    </row>
    <row r="658" spans="1:14" x14ac:dyDescent="0.35">
      <c r="A658" s="4" t="str">
        <f>Sheet1!A658 &amp; "/" &amp; "2025"</f>
        <v>2056/2025</v>
      </c>
      <c r="B658" s="5" t="str">
        <f>Sheet1!E658</f>
        <v>AU2065900938425</v>
      </c>
      <c r="C658" s="6" t="str">
        <f>UPPER(Sheet1!B658)</f>
        <v>AVERY PATHAK</v>
      </c>
      <c r="D658" s="7" t="str">
        <f>IF(Sheet1!F658="F","FEMALE","MALE")</f>
        <v>FEMALE</v>
      </c>
      <c r="E658" s="6" t="str">
        <f>UPPER(Sheet1!G658)</f>
        <v>GOURAV PATHAK</v>
      </c>
      <c r="F658" s="6" t="str">
        <f>UPPER(Sheet1!H658)</f>
        <v>NEENA DEVI</v>
      </c>
      <c r="G658" s="5" t="str">
        <f>TEXT(Sheet1!C658,"dd/mm/yyyy") &amp; "," &amp; Sheet1!D658</f>
        <v xml:space="preserve">12/05/2025,CLAYTON , AUSTRALIA  </v>
      </c>
      <c r="H658" s="57" t="str">
        <f>UPPER(Sheet1!K658 &amp; "," &amp; Sheet1!L658 &amp; "," &amp; Sheet1!M658)</f>
        <v xml:space="preserve">HOUSE NO-163,WARD NO-15,SUNAM,SANGRUR,PIN:148028,PUNJAB,INDIA </v>
      </c>
      <c r="I658" s="8">
        <f>Sheet1!J658</f>
        <v>46006</v>
      </c>
      <c r="J658" s="5" t="str">
        <f>Sheet1!N658 &amp; "," &amp; TEXT(Sheet1!O658,"dd/mm/yy")</f>
        <v>202509067898,24/09/25</v>
      </c>
      <c r="K658" s="5" t="s">
        <v>14</v>
      </c>
      <c r="L658" s="1" t="s">
        <v>15</v>
      </c>
      <c r="M658" s="38" t="s">
        <v>19</v>
      </c>
      <c r="N658" s="38" t="s">
        <v>16</v>
      </c>
    </row>
    <row r="659" spans="1:14" x14ac:dyDescent="0.35">
      <c r="A659" s="4" t="str">
        <f>Sheet1!A659 &amp; "/" &amp; "2025"</f>
        <v>2057/2025</v>
      </c>
      <c r="B659" s="5" t="str">
        <f>Sheet1!E659</f>
        <v>AU2065900939225</v>
      </c>
      <c r="C659" s="6" t="str">
        <f>UPPER(Sheet1!B659)</f>
        <v>ASEES KAUR</v>
      </c>
      <c r="D659" s="7" t="str">
        <f>IF(Sheet1!F659="F","FEMALE","MALE")</f>
        <v>FEMALE</v>
      </c>
      <c r="E659" s="6" t="str">
        <f>UPPER(Sheet1!G659)</f>
        <v>AJWINDER SINGH</v>
      </c>
      <c r="F659" s="6" t="str">
        <f>UPPER(Sheet1!H659)</f>
        <v>MANPREET KAUR</v>
      </c>
      <c r="G659" s="5" t="str">
        <f>TEXT(Sheet1!C659,"dd/mm/yyyy") &amp; "," &amp; Sheet1!D659</f>
        <v xml:space="preserve">15/02/2025,ST ALBANS , AUSTRALIA </v>
      </c>
      <c r="H659" s="57" t="str">
        <f>UPPER(Sheet1!K659 &amp; "," &amp; Sheet1!L659 &amp; "," &amp; Sheet1!M659)</f>
        <v xml:space="preserve">VPO.WADALA JOHAL (SHAMBALA),DISTT,AMRITSAR,PIN:143114,PUNJAB,INDIA </v>
      </c>
      <c r="I659" s="8">
        <f>Sheet1!J659</f>
        <v>46006</v>
      </c>
      <c r="J659" s="5" t="str">
        <f>Sheet1!N659 &amp; "," &amp; TEXT(Sheet1!O659,"dd/mm/yy")</f>
        <v>202509083042,20/11/25</v>
      </c>
      <c r="K659" s="5" t="s">
        <v>14</v>
      </c>
      <c r="L659" s="1" t="s">
        <v>15</v>
      </c>
      <c r="M659" s="38" t="s">
        <v>19</v>
      </c>
      <c r="N659" s="38" t="s">
        <v>16</v>
      </c>
    </row>
    <row r="660" spans="1:14" x14ac:dyDescent="0.35">
      <c r="A660" s="4" t="str">
        <f>Sheet1!A660 &amp; "/" &amp; "2025"</f>
        <v>2058/2025</v>
      </c>
      <c r="B660" s="5" t="str">
        <f>Sheet1!E660</f>
        <v>AU2065901996825</v>
      </c>
      <c r="C660" s="6" t="str">
        <f>UPPER(Sheet1!B660)</f>
        <v>RUDHIR RAMENANI</v>
      </c>
      <c r="D660" s="7" t="str">
        <f>IF(Sheet1!F660="F","FEMALE","MALE")</f>
        <v>MALE</v>
      </c>
      <c r="E660" s="6" t="str">
        <f>UPPER(Sheet1!G660)</f>
        <v>HARSHA VARDHAN RAMENANI</v>
      </c>
      <c r="F660" s="6" t="str">
        <f>UPPER(Sheet1!H660)</f>
        <v>MADHURI CHANUMOLU</v>
      </c>
      <c r="G660" s="5" t="str">
        <f>TEXT(Sheet1!C660,"dd/mm/yyyy") &amp; "," &amp; Sheet1!D660</f>
        <v xml:space="preserve">22/09/2025,FITZROY, AUSTRALIA </v>
      </c>
      <c r="H660" s="57" t="str">
        <f>UPPER(Sheet1!K660 &amp; "," &amp; Sheet1!L660 &amp; "," &amp; Sheet1!M660)</f>
        <v xml:space="preserve">15-3-190,PALLEGUNTHA,PALNADU,PIN:522415,ANDHRA PRADESH,INDIA </v>
      </c>
      <c r="I660" s="8">
        <f>Sheet1!J660</f>
        <v>46006</v>
      </c>
      <c r="J660" s="5" t="str">
        <f>Sheet1!N660 &amp; "," &amp; TEXT(Sheet1!O660,"dd/mm/yy")</f>
        <v>202509081970,17/11/25</v>
      </c>
      <c r="K660" s="5" t="s">
        <v>14</v>
      </c>
      <c r="L660" s="1" t="s">
        <v>15</v>
      </c>
      <c r="M660" s="38" t="s">
        <v>19</v>
      </c>
      <c r="N660" s="38" t="s">
        <v>16</v>
      </c>
    </row>
    <row r="661" spans="1:14" x14ac:dyDescent="0.35">
      <c r="A661" s="4" t="str">
        <f>Sheet1!A661 &amp; "/" &amp; "2025"</f>
        <v>2059/2025</v>
      </c>
      <c r="B661" s="5" t="str">
        <f>Sheet1!E661</f>
        <v>AU2065901997825</v>
      </c>
      <c r="C661" s="6" t="str">
        <f>UPPER(Sheet1!B661)</f>
        <v>MARYAM AHMED</v>
      </c>
      <c r="D661" s="7" t="str">
        <f>IF(Sheet1!F661="F","FEMALE","MALE")</f>
        <v>FEMALE</v>
      </c>
      <c r="E661" s="6" t="str">
        <f>UPPER(Sheet1!G661)</f>
        <v>FARHAN AHMED</v>
      </c>
      <c r="F661" s="6" t="str">
        <f>UPPER(Sheet1!H661)</f>
        <v>RESHMA SHIREEN</v>
      </c>
      <c r="G661" s="5" t="str">
        <f>TEXT(Sheet1!C661,"dd/mm/yyyy") &amp; "," &amp; Sheet1!D661</f>
        <v xml:space="preserve">13/08/2025,ST ALBANS , AUSTRALIA </v>
      </c>
      <c r="H661" s="57" t="str">
        <f>UPPER(Sheet1!K661 &amp; "," &amp; Sheet1!L661 &amp; "," &amp; Sheet1!M661)</f>
        <v xml:space="preserve">11-4-490 AND 491 BAZAR GUARD,REDHILLS,KHAIRATABAD,HYDERABAD,PIN:500004,TELANGANA,INDIA </v>
      </c>
      <c r="I661" s="8">
        <f>Sheet1!J661</f>
        <v>46006</v>
      </c>
      <c r="J661" s="5" t="str">
        <f>Sheet1!N661 &amp; "," &amp; TEXT(Sheet1!O661,"dd/mm/yy")</f>
        <v>202509086117,01/12/25</v>
      </c>
      <c r="K661" s="5" t="s">
        <v>14</v>
      </c>
      <c r="L661" s="1" t="s">
        <v>15</v>
      </c>
      <c r="M661" s="38" t="s">
        <v>19</v>
      </c>
      <c r="N661" s="38" t="s">
        <v>16</v>
      </c>
    </row>
    <row r="662" spans="1:14" x14ac:dyDescent="0.35">
      <c r="A662" s="4" t="str">
        <f>Sheet1!A662 &amp; "/" &amp; "2025"</f>
        <v>2060/2025</v>
      </c>
      <c r="B662" s="5" t="str">
        <f>Sheet1!E662</f>
        <v>AU2065901998625</v>
      </c>
      <c r="C662" s="6" t="str">
        <f>UPPER(Sheet1!B662)</f>
        <v>HANIN FATIMA PALIZA</v>
      </c>
      <c r="D662" s="7" t="str">
        <f>IF(Sheet1!F662="F","FEMALE","MALE")</f>
        <v>FEMALE</v>
      </c>
      <c r="E662" s="6" t="str">
        <f>UPPER(Sheet1!G662)</f>
        <v>IMARANBHAI VAHIDBHAI PALIZA</v>
      </c>
      <c r="F662" s="6" t="str">
        <f>UPPER(Sheet1!H662)</f>
        <v>SUFIYABANU MAHAMMADFARUK PATHAN</v>
      </c>
      <c r="G662" s="5" t="str">
        <f>TEXT(Sheet1!C662,"dd/mm/yyyy") &amp; "," &amp; Sheet1!D662</f>
        <v xml:space="preserve">21/05/2025,AUBURN, AUSTRALIA </v>
      </c>
      <c r="H662" s="57" t="str">
        <f>UPPER(Sheet1!K662 &amp; "," &amp; Sheet1!L662 &amp; "," &amp; Sheet1!M662)</f>
        <v xml:space="preserve">NEAR WATER TANK,TALEPURA(GOLA),PALANPUR,BANASKANTHA,PIN:385410,GUJARAT,INDIA </v>
      </c>
      <c r="I662" s="8">
        <f>Sheet1!J662</f>
        <v>46006</v>
      </c>
      <c r="J662" s="5" t="str">
        <f>Sheet1!N662 &amp; "," &amp; TEXT(Sheet1!O662,"dd/mm/yy")</f>
        <v>202509083154,20/11/25</v>
      </c>
      <c r="K662" s="5" t="s">
        <v>14</v>
      </c>
      <c r="L662" s="1" t="s">
        <v>15</v>
      </c>
      <c r="M662" s="38" t="s">
        <v>19</v>
      </c>
      <c r="N662" s="38" t="s">
        <v>16</v>
      </c>
    </row>
    <row r="663" spans="1:14" x14ac:dyDescent="0.35">
      <c r="A663" s="4" t="str">
        <f>Sheet1!A663 &amp; "/" &amp; "2025"</f>
        <v>2061/2025</v>
      </c>
      <c r="B663" s="5" t="str">
        <f>Sheet1!E663</f>
        <v>AU2065901999825</v>
      </c>
      <c r="C663" s="6" t="str">
        <f>UPPER(Sheet1!B663)</f>
        <v>ANANTVIR SINGH SIDHU</v>
      </c>
      <c r="D663" s="7" t="str">
        <f>IF(Sheet1!F663="F","FEMALE","MALE")</f>
        <v>MALE</v>
      </c>
      <c r="E663" s="6" t="str">
        <f>UPPER(Sheet1!G663)</f>
        <v>JASPINDER SINGH SIDHU</v>
      </c>
      <c r="F663" s="6" t="str">
        <f>UPPER(Sheet1!H663)</f>
        <v>LOVELEEN KAUR</v>
      </c>
      <c r="G663" s="5" t="str">
        <f>TEXT(Sheet1!C663,"dd/mm/yyyy") &amp; "," &amp; Sheet1!D663</f>
        <v xml:space="preserve">14/10/2025,CLAYTON , AUSTRALIA  </v>
      </c>
      <c r="H663" s="57" t="str">
        <f>UPPER(Sheet1!K663 &amp; "," &amp; Sheet1!L663 &amp; "," &amp; Sheet1!M663)</f>
        <v xml:space="preserve">VILL- BANGI RULDU,TEH- TALWANDI SABO,BATHINDA,PIN:151301,PUNJAB,INDIA </v>
      </c>
      <c r="I663" s="8">
        <f>Sheet1!J663</f>
        <v>46006</v>
      </c>
      <c r="J663" s="5" t="str">
        <f>Sheet1!N663 &amp; "," &amp; TEXT(Sheet1!O663,"dd/mm/yy")</f>
        <v>202509082703,19/11/25</v>
      </c>
      <c r="K663" s="5" t="s">
        <v>14</v>
      </c>
      <c r="L663" s="1" t="s">
        <v>15</v>
      </c>
      <c r="M663" s="38" t="s">
        <v>19</v>
      </c>
      <c r="N663" s="38" t="s">
        <v>16</v>
      </c>
    </row>
    <row r="664" spans="1:14" x14ac:dyDescent="0.35">
      <c r="A664" s="4" t="str">
        <f>Sheet1!A664 &amp; "/" &amp; "2025"</f>
        <v>2062/2025</v>
      </c>
      <c r="B664" s="5" t="str">
        <f>Sheet1!E664</f>
        <v>AU2065902000625</v>
      </c>
      <c r="C664" s="6" t="str">
        <f>UPPER(Sheet1!B664)</f>
        <v>LIVANSH ATWAL</v>
      </c>
      <c r="D664" s="7" t="str">
        <f>IF(Sheet1!F664="F","FEMALE","MALE")</f>
        <v>MALE</v>
      </c>
      <c r="E664" s="6" t="str">
        <f>UPPER(Sheet1!G664)</f>
        <v>CHETAN ATWAL</v>
      </c>
      <c r="F664" s="6" t="str">
        <f>UPPER(Sheet1!H664)</f>
        <v>AMANDEEP KAUR</v>
      </c>
      <c r="G664" s="5" t="str">
        <f>TEXT(Sheet1!C664,"dd/mm/yyyy") &amp; "," &amp; Sheet1!D664</f>
        <v xml:space="preserve">21/06/2025,HEIDELBERG , AUSTRALIA </v>
      </c>
      <c r="H664" s="57" t="str">
        <f>UPPER(Sheet1!K664 &amp; "," &amp; Sheet1!L664 &amp; "," &amp; Sheet1!M664)</f>
        <v xml:space="preserve">HOUSE NO. 22 VALMIKI MOHALLA,BANGA,SBS NAGAR,PIN:144505,PUNJAB,INDIA </v>
      </c>
      <c r="I664" s="8">
        <f>Sheet1!J664</f>
        <v>46006</v>
      </c>
      <c r="J664" s="5" t="str">
        <f>Sheet1!N664 &amp; "," &amp; TEXT(Sheet1!O664,"dd/mm/yy")</f>
        <v>202509068544,27/09/25</v>
      </c>
      <c r="K664" s="5" t="s">
        <v>14</v>
      </c>
      <c r="L664" s="1" t="s">
        <v>15</v>
      </c>
      <c r="M664" s="38" t="s">
        <v>19</v>
      </c>
      <c r="N664" s="38" t="s">
        <v>16</v>
      </c>
    </row>
    <row r="665" spans="1:14" x14ac:dyDescent="0.35">
      <c r="A665" s="4" t="str">
        <f>Sheet1!A665 &amp; "/" &amp; "2025"</f>
        <v>2063/2025</v>
      </c>
      <c r="B665" s="5" t="str">
        <f>Sheet1!E665</f>
        <v>AU2065900944025</v>
      </c>
      <c r="C665" s="6" t="str">
        <f>UPPER(Sheet1!B665)</f>
        <v>RAMYA MOR</v>
      </c>
      <c r="D665" s="7" t="str">
        <f>IF(Sheet1!F665="F","FEMALE","MALE")</f>
        <v>FEMALE</v>
      </c>
      <c r="E665" s="6" t="str">
        <f>UPPER(Sheet1!G665)</f>
        <v>ASHISH</v>
      </c>
      <c r="F665" s="6" t="str">
        <f>UPPER(Sheet1!H665)</f>
        <v>KIRAN</v>
      </c>
      <c r="G665" s="5" t="str">
        <f>TEXT(Sheet1!C665,"dd/mm/yyyy") &amp; "," &amp; Sheet1!D665</f>
        <v>21/10/2025,BALLARAT CENTRAL, AUSTRALIA</v>
      </c>
      <c r="H665" s="57" t="str">
        <f>UPPER(Sheet1!K665 &amp; "," &amp; Sheet1!L665 &amp; "," &amp; Sheet1!M665)</f>
        <v xml:space="preserve">VPO. CHHATTAR,TEH. NARWANA,JIND,PIN:126115,HARYANA,INDIA </v>
      </c>
      <c r="I665" s="8">
        <f>Sheet1!J665</f>
        <v>46006</v>
      </c>
      <c r="J665" s="5" t="str">
        <f>Sheet1!N665 &amp; "," &amp; TEXT(Sheet1!O665,"dd/mm/yy")</f>
        <v>202509082702,19/11/25</v>
      </c>
      <c r="K665" s="5" t="s">
        <v>14</v>
      </c>
      <c r="L665" s="1" t="s">
        <v>15</v>
      </c>
      <c r="M665" s="38" t="s">
        <v>19</v>
      </c>
      <c r="N665" s="38" t="s">
        <v>16</v>
      </c>
    </row>
    <row r="666" spans="1:14" x14ac:dyDescent="0.35">
      <c r="A666" s="4" t="str">
        <f>Sheet1!A666 &amp; "/" &amp; "2025"</f>
        <v>2064/2025</v>
      </c>
      <c r="B666" s="5" t="str">
        <f>Sheet1!E666</f>
        <v>AU2065900951825</v>
      </c>
      <c r="C666" s="6" t="str">
        <f>UPPER(Sheet1!B666)</f>
        <v>PRANVAT SINGH SOHI</v>
      </c>
      <c r="D666" s="7" t="str">
        <f>IF(Sheet1!F666="F","FEMALE","MALE")</f>
        <v>MALE</v>
      </c>
      <c r="E666" s="6" t="str">
        <f>UPPER(Sheet1!G666)</f>
        <v>JAGWINDER SINGH SOHI</v>
      </c>
      <c r="F666" s="6" t="str">
        <f>UPPER(Sheet1!H666)</f>
        <v>RAJVEER KAUR</v>
      </c>
      <c r="G666" s="5" t="str">
        <f>TEXT(Sheet1!C666,"dd/mm/yyyy") &amp; "," &amp; Sheet1!D666</f>
        <v xml:space="preserve">12/05/2025,ST ALBANS , AUSTRALIA </v>
      </c>
      <c r="H666" s="57" t="str">
        <f>UPPER(Sheet1!K666 &amp; "," &amp; Sheet1!L666 &amp; "," &amp; Sheet1!M666)</f>
        <v xml:space="preserve">VILL CHEEMA PO MEEMSA,TEH DHURI,SANGRUR,PIN:148024,PUNJAB,INDIA </v>
      </c>
      <c r="I666" s="8">
        <f>Sheet1!J666</f>
        <v>46006</v>
      </c>
      <c r="J666" s="5" t="str">
        <f>Sheet1!N666 &amp; "," &amp; TEXT(Sheet1!O666,"dd/mm/yy")</f>
        <v>202509080023,10/11/25</v>
      </c>
      <c r="K666" s="5" t="s">
        <v>14</v>
      </c>
      <c r="L666" s="1" t="s">
        <v>15</v>
      </c>
      <c r="M666" s="38" t="s">
        <v>19</v>
      </c>
      <c r="N666" s="38" t="s">
        <v>16</v>
      </c>
    </row>
    <row r="667" spans="1:14" x14ac:dyDescent="0.35">
      <c r="A667" s="4" t="str">
        <f>Sheet1!A667 &amp; "/" &amp; "2025"</f>
        <v>2065/2025</v>
      </c>
      <c r="B667" s="5" t="str">
        <f>Sheet1!E667</f>
        <v>AU2065900953025</v>
      </c>
      <c r="C667" s="6" t="str">
        <f>UPPER(Sheet1!B667)</f>
        <v>BAANI KAUR AHLUWALIA</v>
      </c>
      <c r="D667" s="7" t="str">
        <f>IF(Sheet1!F667="F","FEMALE","MALE")</f>
        <v>FEMALE</v>
      </c>
      <c r="E667" s="6" t="str">
        <f>UPPER(Sheet1!G667)</f>
        <v>PAWANPREET SINGH</v>
      </c>
      <c r="F667" s="6" t="str">
        <f>UPPER(Sheet1!H667)</f>
        <v>MANJINDER KAUR</v>
      </c>
      <c r="G667" s="5" t="str">
        <f>TEXT(Sheet1!C667,"dd/mm/yyyy") &amp; "," &amp; Sheet1!D667</f>
        <v>13/07/2025,DANDENONG, AUSTRALIA</v>
      </c>
      <c r="H667" s="57" t="str">
        <f>UPPER(Sheet1!K667 &amp; "," &amp; Sheet1!L667 &amp; "," &amp; Sheet1!M667)</f>
        <v xml:space="preserve">VILL BARA PO BHATOYA,TEH AND DISTT,GURDASPUR,PIN:143531,PUNJAB,INDIA </v>
      </c>
      <c r="I667" s="8">
        <f>Sheet1!J667</f>
        <v>46006</v>
      </c>
      <c r="J667" s="5" t="str">
        <f>Sheet1!N667 &amp; "," &amp; TEXT(Sheet1!O667,"dd/mm/yy")</f>
        <v>202509078866,05/11/25</v>
      </c>
      <c r="K667" s="5" t="s">
        <v>14</v>
      </c>
      <c r="L667" s="1" t="s">
        <v>15</v>
      </c>
      <c r="M667" s="38" t="s">
        <v>19</v>
      </c>
      <c r="N667" s="38" t="s">
        <v>16</v>
      </c>
    </row>
    <row r="668" spans="1:14" x14ac:dyDescent="0.35">
      <c r="A668" s="4" t="str">
        <f>Sheet1!A668 &amp; "/" &amp; "2025"</f>
        <v>2066/2025</v>
      </c>
      <c r="B668" s="5" t="str">
        <f>Sheet1!E668</f>
        <v>AU2065900956025</v>
      </c>
      <c r="C668" s="6" t="str">
        <f>UPPER(Sheet1!B668)</f>
        <v>EVAARAH KANADE</v>
      </c>
      <c r="D668" s="7" t="str">
        <f>IF(Sheet1!F668="F","FEMALE","MALE")</f>
        <v>FEMALE</v>
      </c>
      <c r="E668" s="6" t="str">
        <f>UPPER(Sheet1!G668)</f>
        <v>BRIAN ROHAN KANADE</v>
      </c>
      <c r="F668" s="6" t="str">
        <f>UPPER(Sheet1!H668)</f>
        <v>SUKAINA BRIAN ROHAN KANADE</v>
      </c>
      <c r="G668" s="5" t="str">
        <f>TEXT(Sheet1!C668,"dd/mm/yyyy") &amp; "," &amp; Sheet1!D668</f>
        <v xml:space="preserve">03/08/2025,WERIBEE, AUSTRALIA </v>
      </c>
      <c r="H668" s="57" t="str">
        <f>UPPER(Sheet1!K668 &amp; "," &amp; Sheet1!L668 &amp; "," &amp; Sheet1!M668)</f>
        <v xml:space="preserve">703,ASHLEY TOWERS,NEXT TO PVR CINEMAS,KANAKIA,THANE,THANE,PIN:401107,MAHARASHTRA,INDIA </v>
      </c>
      <c r="I668" s="8">
        <f>Sheet1!J668</f>
        <v>46006</v>
      </c>
      <c r="J668" s="5" t="str">
        <f>Sheet1!N668 &amp; "," &amp; TEXT(Sheet1!O668,"dd/mm/yy")</f>
        <v>202509077796,01/11/25</v>
      </c>
      <c r="K668" s="5" t="s">
        <v>14</v>
      </c>
      <c r="L668" s="1" t="s">
        <v>15</v>
      </c>
      <c r="M668" s="38" t="s">
        <v>19</v>
      </c>
      <c r="N668" s="38" t="s">
        <v>16</v>
      </c>
    </row>
    <row r="669" spans="1:14" x14ac:dyDescent="0.35">
      <c r="A669" s="4" t="str">
        <f>Sheet1!A669 &amp; "/" &amp; "2025"</f>
        <v>2067/2025</v>
      </c>
      <c r="B669" s="5" t="str">
        <f>Sheet1!E669</f>
        <v>AU2065900957225</v>
      </c>
      <c r="C669" s="6" t="str">
        <f>UPPER(Sheet1!B669)</f>
        <v>PARVAN SINGH</v>
      </c>
      <c r="D669" s="7" t="str">
        <f>IF(Sheet1!F669="F","FEMALE","MALE")</f>
        <v>MALE</v>
      </c>
      <c r="E669" s="6" t="str">
        <f>UPPER(Sheet1!G669)</f>
        <v>AMARPREET SINGH</v>
      </c>
      <c r="F669" s="6" t="str">
        <f>UPPER(Sheet1!H669)</f>
        <v>ARVINDER KAUR</v>
      </c>
      <c r="G669" s="5" t="str">
        <f>TEXT(Sheet1!C669,"dd/mm/yyyy") &amp; "," &amp; Sheet1!D669</f>
        <v xml:space="preserve">16/08/2025,BERWICK , AUSTRALIA  </v>
      </c>
      <c r="H669" s="57" t="str">
        <f>UPPER(Sheet1!K669 &amp; "," &amp; Sheet1!L669 &amp; "," &amp; Sheet1!M669)</f>
        <v xml:space="preserve">VPO BEAS TEHSIL BABA BAKALA,AMRITSAR,BEAS,AMRITSAR,PIN:143201,PUNJAB,INDIA </v>
      </c>
      <c r="I669" s="8">
        <f>Sheet1!J669</f>
        <v>46006</v>
      </c>
      <c r="J669" s="5" t="str">
        <f>Sheet1!N669 &amp; "," &amp; TEXT(Sheet1!O669,"dd/mm/yy")</f>
        <v>202509067128,22/09/25</v>
      </c>
      <c r="K669" s="5" t="s">
        <v>14</v>
      </c>
      <c r="L669" s="1" t="s">
        <v>15</v>
      </c>
      <c r="M669" s="38" t="s">
        <v>19</v>
      </c>
      <c r="N669" s="38" t="s">
        <v>16</v>
      </c>
    </row>
    <row r="670" spans="1:14" x14ac:dyDescent="0.35">
      <c r="A670" s="4" t="str">
        <f>Sheet1!A670 &amp; "/" &amp; "2025"</f>
        <v>2068/2025</v>
      </c>
      <c r="B670" s="5" t="str">
        <f>Sheet1!E670</f>
        <v>AU2065900959225</v>
      </c>
      <c r="C670" s="6" t="str">
        <f>UPPER(Sheet1!B670)</f>
        <v>PENAK SADHRA</v>
      </c>
      <c r="D670" s="7" t="str">
        <f>IF(Sheet1!F670="F","FEMALE","MALE")</f>
        <v>MALE</v>
      </c>
      <c r="E670" s="6" t="str">
        <f>UPPER(Sheet1!G670)</f>
        <v>NEERAJ SADHRA</v>
      </c>
      <c r="F670" s="6" t="str">
        <f>UPPER(Sheet1!H670)</f>
        <v>LEENA SADHRA</v>
      </c>
      <c r="G670" s="5" t="str">
        <f>TEXT(Sheet1!C670,"dd/mm/yyyy") &amp; "," &amp; Sheet1!D670</f>
        <v xml:space="preserve">14/06/2024,BEDFORD PARK, AUSTRALIA  </v>
      </c>
      <c r="H670" s="57" t="str">
        <f>UPPER(Sheet1!K670 &amp; "," &amp; Sheet1!L670 &amp; "," &amp; Sheet1!M670)</f>
        <v xml:space="preserve">H. NO. B 14/174 LAROYIAN MOHALLA,SBS NAGAR,SBS NAGAR,PIN:144514,PUNJAB,INDIA </v>
      </c>
      <c r="I670" s="8">
        <f>Sheet1!J670</f>
        <v>46006</v>
      </c>
      <c r="J670" s="5" t="str">
        <f>Sheet1!N670 &amp; "," &amp; TEXT(Sheet1!O670,"dd/mm/yy")</f>
        <v>202509086948,04/12/25</v>
      </c>
      <c r="K670" s="5" t="s">
        <v>14</v>
      </c>
      <c r="L670" s="1" t="s">
        <v>15</v>
      </c>
      <c r="M670" s="38" t="s">
        <v>19</v>
      </c>
      <c r="N670" s="38" t="s">
        <v>16</v>
      </c>
    </row>
    <row r="671" spans="1:14" x14ac:dyDescent="0.35">
      <c r="A671" s="4" t="str">
        <f>Sheet1!A671 &amp; "/" &amp; "2025"</f>
        <v>2069/2025</v>
      </c>
      <c r="B671" s="5" t="str">
        <f>Sheet1!E671</f>
        <v>AU2065900962625</v>
      </c>
      <c r="C671" s="6" t="str">
        <f>UPPER(Sheet1!B671)</f>
        <v>SEHAJ SINGH</v>
      </c>
      <c r="D671" s="7" t="str">
        <f>IF(Sheet1!F671="F","FEMALE","MALE")</f>
        <v>MALE</v>
      </c>
      <c r="E671" s="6" t="str">
        <f>UPPER(Sheet1!G671)</f>
        <v>DAVINDER SINGH</v>
      </c>
      <c r="F671" s="6" t="str">
        <f>UPPER(Sheet1!H671)</f>
        <v>KULVIR KAUR</v>
      </c>
      <c r="G671" s="5" t="str">
        <f>TEXT(Sheet1!C671,"dd/mm/yyyy") &amp; "," &amp; Sheet1!D671</f>
        <v xml:space="preserve">30/10/2025,GEELONG , AUSTRALIA </v>
      </c>
      <c r="H671" s="57" t="str">
        <f>UPPER(Sheet1!K671 &amp; "," &amp; Sheet1!L671 &amp; "," &amp; Sheet1!M671)</f>
        <v xml:space="preserve">DARIA PATTI,VPO. LADDA,SANGRUR,PIN:148034,PUNJAB,INDIA </v>
      </c>
      <c r="I671" s="8">
        <f>Sheet1!J671</f>
        <v>46006</v>
      </c>
      <c r="J671" s="5" t="str">
        <f>Sheet1!N671 &amp; "," &amp; TEXT(Sheet1!O671,"dd/mm/yy")</f>
        <v>202509085991,01/12/25</v>
      </c>
      <c r="K671" s="5" t="s">
        <v>14</v>
      </c>
      <c r="L671" s="1" t="s">
        <v>15</v>
      </c>
      <c r="M671" s="38" t="s">
        <v>19</v>
      </c>
      <c r="N671" s="38" t="s">
        <v>16</v>
      </c>
    </row>
    <row r="672" spans="1:14" x14ac:dyDescent="0.35">
      <c r="A672" s="4" t="str">
        <f>Sheet1!A672 &amp; "/" &amp; "2025"</f>
        <v>2070/2025</v>
      </c>
      <c r="B672" s="5" t="str">
        <f>Sheet1!E672</f>
        <v>AU2065900964225</v>
      </c>
      <c r="C672" s="6" t="str">
        <f>UPPER(Sheet1!B672)</f>
        <v>HARI RUDRA RAO SURABHI</v>
      </c>
      <c r="D672" s="7" t="str">
        <f>IF(Sheet1!F672="F","FEMALE","MALE")</f>
        <v>MALE</v>
      </c>
      <c r="E672" s="6" t="str">
        <f>UPPER(Sheet1!G672)</f>
        <v>RAKESH SURABHI</v>
      </c>
      <c r="F672" s="6" t="str">
        <f>UPPER(Sheet1!H672)</f>
        <v>HASRITHA VALA</v>
      </c>
      <c r="G672" s="5" t="str">
        <f>TEXT(Sheet1!C672,"dd/mm/yyyy") &amp; "," &amp; Sheet1!D672</f>
        <v xml:space="preserve">20/09/2025,TRARALGON, AUSTRALIA </v>
      </c>
      <c r="H672" s="57" t="str">
        <f>UPPER(Sheet1!K672 &amp; "," &amp; Sheet1!L672 &amp; "," &amp; Sheet1!M672)</f>
        <v xml:space="preserve">HNO:1-97/2/2/A/1,ROADNO:2/A.DWARAKA NAGAR,REKURTHI,KARIMNAGAR,PIN:505451,TELANGANA,INDIA </v>
      </c>
      <c r="I672" s="8">
        <f>Sheet1!J672</f>
        <v>46006</v>
      </c>
      <c r="J672" s="5" t="str">
        <f>Sheet1!N672 &amp; "," &amp; TEXT(Sheet1!O672,"dd/mm/yy")</f>
        <v>202509083823,23/11/25</v>
      </c>
      <c r="K672" s="5" t="s">
        <v>14</v>
      </c>
      <c r="L672" s="1" t="s">
        <v>15</v>
      </c>
      <c r="M672" s="38" t="s">
        <v>19</v>
      </c>
      <c r="N672" s="38" t="s">
        <v>16</v>
      </c>
    </row>
    <row r="673" spans="1:14" x14ac:dyDescent="0.35">
      <c r="A673" s="4" t="str">
        <f>Sheet1!A673 &amp; "/" &amp; "2025"</f>
        <v>2071/2025</v>
      </c>
      <c r="B673" s="5" t="str">
        <f>Sheet1!E673</f>
        <v>AU2065900964825</v>
      </c>
      <c r="C673" s="6" t="str">
        <f>UPPER(Sheet1!B673)</f>
        <v>REHMAT KAUR GARCHA</v>
      </c>
      <c r="D673" s="7" t="str">
        <f>IF(Sheet1!F673="F","FEMALE","MALE")</f>
        <v>FEMALE</v>
      </c>
      <c r="E673" s="6" t="str">
        <f>UPPER(Sheet1!G673)</f>
        <v>TARNJIT SINGH</v>
      </c>
      <c r="F673" s="6" t="str">
        <f>UPPER(Sheet1!H673)</f>
        <v>RAJDEEP KAUR</v>
      </c>
      <c r="G673" s="5" t="str">
        <f>TEXT(Sheet1!C673,"dd/mm/yyyy") &amp; "," &amp; Sheet1!D673</f>
        <v xml:space="preserve">10/06/2025,MILDURA, AUSTRALIA </v>
      </c>
      <c r="H673" s="57" t="str">
        <f>UPPER(Sheet1!K673 &amp; "," &amp; Sheet1!L673 &amp; "," &amp; Sheet1!M673)</f>
        <v xml:space="preserve">VPO- LAKHANPUR,PO- UCHA JATANA,TEH.- KHAMANO MANDI,FATEHGARH SAHIB,PIN:141801,PUNJAB,INDIA </v>
      </c>
      <c r="I673" s="8">
        <f>Sheet1!J673</f>
        <v>46006</v>
      </c>
      <c r="J673" s="5" t="str">
        <f>Sheet1!N673 &amp; "," &amp; TEXT(Sheet1!O673,"dd/mm/yy")</f>
        <v>202509073814,17/10/25</v>
      </c>
      <c r="K673" s="5" t="s">
        <v>14</v>
      </c>
      <c r="L673" s="1" t="s">
        <v>15</v>
      </c>
      <c r="M673" s="38" t="s">
        <v>19</v>
      </c>
      <c r="N673" s="38" t="s">
        <v>16</v>
      </c>
    </row>
    <row r="674" spans="1:14" ht="30" customHeight="1" x14ac:dyDescent="0.35">
      <c r="A674" s="4" t="str">
        <f>Sheet1!A674 &amp; "/" &amp; "2025"</f>
        <v>2072/2025</v>
      </c>
      <c r="B674" s="5" t="str">
        <f>Sheet1!E674</f>
        <v>AU2065900970625</v>
      </c>
      <c r="C674" s="6" t="str">
        <f>UPPER(Sheet1!B674)</f>
        <v>MUHAMMAD ATIKURRAHEMAN DADU</v>
      </c>
      <c r="D674" s="7" t="str">
        <f>IF(Sheet1!F674="F","FEMALE","MALE")</f>
        <v>MALE</v>
      </c>
      <c r="E674" s="6" t="str">
        <f>UPPER(Sheet1!G674)</f>
        <v>ATIKURRAHEMAN MAHAMMEDSADIK DADU</v>
      </c>
      <c r="F674" s="6" t="str">
        <f>UPPER(Sheet1!H674)</f>
        <v>RUKHSAR ATIKURRAHEMAN DADU</v>
      </c>
      <c r="G674" s="5" t="str">
        <f>TEXT(Sheet1!C674,"dd/mm/yyyy") &amp; "," &amp; Sheet1!D674</f>
        <v xml:space="preserve">30/05/2025,UPPER FERNTREE GULLY, AUSTRALIA </v>
      </c>
      <c r="H674" s="57" t="str">
        <f>UPPER(Sheet1!K674 &amp; "," &amp; Sheet1!L674 &amp; "," &amp; Sheet1!M674)</f>
        <v xml:space="preserve">47 TRANSPORT NAGAR COLLEGE ROAD,MODASA,ARVALLI,PIN:383315,GUJARAT,INDIA </v>
      </c>
      <c r="I674" s="8">
        <f>Sheet1!J674</f>
        <v>46006</v>
      </c>
      <c r="J674" s="5" t="str">
        <f>Sheet1!N674 &amp; "," &amp; TEXT(Sheet1!O674,"dd/mm/yy")</f>
        <v>202509086048,01/12/25</v>
      </c>
      <c r="K674" s="5" t="s">
        <v>14</v>
      </c>
      <c r="L674" s="1" t="s">
        <v>15</v>
      </c>
      <c r="M674" s="38" t="s">
        <v>19</v>
      </c>
      <c r="N674" s="38" t="s">
        <v>16</v>
      </c>
    </row>
    <row r="675" spans="1:14" x14ac:dyDescent="0.35">
      <c r="A675" s="4" t="str">
        <f>Sheet1!A675 &amp; "/" &amp; "2025"</f>
        <v>2073/2025</v>
      </c>
      <c r="B675" s="5" t="str">
        <f>Sheet1!E675</f>
        <v>AU2065905200825</v>
      </c>
      <c r="C675" s="6" t="str">
        <f>UPPER(Sheet1!B675)</f>
        <v>MEHRAAB KAUR TOOR</v>
      </c>
      <c r="D675" s="7" t="str">
        <f>IF(Sheet1!F675="F","FEMALE","MALE")</f>
        <v>FEMALE</v>
      </c>
      <c r="E675" s="6" t="str">
        <f>UPPER(Sheet1!G675)</f>
        <v>JASVIR SINGH</v>
      </c>
      <c r="F675" s="6" t="str">
        <f>UPPER(Sheet1!H675)</f>
        <v>GURSIMRAT KHAIRA</v>
      </c>
      <c r="G675" s="5" t="str">
        <f>TEXT(Sheet1!C675,"dd/mm/yyyy") &amp; "," &amp; Sheet1!D675</f>
        <v xml:space="preserve">04/06/2025,CLAYTON , AUSTRALIA  </v>
      </c>
      <c r="H675" s="57" t="str">
        <f>UPPER(Sheet1!K675 &amp; "," &amp; Sheet1!L675 &amp; "," &amp; Sheet1!M675)</f>
        <v xml:space="preserve">VILLAGE RAMPURA,TEH BHAWANIGARH,SANGRUR,PIN:148026,PUNJAB,INDIA </v>
      </c>
      <c r="I675" s="8">
        <f>Sheet1!J675</f>
        <v>46007</v>
      </c>
      <c r="J675" s="5" t="str">
        <f>Sheet1!N675 &amp; "," &amp; TEXT(Sheet1!O675,"dd/mm/yy")</f>
        <v>202509058004,18/08/25</v>
      </c>
      <c r="K675" s="5" t="s">
        <v>14</v>
      </c>
      <c r="L675" s="1" t="s">
        <v>15</v>
      </c>
      <c r="M675" s="59" t="s">
        <v>19</v>
      </c>
      <c r="N675" s="38" t="s">
        <v>18</v>
      </c>
    </row>
    <row r="676" spans="1:14" x14ac:dyDescent="0.35">
      <c r="A676" s="4" t="str">
        <f>Sheet1!A676 &amp; "/" &amp; "2025"</f>
        <v>2074/2025</v>
      </c>
      <c r="B676" s="5" t="str">
        <f>Sheet1!E676</f>
        <v>AU2065903950025</v>
      </c>
      <c r="C676" s="6" t="str">
        <f>UPPER(Sheet1!B676)</f>
        <v>YAHYA SYED</v>
      </c>
      <c r="D676" s="7" t="str">
        <f>IF(Sheet1!F676="F","FEMALE","MALE")</f>
        <v>MALE</v>
      </c>
      <c r="E676" s="6" t="str">
        <f>UPPER(Sheet1!G676)</f>
        <v>SYED REHAN AHMED</v>
      </c>
      <c r="F676" s="6" t="str">
        <f>UPPER(Sheet1!H676)</f>
        <v>ARJUMAN BEGUM</v>
      </c>
      <c r="G676" s="5" t="str">
        <f>TEXT(Sheet1!C676,"dd/mm/yyyy") &amp; "," &amp; Sheet1!D676</f>
        <v xml:space="preserve">27/09/2025,LAUNCESTON , AUSTRALIA  </v>
      </c>
      <c r="H676" s="57" t="str">
        <f>UPPER(Sheet1!K676 &amp; "," &amp; Sheet1!L676 &amp; "," &amp; Sheet1!M676)</f>
        <v xml:space="preserve">16-2-841/A AMEEN COLONY,SAYEEDABAD,HYDERABAD,HYDERABAD,PIN:500059,TELANGANA,INDIA </v>
      </c>
      <c r="I676" s="8">
        <f>Sheet1!J676</f>
        <v>46007</v>
      </c>
      <c r="J676" s="5" t="str">
        <f>Sheet1!N676 &amp; "," &amp; TEXT(Sheet1!O676,"dd/mm/yy")</f>
        <v>202509077567,31/10/25</v>
      </c>
      <c r="K676" s="5" t="s">
        <v>14</v>
      </c>
      <c r="L676" s="1" t="s">
        <v>15</v>
      </c>
      <c r="M676" s="58" t="s">
        <v>19</v>
      </c>
      <c r="N676" s="38" t="s">
        <v>16</v>
      </c>
    </row>
    <row r="677" spans="1:14" x14ac:dyDescent="0.35">
      <c r="A677" s="4" t="str">
        <f>Sheet1!A677 &amp; "/" &amp; "2025"</f>
        <v>2075/2025</v>
      </c>
      <c r="B677" s="5" t="str">
        <f>Sheet1!E677</f>
        <v>AU2065903951425</v>
      </c>
      <c r="C677" s="6" t="str">
        <f>UPPER(Sheet1!B677)</f>
        <v>AJUNI KAUR HANJRA</v>
      </c>
      <c r="D677" s="7" t="str">
        <f>IF(Sheet1!F677="F","FEMALE","MALE")</f>
        <v>FEMALE</v>
      </c>
      <c r="E677" s="6" t="str">
        <f>UPPER(Sheet1!G677)</f>
        <v>SIMRANPAL SINGH</v>
      </c>
      <c r="F677" s="6" t="str">
        <f>UPPER(Sheet1!H677)</f>
        <v>BALJINDER KAUR</v>
      </c>
      <c r="G677" s="5" t="str">
        <f>TEXT(Sheet1!C677,"dd/mm/yyyy") &amp; "," &amp; Sheet1!D677</f>
        <v xml:space="preserve">09/10/2025,ST ALBANS , AUSTRALIA </v>
      </c>
      <c r="H677" s="57" t="str">
        <f>UPPER(Sheet1!K677 &amp; "," &amp; Sheet1!L677 &amp; "," &amp; Sheet1!M677)</f>
        <v xml:space="preserve">MOHALLA KAMAL COLONY,TEH SITARGANJ,UDHAM SINGH NAGAR,PIN:262311,UTTARAKHAND,INDIA </v>
      </c>
      <c r="I677" s="8">
        <f>Sheet1!J677</f>
        <v>46007</v>
      </c>
      <c r="J677" s="5" t="str">
        <f>Sheet1!N677 &amp; "," &amp; TEXT(Sheet1!O677,"dd/mm/yy")</f>
        <v>202509084359,25/11/25</v>
      </c>
      <c r="K677" s="5" t="s">
        <v>14</v>
      </c>
      <c r="L677" s="1" t="s">
        <v>15</v>
      </c>
      <c r="M677" s="58" t="s">
        <v>19</v>
      </c>
      <c r="N677" s="38" t="s">
        <v>16</v>
      </c>
    </row>
    <row r="678" spans="1:14" x14ac:dyDescent="0.35">
      <c r="A678" s="4" t="str">
        <f>Sheet1!A678 &amp; "/" &amp; "2025"</f>
        <v>2076/2025</v>
      </c>
      <c r="B678" s="5" t="str">
        <f>Sheet1!E678</f>
        <v>AU2065903952425</v>
      </c>
      <c r="C678" s="6" t="str">
        <f>UPPER(Sheet1!B678)</f>
        <v>TEGHVEER SINGH SOHI</v>
      </c>
      <c r="D678" s="7" t="str">
        <f>IF(Sheet1!F678="F","FEMALE","MALE")</f>
        <v>MALE</v>
      </c>
      <c r="E678" s="6" t="str">
        <f>UPPER(Sheet1!G678)</f>
        <v>GURMUKH SINGH SOHI</v>
      </c>
      <c r="F678" s="6" t="str">
        <f>UPPER(Sheet1!H678)</f>
        <v>HANDEEP KAUR</v>
      </c>
      <c r="G678" s="5" t="str">
        <f>TEXT(Sheet1!C678,"dd/mm/yyyy") &amp; "," &amp; Sheet1!D678</f>
        <v xml:space="preserve">28/07/2025,LAUNCESTON , AUSTRALIA  </v>
      </c>
      <c r="H678" s="57" t="str">
        <f>UPPER(Sheet1!K678 &amp; "," &amp; Sheet1!L678 &amp; "," &amp; Sheet1!M678)</f>
        <v xml:space="preserve">GALI NO 1 GURU TEG BHADAR COLONY,OUTSIDE NABHA GATE,SANGRUR,PIN:148001,PUNJAB,INDIA </v>
      </c>
      <c r="I678" s="8">
        <f>Sheet1!J678</f>
        <v>46007</v>
      </c>
      <c r="J678" s="5" t="str">
        <f>Sheet1!N678 &amp; "," &amp; TEXT(Sheet1!O678,"dd/mm/yy")</f>
        <v>202509087350,05/12/25</v>
      </c>
      <c r="K678" s="5" t="s">
        <v>14</v>
      </c>
      <c r="L678" s="1" t="s">
        <v>15</v>
      </c>
      <c r="M678" s="59" t="s">
        <v>19</v>
      </c>
      <c r="N678" s="38" t="s">
        <v>18</v>
      </c>
    </row>
    <row r="679" spans="1:14" x14ac:dyDescent="0.35">
      <c r="A679" s="4" t="str">
        <f>Sheet1!A679 &amp; "/" &amp; "2025"</f>
        <v>2077/2025</v>
      </c>
      <c r="B679" s="5" t="str">
        <f>Sheet1!E679</f>
        <v>AU2065903954425</v>
      </c>
      <c r="C679" s="6" t="str">
        <f>UPPER(Sheet1!B679)</f>
        <v>MANJAAP KAUR BRAR</v>
      </c>
      <c r="D679" s="7" t="str">
        <f>IF(Sheet1!F679="F","FEMALE","MALE")</f>
        <v>FEMALE</v>
      </c>
      <c r="E679" s="6" t="str">
        <f>UPPER(Sheet1!G679)</f>
        <v>GURPREET SINGH BRAR</v>
      </c>
      <c r="F679" s="6" t="str">
        <f>UPPER(Sheet1!H679)</f>
        <v>JASKEERT KAUR</v>
      </c>
      <c r="G679" s="5" t="str">
        <f>TEXT(Sheet1!C679,"dd/mm/yyyy") &amp; "," &amp; Sheet1!D679</f>
        <v xml:space="preserve">27/07/2025,ST ALBANS , AUSTRALIA </v>
      </c>
      <c r="H679" s="57" t="str">
        <f>UPPER(Sheet1!K679 &amp; "," &amp; Sheet1!L679 &amp; "," &amp; Sheet1!M679)</f>
        <v xml:space="preserve">VILL SANGRAHOOR,DISTT,FARIDKOT,PIN:151212,PUNJAB,INDIA </v>
      </c>
      <c r="I679" s="8">
        <f>Sheet1!J679</f>
        <v>46007</v>
      </c>
      <c r="J679" s="5" t="str">
        <f>Sheet1!N679 &amp; "," &amp; TEXT(Sheet1!O679,"dd/mm/yy")</f>
        <v>202509081787,16/11/25</v>
      </c>
      <c r="K679" s="5" t="s">
        <v>14</v>
      </c>
      <c r="L679" s="1" t="s">
        <v>15</v>
      </c>
      <c r="M679" s="58" t="s">
        <v>19</v>
      </c>
      <c r="N679" s="38" t="s">
        <v>16</v>
      </c>
    </row>
    <row r="680" spans="1:14" x14ac:dyDescent="0.35">
      <c r="A680" s="4" t="str">
        <f>Sheet1!A680 &amp; "/" &amp; "2025"</f>
        <v>2078/2025</v>
      </c>
      <c r="B680" s="5" t="str">
        <f>Sheet1!E680</f>
        <v>AU2065903956825</v>
      </c>
      <c r="C680" s="6" t="str">
        <f>UPPER(Sheet1!B680)</f>
        <v>ARYAM SINGLA</v>
      </c>
      <c r="D680" s="7" t="str">
        <f>IF(Sheet1!F680="F","FEMALE","MALE")</f>
        <v>MALE</v>
      </c>
      <c r="E680" s="6" t="str">
        <f>UPPER(Sheet1!G680)</f>
        <v>RAM SINGLA</v>
      </c>
      <c r="F680" s="6" t="str">
        <f>UPPER(Sheet1!H680)</f>
        <v>ALISHA RANA</v>
      </c>
      <c r="G680" s="5" t="str">
        <f>TEXT(Sheet1!C680,"dd/mm/yyyy") &amp; "," &amp; Sheet1!D680</f>
        <v xml:space="preserve">24/10/2025,BACCHUS MARSH , AUSTRALIA  </v>
      </c>
      <c r="H680" s="57" t="str">
        <f>UPPER(Sheet1!K680 &amp; "," &amp; Sheet1!L680 &amp; "," &amp; Sheet1!M680)</f>
        <v xml:space="preserve">VPO BEHDALA,TEH AND DISTT,UNA,PIN:174306,HIMACHAL PRADESH,INDIA </v>
      </c>
      <c r="I680" s="8">
        <f>Sheet1!J680</f>
        <v>46007</v>
      </c>
      <c r="J680" s="5" t="str">
        <f>Sheet1!N680 &amp; "," &amp; TEXT(Sheet1!O680,"dd/mm/yy")</f>
        <v>202509086171,01/12/25</v>
      </c>
      <c r="K680" s="5" t="s">
        <v>14</v>
      </c>
      <c r="L680" s="1" t="s">
        <v>15</v>
      </c>
      <c r="M680" s="58" t="s">
        <v>19</v>
      </c>
      <c r="N680" s="38" t="s">
        <v>16</v>
      </c>
    </row>
    <row r="681" spans="1:14" x14ac:dyDescent="0.35">
      <c r="A681" s="4" t="str">
        <f>Sheet1!A681 &amp; "/" &amp; "2025"</f>
        <v>2079/2025</v>
      </c>
      <c r="B681" s="5" t="str">
        <f>Sheet1!E681</f>
        <v>AU2065903958625</v>
      </c>
      <c r="C681" s="6" t="str">
        <f>UPPER(Sheet1!B681)</f>
        <v>ANGAD SINGH</v>
      </c>
      <c r="D681" s="7" t="str">
        <f>IF(Sheet1!F681="F","FEMALE","MALE")</f>
        <v>MALE</v>
      </c>
      <c r="E681" s="6" t="str">
        <f>UPPER(Sheet1!G681)</f>
        <v>KUNWAR JASKARAN SINGH</v>
      </c>
      <c r="F681" s="6" t="str">
        <f>UPPER(Sheet1!H681)</f>
        <v>FAALUAINA FEPULEAI</v>
      </c>
      <c r="G681" s="5" t="str">
        <f>TEXT(Sheet1!C681,"dd/mm/yyyy") &amp; "," &amp; Sheet1!D681</f>
        <v xml:space="preserve">16/09/2025,BERWICK , AUSTRALIA  </v>
      </c>
      <c r="H681" s="57" t="str">
        <f>UPPER(Sheet1!K681 &amp; "," &amp; Sheet1!L681 &amp; "," &amp; Sheet1!M681)</f>
        <v xml:space="preserve">H NO-74. LAJPAT NAGAR,OPP BUS STAND,LUDHIANA,PIN:141001,PUNJAB,INDIA </v>
      </c>
      <c r="I681" s="8">
        <f>Sheet1!J681</f>
        <v>46007</v>
      </c>
      <c r="J681" s="5" t="str">
        <f>Sheet1!N681 &amp; "," &amp; TEXT(Sheet1!O681,"dd/mm/yy")</f>
        <v>202509077024,29/10/25</v>
      </c>
      <c r="K681" s="5" t="s">
        <v>14</v>
      </c>
      <c r="L681" s="1" t="s">
        <v>15</v>
      </c>
      <c r="M681" s="58" t="s">
        <v>19</v>
      </c>
      <c r="N681" s="38" t="s">
        <v>16</v>
      </c>
    </row>
    <row r="682" spans="1:14" x14ac:dyDescent="0.35">
      <c r="A682" s="4" t="str">
        <f>Sheet1!A682 &amp; "/" &amp; "2025"</f>
        <v>2080/2025</v>
      </c>
      <c r="B682" s="5" t="str">
        <f>Sheet1!E682</f>
        <v>AU2065903959825</v>
      </c>
      <c r="C682" s="6" t="str">
        <f>UPPER(Sheet1!B682)</f>
        <v>BAANI KAUR HANJRA</v>
      </c>
      <c r="D682" s="7" t="str">
        <f>IF(Sheet1!F682="F","FEMALE","MALE")</f>
        <v>FEMALE</v>
      </c>
      <c r="E682" s="6" t="str">
        <f>UPPER(Sheet1!G682)</f>
        <v>SIMRANPAL SINGH</v>
      </c>
      <c r="F682" s="6" t="str">
        <f>UPPER(Sheet1!H682)</f>
        <v>BALJINDER KAUR</v>
      </c>
      <c r="G682" s="5" t="str">
        <f>TEXT(Sheet1!C682,"dd/mm/yyyy") &amp; "," &amp; Sheet1!D682</f>
        <v xml:space="preserve">09/10/2025,ST ALBANS , AUSTRALIA </v>
      </c>
      <c r="H682" s="57" t="str">
        <f>UPPER(Sheet1!K682 &amp; "," &amp; Sheet1!L682 &amp; "," &amp; Sheet1!M682)</f>
        <v xml:space="preserve">MOHALLA KAMAL COLONY,TEH SITARGANJ,UDHAM SINGH NAGAR,PIN:262311,UTTARAKHAND,INDIA </v>
      </c>
      <c r="I682" s="8">
        <f>Sheet1!J682</f>
        <v>46007</v>
      </c>
      <c r="J682" s="5" t="str">
        <f>Sheet1!N682 &amp; "," &amp; TEXT(Sheet1!O682,"dd/mm/yy")</f>
        <v>202509084375,25/11/25</v>
      </c>
      <c r="K682" s="5" t="s">
        <v>14</v>
      </c>
      <c r="L682" s="1" t="s">
        <v>15</v>
      </c>
      <c r="M682" s="58" t="s">
        <v>19</v>
      </c>
      <c r="N682" s="38" t="s">
        <v>16</v>
      </c>
    </row>
    <row r="683" spans="1:14" x14ac:dyDescent="0.35">
      <c r="A683" s="4" t="str">
        <f>Sheet1!A683 &amp; "/" &amp; "2025"</f>
        <v>2081/2025</v>
      </c>
      <c r="B683" s="5" t="str">
        <f>Sheet1!E683</f>
        <v>AU2065903893225</v>
      </c>
      <c r="C683" s="6" t="str">
        <f>UPPER(Sheet1!B683)</f>
        <v>VEDA BHARDWAJ</v>
      </c>
      <c r="D683" s="7" t="str">
        <f>IF(Sheet1!F683="F","FEMALE","MALE")</f>
        <v>FEMALE</v>
      </c>
      <c r="E683" s="6" t="str">
        <f>UPPER(Sheet1!G683)</f>
        <v>PRATEEK</v>
      </c>
      <c r="F683" s="6" t="str">
        <f>UPPER(Sheet1!H683)</f>
        <v>POOJA CHAUDHRY</v>
      </c>
      <c r="G683" s="5" t="str">
        <f>TEXT(Sheet1!C683,"dd/mm/yyyy") &amp; "," &amp; Sheet1!D683</f>
        <v xml:space="preserve">22/08/2025,WERIBEE, AUSTRALIA </v>
      </c>
      <c r="H683" s="57" t="str">
        <f>UPPER(Sheet1!K683 &amp; "," &amp; Sheet1!L683 &amp; "," &amp; Sheet1!M683)</f>
        <v xml:space="preserve">324 JANAKPURI COLONY,JIND ROAD BYE PASS,KAITHAL,KAITHAL,PIN:136027,HARYANA,INDIA </v>
      </c>
      <c r="I683" s="8">
        <f>Sheet1!J683</f>
        <v>46007</v>
      </c>
      <c r="J683" s="5" t="str">
        <f>Sheet1!N683 &amp; "," &amp; TEXT(Sheet1!O683,"dd/mm/yy")</f>
        <v>202509083192,20/11/25</v>
      </c>
      <c r="K683" s="5" t="s">
        <v>14</v>
      </c>
      <c r="L683" s="1" t="s">
        <v>15</v>
      </c>
      <c r="M683" s="58" t="s">
        <v>19</v>
      </c>
      <c r="N683" s="38" t="s">
        <v>16</v>
      </c>
    </row>
    <row r="684" spans="1:14" x14ac:dyDescent="0.35">
      <c r="A684" s="4" t="str">
        <f>Sheet1!A684 &amp; "/" &amp; "2025"</f>
        <v>2082/2025</v>
      </c>
      <c r="B684" s="5" t="str">
        <f>Sheet1!E684</f>
        <v>AU2065903894825</v>
      </c>
      <c r="C684" s="6" t="str">
        <f>UPPER(Sheet1!B684)</f>
        <v>SUKOON KAUR</v>
      </c>
      <c r="D684" s="7" t="str">
        <f>IF(Sheet1!F684="F","FEMALE","MALE")</f>
        <v>FEMALE</v>
      </c>
      <c r="E684" s="6" t="str">
        <f>UPPER(Sheet1!G684)</f>
        <v>HARSHDEEP SINGH</v>
      </c>
      <c r="F684" s="6" t="str">
        <f>UPPER(Sheet1!H684)</f>
        <v>MANPREET KAUR</v>
      </c>
      <c r="G684" s="5" t="str">
        <f>TEXT(Sheet1!C684,"dd/mm/yyyy") &amp; "," &amp; Sheet1!D684</f>
        <v>23/01/2025,FRANKSTON, AUSTRALIA</v>
      </c>
      <c r="H684" s="57" t="str">
        <f>UPPER(Sheet1!K684 &amp; "," &amp; Sheet1!L684 &amp; "," &amp; Sheet1!M684)</f>
        <v xml:space="preserve">333 WARD NO 14 SAFIDON ROAD ASSANDH,KARNAL,KARNAL,PIN:132039,HARYANA,INDIA </v>
      </c>
      <c r="I684" s="8">
        <f>Sheet1!J684</f>
        <v>46007</v>
      </c>
      <c r="J684" s="5" t="str">
        <f>Sheet1!N684 &amp; "," &amp; TEXT(Sheet1!O684,"dd/mm/yy")</f>
        <v>202509086333,02/12/25</v>
      </c>
      <c r="K684" s="5" t="s">
        <v>14</v>
      </c>
      <c r="L684" s="1" t="s">
        <v>15</v>
      </c>
      <c r="M684" s="58" t="s">
        <v>19</v>
      </c>
      <c r="N684" s="38" t="s">
        <v>16</v>
      </c>
    </row>
    <row r="685" spans="1:14" x14ac:dyDescent="0.35">
      <c r="A685" s="4" t="str">
        <f>Sheet1!A685 &amp; "/" &amp; "2025"</f>
        <v>2083/2025</v>
      </c>
      <c r="B685" s="5" t="str">
        <f>Sheet1!E685</f>
        <v>AU2065903895425</v>
      </c>
      <c r="C685" s="6" t="str">
        <f>UPPER(Sheet1!B685)</f>
        <v>JAP SINGH</v>
      </c>
      <c r="D685" s="7" t="str">
        <f>IF(Sheet1!F685="F","FEMALE","MALE")</f>
        <v>MALE</v>
      </c>
      <c r="E685" s="6" t="str">
        <f>UPPER(Sheet1!G685)</f>
        <v>GAGANDEEP SINGH</v>
      </c>
      <c r="F685" s="6" t="str">
        <f>UPPER(Sheet1!H685)</f>
        <v>NAVNEET KAUR</v>
      </c>
      <c r="G685" s="5" t="str">
        <f>TEXT(Sheet1!C685,"dd/mm/yyyy") &amp; "," &amp; Sheet1!D685</f>
        <v xml:space="preserve">28/09/2024,WERIBEE, AUSTRALIA </v>
      </c>
      <c r="H685" s="57" t="str">
        <f>UPPER(Sheet1!K685 &amp; "," &amp; Sheet1!L685 &amp; "," &amp; Sheet1!M685)</f>
        <v xml:space="preserve">VILL SHAMSHERPUR,TEHSIL BATALA,GURDASPUR,PIN:143602,PUNJAB,INDIA </v>
      </c>
      <c r="I685" s="8">
        <f>Sheet1!J685</f>
        <v>46007</v>
      </c>
      <c r="J685" s="5" t="str">
        <f>Sheet1!N685 &amp; "," &amp; TEXT(Sheet1!O685,"dd/mm/yy")</f>
        <v>202509084062,24/11/25</v>
      </c>
      <c r="K685" s="5" t="s">
        <v>14</v>
      </c>
      <c r="L685" s="1" t="s">
        <v>15</v>
      </c>
      <c r="M685" s="58" t="s">
        <v>19</v>
      </c>
      <c r="N685" s="38" t="s">
        <v>16</v>
      </c>
    </row>
    <row r="686" spans="1:14" x14ac:dyDescent="0.35">
      <c r="A686" s="4" t="str">
        <f>Sheet1!A686 &amp; "/" &amp; "2025"</f>
        <v>2084/2025</v>
      </c>
      <c r="B686" s="5" t="str">
        <f>Sheet1!E686</f>
        <v>AU2065903896825</v>
      </c>
      <c r="C686" s="6" t="str">
        <f>UPPER(Sheet1!B686)</f>
        <v>ARYA CHAUDHARI</v>
      </c>
      <c r="D686" s="7" t="str">
        <f>IF(Sheet1!F686="F","FEMALE","MALE")</f>
        <v>FEMALE</v>
      </c>
      <c r="E686" s="6" t="str">
        <f>UPPER(Sheet1!G686)</f>
        <v>GAURANG DAHYABHAI CHAUDHARI</v>
      </c>
      <c r="F686" s="6" t="str">
        <f>UPPER(Sheet1!H686)</f>
        <v>JIGNASABEN GAURANGKUMAR CHAUDHARI</v>
      </c>
      <c r="G686" s="5" t="str">
        <f>TEXT(Sheet1!C686,"dd/mm/yyyy") &amp; "," &amp; Sheet1!D686</f>
        <v xml:space="preserve">22/09/2025,MITCHAM, AUSTRALIA </v>
      </c>
      <c r="H686" s="57" t="str">
        <f>UPPER(Sheet1!K686 &amp; "," &amp; Sheet1!L686 &amp; "," &amp; Sheet1!M686)</f>
        <v xml:space="preserve">AT AND POST PAMOL PARAMA,TAL VIJAPUR,MEHSANA,PIN:382820,GUJARAT,INDIA </v>
      </c>
      <c r="I686" s="8">
        <f>Sheet1!J686</f>
        <v>46007</v>
      </c>
      <c r="J686" s="5" t="str">
        <f>Sheet1!N686 &amp; "," &amp; TEXT(Sheet1!O686,"dd/mm/yy")</f>
        <v>202509086938,04/12/25</v>
      </c>
      <c r="K686" s="5" t="s">
        <v>14</v>
      </c>
      <c r="L686" s="1" t="s">
        <v>15</v>
      </c>
      <c r="M686" s="58" t="s">
        <v>19</v>
      </c>
      <c r="N686" s="38" t="s">
        <v>16</v>
      </c>
    </row>
    <row r="687" spans="1:14" x14ac:dyDescent="0.35">
      <c r="A687" s="4" t="str">
        <f>Sheet1!A687 &amp; "/" &amp; "2025"</f>
        <v>2085/2025</v>
      </c>
      <c r="B687" s="5" t="str">
        <f>Sheet1!E687</f>
        <v>AU2065905222025</v>
      </c>
      <c r="C687" s="6" t="str">
        <f>UPPER(Sheet1!B687)</f>
        <v>EVA PATEL</v>
      </c>
      <c r="D687" s="7" t="str">
        <f>IF(Sheet1!F687="F","FEMALE","MALE")</f>
        <v>FEMALE</v>
      </c>
      <c r="E687" s="6" t="str">
        <f>UPPER(Sheet1!G687)</f>
        <v>JATIN PATEL</v>
      </c>
      <c r="F687" s="6" t="str">
        <f>UPPER(Sheet1!H687)</f>
        <v>SWETABEN RAJESHKUMAR SHARMA</v>
      </c>
      <c r="G687" s="5" t="str">
        <f>TEXT(Sheet1!C687,"dd/mm/yyyy") &amp; "," &amp; Sheet1!D687</f>
        <v xml:space="preserve">22/10/2023,CLAYTON , AUSTRALIA  </v>
      </c>
      <c r="H687" s="57" t="str">
        <f>UPPER(Sheet1!K687 &amp; "," &amp; Sheet1!L687 &amp; "," &amp; Sheet1!M687)</f>
        <v xml:space="preserve">A-66 VAIKUNTHVIHAR SOC.,NR. RAMYAKUNJ,NARODA,AHMEDABAD,PIN:382330,GUJARAT,INDIA </v>
      </c>
      <c r="I687" s="8">
        <f>Sheet1!J687</f>
        <v>46007</v>
      </c>
      <c r="J687" s="5" t="str">
        <f>Sheet1!N687 &amp; "," &amp; TEXT(Sheet1!O687,"dd/mm/yy")</f>
        <v>202509069861,02/10/25</v>
      </c>
      <c r="K687" s="5" t="s">
        <v>14</v>
      </c>
      <c r="L687" s="1" t="s">
        <v>15</v>
      </c>
      <c r="M687" s="58" t="s">
        <v>19</v>
      </c>
      <c r="N687" s="38" t="s">
        <v>16</v>
      </c>
    </row>
    <row r="688" spans="1:14" x14ac:dyDescent="0.35">
      <c r="A688" s="4" t="str">
        <f>Sheet1!A688 &amp; "/" &amp; "2025"</f>
        <v>2086/2025</v>
      </c>
      <c r="B688" s="5" t="str">
        <f>Sheet1!E688</f>
        <v>AU2065905222425</v>
      </c>
      <c r="C688" s="6" t="str">
        <f>UPPER(Sheet1!B688)</f>
        <v>DAIVIK ANUMARI</v>
      </c>
      <c r="D688" s="7" t="str">
        <f>IF(Sheet1!F688="F","FEMALE","MALE")</f>
        <v>MALE</v>
      </c>
      <c r="E688" s="6" t="str">
        <f>UPPER(Sheet1!G688)</f>
        <v>SAI KRISHNA ANUMARI</v>
      </c>
      <c r="F688" s="6" t="str">
        <f>UPPER(Sheet1!H688)</f>
        <v>SAIKEERTHANA BELIDE</v>
      </c>
      <c r="G688" s="5" t="str">
        <f>TEXT(Sheet1!C688,"dd/mm/yyyy") &amp; "," &amp; Sheet1!D688</f>
        <v xml:space="preserve">30/10/2025,GEELONG , AUSTRALIA </v>
      </c>
      <c r="H688" s="57" t="str">
        <f>UPPER(Sheet1!K688 &amp; "," &amp; Sheet1!L688 &amp; "," &amp; Sheet1!M688)</f>
        <v xml:space="preserve">H.NO. 3-40,GUNJ ROAD,SHANKARPALLY,RANGAREDDY,PIN:501203,TELANGANA,INDIA </v>
      </c>
      <c r="I688" s="8">
        <f>Sheet1!J688</f>
        <v>46007</v>
      </c>
      <c r="J688" s="5" t="str">
        <f>Sheet1!N688 &amp; "," &amp; TEXT(Sheet1!O688,"dd/mm/yy")</f>
        <v>202509086013,01/12/25</v>
      </c>
      <c r="K688" s="5" t="s">
        <v>14</v>
      </c>
      <c r="L688" s="1" t="s">
        <v>15</v>
      </c>
      <c r="M688" s="58" t="s">
        <v>19</v>
      </c>
      <c r="N688" s="38" t="s">
        <v>16</v>
      </c>
    </row>
    <row r="689" spans="1:14" x14ac:dyDescent="0.35">
      <c r="A689" s="4" t="str">
        <f>Sheet1!A689 &amp; "/" &amp; "2025"</f>
        <v>2087/2025</v>
      </c>
      <c r="B689" s="5" t="str">
        <f>Sheet1!E689</f>
        <v>AU2065905223025</v>
      </c>
      <c r="C689" s="6" t="str">
        <f>UPPER(Sheet1!B689)</f>
        <v>OJASVI RUTHVIKA SRI GAVINI</v>
      </c>
      <c r="D689" s="7" t="str">
        <f>IF(Sheet1!F689="F","FEMALE","MALE")</f>
        <v>FEMALE</v>
      </c>
      <c r="E689" s="6" t="str">
        <f>UPPER(Sheet1!G689)</f>
        <v>BHARGAV GAVINI</v>
      </c>
      <c r="F689" s="6" t="str">
        <f>UPPER(Sheet1!H689)</f>
        <v>PRASANNA LAKSHMI KONANKI</v>
      </c>
      <c r="G689" s="5" t="str">
        <f>TEXT(Sheet1!C689,"dd/mm/yyyy") &amp; "," &amp; Sheet1!D689</f>
        <v xml:space="preserve">13/09/2025,WERIBEE, AUSTRALIA </v>
      </c>
      <c r="H689" s="57" t="str">
        <f>UPPER(Sheet1!K689 &amp; "," &amp; Sheet1!L689 &amp; "," &amp; Sheet1!M689)</f>
        <v xml:space="preserve">DNO: 10-60,NEAR GANDHI STATUE,VEJENDLA,GUNTUR,PIN:522213,ANDHRA PRADESH,INDIA </v>
      </c>
      <c r="I689" s="8">
        <f>Sheet1!J689</f>
        <v>46007</v>
      </c>
      <c r="J689" s="5" t="str">
        <f>Sheet1!N689 &amp; "," &amp; TEXT(Sheet1!O689,"dd/mm/yy")</f>
        <v>202509084013,24/11/25</v>
      </c>
      <c r="K689" s="5" t="s">
        <v>14</v>
      </c>
      <c r="L689" s="1" t="s">
        <v>15</v>
      </c>
      <c r="M689" s="58" t="s">
        <v>19</v>
      </c>
      <c r="N689" s="38" t="s">
        <v>16</v>
      </c>
    </row>
    <row r="690" spans="1:14" x14ac:dyDescent="0.35">
      <c r="A690" s="4" t="str">
        <f>Sheet1!A690 &amp; "/" &amp; "2025"</f>
        <v>2088/2025</v>
      </c>
      <c r="B690" s="5" t="str">
        <f>Sheet1!E690</f>
        <v>AU2065909004225</v>
      </c>
      <c r="C690" s="6" t="str">
        <f>UPPER(Sheet1!B690)</f>
        <v>DEVAANSH DURGESH SAMARIYA</v>
      </c>
      <c r="D690" s="7" t="str">
        <f>IF(Sheet1!F690="F","FEMALE","MALE")</f>
        <v>MALE</v>
      </c>
      <c r="E690" s="6" t="str">
        <f>UPPER(Sheet1!G690)</f>
        <v>DURGESH OMPRAKASH SAMARIYA</v>
      </c>
      <c r="F690" s="6" t="str">
        <f>UPPER(Sheet1!H690)</f>
        <v>KHUSHBOO DURGESH SAMARIYA</v>
      </c>
      <c r="G690" s="5" t="str">
        <f>TEXT(Sheet1!C690,"dd/mm/yyyy") &amp; "," &amp; Sheet1!D690</f>
        <v xml:space="preserve">20/06/2025,WERIBEE, AUSTRALIA </v>
      </c>
      <c r="H690" s="57" t="str">
        <f>UPPER(Sheet1!K690 &amp; "," &amp; Sheet1!L690 &amp; "," &amp; Sheet1!M690)</f>
        <v xml:space="preserve">66/67 HARI NAGAR SOCIETY,NADIAD,KHEDA,PIN:387002,GUJARAT,INDIA </v>
      </c>
      <c r="I690" s="8">
        <f>Sheet1!J690</f>
        <v>46013</v>
      </c>
      <c r="J690" s="5" t="str">
        <f>Sheet1!N690 &amp; "," &amp; TEXT(Sheet1!O690,"dd/mm/yy")</f>
        <v>202509085472,28/11/25</v>
      </c>
      <c r="K690" s="5" t="s">
        <v>14</v>
      </c>
      <c r="L690" s="1" t="s">
        <v>15</v>
      </c>
      <c r="M690" s="58" t="s">
        <v>19</v>
      </c>
      <c r="N690" s="38" t="s">
        <v>16</v>
      </c>
    </row>
    <row r="691" spans="1:14" x14ac:dyDescent="0.35">
      <c r="A691" s="4" t="str">
        <f>Sheet1!A691 &amp; "/" &amp; "2025"</f>
        <v>2089/2025</v>
      </c>
      <c r="B691" s="5" t="str">
        <f>Sheet1!E691</f>
        <v>AU2065909004425</v>
      </c>
      <c r="C691" s="6" t="str">
        <f>UPPER(Sheet1!B691)</f>
        <v>AYAAN HADA</v>
      </c>
      <c r="D691" s="7" t="str">
        <f>IF(Sheet1!F691="F","FEMALE","MALE")</f>
        <v>MALE</v>
      </c>
      <c r="E691" s="6" t="str">
        <f>UPPER(Sheet1!G691)</f>
        <v>PUSHPENDRA SINGH HADA</v>
      </c>
      <c r="F691" s="6" t="str">
        <f>UPPER(Sheet1!H691)</f>
        <v>PAYAL CHADDA</v>
      </c>
      <c r="G691" s="5" t="str">
        <f>TEXT(Sheet1!C691,"dd/mm/yyyy") &amp; "," &amp; Sheet1!D691</f>
        <v xml:space="preserve">01/08/2025,BURNIE, AUSTRALIA </v>
      </c>
      <c r="H691" s="57" t="str">
        <f>UPPER(Sheet1!K691 &amp; "," &amp; Sheet1!L691 &amp; "," &amp; Sheet1!M691)</f>
        <v xml:space="preserve">H.NO. 139,TAKKI MOHALLA,COMMITTEE BAZAR,HOSHIARPUR,PIN:146001,PUNJAB,INDIA </v>
      </c>
      <c r="I691" s="8">
        <f>Sheet1!J691</f>
        <v>46013</v>
      </c>
      <c r="J691" s="5" t="str">
        <f>Sheet1!N691 &amp; "," &amp; TEXT(Sheet1!O691,"dd/mm/yy")</f>
        <v>202509082078,17/11/25</v>
      </c>
      <c r="K691" s="5" t="s">
        <v>14</v>
      </c>
      <c r="L691" s="1" t="s">
        <v>15</v>
      </c>
      <c r="M691" s="58" t="s">
        <v>19</v>
      </c>
      <c r="N691" s="38" t="s">
        <v>16</v>
      </c>
    </row>
    <row r="692" spans="1:14" ht="30" customHeight="1" x14ac:dyDescent="0.35">
      <c r="A692" s="4" t="str">
        <f>Sheet1!A692 &amp; "/" &amp; "2025"</f>
        <v>2090/2025</v>
      </c>
      <c r="B692" s="5" t="str">
        <f>Sheet1!E692</f>
        <v>AU2065909004825</v>
      </c>
      <c r="C692" s="6" t="str">
        <f>UPPER(Sheet1!B692)</f>
        <v>ARTHUR SEBASTAIN ALLEN</v>
      </c>
      <c r="D692" s="7" t="str">
        <f>IF(Sheet1!F692="F","FEMALE","MALE")</f>
        <v>MALE</v>
      </c>
      <c r="E692" s="6" t="str">
        <f>UPPER(Sheet1!G692)</f>
        <v>ALLEN LIPSON</v>
      </c>
      <c r="F692" s="6" t="str">
        <f>UPPER(Sheet1!H692)</f>
        <v>MAREENA RAJU</v>
      </c>
      <c r="G692" s="5" t="str">
        <f>TEXT(Sheet1!C692,"dd/mm/yyyy") &amp; "," &amp; Sheet1!D692</f>
        <v xml:space="preserve">30/09/2025,BAIRNSDALE, AUSTRALIA  </v>
      </c>
      <c r="H692" s="57" t="str">
        <f>UPPER(Sheet1!K692 &amp; "," &amp; Sheet1!L692 &amp; "," &amp; Sheet1!M692)</f>
        <v xml:space="preserve">PUTHENPARAMPIL HOUSE,MADAPPALLY,P.O,CHANGANACHERRY,KOTTAYAM,PIN:686546,KERALA,INDIA </v>
      </c>
      <c r="I692" s="8">
        <f>Sheet1!J692</f>
        <v>46013</v>
      </c>
      <c r="J692" s="5" t="str">
        <f>Sheet1!N692 &amp; "," &amp; TEXT(Sheet1!O692,"dd/mm/yy")</f>
        <v>202509084987,27/11/25</v>
      </c>
      <c r="K692" s="5" t="s">
        <v>14</v>
      </c>
      <c r="L692" s="1" t="s">
        <v>15</v>
      </c>
      <c r="M692" s="58" t="s">
        <v>19</v>
      </c>
      <c r="N692" s="38" t="s">
        <v>16</v>
      </c>
    </row>
    <row r="693" spans="1:14" x14ac:dyDescent="0.35">
      <c r="A693" s="4" t="str">
        <f>Sheet1!A693 &amp; "/" &amp; "2025"</f>
        <v>2091/2025</v>
      </c>
      <c r="B693" s="5" t="str">
        <f>Sheet1!E693</f>
        <v>AU2065909005025</v>
      </c>
      <c r="C693" s="6" t="str">
        <f>UPPER(Sheet1!B693)</f>
        <v>SAANJH KAUR</v>
      </c>
      <c r="D693" s="7" t="str">
        <f>IF(Sheet1!F693="F","FEMALE","MALE")</f>
        <v>FEMALE</v>
      </c>
      <c r="E693" s="6" t="str">
        <f>UPPER(Sheet1!G693)</f>
        <v>KARANDEEP SINGH</v>
      </c>
      <c r="F693" s="6" t="str">
        <f>UPPER(Sheet1!H693)</f>
        <v>AKASHPREET KAUR</v>
      </c>
      <c r="G693" s="5" t="str">
        <f>TEXT(Sheet1!C693,"dd/mm/yyyy") &amp; "," &amp; Sheet1!D693</f>
        <v xml:space="preserve">16/04/2025,CLAYTON , AUSTRALIA  </v>
      </c>
      <c r="H693" s="57" t="str">
        <f>UPPER(Sheet1!K693 &amp; "," &amp; Sheet1!L693 &amp; "," &amp; Sheet1!M693)</f>
        <v xml:space="preserve">VPO. FATEHABAD,TEH. KHADUR SAHIB,TARN TARAN,PIN:143401,PUNJAB,INDIA </v>
      </c>
      <c r="I693" s="8">
        <f>Sheet1!J693</f>
        <v>46013</v>
      </c>
      <c r="J693" s="5" t="str">
        <f>Sheet1!N693 &amp; "," &amp; TEXT(Sheet1!O693,"dd/mm/yy")</f>
        <v>202509088158,08/12/25</v>
      </c>
      <c r="K693" s="5" t="s">
        <v>14</v>
      </c>
      <c r="L693" s="1" t="s">
        <v>15</v>
      </c>
      <c r="M693" s="58" t="s">
        <v>19</v>
      </c>
      <c r="N693" s="38" t="s">
        <v>16</v>
      </c>
    </row>
    <row r="694" spans="1:14" x14ac:dyDescent="0.35">
      <c r="A694" s="4" t="str">
        <f>Sheet1!A694 &amp; "/" &amp; "2025"</f>
        <v>2092/2025</v>
      </c>
      <c r="B694" s="5" t="str">
        <f>Sheet1!E694</f>
        <v>AU2065909005225</v>
      </c>
      <c r="C694" s="6" t="str">
        <f>UPPER(Sheet1!B694)</f>
        <v>PRITHVI PANJETA</v>
      </c>
      <c r="D694" s="7" t="str">
        <f>IF(Sheet1!F694="F","FEMALE","MALE")</f>
        <v>MALE</v>
      </c>
      <c r="E694" s="6" t="str">
        <f>UPPER(Sheet1!G694)</f>
        <v>VISHAL PANJETA</v>
      </c>
      <c r="F694" s="6" t="str">
        <f>UPPER(Sheet1!H694)</f>
        <v>NEELAM DEVI</v>
      </c>
      <c r="G694" s="5" t="str">
        <f>TEXT(Sheet1!C694,"dd/mm/yyyy") &amp; "," &amp; Sheet1!D694</f>
        <v>28/03/2025,BALLARAT CENTRAL, AUSTRALIA</v>
      </c>
      <c r="H694" s="57" t="str">
        <f>UPPER(Sheet1!K694 &amp; "," &amp; Sheet1!L694 &amp; "," &amp; Sheet1!M694)</f>
        <v xml:space="preserve">VILLAGE JAINPUR JATTAN,TEH. THANSAR,KURUKSHETRA,PIN:136132,HARYANA,INDIA </v>
      </c>
      <c r="I694" s="8">
        <f>Sheet1!J694</f>
        <v>46013</v>
      </c>
      <c r="J694" s="5" t="str">
        <f>Sheet1!N694 &amp; "," &amp; TEXT(Sheet1!O694,"dd/mm/yy")</f>
        <v>202509084010,24/11/25</v>
      </c>
      <c r="K694" s="5" t="s">
        <v>14</v>
      </c>
      <c r="L694" s="1" t="s">
        <v>15</v>
      </c>
      <c r="M694" s="58" t="s">
        <v>19</v>
      </c>
      <c r="N694" s="38" t="s">
        <v>16</v>
      </c>
    </row>
    <row r="695" spans="1:14" x14ac:dyDescent="0.35">
      <c r="A695" s="4" t="str">
        <f>Sheet1!A695 &amp; "/" &amp; "2025"</f>
        <v>2093/2025</v>
      </c>
      <c r="B695" s="5" t="str">
        <f>Sheet1!E695</f>
        <v>AU2065909005425</v>
      </c>
      <c r="C695" s="6" t="str">
        <f>UPPER(Sheet1!B695)</f>
        <v>KAVNOOR KAUR DHALIWAL</v>
      </c>
      <c r="D695" s="7" t="str">
        <f>IF(Sheet1!F695="F","FEMALE","MALE")</f>
        <v>FEMALE</v>
      </c>
      <c r="E695" s="6" t="str">
        <f>UPPER(Sheet1!G695)</f>
        <v>HARJINDER SINGH</v>
      </c>
      <c r="F695" s="6" t="str">
        <f>UPPER(Sheet1!H695)</f>
        <v>RACHHPAL KAUR</v>
      </c>
      <c r="G695" s="5" t="str">
        <f>TEXT(Sheet1!C695,"dd/mm/yyyy") &amp; "," &amp; Sheet1!D695</f>
        <v xml:space="preserve">20/04/2025,ST ALBANS , AUSTRALIA </v>
      </c>
      <c r="H695" s="57" t="str">
        <f>UPPER(Sheet1!K695 &amp; "," &amp; Sheet1!L695 &amp; "," &amp; Sheet1!M695)</f>
        <v xml:space="preserve">VPO. TIBBA,TEH. DHURI,SANGRUR,PIN:148025,PUNJAB,INDIA </v>
      </c>
      <c r="I695" s="8">
        <f>Sheet1!J695</f>
        <v>46013</v>
      </c>
      <c r="J695" s="5" t="str">
        <f>Sheet1!N695 &amp; "," &amp; TEXT(Sheet1!O695,"dd/mm/yy")</f>
        <v>202509081554,15/11/25</v>
      </c>
      <c r="K695" s="5" t="s">
        <v>14</v>
      </c>
      <c r="L695" s="1" t="s">
        <v>15</v>
      </c>
      <c r="M695" s="58" t="s">
        <v>19</v>
      </c>
      <c r="N695" s="38" t="s">
        <v>16</v>
      </c>
    </row>
    <row r="696" spans="1:14" x14ac:dyDescent="0.35">
      <c r="A696" s="4" t="str">
        <f>Sheet1!A696 &amp; "/" &amp; "2025"</f>
        <v>2094/2025</v>
      </c>
      <c r="B696" s="5" t="str">
        <f>Sheet1!E696</f>
        <v>AU2065909005625</v>
      </c>
      <c r="C696" s="6" t="str">
        <f>UPPER(Sheet1!B696)</f>
        <v>GURBANI KAUR DHALIWAL</v>
      </c>
      <c r="D696" s="7" t="str">
        <f>IF(Sheet1!F696="F","FEMALE","MALE")</f>
        <v>FEMALE</v>
      </c>
      <c r="E696" s="6" t="str">
        <f>UPPER(Sheet1!G696)</f>
        <v>SUKHMANDER SINGH</v>
      </c>
      <c r="F696" s="6" t="str">
        <f>UPPER(Sheet1!H696)</f>
        <v>JASWINDER KAUR BRAR</v>
      </c>
      <c r="G696" s="5" t="str">
        <f>TEXT(Sheet1!C696,"dd/mm/yyyy") &amp; "," &amp; Sheet1!D696</f>
        <v xml:space="preserve">06/11/2025,WERIBEE, AUSTRALIA </v>
      </c>
      <c r="H696" s="57" t="str">
        <f>UPPER(Sheet1!K696 &amp; "," &amp; Sheet1!L696 &amp; "," &amp; Sheet1!M696)</f>
        <v xml:space="preserve">VPO-KISHANGARH,TEHSIL NIHAL SINGH WALA,MOGA,PIN:142045,PUNJAB,INDIA </v>
      </c>
      <c r="I696" s="8">
        <f>Sheet1!J696</f>
        <v>46013</v>
      </c>
      <c r="J696" s="5" t="str">
        <f>Sheet1!N696 &amp; "," &amp; TEXT(Sheet1!O696,"dd/mm/yy")</f>
        <v>202509087950,08/12/25</v>
      </c>
      <c r="K696" s="5" t="s">
        <v>14</v>
      </c>
      <c r="L696" s="1" t="s">
        <v>15</v>
      </c>
      <c r="M696" s="58" t="s">
        <v>19</v>
      </c>
      <c r="N696" s="38" t="s">
        <v>16</v>
      </c>
    </row>
    <row r="697" spans="1:14" x14ac:dyDescent="0.35">
      <c r="A697" s="4" t="str">
        <f>Sheet1!A697 &amp; "/" &amp; "2025"</f>
        <v>2095/2025</v>
      </c>
      <c r="B697" s="5" t="str">
        <f>Sheet1!E697</f>
        <v>AU2065909006225</v>
      </c>
      <c r="C697" s="6" t="str">
        <f>UPPER(Sheet1!B697)</f>
        <v>JASRAJ SINGH NAGRA</v>
      </c>
      <c r="D697" s="7" t="str">
        <f>IF(Sheet1!F697="F","FEMALE","MALE")</f>
        <v>MALE</v>
      </c>
      <c r="E697" s="6" t="str">
        <f>UPPER(Sheet1!G697)</f>
        <v>RANJIT SINGH</v>
      </c>
      <c r="F697" s="6" t="str">
        <f>UPPER(Sheet1!H697)</f>
        <v>RAJWINDER KAUR</v>
      </c>
      <c r="G697" s="5" t="str">
        <f>TEXT(Sheet1!C697,"dd/mm/yyyy") &amp; "," &amp; Sheet1!D697</f>
        <v xml:space="preserve">03/10/2025,ST ALBANS , AUSTRALIA </v>
      </c>
      <c r="H697" s="57" t="str">
        <f>UPPER(Sheet1!K697 &amp; "," &amp; Sheet1!L697 &amp; "," &amp; Sheet1!M697)</f>
        <v xml:space="preserve">VPO,ATHWAL,GURDASPUR,PIN:143511,PUNJAB,INDIA </v>
      </c>
      <c r="I697" s="8">
        <f>Sheet1!J697</f>
        <v>46013</v>
      </c>
      <c r="J697" s="5" t="str">
        <f>Sheet1!N697 &amp; "," &amp; TEXT(Sheet1!O697,"dd/mm/yy")</f>
        <v>202509087249,05/12/25</v>
      </c>
      <c r="K697" s="5" t="s">
        <v>14</v>
      </c>
      <c r="L697" s="1" t="s">
        <v>15</v>
      </c>
      <c r="M697" s="58" t="s">
        <v>19</v>
      </c>
      <c r="N697" s="38" t="s">
        <v>16</v>
      </c>
    </row>
    <row r="698" spans="1:14" x14ac:dyDescent="0.35">
      <c r="A698" s="4" t="str">
        <f>Sheet1!A698 &amp; "/" &amp; "2025"</f>
        <v>2096/2025</v>
      </c>
      <c r="B698" s="5" t="str">
        <f>Sheet1!E698</f>
        <v>AU2065909006425</v>
      </c>
      <c r="C698" s="6" t="str">
        <f>UPPER(Sheet1!B698)</f>
        <v>MEDHASWI RACHARLA</v>
      </c>
      <c r="D698" s="7" t="str">
        <f>IF(Sheet1!F698="F","FEMALE","MALE")</f>
        <v>FEMALE</v>
      </c>
      <c r="E698" s="6" t="str">
        <f>UPPER(Sheet1!G698)</f>
        <v>DINESH RACHARLA</v>
      </c>
      <c r="F698" s="6" t="str">
        <f>UPPER(Sheet1!H698)</f>
        <v>RAMYA SRI POTHANA</v>
      </c>
      <c r="G698" s="5" t="str">
        <f>TEXT(Sheet1!C698,"dd/mm/yyyy") &amp; "," &amp; Sheet1!D698</f>
        <v xml:space="preserve">12/10/2025,ST ALBANS , AUSTRALIA </v>
      </c>
      <c r="H698" s="57" t="str">
        <f>UPPER(Sheet1!K698 &amp; "," &amp; Sheet1!L698 &amp; "," &amp; Sheet1!M698)</f>
        <v xml:space="preserve">2-123,RAYAPARTHY,PARKAL,HANUMAKONDA,PIN:506164,TELANGANA,INDIA </v>
      </c>
      <c r="I698" s="8">
        <f>Sheet1!J698</f>
        <v>46013</v>
      </c>
      <c r="J698" s="5" t="str">
        <f>Sheet1!N698 &amp; "," &amp; TEXT(Sheet1!O698,"dd/mm/yy")</f>
        <v>202509085027,27/11/25</v>
      </c>
      <c r="K698" s="5" t="s">
        <v>14</v>
      </c>
      <c r="L698" s="1" t="s">
        <v>15</v>
      </c>
      <c r="M698" s="58" t="s">
        <v>19</v>
      </c>
      <c r="N698" s="38" t="s">
        <v>16</v>
      </c>
    </row>
    <row r="699" spans="1:14" x14ac:dyDescent="0.35">
      <c r="A699" s="4" t="str">
        <f>Sheet1!A699 &amp; "/" &amp; "2025"</f>
        <v>2097/2025</v>
      </c>
      <c r="B699" s="5" t="str">
        <f>Sheet1!E699</f>
        <v>AU2065909006625</v>
      </c>
      <c r="C699" s="6" t="str">
        <f>UPPER(Sheet1!B699)</f>
        <v>HARGUN KAUR</v>
      </c>
      <c r="D699" s="7" t="str">
        <f>IF(Sheet1!F699="F","FEMALE","MALE")</f>
        <v>FEMALE</v>
      </c>
      <c r="E699" s="6" t="str">
        <f>UPPER(Sheet1!G699)</f>
        <v>DILBAGH SINGH</v>
      </c>
      <c r="F699" s="6" t="str">
        <f>UPPER(Sheet1!H699)</f>
        <v>DILPREET MANGAT</v>
      </c>
      <c r="G699" s="5" t="str">
        <f>TEXT(Sheet1!C699,"dd/mm/yyyy") &amp; "," &amp; Sheet1!D699</f>
        <v xml:space="preserve">20/06/2025,GEELONG , AUSTRALIA </v>
      </c>
      <c r="H699" s="57" t="str">
        <f>UPPER(Sheet1!K699 &amp; "," &amp; Sheet1!L699 &amp; "," &amp; Sheet1!M699)</f>
        <v xml:space="preserve">VILLAGE MALOUDH RORIAN,TEHSIL PAYAL,KHANNA (LUDHIANA),PIN:141119,PUNJAB,INDIA </v>
      </c>
      <c r="I699" s="8">
        <f>Sheet1!J699</f>
        <v>46013</v>
      </c>
      <c r="J699" s="5" t="str">
        <f>Sheet1!N699 &amp; "," &amp; TEXT(Sheet1!O699,"dd/mm/yy")</f>
        <v>202509086369,02/12/25</v>
      </c>
      <c r="K699" s="5" t="s">
        <v>14</v>
      </c>
      <c r="L699" s="1" t="s">
        <v>15</v>
      </c>
      <c r="M699" s="58" t="s">
        <v>19</v>
      </c>
      <c r="N699" s="38" t="s">
        <v>16</v>
      </c>
    </row>
    <row r="700" spans="1:14" x14ac:dyDescent="0.35">
      <c r="A700" s="4" t="str">
        <f>Sheet1!A700 &amp; "/" &amp; "2025"</f>
        <v>2098/2025</v>
      </c>
      <c r="B700" s="5" t="str">
        <f>Sheet1!E700</f>
        <v>AU2065910356225</v>
      </c>
      <c r="C700" s="6" t="str">
        <f>UPPER(Sheet1!B700)</f>
        <v>JAPJI KAUR BAJWA</v>
      </c>
      <c r="D700" s="7" t="str">
        <f>IF(Sheet1!F700="F","FEMALE","MALE")</f>
        <v>FEMALE</v>
      </c>
      <c r="E700" s="6" t="str">
        <f>UPPER(Sheet1!G700)</f>
        <v>HARPINDER SINGH</v>
      </c>
      <c r="F700" s="6" t="str">
        <f>UPPER(Sheet1!H700)</f>
        <v>KAMALJEET KAUR</v>
      </c>
      <c r="G700" s="5" t="str">
        <f>TEXT(Sheet1!C700,"dd/mm/yyyy") &amp; "," &amp; Sheet1!D700</f>
        <v>31/03/2025,HOBART , AUSTRALIA</v>
      </c>
      <c r="H700" s="57" t="str">
        <f>UPPER(Sheet1!K700 &amp; "," &amp; Sheet1!L700 &amp; "," &amp; Sheet1!M700)</f>
        <v xml:space="preserve">VILL ABHAYPUR MADHOPUR POST GHUNCHAI,TEHSIL PURANPUR,PILIBHIT,PIN:262122,UTTAR PRADESH,INDIA </v>
      </c>
      <c r="I700" s="8">
        <f>Sheet1!J700</f>
        <v>46013</v>
      </c>
      <c r="J700" s="5" t="str">
        <f>Sheet1!N700 &amp; "," &amp; TEXT(Sheet1!O700,"dd/mm/yy")</f>
        <v>202509085312,28/11/25</v>
      </c>
      <c r="K700" s="5" t="s">
        <v>14</v>
      </c>
      <c r="L700" s="1" t="s">
        <v>15</v>
      </c>
      <c r="M700" s="58" t="s">
        <v>19</v>
      </c>
      <c r="N700" s="38" t="s">
        <v>16</v>
      </c>
    </row>
    <row r="701" spans="1:14" x14ac:dyDescent="0.35">
      <c r="A701" s="4" t="str">
        <f>Sheet1!A701 &amp; "/" &amp; "2025"</f>
        <v>2099/2025</v>
      </c>
      <c r="B701" s="5" t="str">
        <f>Sheet1!E701</f>
        <v>AU2065903955425</v>
      </c>
      <c r="C701" s="6" t="str">
        <f>UPPER(Sheet1!B701)</f>
        <v>SAADGI KAUR TIWANA</v>
      </c>
      <c r="D701" s="7" t="str">
        <f>IF(Sheet1!F701="F","FEMALE","MALE")</f>
        <v>FEMALE</v>
      </c>
      <c r="E701" s="6" t="str">
        <f>UPPER(Sheet1!G701)</f>
        <v>DYAL SINGH TIWANA</v>
      </c>
      <c r="F701" s="6" t="str">
        <f>UPPER(Sheet1!H701)</f>
        <v>MANJOT KAUR</v>
      </c>
      <c r="G701" s="5" t="str">
        <f>TEXT(Sheet1!C701,"dd/mm/yyyy") &amp; "," &amp; Sheet1!D701</f>
        <v xml:space="preserve">08/05/2025,ST ALBANS , AUSTRALIA </v>
      </c>
      <c r="H701" s="57" t="str">
        <f>UPPER(Sheet1!K701 &amp; "," &amp; Sheet1!L701 &amp; "," &amp; Sheet1!M701)</f>
        <v xml:space="preserve">VILL RABBON UCHI,TEHSIL PAYAL,KHANNA (LUDHIANA),PIN:141119,PUNJAB,INDIA </v>
      </c>
      <c r="I701" s="8">
        <f>Sheet1!J701</f>
        <v>46014</v>
      </c>
      <c r="J701" s="5" t="str">
        <f>Sheet1!N701 &amp; "," &amp; TEXT(Sheet1!O701,"dd/mm/yy")</f>
        <v>202509090730,17/12/25</v>
      </c>
      <c r="K701" s="5" t="s">
        <v>14</v>
      </c>
      <c r="L701" s="1" t="s">
        <v>15</v>
      </c>
      <c r="M701" s="58" t="s">
        <v>19</v>
      </c>
      <c r="N701" s="38" t="s">
        <v>16</v>
      </c>
    </row>
    <row r="702" spans="1:14" x14ac:dyDescent="0.35">
      <c r="A702" s="4" t="str">
        <f>Sheet1!A702 &amp; "/" &amp; "2025"</f>
        <v>2100/2025</v>
      </c>
      <c r="B702" s="5" t="str">
        <f>Sheet1!E702</f>
        <v>AU2065910371025</v>
      </c>
      <c r="C702" s="6" t="str">
        <f>UPPER(Sheet1!B702)</f>
        <v>ASHRAFUL NAEEM HOSSEN</v>
      </c>
      <c r="D702" s="7" t="str">
        <f>IF(Sheet1!F702="F","FEMALE","MALE")</f>
        <v>MALE</v>
      </c>
      <c r="E702" s="6" t="str">
        <f>UPPER(Sheet1!G702)</f>
        <v>MOHAMMAD ZAKIR HOSSEN</v>
      </c>
      <c r="F702" s="6" t="str">
        <f>UPPER(Sheet1!H702)</f>
        <v>DEEPTHI RAVIRALA</v>
      </c>
      <c r="G702" s="5" t="str">
        <f>TEXT(Sheet1!C702,"dd/mm/yyyy") &amp; "," &amp; Sheet1!D702</f>
        <v xml:space="preserve">11/07/2025,CLAYTON , AUSTRALIA  </v>
      </c>
      <c r="H702" s="57" t="str">
        <f>UPPER(Sheet1!K702 &amp; "," &amp; Sheet1!L702 &amp; "," &amp; Sheet1!M702)</f>
        <v xml:space="preserve">7-51/29,MAINROAD,NAKREKAL,NALGONDA,PIN:508211,TELANGANA,INDIA </v>
      </c>
      <c r="I702" s="8">
        <f>Sheet1!J702</f>
        <v>46015</v>
      </c>
      <c r="J702" s="5" t="str">
        <f>Sheet1!N702 &amp; "," &amp; TEXT(Sheet1!O702,"dd/mm/yy")</f>
        <v>202509067652,24/09/25</v>
      </c>
      <c r="K702" s="5" t="s">
        <v>14</v>
      </c>
      <c r="L702" s="1" t="s">
        <v>15</v>
      </c>
      <c r="M702" s="58" t="s">
        <v>19</v>
      </c>
      <c r="N702" s="38" t="s">
        <v>16</v>
      </c>
    </row>
    <row r="703" spans="1:14" ht="30" customHeight="1" x14ac:dyDescent="0.35">
      <c r="A703" s="4" t="str">
        <f>Sheet1!A703 &amp; "/" &amp; "2025"</f>
        <v>2101/2025</v>
      </c>
      <c r="B703" s="5" t="str">
        <f>Sheet1!E703</f>
        <v>AU2065910371425</v>
      </c>
      <c r="C703" s="6" t="str">
        <f>UPPER(Sheet1!B703)</f>
        <v>RADHYA HARSHKUMAR PRAJAPATI</v>
      </c>
      <c r="D703" s="7" t="str">
        <f>IF(Sheet1!F703="F","FEMALE","MALE")</f>
        <v>FEMALE</v>
      </c>
      <c r="E703" s="6" t="str">
        <f>UPPER(Sheet1!G703)</f>
        <v>HARSHKUMAR POPATBHAI PRAJAPATI</v>
      </c>
      <c r="F703" s="6" t="str">
        <f>UPPER(Sheet1!H703)</f>
        <v>KRISHA HARSHKUMAR PRAJAPATI</v>
      </c>
      <c r="G703" s="5" t="str">
        <f>TEXT(Sheet1!C703,"dd/mm/yyyy") &amp; "," &amp; Sheet1!D703</f>
        <v xml:space="preserve">25/09/2025,CLAYTON , AUSTRALIA  </v>
      </c>
      <c r="H703" s="57" t="str">
        <f>UPPER(Sheet1!K703 &amp; "," &amp; Sheet1!L703 &amp; "," &amp; Sheet1!M703)</f>
        <v xml:space="preserve">NAVO PRAJAPATI VAS,VANTA MA,CHARADA,MANSA,GANDHINAGAR,PIN:382810,GUJARAT,INDIA </v>
      </c>
      <c r="I703" s="8">
        <f>Sheet1!J703</f>
        <v>46015</v>
      </c>
      <c r="J703" s="5" t="str">
        <f>Sheet1!N703 &amp; "," &amp; TEXT(Sheet1!O703,"dd/mm/yy")</f>
        <v>202509086628,03/12/25</v>
      </c>
      <c r="K703" s="5" t="s">
        <v>14</v>
      </c>
      <c r="L703" s="1" t="s">
        <v>15</v>
      </c>
      <c r="M703" s="58" t="s">
        <v>19</v>
      </c>
      <c r="N703" s="38" t="s">
        <v>16</v>
      </c>
    </row>
    <row r="704" spans="1:14" x14ac:dyDescent="0.35">
      <c r="A704" s="4" t="str">
        <f>Sheet1!A704 &amp; "/" &amp; "2025"</f>
        <v>2102/2025</v>
      </c>
      <c r="B704" s="5" t="str">
        <f>Sheet1!E704</f>
        <v>AU2065910371625</v>
      </c>
      <c r="C704" s="6" t="str">
        <f>UPPER(Sheet1!B704)</f>
        <v>SAHIB SINGH GREWAL</v>
      </c>
      <c r="D704" s="7" t="str">
        <f>IF(Sheet1!F704="F","FEMALE","MALE")</f>
        <v>MALE</v>
      </c>
      <c r="E704" s="6" t="str">
        <f>UPPER(Sheet1!G704)</f>
        <v>SUKHPREET SINGH GREWAL</v>
      </c>
      <c r="F704" s="6" t="str">
        <f>UPPER(Sheet1!H704)</f>
        <v>GURPREET KAUR HANS</v>
      </c>
      <c r="G704" s="5" t="str">
        <f>TEXT(Sheet1!C704,"dd/mm/yyyy") &amp; "," &amp; Sheet1!D704</f>
        <v xml:space="preserve">09/08/2025,CLAYTON , AUSTRALIA  </v>
      </c>
      <c r="H704" s="57" t="str">
        <f>UPPER(Sheet1!K704 &amp; "," &amp; Sheet1!L704 &amp; "," &amp; Sheet1!M704)</f>
        <v xml:space="preserve">VILLAGE CHUPKI,P.O JASSOWAL,LUDHIANA,LUDHIANA,PIN:141116,PUNJAB,INDIA </v>
      </c>
      <c r="I704" s="8">
        <f>Sheet1!J704</f>
        <v>46015</v>
      </c>
      <c r="J704" s="5" t="str">
        <f>Sheet1!N704 &amp; "," &amp; TEXT(Sheet1!O704,"dd/mm/yy")</f>
        <v>202509086523,02/12/25</v>
      </c>
      <c r="K704" s="5" t="s">
        <v>14</v>
      </c>
      <c r="L704" s="1" t="s">
        <v>15</v>
      </c>
      <c r="M704" s="58" t="s">
        <v>19</v>
      </c>
      <c r="N704" s="38" t="s">
        <v>16</v>
      </c>
    </row>
    <row r="705" spans="1:14" x14ac:dyDescent="0.35">
      <c r="A705" s="4" t="str">
        <f>Sheet1!A705 &amp; "/" &amp; "2025"</f>
        <v>2103/2025</v>
      </c>
      <c r="B705" s="5" t="str">
        <f>Sheet1!E705</f>
        <v>AU2065910373425</v>
      </c>
      <c r="C705" s="6" t="str">
        <f>UPPER(Sheet1!B705)</f>
        <v>ALMIR QUADRI MOHAMMAD</v>
      </c>
      <c r="D705" s="7" t="str">
        <f>IF(Sheet1!F705="F","FEMALE","MALE")</f>
        <v>MALE</v>
      </c>
      <c r="E705" s="6" t="str">
        <f>UPPER(Sheet1!G705)</f>
        <v>MOHAMMAD INTESAR</v>
      </c>
      <c r="F705" s="6" t="str">
        <f>UPPER(Sheet1!H705)</f>
        <v>MAHA AMTUL RAFI</v>
      </c>
      <c r="G705" s="5" t="str">
        <f>TEXT(Sheet1!C705,"dd/mm/yyyy") &amp; "," &amp; Sheet1!D705</f>
        <v xml:space="preserve">22/10/2025,ST ALBANS , AUSTRALIA </v>
      </c>
      <c r="H705" s="57" t="str">
        <f>UPPER(Sheet1!K705 &amp; "," &amp; Sheet1!L705 &amp; "," &amp; Sheet1!M705)</f>
        <v xml:space="preserve">2-2-1109/58/1,GANGA BOWLI,VAIBHAV COLONY,BAGH AMBERPET,HYDERABAD,PIN:500013,TELANGANA,INDIA </v>
      </c>
      <c r="I705" s="8">
        <f>Sheet1!J705</f>
        <v>46015</v>
      </c>
      <c r="J705" s="5" t="str">
        <f>Sheet1!N705 &amp; "," &amp; TEXT(Sheet1!O705,"dd/mm/yy")</f>
        <v>202509088068,08/12/25</v>
      </c>
      <c r="K705" s="5" t="s">
        <v>14</v>
      </c>
      <c r="L705" s="1" t="s">
        <v>15</v>
      </c>
      <c r="M705" s="58" t="s">
        <v>19</v>
      </c>
      <c r="N705" s="38" t="s">
        <v>16</v>
      </c>
    </row>
    <row r="706" spans="1:14" x14ac:dyDescent="0.35">
      <c r="A706" s="4" t="str">
        <f>Sheet1!A706 &amp; "/" &amp; "2025"</f>
        <v>2104/2025</v>
      </c>
      <c r="B706" s="5" t="str">
        <f>Sheet1!E706</f>
        <v>AU2065910373625</v>
      </c>
      <c r="C706" s="6" t="str">
        <f>UPPER(Sheet1!B706)</f>
        <v>SARTAZ SINGH</v>
      </c>
      <c r="D706" s="7" t="str">
        <f>IF(Sheet1!F706="F","FEMALE","MALE")</f>
        <v>MALE</v>
      </c>
      <c r="E706" s="6" t="str">
        <f>UPPER(Sheet1!G706)</f>
        <v>TALWINDER SINGH</v>
      </c>
      <c r="F706" s="6" t="str">
        <f>UPPER(Sheet1!H706)</f>
        <v>HARPREET KAUR</v>
      </c>
      <c r="G706" s="5" t="str">
        <f>TEXT(Sheet1!C706,"dd/mm/yyyy") &amp; "," &amp; Sheet1!D706</f>
        <v xml:space="preserve">13/09/2025,ST ALBANS , AUSTRALIA </v>
      </c>
      <c r="H706" s="57" t="str">
        <f>UPPER(Sheet1!K706 &amp; "," &amp; Sheet1!L706 &amp; "," &amp; Sheet1!M706)</f>
        <v xml:space="preserve">VILLAGE BURJ,TEHSIL AND DISTT,MALERKOTLA,PIN:148023,PUNJAB,INDIA </v>
      </c>
      <c r="I706" s="8">
        <f>Sheet1!J706</f>
        <v>46015</v>
      </c>
      <c r="J706" s="5" t="str">
        <f>Sheet1!N706 &amp; "," &amp; TEXT(Sheet1!O706,"dd/mm/yy")</f>
        <v>202509086296,02/12/25</v>
      </c>
      <c r="K706" s="5" t="s">
        <v>14</v>
      </c>
      <c r="L706" s="1" t="s">
        <v>15</v>
      </c>
      <c r="M706" s="58" t="s">
        <v>19</v>
      </c>
      <c r="N706" s="38" t="s">
        <v>16</v>
      </c>
    </row>
    <row r="707" spans="1:14" x14ac:dyDescent="0.35">
      <c r="A707" s="4" t="str">
        <f>Sheet1!A707 &amp; "/" &amp; "2025"</f>
        <v>2105/2025</v>
      </c>
      <c r="B707" s="5" t="str">
        <f>Sheet1!E707</f>
        <v>AU2065910374025</v>
      </c>
      <c r="C707" s="6" t="str">
        <f>UPPER(Sheet1!B707)</f>
        <v>MYRA SHARMA</v>
      </c>
      <c r="D707" s="7" t="str">
        <f>IF(Sheet1!F707="F","FEMALE","MALE")</f>
        <v>FEMALE</v>
      </c>
      <c r="E707" s="6" t="str">
        <f>UPPER(Sheet1!G707)</f>
        <v>YOGESH SHARMA</v>
      </c>
      <c r="F707" s="6" t="str">
        <f>UPPER(Sheet1!H707)</f>
        <v>DIVYA SHARMA</v>
      </c>
      <c r="G707" s="5" t="str">
        <f>TEXT(Sheet1!C707,"dd/mm/yyyy") &amp; "," &amp; Sheet1!D707</f>
        <v xml:space="preserve">13/11/2025,GEELONG , AUSTRALIA </v>
      </c>
      <c r="H707" s="57" t="str">
        <f>UPPER(Sheet1!K707 &amp; "," &amp; Sheet1!L707 &amp; "," &amp; Sheet1!M707)</f>
        <v xml:space="preserve">SUBHASH NAGAR WARD NO. 1,SUNAM,SANGRUR,PIN:148028,PUNJAB,INDIA </v>
      </c>
      <c r="I707" s="8">
        <f>Sheet1!J707</f>
        <v>46015</v>
      </c>
      <c r="J707" s="5" t="str">
        <f>Sheet1!N707 &amp; "," &amp; TEXT(Sheet1!O707,"dd/mm/yy")</f>
        <v>202509089119,11/12/25</v>
      </c>
      <c r="K707" s="5" t="s">
        <v>14</v>
      </c>
      <c r="L707" s="1" t="s">
        <v>15</v>
      </c>
      <c r="M707" s="58" t="s">
        <v>19</v>
      </c>
      <c r="N707" s="38" t="s">
        <v>16</v>
      </c>
    </row>
    <row r="708" spans="1:14" x14ac:dyDescent="0.35">
      <c r="A708" s="4" t="str">
        <f>Sheet1!A708 &amp; "/" &amp; "2025"</f>
        <v>2106/2025</v>
      </c>
      <c r="B708" s="5" t="str">
        <f>Sheet1!E708</f>
        <v>AU2065910374425</v>
      </c>
      <c r="C708" s="6" t="str">
        <f>UPPER(Sheet1!B708)</f>
        <v>AARNA PATEL</v>
      </c>
      <c r="D708" s="7" t="str">
        <f>IF(Sheet1!F708="F","FEMALE","MALE")</f>
        <v>FEMALE</v>
      </c>
      <c r="E708" s="6" t="str">
        <f>UPPER(Sheet1!G708)</f>
        <v>HARSHKUMAR NARENDRABHAI PATEL</v>
      </c>
      <c r="F708" s="6" t="str">
        <f>UPPER(Sheet1!H708)</f>
        <v>SHIVANIBEN RAKESHKUMAR PATEL</v>
      </c>
      <c r="G708" s="5" t="str">
        <f>TEXT(Sheet1!C708,"dd/mm/yyyy") &amp; "," &amp; Sheet1!D708</f>
        <v xml:space="preserve">17/10/2025,CLAYTON , AUSTRALIA  </v>
      </c>
      <c r="H708" s="57" t="str">
        <f>UPPER(Sheet1!K708 &amp; "," &amp; Sheet1!L708 &amp; "," &amp; Sheet1!M708)</f>
        <v xml:space="preserve">AT-FATEHBAG PALACE SOCIETY,VARADHARI RD,TA- LUNAWADA,PANCHMAHALS,PIN:389230,GUJARAT,INDIA </v>
      </c>
      <c r="I708" s="8">
        <f>Sheet1!J708</f>
        <v>46015</v>
      </c>
      <c r="J708" s="5" t="str">
        <f>Sheet1!N708 &amp; "," &amp; TEXT(Sheet1!O708,"dd/mm/yy")</f>
        <v>202509089556,13/12/25</v>
      </c>
      <c r="K708" s="5" t="s">
        <v>14</v>
      </c>
      <c r="L708" s="1" t="s">
        <v>15</v>
      </c>
      <c r="M708" s="58" t="s">
        <v>19</v>
      </c>
      <c r="N708" s="38" t="s">
        <v>16</v>
      </c>
    </row>
    <row r="709" spans="1:14" x14ac:dyDescent="0.35">
      <c r="A709" s="4" t="str">
        <f>Sheet1!A709 &amp; "/" &amp; "2025"</f>
        <v>2107/2025</v>
      </c>
      <c r="B709" s="5" t="str">
        <f>Sheet1!E709</f>
        <v>AU2065910361225</v>
      </c>
      <c r="C709" s="6" t="str">
        <f>UPPER(Sheet1!B709)</f>
        <v>AMAIRA JUGRAN</v>
      </c>
      <c r="D709" s="7" t="str">
        <f>IF(Sheet1!F709="F","FEMALE","MALE")</f>
        <v>FEMALE</v>
      </c>
      <c r="E709" s="6" t="str">
        <f>UPPER(Sheet1!G709)</f>
        <v>SAHIL JUGRAN</v>
      </c>
      <c r="F709" s="6" t="str">
        <f>UPPER(Sheet1!H709)</f>
        <v>SHIKHA BALUNI JUGRAN</v>
      </c>
      <c r="G709" s="5" t="str">
        <f>TEXT(Sheet1!C709,"dd/mm/yyyy") &amp; "," &amp; Sheet1!D709</f>
        <v xml:space="preserve">21/08/2025,ST ALBANS , AUSTRALIA </v>
      </c>
      <c r="H709" s="57" t="str">
        <f>UPPER(Sheet1!K709 &amp; "," &amp; Sheet1!L709 &amp; "," &amp; Sheet1!M709)</f>
        <v xml:space="preserve">F-28,3RD FLOOR,WEST PATEL NAGAR,DELHI,PIN:110008,DELHI,INDIA </v>
      </c>
      <c r="I709" s="8">
        <f>Sheet1!J709</f>
        <v>46015</v>
      </c>
      <c r="J709" s="5" t="str">
        <f>Sheet1!N709 &amp; "," &amp; TEXT(Sheet1!O709,"dd/mm/yy")</f>
        <v>202509088099,08/12/25</v>
      </c>
      <c r="K709" s="5" t="s">
        <v>14</v>
      </c>
      <c r="L709" s="1" t="s">
        <v>15</v>
      </c>
      <c r="M709" s="58" t="s">
        <v>19</v>
      </c>
      <c r="N709" s="38" t="s">
        <v>16</v>
      </c>
    </row>
    <row r="710" spans="1:14" x14ac:dyDescent="0.35">
      <c r="A710" s="4" t="str">
        <f>Sheet1!A710 &amp; "/" &amp; "2025"</f>
        <v>2108/2025</v>
      </c>
      <c r="B710" s="5" t="str">
        <f>Sheet1!E710</f>
        <v>AU2065910361625</v>
      </c>
      <c r="C710" s="6" t="str">
        <f>UPPER(Sheet1!B710)</f>
        <v>AAVYAAN DHAWAN</v>
      </c>
      <c r="D710" s="7" t="str">
        <f>IF(Sheet1!F710="F","FEMALE","MALE")</f>
        <v>MALE</v>
      </c>
      <c r="E710" s="6" t="str">
        <f>UPPER(Sheet1!G710)</f>
        <v>AKSHAY KUMAR</v>
      </c>
      <c r="F710" s="6" t="str">
        <f>UPPER(Sheet1!H710)</f>
        <v>NEHA KUMARI</v>
      </c>
      <c r="G710" s="5" t="str">
        <f>TEXT(Sheet1!C710,"dd/mm/yyyy") &amp; "," &amp; Sheet1!D710</f>
        <v xml:space="preserve">09/09/2025,BUNDOORA, AUSTRALIA </v>
      </c>
      <c r="H710" s="57" t="str">
        <f>UPPER(Sheet1!K710 &amp; "," &amp; Sheet1!L710 &amp; "," &amp; Sheet1!M710)</f>
        <v xml:space="preserve">2341/4,SHEKHAN MOHALLA,THANESAR,KURUKSHETRA,PIN:136118,HARYANA,INDIA </v>
      </c>
      <c r="I710" s="8">
        <f>Sheet1!J710</f>
        <v>46015</v>
      </c>
      <c r="J710" s="5" t="str">
        <f>Sheet1!N710 &amp; "," &amp; TEXT(Sheet1!O710,"dd/mm/yy")</f>
        <v>202509087581,06/12/25</v>
      </c>
      <c r="K710" s="5" t="s">
        <v>14</v>
      </c>
      <c r="L710" s="1" t="s">
        <v>15</v>
      </c>
      <c r="M710" s="58" t="s">
        <v>19</v>
      </c>
      <c r="N710" s="38" t="s">
        <v>16</v>
      </c>
    </row>
    <row r="711" spans="1:14" x14ac:dyDescent="0.35">
      <c r="A711" s="4" t="str">
        <f>Sheet1!A711 &amp; "/" &amp; "2025"</f>
        <v>2109/2025</v>
      </c>
      <c r="B711" s="5" t="str">
        <f>Sheet1!E711</f>
        <v>AU2065910362625</v>
      </c>
      <c r="C711" s="6" t="str">
        <f>UPPER(Sheet1!B711)</f>
        <v>BEANT KAUR SANDHU</v>
      </c>
      <c r="D711" s="7" t="str">
        <f>IF(Sheet1!F711="F","FEMALE","MALE")</f>
        <v>FEMALE</v>
      </c>
      <c r="E711" s="6" t="str">
        <f>UPPER(Sheet1!G711)</f>
        <v>KAWALPREET SINGH</v>
      </c>
      <c r="F711" s="6" t="str">
        <f>UPPER(Sheet1!H711)</f>
        <v>GURPREET KAUR</v>
      </c>
      <c r="G711" s="5" t="str">
        <f>TEXT(Sheet1!C711,"dd/mm/yyyy") &amp; "," &amp; Sheet1!D711</f>
        <v xml:space="preserve">13/05/2025,ST ALBANS , AUSTRALIA </v>
      </c>
      <c r="H711" s="57" t="str">
        <f>UPPER(Sheet1!K711 &amp; "," &amp; Sheet1!L711 &amp; "," &amp; Sheet1!M711)</f>
        <v xml:space="preserve">97,KOTLA SADAR,AMRITSAR,PIN:143001,PUNJAB,INDIA </v>
      </c>
      <c r="I711" s="8">
        <f>Sheet1!J711</f>
        <v>46015</v>
      </c>
      <c r="J711" s="5" t="str">
        <f>Sheet1!N711 &amp; "," &amp; TEXT(Sheet1!O711,"dd/mm/yy")</f>
        <v>202509071874,10/10/25</v>
      </c>
      <c r="K711" s="5" t="s">
        <v>14</v>
      </c>
      <c r="L711" s="1" t="s">
        <v>15</v>
      </c>
      <c r="M711" s="58" t="s">
        <v>19</v>
      </c>
      <c r="N711" s="38" t="s">
        <v>16</v>
      </c>
    </row>
    <row r="712" spans="1:14" x14ac:dyDescent="0.35">
      <c r="A712" s="4" t="str">
        <f>Sheet1!A712 &amp; "/" &amp; "2025"</f>
        <v>2110/2025</v>
      </c>
      <c r="B712" s="5" t="str">
        <f>Sheet1!E712</f>
        <v>AU2065910362225</v>
      </c>
      <c r="C712" s="6" t="str">
        <f>UPPER(Sheet1!B712)</f>
        <v>KIAN MADAAN</v>
      </c>
      <c r="D712" s="7" t="str">
        <f>IF(Sheet1!F712="F","FEMALE","MALE")</f>
        <v>MALE</v>
      </c>
      <c r="E712" s="6" t="str">
        <f>UPPER(Sheet1!G712)</f>
        <v>KARAN MADAN</v>
      </c>
      <c r="F712" s="6" t="str">
        <f>UPPER(Sheet1!H712)</f>
        <v>NITIKA BHALLA</v>
      </c>
      <c r="G712" s="5" t="str">
        <f>TEXT(Sheet1!C712,"dd/mm/yyyy") &amp; "," &amp; Sheet1!D712</f>
        <v xml:space="preserve">09/10/2025,EAST MELBOURNE, AUSTRALIA </v>
      </c>
      <c r="H712" s="57" t="str">
        <f>UPPER(Sheet1!K712 &amp; "," &amp; Sheet1!L712 &amp; "," &amp; Sheet1!M712)</f>
        <v xml:space="preserve">48,SHEETAL APPT,SEC-14,ROHINI,ROHINI,PIN:110085,DELHI,INDIA </v>
      </c>
      <c r="I712" s="8">
        <f>Sheet1!J712</f>
        <v>46015</v>
      </c>
      <c r="J712" s="5" t="str">
        <f>Sheet1!N712 &amp; "," &amp; TEXT(Sheet1!O712,"dd/mm/yy")</f>
        <v>202509087360,05/12/25</v>
      </c>
      <c r="K712" s="5" t="s">
        <v>14</v>
      </c>
      <c r="L712" s="1" t="s">
        <v>15</v>
      </c>
      <c r="M712" s="58" t="s">
        <v>19</v>
      </c>
      <c r="N712" s="38" t="s">
        <v>16</v>
      </c>
    </row>
    <row r="713" spans="1:14" x14ac:dyDescent="0.35">
      <c r="A713" s="4" t="str">
        <f>Sheet1!A713 &amp; "/" &amp; "2025"</f>
        <v>2111/2025</v>
      </c>
      <c r="B713" s="5" t="str">
        <f>Sheet1!E713</f>
        <v>AU2065910315825</v>
      </c>
      <c r="C713" s="6" t="str">
        <f>UPPER(Sheet1!B713)</f>
        <v>EBADAT KAUR</v>
      </c>
      <c r="D713" s="7" t="str">
        <f>IF(Sheet1!F713="F","FEMALE","MALE")</f>
        <v>FEMALE</v>
      </c>
      <c r="E713" s="6" t="str">
        <f>UPPER(Sheet1!G713)</f>
        <v>DHARVINDER SINGH</v>
      </c>
      <c r="F713" s="6" t="str">
        <f>UPPER(Sheet1!H713)</f>
        <v>DAVINDER KAUR</v>
      </c>
      <c r="G713" s="5" t="str">
        <f>TEXT(Sheet1!C713,"dd/mm/yyyy") &amp; "," &amp; Sheet1!D713</f>
        <v xml:space="preserve">19/10/2025,ST ALBANS , AUSTRALIA </v>
      </c>
      <c r="H713" s="57" t="str">
        <f>UPPER(Sheet1!K713 &amp; "," &amp; Sheet1!L713 &amp; "," &amp; Sheet1!M713)</f>
        <v xml:space="preserve">HOUSE NO- 73,SUNDER NAGAR COLONY,RAJPURA,PATIALA,PIN:140401,PUNJAB,INDIA </v>
      </c>
      <c r="I713" s="8">
        <f>Sheet1!J713</f>
        <v>46020</v>
      </c>
      <c r="J713" s="5" t="str">
        <f>Sheet1!N713 &amp; "," &amp; TEXT(Sheet1!O713,"dd/mm/yy")</f>
        <v>202509089291,12/12/25</v>
      </c>
      <c r="K713" s="5" t="s">
        <v>14</v>
      </c>
      <c r="L713" s="1" t="s">
        <v>15</v>
      </c>
      <c r="M713" s="58" t="s">
        <v>19</v>
      </c>
      <c r="N713" s="38" t="s">
        <v>16</v>
      </c>
    </row>
    <row r="714" spans="1:14" x14ac:dyDescent="0.35">
      <c r="A714" s="4" t="str">
        <f>Sheet1!A714 &amp; "/" &amp; "2025"</f>
        <v>2112/2025</v>
      </c>
      <c r="B714" s="5" t="str">
        <f>Sheet1!E714</f>
        <v>AU2065910316025</v>
      </c>
      <c r="C714" s="6" t="str">
        <f>UPPER(Sheet1!B714)</f>
        <v>JAIVEER SINGH BHANDARI</v>
      </c>
      <c r="D714" s="7" t="str">
        <f>IF(Sheet1!F714="F","FEMALE","MALE")</f>
        <v>MALE</v>
      </c>
      <c r="E714" s="6" t="str">
        <f>UPPER(Sheet1!G714)</f>
        <v>ASHISH BHANDARI</v>
      </c>
      <c r="F714" s="6" t="str">
        <f>UPPER(Sheet1!H714)</f>
        <v>KIRAN BEDI</v>
      </c>
      <c r="G714" s="5" t="str">
        <f>TEXT(Sheet1!C714,"dd/mm/yyyy") &amp; "," &amp; Sheet1!D714</f>
        <v xml:space="preserve">06/09/2025,GEELONG , AUSTRALIA </v>
      </c>
      <c r="H714" s="57" t="str">
        <f>UPPER(Sheet1!K714 &amp; "," &amp; Sheet1!L714 &amp; "," &amp; Sheet1!M714)</f>
        <v xml:space="preserve">7,AZAD NAGAR CHUNGI WALA BAZAR SULTANWIND ROAD,AMRITSAR,AMRITSAR,PIN:143001,PUNJAB,INDIA </v>
      </c>
      <c r="I714" s="8">
        <f>Sheet1!J714</f>
        <v>46020</v>
      </c>
      <c r="J714" s="5" t="str">
        <f>Sheet1!N714 &amp; "," &amp; TEXT(Sheet1!O714,"dd/mm/yy")</f>
        <v>202509086384,02/12/25</v>
      </c>
      <c r="K714" s="5" t="s">
        <v>14</v>
      </c>
      <c r="L714" s="1" t="s">
        <v>15</v>
      </c>
      <c r="M714" s="58" t="s">
        <v>19</v>
      </c>
      <c r="N714" s="38" t="s">
        <v>16</v>
      </c>
    </row>
    <row r="715" spans="1:14" x14ac:dyDescent="0.35">
      <c r="A715" s="4" t="str">
        <f>Sheet1!A715 &amp; "/" &amp; "2025"</f>
        <v>2113/2025</v>
      </c>
      <c r="B715" s="5" t="str">
        <f>Sheet1!E715</f>
        <v>AU2065910316225</v>
      </c>
      <c r="C715" s="6" t="str">
        <f>UPPER(Sheet1!B715)</f>
        <v>JORAWAR SINGH KALSI</v>
      </c>
      <c r="D715" s="7" t="str">
        <f>IF(Sheet1!F715="F","FEMALE","MALE")</f>
        <v>MALE</v>
      </c>
      <c r="E715" s="6" t="str">
        <f>UPPER(Sheet1!G715)</f>
        <v>HARPREET SINGH KALSI</v>
      </c>
      <c r="F715" s="6" t="str">
        <f>UPPER(Sheet1!H715)</f>
        <v>TANVEER KAUR</v>
      </c>
      <c r="G715" s="5" t="str">
        <f>TEXT(Sheet1!C715,"dd/mm/yyyy") &amp; "," &amp; Sheet1!D715</f>
        <v xml:space="preserve">24/04/2025,BUNDOORA, AUSTRALIA </v>
      </c>
      <c r="H715" s="57" t="str">
        <f>UPPER(Sheet1!K715 &amp; "," &amp; Sheet1!L715 &amp; "," &amp; Sheet1!M715)</f>
        <v xml:space="preserve">123 A STREET NO-5 EAST GURU ANGAD NAGAR,LAXMI NAGAR,DELHI,PIN:110092,DELHI,INDIA </v>
      </c>
      <c r="I715" s="8">
        <f>Sheet1!J715</f>
        <v>46020</v>
      </c>
      <c r="J715" s="5" t="str">
        <f>Sheet1!N715 &amp; "," &amp; TEXT(Sheet1!O715,"dd/mm/yy")</f>
        <v>202509089300,12/12/25</v>
      </c>
      <c r="K715" s="5" t="s">
        <v>14</v>
      </c>
      <c r="L715" s="1" t="s">
        <v>15</v>
      </c>
      <c r="M715" s="58" t="s">
        <v>19</v>
      </c>
      <c r="N715" s="38" t="s">
        <v>16</v>
      </c>
    </row>
    <row r="716" spans="1:14" x14ac:dyDescent="0.35">
      <c r="A716" s="4" t="str">
        <f>Sheet1!A716 &amp; "/" &amp; "2025"</f>
        <v>2114/2025</v>
      </c>
      <c r="B716" s="5" t="str">
        <f>Sheet1!E716</f>
        <v>AU2065910316425</v>
      </c>
      <c r="C716" s="6" t="str">
        <f>UPPER(Sheet1!B716)</f>
        <v>SRIHITH KRISHNA YESHALA</v>
      </c>
      <c r="D716" s="7" t="str">
        <f>IF(Sheet1!F716="F","FEMALE","MALE")</f>
        <v>MALE</v>
      </c>
      <c r="E716" s="6" t="str">
        <f>UPPER(Sheet1!G716)</f>
        <v>SAIKUMAR YESHALA</v>
      </c>
      <c r="F716" s="6" t="str">
        <f>UPPER(Sheet1!H716)</f>
        <v>SHIVANI PUPPALA</v>
      </c>
      <c r="G716" s="5" t="str">
        <f>TEXT(Sheet1!C716,"dd/mm/yyyy") &amp; "," &amp; Sheet1!D716</f>
        <v xml:space="preserve">20/10/2025,BACCHUS MARSH , AUSTRALIA  </v>
      </c>
      <c r="H716" s="57" t="str">
        <f>UPPER(Sheet1!K716 &amp; "," &amp; Sheet1!L716 &amp; "," &amp; Sheet1!M716)</f>
        <v xml:space="preserve">HNO 3-3/1 LOLAM,INDALWAI,NIZAMABAD,PIN:503164,TELANGANA,INDIA </v>
      </c>
      <c r="I716" s="8">
        <f>Sheet1!J716</f>
        <v>46020</v>
      </c>
      <c r="J716" s="5" t="str">
        <f>Sheet1!N716 &amp; "," &amp; TEXT(Sheet1!O716,"dd/mm/yy")</f>
        <v>202509088708,10/12/25</v>
      </c>
      <c r="K716" s="5" t="s">
        <v>14</v>
      </c>
      <c r="L716" s="1" t="s">
        <v>15</v>
      </c>
      <c r="M716" s="58" t="s">
        <v>19</v>
      </c>
      <c r="N716" s="38" t="s">
        <v>16</v>
      </c>
    </row>
    <row r="717" spans="1:14" x14ac:dyDescent="0.35">
      <c r="A717" s="4" t="str">
        <f>Sheet1!A717 &amp; "/" &amp; "2025"</f>
        <v>2115/2025</v>
      </c>
      <c r="B717" s="5" t="str">
        <f>Sheet1!E717</f>
        <v>AU2065910316625</v>
      </c>
      <c r="C717" s="6" t="str">
        <f>UPPER(Sheet1!B717)</f>
        <v>MANTEGH SINGH GREWAL</v>
      </c>
      <c r="D717" s="7" t="str">
        <f>IF(Sheet1!F717="F","FEMALE","MALE")</f>
        <v>MALE</v>
      </c>
      <c r="E717" s="6" t="str">
        <f>UPPER(Sheet1!G717)</f>
        <v>PRABHJOT SINGH GREWAL</v>
      </c>
      <c r="F717" s="6" t="str">
        <f>UPPER(Sheet1!H717)</f>
        <v>MANMEET KAUR</v>
      </c>
      <c r="G717" s="5" t="str">
        <f>TEXT(Sheet1!C717,"dd/mm/yyyy") &amp; "," &amp; Sheet1!D717</f>
        <v xml:space="preserve">24/03/2024,EPPING , AUSTRALIA </v>
      </c>
      <c r="H717" s="57" t="str">
        <f>UPPER(Sheet1!K717 &amp; "," &amp; Sheet1!L717 &amp; "," &amp; Sheet1!M717)</f>
        <v xml:space="preserve">VPO,JASSOWAL,LUDHIANA,PIN:141116,PUNJAB,INDIA </v>
      </c>
      <c r="I717" s="8">
        <f>Sheet1!J717</f>
        <v>46020</v>
      </c>
      <c r="J717" s="5" t="str">
        <f>Sheet1!N717 &amp; "," &amp; TEXT(Sheet1!O717,"dd/mm/yy")</f>
        <v>202509069800,02/10/25</v>
      </c>
      <c r="K717" s="5" t="s">
        <v>14</v>
      </c>
      <c r="L717" s="1" t="s">
        <v>15</v>
      </c>
      <c r="M717" s="58" t="s">
        <v>19</v>
      </c>
      <c r="N717" s="38" t="s">
        <v>16</v>
      </c>
    </row>
    <row r="718" spans="1:14" x14ac:dyDescent="0.35">
      <c r="A718" s="4" t="str">
        <f>Sheet1!A718 &amp; "/" &amp; "2025"</f>
        <v>2116/2025</v>
      </c>
      <c r="B718" s="5" t="str">
        <f>Sheet1!E718</f>
        <v>AU2065910316825</v>
      </c>
      <c r="C718" s="6" t="str">
        <f>UPPER(Sheet1!B718)</f>
        <v>RABAB KAUR</v>
      </c>
      <c r="D718" s="7" t="str">
        <f>IF(Sheet1!F718="F","FEMALE","MALE")</f>
        <v>FEMALE</v>
      </c>
      <c r="E718" s="6" t="str">
        <f>UPPER(Sheet1!G718)</f>
        <v>LACHHMAN DAS</v>
      </c>
      <c r="F718" s="6" t="str">
        <f>UPPER(Sheet1!H718)</f>
        <v>RAJWANT</v>
      </c>
      <c r="G718" s="5" t="str">
        <f>TEXT(Sheet1!C718,"dd/mm/yyyy") &amp; "," &amp; Sheet1!D718</f>
        <v xml:space="preserve">03/08/2025,EPPING , AUSTRALIA </v>
      </c>
      <c r="H718" s="57" t="str">
        <f>UPPER(Sheet1!K718 &amp; "," &amp; Sheet1!L718 &amp; "," &amp; Sheet1!M718)</f>
        <v xml:space="preserve">NEAR PUNJAB ELECTRICION BOARD NURMAHAL,TEH PHILLAUR,JALANDHAR,PIN:144039,PUNJAB,INDIA </v>
      </c>
      <c r="I718" s="8">
        <f>Sheet1!J718</f>
        <v>46020</v>
      </c>
      <c r="J718" s="5" t="str">
        <f>Sheet1!N718 &amp; "," &amp; TEXT(Sheet1!O718,"dd/mm/yy")</f>
        <v>202509086035,01/12/25</v>
      </c>
      <c r="K718" s="5" t="s">
        <v>14</v>
      </c>
      <c r="L718" s="1" t="s">
        <v>15</v>
      </c>
      <c r="M718" s="58" t="s">
        <v>19</v>
      </c>
      <c r="N718" s="38" t="s">
        <v>16</v>
      </c>
    </row>
    <row r="719" spans="1:14" x14ac:dyDescent="0.35">
      <c r="A719" s="4" t="str">
        <f>Sheet1!A719 &amp; "/" &amp; "2025"</f>
        <v>2117/2025</v>
      </c>
      <c r="B719" s="5" t="str">
        <f>Sheet1!E719</f>
        <v>AU2065910317025</v>
      </c>
      <c r="C719" s="6" t="str">
        <f>UPPER(Sheet1!B719)</f>
        <v>GURNIWAZ SINGH SOHAL</v>
      </c>
      <c r="D719" s="7" t="str">
        <f>IF(Sheet1!F719="F","FEMALE","MALE")</f>
        <v>MALE</v>
      </c>
      <c r="E719" s="6" t="str">
        <f>UPPER(Sheet1!G719)</f>
        <v>MANVEERJOT SINGH SOHAL</v>
      </c>
      <c r="F719" s="6" t="str">
        <f>UPPER(Sheet1!H719)</f>
        <v>VIPANPREET KAUR</v>
      </c>
      <c r="G719" s="5" t="str">
        <f>TEXT(Sheet1!C719,"dd/mm/yyyy") &amp; "," &amp; Sheet1!D719</f>
        <v>11/09/2025,BALLARAT CENTRAL, AUSTRALIA</v>
      </c>
      <c r="H719" s="57" t="str">
        <f>UPPER(Sheet1!K719 &amp; "," &amp; Sheet1!L719 &amp; "," &amp; Sheet1!M719)</f>
        <v xml:space="preserve">VPO-,ADAMPUR,FATEHGARH SAHIB,PIN:140406,PUNJAB,INDIA </v>
      </c>
      <c r="I719" s="8">
        <f>Sheet1!J719</f>
        <v>46020</v>
      </c>
      <c r="J719" s="5" t="str">
        <f>Sheet1!N719 &amp; "," &amp; TEXT(Sheet1!O719,"dd/mm/yy")</f>
        <v>202509085034,27/11/25</v>
      </c>
      <c r="K719" s="5" t="s">
        <v>14</v>
      </c>
      <c r="L719" s="1" t="s">
        <v>15</v>
      </c>
      <c r="M719" s="58" t="s">
        <v>19</v>
      </c>
      <c r="N719" s="38" t="s">
        <v>16</v>
      </c>
    </row>
    <row r="720" spans="1:14" x14ac:dyDescent="0.35">
      <c r="A720" s="4" t="str">
        <f>Sheet1!A720 &amp; "/" &amp; "2025"</f>
        <v>2118/2025</v>
      </c>
      <c r="B720" s="5" t="str">
        <f>Sheet1!E720</f>
        <v>AU2065910317225</v>
      </c>
      <c r="C720" s="6" t="str">
        <f>UPPER(Sheet1!B720)</f>
        <v>JAPJI KAUR BAJWA</v>
      </c>
      <c r="D720" s="7" t="str">
        <f>IF(Sheet1!F720="F","FEMALE","MALE")</f>
        <v>FEMALE</v>
      </c>
      <c r="E720" s="6" t="str">
        <f>UPPER(Sheet1!G720)</f>
        <v>HARPINDER SINGH</v>
      </c>
      <c r="F720" s="6" t="str">
        <f>UPPER(Sheet1!H720)</f>
        <v>KAMALJEET KAUR</v>
      </c>
      <c r="G720" s="5" t="str">
        <f>TEXT(Sheet1!C720,"dd/mm/yyyy") &amp; "," &amp; Sheet1!D720</f>
        <v>31/03/2025,HOBART , AUSTRALIA</v>
      </c>
      <c r="H720" s="57" t="str">
        <f>UPPER(Sheet1!K720 &amp; "," &amp; Sheet1!L720 &amp; "," &amp; Sheet1!M720)</f>
        <v xml:space="preserve">VILL ABHAYPUR MADHOPUR POST GHUNCHAI,TEHSIL PURANPUR,PILIBHIT,PIN:262122,UTTAR PRADESH,INDIA </v>
      </c>
      <c r="I720" s="8">
        <f>Sheet1!J720</f>
        <v>46020</v>
      </c>
      <c r="J720" s="5" t="str">
        <f>Sheet1!N720 &amp; "," &amp; TEXT(Sheet1!O720,"dd/mm/yy")</f>
        <v>202509085312,28/11/25</v>
      </c>
      <c r="K720" s="5" t="s">
        <v>14</v>
      </c>
      <c r="L720" s="1" t="s">
        <v>15</v>
      </c>
      <c r="M720" s="58" t="s">
        <v>19</v>
      </c>
      <c r="N720" s="38" t="s">
        <v>16</v>
      </c>
    </row>
    <row r="721" spans="1:14" x14ac:dyDescent="0.35">
      <c r="A721" s="4" t="str">
        <f>Sheet1!A721 &amp; "/" &amp; "2025"</f>
        <v>2119/2025</v>
      </c>
      <c r="B721" s="5" t="str">
        <f>Sheet1!E721</f>
        <v>AU2065911534625</v>
      </c>
      <c r="C721" s="6" t="str">
        <f>UPPER(Sheet1!B721)</f>
        <v>KIRPA KAUR GILL</v>
      </c>
      <c r="D721" s="7" t="str">
        <f>IF(Sheet1!F721="F","FEMALE","MALE")</f>
        <v>FEMALE</v>
      </c>
      <c r="E721" s="6" t="str">
        <f>UPPER(Sheet1!G721)</f>
        <v>JAIDEEP SINGH GILL</v>
      </c>
      <c r="F721" s="6" t="str">
        <f>UPPER(Sheet1!H721)</f>
        <v>JASHANPREET KAUR</v>
      </c>
      <c r="G721" s="5" t="str">
        <f>TEXT(Sheet1!C721,"dd/mm/yyyy") &amp; "," &amp; Sheet1!D721</f>
        <v xml:space="preserve">27/09/2025,BACCHUS MARSH , AUSTRALIA  </v>
      </c>
      <c r="H721" s="57" t="str">
        <f>UPPER(Sheet1!K721 &amp; "," &amp; Sheet1!L721 &amp; "," &amp; Sheet1!M721)</f>
        <v xml:space="preserve">VILL PAKHI KHURD,PO GOLEWALA,FARIDKOT,PIN:151203,PUNJAB,INDIA </v>
      </c>
      <c r="I721" s="8">
        <f>Sheet1!J721</f>
        <v>46020</v>
      </c>
      <c r="J721" s="5" t="str">
        <f>Sheet1!N721 &amp; "," &amp; TEXT(Sheet1!O721,"dd/mm/yy")</f>
        <v>202509090010,15/12/25</v>
      </c>
      <c r="K721" s="5" t="s">
        <v>14</v>
      </c>
      <c r="L721" s="1" t="s">
        <v>15</v>
      </c>
      <c r="M721" s="58" t="s">
        <v>19</v>
      </c>
      <c r="N721" s="38" t="s">
        <v>16</v>
      </c>
    </row>
    <row r="722" spans="1:14" x14ac:dyDescent="0.35">
      <c r="A722" s="4" t="str">
        <f>Sheet1!A722 &amp; "/" &amp; "2025"</f>
        <v>2120/2025</v>
      </c>
      <c r="B722" s="5" t="str">
        <f>Sheet1!E722</f>
        <v>AU2065911534825</v>
      </c>
      <c r="C722" s="6" t="str">
        <f>UPPER(Sheet1!B722)</f>
        <v>AMBAR KAUR BHULLAR</v>
      </c>
      <c r="D722" s="7" t="str">
        <f>IF(Sheet1!F722="F","FEMALE","MALE")</f>
        <v>FEMALE</v>
      </c>
      <c r="E722" s="6" t="str">
        <f>UPPER(Sheet1!G722)</f>
        <v>BOHAR SINGH BHULLAR</v>
      </c>
      <c r="F722" s="6" t="str">
        <f>UPPER(Sheet1!H722)</f>
        <v>AMRINDER KAUR BHULLAR</v>
      </c>
      <c r="G722" s="5" t="str">
        <f>TEXT(Sheet1!C722,"dd/mm/yyyy") &amp; "," &amp; Sheet1!D722</f>
        <v xml:space="preserve">27/10/2025,GEELONG , AUSTRALIA </v>
      </c>
      <c r="H722" s="57" t="str">
        <f>UPPER(Sheet1!K722 &amp; "," &amp; Sheet1!L722 &amp; "," &amp; Sheet1!M722)</f>
        <v xml:space="preserve">VILL KAMALA BODLA,PO MALLAN WALA,FEROZEPUR,PIN:152021,PUNJAB,INDIA </v>
      </c>
      <c r="I722" s="8">
        <f>Sheet1!J722</f>
        <v>46020</v>
      </c>
      <c r="J722" s="5" t="str">
        <f>Sheet1!N722 &amp; "," &amp; TEXT(Sheet1!O722,"dd/mm/yy")</f>
        <v>202509087758,07/12/25</v>
      </c>
      <c r="K722" s="5" t="s">
        <v>14</v>
      </c>
      <c r="L722" s="1" t="s">
        <v>15</v>
      </c>
      <c r="M722" s="58" t="s">
        <v>19</v>
      </c>
      <c r="N722" s="38" t="s">
        <v>16</v>
      </c>
    </row>
    <row r="723" spans="1:14" x14ac:dyDescent="0.35">
      <c r="A723" s="4" t="str">
        <f>Sheet1!A723 &amp; "/" &amp; "2025"</f>
        <v>2121/2025</v>
      </c>
      <c r="B723" s="5" t="str">
        <f>Sheet1!E723</f>
        <v>AU2065911535225</v>
      </c>
      <c r="C723" s="6" t="str">
        <f>UPPER(Sheet1!B723)</f>
        <v>KABIYR KHHURANA</v>
      </c>
      <c r="D723" s="7" t="str">
        <f>IF(Sheet1!F723="F","FEMALE","MALE")</f>
        <v>MALE</v>
      </c>
      <c r="E723" s="6" t="str">
        <f>UPPER(Sheet1!G723)</f>
        <v>DAKSH KHURANA</v>
      </c>
      <c r="F723" s="6" t="str">
        <f>UPPER(Sheet1!H723)</f>
        <v>HIMANI SALUJA</v>
      </c>
      <c r="G723" s="5" t="str">
        <f>TEXT(Sheet1!C723,"dd/mm/yyyy") &amp; "," &amp; Sheet1!D723</f>
        <v xml:space="preserve">20/11/2025,WERIBEE, AUSTRALIA </v>
      </c>
      <c r="H723" s="57" t="str">
        <f>UPPER(Sheet1!K723 &amp; "," &amp; Sheet1!L723 &amp; "," &amp; Sheet1!M723)</f>
        <v xml:space="preserve">597,FIRST FLOOR,SECTOR 18,HUDA,PANIPAT,PANIPAT,PIN:132103,HARYANA,INDIA </v>
      </c>
      <c r="I723" s="8">
        <f>Sheet1!J723</f>
        <v>46020</v>
      </c>
      <c r="J723" s="5" t="str">
        <f>Sheet1!N723 &amp; "," &amp; TEXT(Sheet1!O723,"dd/mm/yy")</f>
        <v>202509090615,16/12/25</v>
      </c>
      <c r="K723" s="5" t="s">
        <v>14</v>
      </c>
      <c r="L723" s="1" t="s">
        <v>15</v>
      </c>
      <c r="M723" s="58" t="s">
        <v>19</v>
      </c>
      <c r="N723" s="38" t="s">
        <v>16</v>
      </c>
    </row>
    <row r="724" spans="1:14" x14ac:dyDescent="0.35">
      <c r="A724" s="4" t="str">
        <f>Sheet1!A724 &amp; "/" &amp; "2025"</f>
        <v>2122/2025</v>
      </c>
      <c r="B724" s="5" t="str">
        <f>Sheet1!E724</f>
        <v>AU2065911535625</v>
      </c>
      <c r="C724" s="6" t="str">
        <f>UPPER(Sheet1!B724)</f>
        <v>ARJUN BREWAL</v>
      </c>
      <c r="D724" s="7" t="str">
        <f>IF(Sheet1!F724="F","FEMALE","MALE")</f>
        <v>MALE</v>
      </c>
      <c r="E724" s="6" t="str">
        <f>UPPER(Sheet1!G724)</f>
        <v>RAHUL CHAUDHARY</v>
      </c>
      <c r="F724" s="6" t="str">
        <f>UPPER(Sheet1!H724)</f>
        <v>VIJETA RANI</v>
      </c>
      <c r="G724" s="5" t="str">
        <f>TEXT(Sheet1!C724,"dd/mm/yyyy") &amp; "," &amp; Sheet1!D724</f>
        <v>24/09/2025,HOBART , AUSTRALIA</v>
      </c>
      <c r="H724" s="57" t="str">
        <f>UPPER(Sheet1!K724 &amp; "," &amp; Sheet1!L724 &amp; "," &amp; Sheet1!M724)</f>
        <v xml:space="preserve">VILLAGE RAMPURA,PO. BHAGWANPUR,KURUKSHETRA,PIN:136156,HARYANA,INDIA </v>
      </c>
      <c r="I724" s="8">
        <f>Sheet1!J724</f>
        <v>46020</v>
      </c>
      <c r="J724" s="5" t="str">
        <f>Sheet1!N724 &amp; "," &amp; TEXT(Sheet1!O724,"dd/mm/yy")</f>
        <v>202509073899,17/10/25</v>
      </c>
      <c r="K724" s="5" t="s">
        <v>14</v>
      </c>
      <c r="L724" s="1" t="s">
        <v>15</v>
      </c>
      <c r="M724" s="58" t="s">
        <v>19</v>
      </c>
      <c r="N724" s="38" t="s">
        <v>16</v>
      </c>
    </row>
    <row r="725" spans="1:14" x14ac:dyDescent="0.35">
      <c r="A725" s="4" t="str">
        <f>Sheet1!A725 &amp; "/" &amp; "2025"</f>
        <v>2123/2025</v>
      </c>
      <c r="B725" s="5" t="str">
        <f>Sheet1!E725</f>
        <v>AU2065911536025</v>
      </c>
      <c r="C725" s="6" t="str">
        <f>UPPER(Sheet1!B725)</f>
        <v>VAMIKA SHARMA</v>
      </c>
      <c r="D725" s="7" t="str">
        <f>IF(Sheet1!F725="F","FEMALE","MALE")</f>
        <v>FEMALE</v>
      </c>
      <c r="E725" s="6" t="str">
        <f>UPPER(Sheet1!G725)</f>
        <v>SAURAV SHARMA</v>
      </c>
      <c r="F725" s="6" t="str">
        <f>UPPER(Sheet1!H725)</f>
        <v>PARUL DEVGAN</v>
      </c>
      <c r="G725" s="5" t="str">
        <f>TEXT(Sheet1!C725,"dd/mm/yyyy") &amp; "," &amp; Sheet1!D725</f>
        <v xml:space="preserve">23/04/2025,GEELONG , AUSTRALIA </v>
      </c>
      <c r="H725" s="57" t="str">
        <f>UPPER(Sheet1!K725 &amp; "," &amp; Sheet1!L725 &amp; "," &amp; Sheet1!M725)</f>
        <v xml:space="preserve">HNO 148 NEW VIKASPURI,PS DIV NO 8,JALANDHAR,PIN:144004,PUNJAB,INDIA </v>
      </c>
      <c r="I725" s="8">
        <f>Sheet1!J725</f>
        <v>46020</v>
      </c>
      <c r="J725" s="5" t="str">
        <f>Sheet1!N725 &amp; "," &amp; TEXT(Sheet1!O725,"dd/mm/yy")</f>
        <v>202509065038,14/09/25</v>
      </c>
      <c r="K725" s="5" t="s">
        <v>14</v>
      </c>
      <c r="L725" s="1" t="s">
        <v>15</v>
      </c>
      <c r="M725" s="58" t="s">
        <v>19</v>
      </c>
      <c r="N725" s="38" t="s">
        <v>16</v>
      </c>
    </row>
    <row r="726" spans="1:14" x14ac:dyDescent="0.35">
      <c r="A726" s="4" t="str">
        <f>Sheet1!A726 &amp; "/" &amp; "2025"</f>
        <v>2124/2025</v>
      </c>
      <c r="B726" s="5" t="str">
        <f>Sheet1!E726</f>
        <v>AU2065911535825</v>
      </c>
      <c r="C726" s="6" t="str">
        <f>UPPER(Sheet1!B726)</f>
        <v>GURJAAP SHARMA</v>
      </c>
      <c r="D726" s="7" t="str">
        <f>IF(Sheet1!F726="F","FEMALE","MALE")</f>
        <v>MALE</v>
      </c>
      <c r="E726" s="6" t="str">
        <f>UPPER(Sheet1!G726)</f>
        <v>JAGDALGIR SHARMA</v>
      </c>
      <c r="F726" s="6" t="str">
        <f>UPPER(Sheet1!H726)</f>
        <v>HARSIMRAN KAUR DHILLON</v>
      </c>
      <c r="G726" s="5" t="str">
        <f>TEXT(Sheet1!C726,"dd/mm/yyyy") &amp; "," &amp; Sheet1!D726</f>
        <v xml:space="preserve">30/10/2025,BURNIE, AUSTRALIA </v>
      </c>
      <c r="H726" s="57" t="str">
        <f>UPPER(Sheet1!K726 &amp; "," &amp; Sheet1!L726 &amp; "," &amp; Sheet1!M726)</f>
        <v xml:space="preserve">741 JAWAHAR NAGAR,CHHEHARTA,AMRITSAR,PIN:143105,PUNJAB,INDIA </v>
      </c>
      <c r="I726" s="8">
        <f>Sheet1!J726</f>
        <v>46020</v>
      </c>
      <c r="J726" s="5" t="str">
        <f>Sheet1!N726 &amp; "," &amp; TEXT(Sheet1!O726,"dd/mm/yy")</f>
        <v>202509090518,16/12/25</v>
      </c>
      <c r="K726" s="5" t="s">
        <v>14</v>
      </c>
      <c r="L726" s="1" t="s">
        <v>15</v>
      </c>
      <c r="M726" s="58" t="s">
        <v>19</v>
      </c>
      <c r="N726" s="38" t="s">
        <v>16</v>
      </c>
    </row>
    <row r="727" spans="1:14" x14ac:dyDescent="0.35">
      <c r="A727" s="4" t="str">
        <f>Sheet1!A727 &amp; "/" &amp; "2025"</f>
        <v>2125/2025</v>
      </c>
      <c r="B727" s="5" t="str">
        <f>Sheet1!E727</f>
        <v>AU2065914964425</v>
      </c>
      <c r="C727" s="6" t="str">
        <f>UPPER(Sheet1!B727)</f>
        <v>NAMYA JOON</v>
      </c>
      <c r="D727" s="7" t="str">
        <f>IF(Sheet1!F727="F","FEMALE","MALE")</f>
        <v>FEMALE</v>
      </c>
      <c r="E727" s="6" t="str">
        <f>UPPER(Sheet1!G727)</f>
        <v>MANISH JOON</v>
      </c>
      <c r="F727" s="6" t="str">
        <f>UPPER(Sheet1!H727)</f>
        <v>NANDITA SHARMA</v>
      </c>
      <c r="G727" s="5" t="str">
        <f>TEXT(Sheet1!C727,"dd/mm/yyyy") &amp; "," &amp; Sheet1!D727</f>
        <v xml:space="preserve">03/08/2025,GEELONG , AUSTRALIA </v>
      </c>
      <c r="H727" s="57" t="str">
        <f>UPPER(Sheet1!K727 &amp; "," &amp; Sheet1!L727 &amp; "," &amp; Sheet1!M727)</f>
        <v xml:space="preserve">H.NO. 1305/34,SHEETAL NAGAR,ROHTAK,PIN:124001,HARYANA,INDIA </v>
      </c>
      <c r="I727" s="8">
        <f>Sheet1!J727</f>
        <v>46020</v>
      </c>
      <c r="J727" s="5" t="str">
        <f>Sheet1!N727 &amp; "," &amp; TEXT(Sheet1!O727,"dd/mm/yy")</f>
        <v>202509092266,23/12/25</v>
      </c>
      <c r="K727" s="5" t="s">
        <v>14</v>
      </c>
      <c r="L727" s="1" t="s">
        <v>15</v>
      </c>
      <c r="M727" s="58" t="s">
        <v>19</v>
      </c>
      <c r="N727" s="38" t="s">
        <v>16</v>
      </c>
    </row>
    <row r="728" spans="1:14" x14ac:dyDescent="0.35">
      <c r="A728" s="4" t="str">
        <f>Sheet1!A728 &amp; "/" &amp; "2025"</f>
        <v>2126/2025</v>
      </c>
      <c r="B728" s="5" t="str">
        <f>Sheet1!E728</f>
        <v>AU2065914961625</v>
      </c>
      <c r="C728" s="6" t="str">
        <f>UPPER(Sheet1!B728)</f>
        <v>HAZEL MARIE JOBIN</v>
      </c>
      <c r="D728" s="7" t="str">
        <f>IF(Sheet1!F728="F","FEMALE","MALE")</f>
        <v>FEMALE</v>
      </c>
      <c r="E728" s="6" t="str">
        <f>UPPER(Sheet1!G728)</f>
        <v>JOBIN THOMAS</v>
      </c>
      <c r="F728" s="6" t="str">
        <f>UPPER(Sheet1!H728)</f>
        <v>TREESA JACOB</v>
      </c>
      <c r="G728" s="5" t="str">
        <f>TEXT(Sheet1!C728,"dd/mm/yyyy") &amp; "," &amp; Sheet1!D728</f>
        <v>25/08/2025,BALLARAT CENTRAL, AUSTRALIA</v>
      </c>
      <c r="H728" s="57" t="str">
        <f>UPPER(Sheet1!K728 &amp; "," &amp; Sheet1!L728 &amp; "," &amp; Sheet1!M728)</f>
        <v xml:space="preserve">AKKATHOTTIYIL HOUSE PANDIPPARA P.O,EETTIKAVALA,IDUKKI,PIN:685609,KERALA,INDIA </v>
      </c>
      <c r="I728" s="8">
        <f>Sheet1!J728</f>
        <v>46020</v>
      </c>
      <c r="J728" s="5" t="str">
        <f>Sheet1!N728 &amp; "," &amp; TEXT(Sheet1!O728,"dd/mm/yy")</f>
        <v>202509070860,07/10/25</v>
      </c>
      <c r="K728" s="5" t="s">
        <v>14</v>
      </c>
      <c r="L728" s="1" t="s">
        <v>15</v>
      </c>
      <c r="M728" s="58" t="s">
        <v>19</v>
      </c>
      <c r="N728" s="38" t="s">
        <v>16</v>
      </c>
    </row>
  </sheetData>
  <conditionalFormatting sqref="A1:A728">
    <cfRule type="colorScale" priority="22">
      <colorScale>
        <cfvo type="min"/>
        <cfvo type="max"/>
        <color rgb="FFFF7128"/>
        <color rgb="FFFFEF9C"/>
      </colorScale>
    </cfRule>
  </conditionalFormatting>
  <conditionalFormatting sqref="A2:A728">
    <cfRule type="expression" dxfId="1" priority="1">
      <formula>$K2="IN PROCESS"</formula>
    </cfRule>
    <cfRule type="expression" dxfId="0" priority="2">
      <formula>$K2="PRINTED"</formula>
    </cfRule>
  </conditionalFormatting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R29" sqref="R29"/>
    </sheetView>
  </sheetViews>
  <sheetFormatPr defaultRowHeight="14.5" x14ac:dyDescent="0.35"/>
  <cols>
    <col min="1" max="1" width="26.81640625" bestFit="1" customWidth="1"/>
    <col min="2" max="2" width="8.81640625" bestFit="1" customWidth="1"/>
    <col min="3" max="3" width="9.7265625" bestFit="1" customWidth="1"/>
    <col min="4" max="4" width="24.81640625" bestFit="1" customWidth="1"/>
    <col min="5" max="5" width="12" bestFit="1" customWidth="1"/>
  </cols>
  <sheetData>
    <row r="1" spans="1:6" x14ac:dyDescent="0.35">
      <c r="A1" t="s">
        <v>5464</v>
      </c>
      <c r="B1" t="s">
        <v>5465</v>
      </c>
      <c r="C1" t="s">
        <v>5466</v>
      </c>
      <c r="D1" t="s">
        <v>5467</v>
      </c>
      <c r="E1" t="s">
        <v>5468</v>
      </c>
      <c r="F1" t="s">
        <v>5469</v>
      </c>
    </row>
    <row r="2" spans="1:6" x14ac:dyDescent="0.35">
      <c r="A2" s="60">
        <v>45925</v>
      </c>
      <c r="B2">
        <v>235</v>
      </c>
      <c r="C2">
        <f t="shared" ref="C2:C7" si="0">B2*315</f>
        <v>74025</v>
      </c>
      <c r="D2">
        <f t="shared" ref="D2:D7" si="1">B2*0.1</f>
        <v>23.5</v>
      </c>
      <c r="E2">
        <f>((Table5[[#This Row],[Manual]]-Table5[[#This Row],[DocuMate]])/Table5[[#This Row],[Manual]])*100</f>
        <v>99.968253968253975</v>
      </c>
      <c r="F2">
        <f>(Table5[[#This Row],[Manual]]/Table5[[#This Row],[DocuMate]])</f>
        <v>3150</v>
      </c>
    </row>
    <row r="3" spans="1:6" x14ac:dyDescent="0.35">
      <c r="A3" s="60">
        <v>45937</v>
      </c>
      <c r="B3">
        <v>46</v>
      </c>
      <c r="C3">
        <f t="shared" si="0"/>
        <v>14490</v>
      </c>
      <c r="D3">
        <f t="shared" si="1"/>
        <v>4.6000000000000005</v>
      </c>
      <c r="E3">
        <f>((Table5[[#This Row],[Manual]]-Table5[[#This Row],[DocuMate]])/Table5[[#This Row],[Manual]])*100</f>
        <v>99.968253968253961</v>
      </c>
      <c r="F3">
        <f>(Table5[[#This Row],[Manual]]/Table5[[#This Row],[DocuMate]])</f>
        <v>3149.9999999999995</v>
      </c>
    </row>
    <row r="4" spans="1:6" x14ac:dyDescent="0.35">
      <c r="A4" s="60">
        <v>45944</v>
      </c>
      <c r="B4">
        <v>45</v>
      </c>
      <c r="C4">
        <f t="shared" si="0"/>
        <v>14175</v>
      </c>
      <c r="D4">
        <f t="shared" si="1"/>
        <v>4.5</v>
      </c>
      <c r="E4">
        <f>((Table5[[#This Row],[Manual]]-Table5[[#This Row],[DocuMate]])/Table5[[#This Row],[Manual]])*100</f>
        <v>99.968253968253975</v>
      </c>
      <c r="F4">
        <f>(Table5[[#This Row],[Manual]]/Table5[[#This Row],[DocuMate]])</f>
        <v>3150</v>
      </c>
    </row>
    <row r="5" spans="1:6" x14ac:dyDescent="0.35">
      <c r="A5" s="60">
        <v>45959</v>
      </c>
      <c r="B5">
        <v>77</v>
      </c>
      <c r="C5">
        <f t="shared" si="0"/>
        <v>24255</v>
      </c>
      <c r="D5">
        <f t="shared" si="1"/>
        <v>7.7</v>
      </c>
      <c r="E5">
        <f>((Table5[[#This Row],[Manual]]-Table5[[#This Row],[DocuMate]])/Table5[[#This Row],[Manual]])*100</f>
        <v>99.968253968253961</v>
      </c>
      <c r="F5">
        <f>(Table5[[#This Row],[Manual]]/Table5[[#This Row],[DocuMate]])</f>
        <v>3150</v>
      </c>
    </row>
    <row r="6" spans="1:6" x14ac:dyDescent="0.35">
      <c r="A6" s="60">
        <v>46006</v>
      </c>
      <c r="B6">
        <v>251</v>
      </c>
      <c r="C6">
        <f t="shared" si="0"/>
        <v>79065</v>
      </c>
      <c r="D6">
        <f t="shared" si="1"/>
        <v>25.1</v>
      </c>
      <c r="E6">
        <f>((Table5[[#This Row],[Manual]]-Table5[[#This Row],[DocuMate]])/Table5[[#This Row],[Manual]])*100</f>
        <v>99.968253968253961</v>
      </c>
      <c r="F6">
        <f>(Table5[[#This Row],[Manual]]/Table5[[#This Row],[DocuMate]])</f>
        <v>3150</v>
      </c>
    </row>
    <row r="7" spans="1:6" x14ac:dyDescent="0.35">
      <c r="A7" s="60">
        <v>46021</v>
      </c>
      <c r="B7">
        <v>17</v>
      </c>
      <c r="C7">
        <f t="shared" si="0"/>
        <v>5355</v>
      </c>
      <c r="D7">
        <f t="shared" si="1"/>
        <v>1.7000000000000002</v>
      </c>
      <c r="E7">
        <f>((Table5[[#This Row],[Manual]]-Table5[[#This Row],[DocuMate]])/Table5[[#This Row],[Manual]])*100</f>
        <v>99.968253968253975</v>
      </c>
      <c r="F7">
        <f>(Table5[[#This Row],[Manual]]/Table5[[#This Row],[DocuMate]])</f>
        <v>3149.9999999999995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5"/>
  <sheetViews>
    <sheetView workbookViewId="0">
      <selection activeCell="Y12" sqref="Y12"/>
    </sheetView>
  </sheetViews>
  <sheetFormatPr defaultRowHeight="14.5" x14ac:dyDescent="0.35"/>
  <cols>
    <col min="1" max="1" width="11.26953125" bestFit="1" customWidth="1"/>
    <col min="2" max="2" width="12.54296875" bestFit="1" customWidth="1"/>
  </cols>
  <sheetData>
    <row r="2" spans="1:2" x14ac:dyDescent="0.35">
      <c r="A2" s="61" t="s">
        <v>3</v>
      </c>
      <c r="B2" t="s">
        <v>5470</v>
      </c>
    </row>
    <row r="3" spans="1:2" x14ac:dyDescent="0.35">
      <c r="A3" t="s">
        <v>5471</v>
      </c>
      <c r="B3">
        <v>382</v>
      </c>
    </row>
    <row r="4" spans="1:2" x14ac:dyDescent="0.35">
      <c r="A4" t="s">
        <v>5472</v>
      </c>
      <c r="B4">
        <v>345</v>
      </c>
    </row>
    <row r="5" spans="1:2" x14ac:dyDescent="0.35">
      <c r="A5" t="s">
        <v>5473</v>
      </c>
      <c r="B5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DocuMateSRC</vt:lpstr>
      <vt:lpstr>Sheet5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Cgi Melbourne1</dc:creator>
  <cp:lastModifiedBy>Angad Dharmashri Kadam</cp:lastModifiedBy>
  <dcterms:created xsi:type="dcterms:W3CDTF">2025-09-25T01:32:20Z</dcterms:created>
  <dcterms:modified xsi:type="dcterms:W3CDTF">2026-03-30T13:49:36Z</dcterms:modified>
</cp:coreProperties>
</file>