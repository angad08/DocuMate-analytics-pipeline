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cgime\Downloads\Health Science 2025-20260209T013613Z-1-001\Health Science 2025\DocuMate\DocuMate_Records\"/>
    </mc:Choice>
  </mc:AlternateContent>
  <xr:revisionPtr revIDLastSave="0" documentId="13_ncr:1_{BE05779F-CC6F-41ED-B8EF-6010CAFDBD9D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Sheet1" sheetId="1" r:id="rId1"/>
    <sheet name="DocuMateSRC" sheetId="2" r:id="rId2"/>
    <sheet name="Sheet5" sheetId="3" r:id="rId3"/>
    <sheet name="Sheet7" sheetId="4" r:id="rId4"/>
  </sheets>
  <calcPr calcId="191029"/>
  <pivotCaches>
    <pivotCache cacheId="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" i="3" l="1"/>
  <c r="E7" i="3"/>
  <c r="D7" i="3"/>
  <c r="C7" i="3"/>
  <c r="D6" i="3"/>
  <c r="C6" i="3"/>
  <c r="F6" i="3" s="1"/>
  <c r="D5" i="3"/>
  <c r="C5" i="3"/>
  <c r="F5" i="3" s="1"/>
  <c r="F4" i="3"/>
  <c r="E4" i="3"/>
  <c r="D4" i="3"/>
  <c r="C4" i="3"/>
  <c r="F3" i="3"/>
  <c r="D3" i="3"/>
  <c r="C3" i="3"/>
  <c r="E3" i="3" s="1"/>
  <c r="E2" i="3"/>
  <c r="D2" i="3"/>
  <c r="F2" i="3" s="1"/>
  <c r="C2" i="3"/>
  <c r="J1441" i="2"/>
  <c r="I1441" i="2"/>
  <c r="H1441" i="2"/>
  <c r="G1441" i="2"/>
  <c r="F1441" i="2"/>
  <c r="E1441" i="2"/>
  <c r="D1441" i="2"/>
  <c r="C1441" i="2"/>
  <c r="B1441" i="2"/>
  <c r="A1441" i="2"/>
  <c r="J1440" i="2"/>
  <c r="I1440" i="2"/>
  <c r="H1440" i="2"/>
  <c r="G1440" i="2"/>
  <c r="F1440" i="2"/>
  <c r="E1440" i="2"/>
  <c r="D1440" i="2"/>
  <c r="C1440" i="2"/>
  <c r="B1440" i="2"/>
  <c r="A1440" i="2"/>
  <c r="J1439" i="2"/>
  <c r="I1439" i="2"/>
  <c r="H1439" i="2"/>
  <c r="G1439" i="2"/>
  <c r="F1439" i="2"/>
  <c r="E1439" i="2"/>
  <c r="D1439" i="2"/>
  <c r="C1439" i="2"/>
  <c r="B1439" i="2"/>
  <c r="A1439" i="2"/>
  <c r="J1438" i="2"/>
  <c r="I1438" i="2"/>
  <c r="H1438" i="2"/>
  <c r="G1438" i="2"/>
  <c r="F1438" i="2"/>
  <c r="E1438" i="2"/>
  <c r="D1438" i="2"/>
  <c r="C1438" i="2"/>
  <c r="B1438" i="2"/>
  <c r="A1438" i="2"/>
  <c r="J1437" i="2"/>
  <c r="I1437" i="2"/>
  <c r="H1437" i="2"/>
  <c r="G1437" i="2"/>
  <c r="F1437" i="2"/>
  <c r="E1437" i="2"/>
  <c r="D1437" i="2"/>
  <c r="C1437" i="2"/>
  <c r="B1437" i="2"/>
  <c r="A1437" i="2"/>
  <c r="J1436" i="2"/>
  <c r="I1436" i="2"/>
  <c r="H1436" i="2"/>
  <c r="G1436" i="2"/>
  <c r="F1436" i="2"/>
  <c r="E1436" i="2"/>
  <c r="D1436" i="2"/>
  <c r="C1436" i="2"/>
  <c r="B1436" i="2"/>
  <c r="A1436" i="2"/>
  <c r="J1435" i="2"/>
  <c r="I1435" i="2"/>
  <c r="H1435" i="2"/>
  <c r="G1435" i="2"/>
  <c r="F1435" i="2"/>
  <c r="E1435" i="2"/>
  <c r="D1435" i="2"/>
  <c r="C1435" i="2"/>
  <c r="B1435" i="2"/>
  <c r="A1435" i="2"/>
  <c r="J1434" i="2"/>
  <c r="I1434" i="2"/>
  <c r="H1434" i="2"/>
  <c r="G1434" i="2"/>
  <c r="F1434" i="2"/>
  <c r="E1434" i="2"/>
  <c r="D1434" i="2"/>
  <c r="C1434" i="2"/>
  <c r="B1434" i="2"/>
  <c r="A1434" i="2"/>
  <c r="J1433" i="2"/>
  <c r="I1433" i="2"/>
  <c r="H1433" i="2"/>
  <c r="G1433" i="2"/>
  <c r="F1433" i="2"/>
  <c r="E1433" i="2"/>
  <c r="D1433" i="2"/>
  <c r="C1433" i="2"/>
  <c r="B1433" i="2"/>
  <c r="A1433" i="2"/>
  <c r="J1432" i="2"/>
  <c r="I1432" i="2"/>
  <c r="H1432" i="2"/>
  <c r="G1432" i="2"/>
  <c r="F1432" i="2"/>
  <c r="E1432" i="2"/>
  <c r="D1432" i="2"/>
  <c r="C1432" i="2"/>
  <c r="B1432" i="2"/>
  <c r="A1432" i="2"/>
  <c r="J1431" i="2"/>
  <c r="I1431" i="2"/>
  <c r="H1431" i="2"/>
  <c r="G1431" i="2"/>
  <c r="F1431" i="2"/>
  <c r="E1431" i="2"/>
  <c r="D1431" i="2"/>
  <c r="C1431" i="2"/>
  <c r="B1431" i="2"/>
  <c r="A1431" i="2"/>
  <c r="J1430" i="2"/>
  <c r="I1430" i="2"/>
  <c r="H1430" i="2"/>
  <c r="G1430" i="2"/>
  <c r="F1430" i="2"/>
  <c r="E1430" i="2"/>
  <c r="D1430" i="2"/>
  <c r="C1430" i="2"/>
  <c r="B1430" i="2"/>
  <c r="A1430" i="2"/>
  <c r="J1429" i="2"/>
  <c r="I1429" i="2"/>
  <c r="H1429" i="2"/>
  <c r="G1429" i="2"/>
  <c r="F1429" i="2"/>
  <c r="E1429" i="2"/>
  <c r="D1429" i="2"/>
  <c r="C1429" i="2"/>
  <c r="B1429" i="2"/>
  <c r="A1429" i="2"/>
  <c r="J1428" i="2"/>
  <c r="I1428" i="2"/>
  <c r="H1428" i="2"/>
  <c r="G1428" i="2"/>
  <c r="F1428" i="2"/>
  <c r="E1428" i="2"/>
  <c r="D1428" i="2"/>
  <c r="C1428" i="2"/>
  <c r="B1428" i="2"/>
  <c r="A1428" i="2"/>
  <c r="J1427" i="2"/>
  <c r="I1427" i="2"/>
  <c r="H1427" i="2"/>
  <c r="G1427" i="2"/>
  <c r="F1427" i="2"/>
  <c r="E1427" i="2"/>
  <c r="D1427" i="2"/>
  <c r="C1427" i="2"/>
  <c r="B1427" i="2"/>
  <c r="A1427" i="2"/>
  <c r="J1426" i="2"/>
  <c r="I1426" i="2"/>
  <c r="H1426" i="2"/>
  <c r="G1426" i="2"/>
  <c r="F1426" i="2"/>
  <c r="E1426" i="2"/>
  <c r="D1426" i="2"/>
  <c r="C1426" i="2"/>
  <c r="B1426" i="2"/>
  <c r="A1426" i="2"/>
  <c r="J1425" i="2"/>
  <c r="I1425" i="2"/>
  <c r="H1425" i="2"/>
  <c r="G1425" i="2"/>
  <c r="F1425" i="2"/>
  <c r="E1425" i="2"/>
  <c r="D1425" i="2"/>
  <c r="C1425" i="2"/>
  <c r="B1425" i="2"/>
  <c r="A1425" i="2"/>
  <c r="J1424" i="2"/>
  <c r="I1424" i="2"/>
  <c r="H1424" i="2"/>
  <c r="G1424" i="2"/>
  <c r="F1424" i="2"/>
  <c r="E1424" i="2"/>
  <c r="D1424" i="2"/>
  <c r="C1424" i="2"/>
  <c r="B1424" i="2"/>
  <c r="A1424" i="2"/>
  <c r="J1423" i="2"/>
  <c r="I1423" i="2"/>
  <c r="H1423" i="2"/>
  <c r="G1423" i="2"/>
  <c r="F1423" i="2"/>
  <c r="E1423" i="2"/>
  <c r="D1423" i="2"/>
  <c r="C1423" i="2"/>
  <c r="B1423" i="2"/>
  <c r="A1423" i="2"/>
  <c r="J1422" i="2"/>
  <c r="I1422" i="2"/>
  <c r="H1422" i="2"/>
  <c r="G1422" i="2"/>
  <c r="F1422" i="2"/>
  <c r="E1422" i="2"/>
  <c r="D1422" i="2"/>
  <c r="C1422" i="2"/>
  <c r="B1422" i="2"/>
  <c r="A1422" i="2"/>
  <c r="J1421" i="2"/>
  <c r="I1421" i="2"/>
  <c r="H1421" i="2"/>
  <c r="G1421" i="2"/>
  <c r="F1421" i="2"/>
  <c r="E1421" i="2"/>
  <c r="D1421" i="2"/>
  <c r="C1421" i="2"/>
  <c r="B1421" i="2"/>
  <c r="A1421" i="2"/>
  <c r="J1420" i="2"/>
  <c r="I1420" i="2"/>
  <c r="H1420" i="2"/>
  <c r="G1420" i="2"/>
  <c r="F1420" i="2"/>
  <c r="E1420" i="2"/>
  <c r="D1420" i="2"/>
  <c r="C1420" i="2"/>
  <c r="B1420" i="2"/>
  <c r="A1420" i="2"/>
  <c r="J1419" i="2"/>
  <c r="I1419" i="2"/>
  <c r="H1419" i="2"/>
  <c r="G1419" i="2"/>
  <c r="F1419" i="2"/>
  <c r="E1419" i="2"/>
  <c r="D1419" i="2"/>
  <c r="C1419" i="2"/>
  <c r="B1419" i="2"/>
  <c r="A1419" i="2"/>
  <c r="J1418" i="2"/>
  <c r="I1418" i="2"/>
  <c r="H1418" i="2"/>
  <c r="G1418" i="2"/>
  <c r="F1418" i="2"/>
  <c r="E1418" i="2"/>
  <c r="D1418" i="2"/>
  <c r="C1418" i="2"/>
  <c r="B1418" i="2"/>
  <c r="A1418" i="2"/>
  <c r="J1417" i="2"/>
  <c r="I1417" i="2"/>
  <c r="H1417" i="2"/>
  <c r="G1417" i="2"/>
  <c r="F1417" i="2"/>
  <c r="E1417" i="2"/>
  <c r="D1417" i="2"/>
  <c r="C1417" i="2"/>
  <c r="B1417" i="2"/>
  <c r="A1417" i="2"/>
  <c r="J1416" i="2"/>
  <c r="I1416" i="2"/>
  <c r="H1416" i="2"/>
  <c r="G1416" i="2"/>
  <c r="F1416" i="2"/>
  <c r="E1416" i="2"/>
  <c r="D1416" i="2"/>
  <c r="C1416" i="2"/>
  <c r="B1416" i="2"/>
  <c r="A1416" i="2"/>
  <c r="J1415" i="2"/>
  <c r="I1415" i="2"/>
  <c r="H1415" i="2"/>
  <c r="G1415" i="2"/>
  <c r="F1415" i="2"/>
  <c r="E1415" i="2"/>
  <c r="D1415" i="2"/>
  <c r="C1415" i="2"/>
  <c r="B1415" i="2"/>
  <c r="A1415" i="2"/>
  <c r="J1414" i="2"/>
  <c r="I1414" i="2"/>
  <c r="H1414" i="2"/>
  <c r="G1414" i="2"/>
  <c r="F1414" i="2"/>
  <c r="E1414" i="2"/>
  <c r="D1414" i="2"/>
  <c r="C1414" i="2"/>
  <c r="B1414" i="2"/>
  <c r="A1414" i="2"/>
  <c r="J1413" i="2"/>
  <c r="I1413" i="2"/>
  <c r="H1413" i="2"/>
  <c r="G1413" i="2"/>
  <c r="F1413" i="2"/>
  <c r="E1413" i="2"/>
  <c r="D1413" i="2"/>
  <c r="C1413" i="2"/>
  <c r="B1413" i="2"/>
  <c r="A1413" i="2"/>
  <c r="J1412" i="2"/>
  <c r="I1412" i="2"/>
  <c r="H1412" i="2"/>
  <c r="G1412" i="2"/>
  <c r="F1412" i="2"/>
  <c r="E1412" i="2"/>
  <c r="D1412" i="2"/>
  <c r="C1412" i="2"/>
  <c r="B1412" i="2"/>
  <c r="A1412" i="2"/>
  <c r="J1411" i="2"/>
  <c r="I1411" i="2"/>
  <c r="H1411" i="2"/>
  <c r="G1411" i="2"/>
  <c r="F1411" i="2"/>
  <c r="E1411" i="2"/>
  <c r="D1411" i="2"/>
  <c r="C1411" i="2"/>
  <c r="B1411" i="2"/>
  <c r="A1411" i="2"/>
  <c r="J1410" i="2"/>
  <c r="I1410" i="2"/>
  <c r="H1410" i="2"/>
  <c r="G1410" i="2"/>
  <c r="F1410" i="2"/>
  <c r="E1410" i="2"/>
  <c r="D1410" i="2"/>
  <c r="C1410" i="2"/>
  <c r="B1410" i="2"/>
  <c r="A1410" i="2"/>
  <c r="J1409" i="2"/>
  <c r="I1409" i="2"/>
  <c r="H1409" i="2"/>
  <c r="G1409" i="2"/>
  <c r="F1409" i="2"/>
  <c r="E1409" i="2"/>
  <c r="D1409" i="2"/>
  <c r="C1409" i="2"/>
  <c r="B1409" i="2"/>
  <c r="A1409" i="2"/>
  <c r="J1408" i="2"/>
  <c r="I1408" i="2"/>
  <c r="H1408" i="2"/>
  <c r="G1408" i="2"/>
  <c r="F1408" i="2"/>
  <c r="E1408" i="2"/>
  <c r="D1408" i="2"/>
  <c r="C1408" i="2"/>
  <c r="B1408" i="2"/>
  <c r="A1408" i="2"/>
  <c r="J1407" i="2"/>
  <c r="I1407" i="2"/>
  <c r="H1407" i="2"/>
  <c r="G1407" i="2"/>
  <c r="F1407" i="2"/>
  <c r="E1407" i="2"/>
  <c r="D1407" i="2"/>
  <c r="C1407" i="2"/>
  <c r="B1407" i="2"/>
  <c r="A1407" i="2"/>
  <c r="J1406" i="2"/>
  <c r="I1406" i="2"/>
  <c r="H1406" i="2"/>
  <c r="G1406" i="2"/>
  <c r="F1406" i="2"/>
  <c r="E1406" i="2"/>
  <c r="D1406" i="2"/>
  <c r="C1406" i="2"/>
  <c r="B1406" i="2"/>
  <c r="A1406" i="2"/>
  <c r="J1405" i="2"/>
  <c r="I1405" i="2"/>
  <c r="H1405" i="2"/>
  <c r="G1405" i="2"/>
  <c r="F1405" i="2"/>
  <c r="E1405" i="2"/>
  <c r="D1405" i="2"/>
  <c r="C1405" i="2"/>
  <c r="B1405" i="2"/>
  <c r="A1405" i="2"/>
  <c r="J1404" i="2"/>
  <c r="I1404" i="2"/>
  <c r="H1404" i="2"/>
  <c r="G1404" i="2"/>
  <c r="F1404" i="2"/>
  <c r="E1404" i="2"/>
  <c r="D1404" i="2"/>
  <c r="C1404" i="2"/>
  <c r="B1404" i="2"/>
  <c r="A1404" i="2"/>
  <c r="J1403" i="2"/>
  <c r="I1403" i="2"/>
  <c r="H1403" i="2"/>
  <c r="G1403" i="2"/>
  <c r="F1403" i="2"/>
  <c r="E1403" i="2"/>
  <c r="D1403" i="2"/>
  <c r="C1403" i="2"/>
  <c r="B1403" i="2"/>
  <c r="A1403" i="2"/>
  <c r="J1402" i="2"/>
  <c r="I1402" i="2"/>
  <c r="H1402" i="2"/>
  <c r="G1402" i="2"/>
  <c r="F1402" i="2"/>
  <c r="E1402" i="2"/>
  <c r="D1402" i="2"/>
  <c r="C1402" i="2"/>
  <c r="B1402" i="2"/>
  <c r="A1402" i="2"/>
  <c r="J1401" i="2"/>
  <c r="I1401" i="2"/>
  <c r="H1401" i="2"/>
  <c r="G1401" i="2"/>
  <c r="F1401" i="2"/>
  <c r="E1401" i="2"/>
  <c r="D1401" i="2"/>
  <c r="C1401" i="2"/>
  <c r="B1401" i="2"/>
  <c r="A1401" i="2"/>
  <c r="J1400" i="2"/>
  <c r="I1400" i="2"/>
  <c r="H1400" i="2"/>
  <c r="G1400" i="2"/>
  <c r="F1400" i="2"/>
  <c r="E1400" i="2"/>
  <c r="D1400" i="2"/>
  <c r="C1400" i="2"/>
  <c r="B1400" i="2"/>
  <c r="A1400" i="2"/>
  <c r="J1399" i="2"/>
  <c r="I1399" i="2"/>
  <c r="H1399" i="2"/>
  <c r="G1399" i="2"/>
  <c r="F1399" i="2"/>
  <c r="E1399" i="2"/>
  <c r="D1399" i="2"/>
  <c r="C1399" i="2"/>
  <c r="B1399" i="2"/>
  <c r="A1399" i="2"/>
  <c r="J1398" i="2"/>
  <c r="I1398" i="2"/>
  <c r="H1398" i="2"/>
  <c r="G1398" i="2"/>
  <c r="F1398" i="2"/>
  <c r="E1398" i="2"/>
  <c r="D1398" i="2"/>
  <c r="C1398" i="2"/>
  <c r="B1398" i="2"/>
  <c r="A1398" i="2"/>
  <c r="J1397" i="2"/>
  <c r="I1397" i="2"/>
  <c r="H1397" i="2"/>
  <c r="G1397" i="2"/>
  <c r="F1397" i="2"/>
  <c r="E1397" i="2"/>
  <c r="D1397" i="2"/>
  <c r="C1397" i="2"/>
  <c r="B1397" i="2"/>
  <c r="A1397" i="2"/>
  <c r="J1396" i="2"/>
  <c r="I1396" i="2"/>
  <c r="H1396" i="2"/>
  <c r="G1396" i="2"/>
  <c r="F1396" i="2"/>
  <c r="E1396" i="2"/>
  <c r="D1396" i="2"/>
  <c r="C1396" i="2"/>
  <c r="B1396" i="2"/>
  <c r="A1396" i="2"/>
  <c r="J1395" i="2"/>
  <c r="I1395" i="2"/>
  <c r="H1395" i="2"/>
  <c r="G1395" i="2"/>
  <c r="F1395" i="2"/>
  <c r="E1395" i="2"/>
  <c r="D1395" i="2"/>
  <c r="C1395" i="2"/>
  <c r="B1395" i="2"/>
  <c r="A1395" i="2"/>
  <c r="J1394" i="2"/>
  <c r="I1394" i="2"/>
  <c r="H1394" i="2"/>
  <c r="G1394" i="2"/>
  <c r="F1394" i="2"/>
  <c r="E1394" i="2"/>
  <c r="D1394" i="2"/>
  <c r="C1394" i="2"/>
  <c r="B1394" i="2"/>
  <c r="A1394" i="2"/>
  <c r="J1393" i="2"/>
  <c r="I1393" i="2"/>
  <c r="H1393" i="2"/>
  <c r="G1393" i="2"/>
  <c r="F1393" i="2"/>
  <c r="E1393" i="2"/>
  <c r="D1393" i="2"/>
  <c r="C1393" i="2"/>
  <c r="B1393" i="2"/>
  <c r="A1393" i="2"/>
  <c r="J1392" i="2"/>
  <c r="I1392" i="2"/>
  <c r="H1392" i="2"/>
  <c r="G1392" i="2"/>
  <c r="F1392" i="2"/>
  <c r="E1392" i="2"/>
  <c r="D1392" i="2"/>
  <c r="C1392" i="2"/>
  <c r="B1392" i="2"/>
  <c r="A1392" i="2"/>
  <c r="J1391" i="2"/>
  <c r="I1391" i="2"/>
  <c r="H1391" i="2"/>
  <c r="G1391" i="2"/>
  <c r="F1391" i="2"/>
  <c r="E1391" i="2"/>
  <c r="D1391" i="2"/>
  <c r="C1391" i="2"/>
  <c r="B1391" i="2"/>
  <c r="A1391" i="2"/>
  <c r="J1390" i="2"/>
  <c r="I1390" i="2"/>
  <c r="H1390" i="2"/>
  <c r="G1390" i="2"/>
  <c r="F1390" i="2"/>
  <c r="E1390" i="2"/>
  <c r="D1390" i="2"/>
  <c r="C1390" i="2"/>
  <c r="B1390" i="2"/>
  <c r="A1390" i="2"/>
  <c r="J1389" i="2"/>
  <c r="I1389" i="2"/>
  <c r="H1389" i="2"/>
  <c r="G1389" i="2"/>
  <c r="F1389" i="2"/>
  <c r="E1389" i="2"/>
  <c r="D1389" i="2"/>
  <c r="C1389" i="2"/>
  <c r="B1389" i="2"/>
  <c r="A1389" i="2"/>
  <c r="J1388" i="2"/>
  <c r="I1388" i="2"/>
  <c r="H1388" i="2"/>
  <c r="G1388" i="2"/>
  <c r="F1388" i="2"/>
  <c r="E1388" i="2"/>
  <c r="D1388" i="2"/>
  <c r="C1388" i="2"/>
  <c r="B1388" i="2"/>
  <c r="A1388" i="2"/>
  <c r="J1387" i="2"/>
  <c r="I1387" i="2"/>
  <c r="H1387" i="2"/>
  <c r="G1387" i="2"/>
  <c r="F1387" i="2"/>
  <c r="E1387" i="2"/>
  <c r="D1387" i="2"/>
  <c r="C1387" i="2"/>
  <c r="B1387" i="2"/>
  <c r="A1387" i="2"/>
  <c r="J1386" i="2"/>
  <c r="I1386" i="2"/>
  <c r="H1386" i="2"/>
  <c r="G1386" i="2"/>
  <c r="F1386" i="2"/>
  <c r="E1386" i="2"/>
  <c r="D1386" i="2"/>
  <c r="C1386" i="2"/>
  <c r="B1386" i="2"/>
  <c r="A1386" i="2"/>
  <c r="J1385" i="2"/>
  <c r="I1385" i="2"/>
  <c r="H1385" i="2"/>
  <c r="G1385" i="2"/>
  <c r="F1385" i="2"/>
  <c r="E1385" i="2"/>
  <c r="D1385" i="2"/>
  <c r="C1385" i="2"/>
  <c r="B1385" i="2"/>
  <c r="A1385" i="2"/>
  <c r="J1384" i="2"/>
  <c r="I1384" i="2"/>
  <c r="H1384" i="2"/>
  <c r="G1384" i="2"/>
  <c r="F1384" i="2"/>
  <c r="E1384" i="2"/>
  <c r="D1384" i="2"/>
  <c r="C1384" i="2"/>
  <c r="B1384" i="2"/>
  <c r="A1384" i="2"/>
  <c r="J1383" i="2"/>
  <c r="I1383" i="2"/>
  <c r="H1383" i="2"/>
  <c r="G1383" i="2"/>
  <c r="F1383" i="2"/>
  <c r="E1383" i="2"/>
  <c r="D1383" i="2"/>
  <c r="C1383" i="2"/>
  <c r="B1383" i="2"/>
  <c r="A1383" i="2"/>
  <c r="J1382" i="2"/>
  <c r="I1382" i="2"/>
  <c r="H1382" i="2"/>
  <c r="G1382" i="2"/>
  <c r="F1382" i="2"/>
  <c r="E1382" i="2"/>
  <c r="D1382" i="2"/>
  <c r="C1382" i="2"/>
  <c r="B1382" i="2"/>
  <c r="A1382" i="2"/>
  <c r="J1381" i="2"/>
  <c r="I1381" i="2"/>
  <c r="H1381" i="2"/>
  <c r="G1381" i="2"/>
  <c r="F1381" i="2"/>
  <c r="E1381" i="2"/>
  <c r="D1381" i="2"/>
  <c r="C1381" i="2"/>
  <c r="B1381" i="2"/>
  <c r="A1381" i="2"/>
  <c r="J1380" i="2"/>
  <c r="I1380" i="2"/>
  <c r="H1380" i="2"/>
  <c r="G1380" i="2"/>
  <c r="F1380" i="2"/>
  <c r="E1380" i="2"/>
  <c r="D1380" i="2"/>
  <c r="C1380" i="2"/>
  <c r="B1380" i="2"/>
  <c r="A1380" i="2"/>
  <c r="J1379" i="2"/>
  <c r="I1379" i="2"/>
  <c r="H1379" i="2"/>
  <c r="G1379" i="2"/>
  <c r="F1379" i="2"/>
  <c r="E1379" i="2"/>
  <c r="D1379" i="2"/>
  <c r="C1379" i="2"/>
  <c r="B1379" i="2"/>
  <c r="A1379" i="2"/>
  <c r="J1378" i="2"/>
  <c r="I1378" i="2"/>
  <c r="H1378" i="2"/>
  <c r="G1378" i="2"/>
  <c r="F1378" i="2"/>
  <c r="E1378" i="2"/>
  <c r="D1378" i="2"/>
  <c r="C1378" i="2"/>
  <c r="B1378" i="2"/>
  <c r="A1378" i="2"/>
  <c r="J1377" i="2"/>
  <c r="I1377" i="2"/>
  <c r="H1377" i="2"/>
  <c r="G1377" i="2"/>
  <c r="F1377" i="2"/>
  <c r="E1377" i="2"/>
  <c r="D1377" i="2"/>
  <c r="C1377" i="2"/>
  <c r="B1377" i="2"/>
  <c r="A1377" i="2"/>
  <c r="J1376" i="2"/>
  <c r="I1376" i="2"/>
  <c r="H1376" i="2"/>
  <c r="G1376" i="2"/>
  <c r="F1376" i="2"/>
  <c r="E1376" i="2"/>
  <c r="D1376" i="2"/>
  <c r="C1376" i="2"/>
  <c r="B1376" i="2"/>
  <c r="A1376" i="2"/>
  <c r="J1375" i="2"/>
  <c r="I1375" i="2"/>
  <c r="H1375" i="2"/>
  <c r="G1375" i="2"/>
  <c r="F1375" i="2"/>
  <c r="E1375" i="2"/>
  <c r="D1375" i="2"/>
  <c r="C1375" i="2"/>
  <c r="B1375" i="2"/>
  <c r="A1375" i="2"/>
  <c r="J1374" i="2"/>
  <c r="I1374" i="2"/>
  <c r="H1374" i="2"/>
  <c r="G1374" i="2"/>
  <c r="F1374" i="2"/>
  <c r="E1374" i="2"/>
  <c r="D1374" i="2"/>
  <c r="C1374" i="2"/>
  <c r="B1374" i="2"/>
  <c r="A1374" i="2"/>
  <c r="J1373" i="2"/>
  <c r="I1373" i="2"/>
  <c r="H1373" i="2"/>
  <c r="G1373" i="2"/>
  <c r="F1373" i="2"/>
  <c r="E1373" i="2"/>
  <c r="D1373" i="2"/>
  <c r="C1373" i="2"/>
  <c r="B1373" i="2"/>
  <c r="A1373" i="2"/>
  <c r="J1372" i="2"/>
  <c r="I1372" i="2"/>
  <c r="H1372" i="2"/>
  <c r="G1372" i="2"/>
  <c r="F1372" i="2"/>
  <c r="E1372" i="2"/>
  <c r="D1372" i="2"/>
  <c r="C1372" i="2"/>
  <c r="B1372" i="2"/>
  <c r="A1372" i="2"/>
  <c r="J1371" i="2"/>
  <c r="I1371" i="2"/>
  <c r="H1371" i="2"/>
  <c r="G1371" i="2"/>
  <c r="F1371" i="2"/>
  <c r="E1371" i="2"/>
  <c r="D1371" i="2"/>
  <c r="C1371" i="2"/>
  <c r="B1371" i="2"/>
  <c r="A1371" i="2"/>
  <c r="J1370" i="2"/>
  <c r="I1370" i="2"/>
  <c r="H1370" i="2"/>
  <c r="G1370" i="2"/>
  <c r="F1370" i="2"/>
  <c r="E1370" i="2"/>
  <c r="D1370" i="2"/>
  <c r="C1370" i="2"/>
  <c r="B1370" i="2"/>
  <c r="A1370" i="2"/>
  <c r="J1369" i="2"/>
  <c r="I1369" i="2"/>
  <c r="H1369" i="2"/>
  <c r="G1369" i="2"/>
  <c r="F1369" i="2"/>
  <c r="E1369" i="2"/>
  <c r="D1369" i="2"/>
  <c r="C1369" i="2"/>
  <c r="B1369" i="2"/>
  <c r="A1369" i="2"/>
  <c r="J1368" i="2"/>
  <c r="I1368" i="2"/>
  <c r="H1368" i="2"/>
  <c r="G1368" i="2"/>
  <c r="F1368" i="2"/>
  <c r="E1368" i="2"/>
  <c r="D1368" i="2"/>
  <c r="C1368" i="2"/>
  <c r="B1368" i="2"/>
  <c r="A1368" i="2"/>
  <c r="J1367" i="2"/>
  <c r="I1367" i="2"/>
  <c r="H1367" i="2"/>
  <c r="G1367" i="2"/>
  <c r="F1367" i="2"/>
  <c r="E1367" i="2"/>
  <c r="D1367" i="2"/>
  <c r="C1367" i="2"/>
  <c r="B1367" i="2"/>
  <c r="A1367" i="2"/>
  <c r="J1366" i="2"/>
  <c r="I1366" i="2"/>
  <c r="H1366" i="2"/>
  <c r="G1366" i="2"/>
  <c r="F1366" i="2"/>
  <c r="E1366" i="2"/>
  <c r="D1366" i="2"/>
  <c r="C1366" i="2"/>
  <c r="B1366" i="2"/>
  <c r="A1366" i="2"/>
  <c r="J1365" i="2"/>
  <c r="I1365" i="2"/>
  <c r="H1365" i="2"/>
  <c r="G1365" i="2"/>
  <c r="F1365" i="2"/>
  <c r="E1365" i="2"/>
  <c r="D1365" i="2"/>
  <c r="C1365" i="2"/>
  <c r="B1365" i="2"/>
  <c r="A1365" i="2"/>
  <c r="J1364" i="2"/>
  <c r="I1364" i="2"/>
  <c r="H1364" i="2"/>
  <c r="G1364" i="2"/>
  <c r="F1364" i="2"/>
  <c r="E1364" i="2"/>
  <c r="D1364" i="2"/>
  <c r="C1364" i="2"/>
  <c r="B1364" i="2"/>
  <c r="A1364" i="2"/>
  <c r="J1363" i="2"/>
  <c r="I1363" i="2"/>
  <c r="H1363" i="2"/>
  <c r="G1363" i="2"/>
  <c r="F1363" i="2"/>
  <c r="E1363" i="2"/>
  <c r="D1363" i="2"/>
  <c r="C1363" i="2"/>
  <c r="B1363" i="2"/>
  <c r="A1363" i="2"/>
  <c r="J1362" i="2"/>
  <c r="I1362" i="2"/>
  <c r="H1362" i="2"/>
  <c r="G1362" i="2"/>
  <c r="F1362" i="2"/>
  <c r="E1362" i="2"/>
  <c r="D1362" i="2"/>
  <c r="C1362" i="2"/>
  <c r="B1362" i="2"/>
  <c r="A1362" i="2"/>
  <c r="J1361" i="2"/>
  <c r="I1361" i="2"/>
  <c r="H1361" i="2"/>
  <c r="G1361" i="2"/>
  <c r="F1361" i="2"/>
  <c r="E1361" i="2"/>
  <c r="D1361" i="2"/>
  <c r="C1361" i="2"/>
  <c r="B1361" i="2"/>
  <c r="A1361" i="2"/>
  <c r="J1360" i="2"/>
  <c r="I1360" i="2"/>
  <c r="H1360" i="2"/>
  <c r="G1360" i="2"/>
  <c r="F1360" i="2"/>
  <c r="E1360" i="2"/>
  <c r="D1360" i="2"/>
  <c r="C1360" i="2"/>
  <c r="B1360" i="2"/>
  <c r="A1360" i="2"/>
  <c r="J1359" i="2"/>
  <c r="I1359" i="2"/>
  <c r="H1359" i="2"/>
  <c r="G1359" i="2"/>
  <c r="F1359" i="2"/>
  <c r="E1359" i="2"/>
  <c r="D1359" i="2"/>
  <c r="C1359" i="2"/>
  <c r="B1359" i="2"/>
  <c r="A1359" i="2"/>
  <c r="J1358" i="2"/>
  <c r="I1358" i="2"/>
  <c r="H1358" i="2"/>
  <c r="G1358" i="2"/>
  <c r="F1358" i="2"/>
  <c r="E1358" i="2"/>
  <c r="D1358" i="2"/>
  <c r="C1358" i="2"/>
  <c r="B1358" i="2"/>
  <c r="A1358" i="2"/>
  <c r="J1357" i="2"/>
  <c r="I1357" i="2"/>
  <c r="H1357" i="2"/>
  <c r="G1357" i="2"/>
  <c r="F1357" i="2"/>
  <c r="E1357" i="2"/>
  <c r="D1357" i="2"/>
  <c r="C1357" i="2"/>
  <c r="B1357" i="2"/>
  <c r="A1357" i="2"/>
  <c r="J1356" i="2"/>
  <c r="I1356" i="2"/>
  <c r="H1356" i="2"/>
  <c r="G1356" i="2"/>
  <c r="F1356" i="2"/>
  <c r="E1356" i="2"/>
  <c r="D1356" i="2"/>
  <c r="C1356" i="2"/>
  <c r="B1356" i="2"/>
  <c r="A1356" i="2"/>
  <c r="J1355" i="2"/>
  <c r="I1355" i="2"/>
  <c r="H1355" i="2"/>
  <c r="G1355" i="2"/>
  <c r="F1355" i="2"/>
  <c r="E1355" i="2"/>
  <c r="D1355" i="2"/>
  <c r="C1355" i="2"/>
  <c r="B1355" i="2"/>
  <c r="A1355" i="2"/>
  <c r="J1354" i="2"/>
  <c r="I1354" i="2"/>
  <c r="H1354" i="2"/>
  <c r="G1354" i="2"/>
  <c r="F1354" i="2"/>
  <c r="E1354" i="2"/>
  <c r="D1354" i="2"/>
  <c r="C1354" i="2"/>
  <c r="B1354" i="2"/>
  <c r="A1354" i="2"/>
  <c r="J1353" i="2"/>
  <c r="I1353" i="2"/>
  <c r="H1353" i="2"/>
  <c r="G1353" i="2"/>
  <c r="F1353" i="2"/>
  <c r="E1353" i="2"/>
  <c r="D1353" i="2"/>
  <c r="C1353" i="2"/>
  <c r="B1353" i="2"/>
  <c r="A1353" i="2"/>
  <c r="J1352" i="2"/>
  <c r="I1352" i="2"/>
  <c r="H1352" i="2"/>
  <c r="G1352" i="2"/>
  <c r="F1352" i="2"/>
  <c r="E1352" i="2"/>
  <c r="D1352" i="2"/>
  <c r="C1352" i="2"/>
  <c r="B1352" i="2"/>
  <c r="A1352" i="2"/>
  <c r="J1351" i="2"/>
  <c r="I1351" i="2"/>
  <c r="H1351" i="2"/>
  <c r="G1351" i="2"/>
  <c r="F1351" i="2"/>
  <c r="E1351" i="2"/>
  <c r="D1351" i="2"/>
  <c r="C1351" i="2"/>
  <c r="B1351" i="2"/>
  <c r="A1351" i="2"/>
  <c r="J1350" i="2"/>
  <c r="I1350" i="2"/>
  <c r="H1350" i="2"/>
  <c r="G1350" i="2"/>
  <c r="F1350" i="2"/>
  <c r="E1350" i="2"/>
  <c r="D1350" i="2"/>
  <c r="C1350" i="2"/>
  <c r="B1350" i="2"/>
  <c r="A1350" i="2"/>
  <c r="J1349" i="2"/>
  <c r="I1349" i="2"/>
  <c r="H1349" i="2"/>
  <c r="G1349" i="2"/>
  <c r="F1349" i="2"/>
  <c r="E1349" i="2"/>
  <c r="D1349" i="2"/>
  <c r="C1349" i="2"/>
  <c r="B1349" i="2"/>
  <c r="A1349" i="2"/>
  <c r="J1348" i="2"/>
  <c r="I1348" i="2"/>
  <c r="H1348" i="2"/>
  <c r="G1348" i="2"/>
  <c r="F1348" i="2"/>
  <c r="E1348" i="2"/>
  <c r="D1348" i="2"/>
  <c r="C1348" i="2"/>
  <c r="B1348" i="2"/>
  <c r="A1348" i="2"/>
  <c r="J1347" i="2"/>
  <c r="I1347" i="2"/>
  <c r="H1347" i="2"/>
  <c r="G1347" i="2"/>
  <c r="F1347" i="2"/>
  <c r="E1347" i="2"/>
  <c r="D1347" i="2"/>
  <c r="C1347" i="2"/>
  <c r="B1347" i="2"/>
  <c r="A1347" i="2"/>
  <c r="J1346" i="2"/>
  <c r="I1346" i="2"/>
  <c r="H1346" i="2"/>
  <c r="G1346" i="2"/>
  <c r="F1346" i="2"/>
  <c r="E1346" i="2"/>
  <c r="D1346" i="2"/>
  <c r="C1346" i="2"/>
  <c r="B1346" i="2"/>
  <c r="A1346" i="2"/>
  <c r="J1345" i="2"/>
  <c r="I1345" i="2"/>
  <c r="H1345" i="2"/>
  <c r="G1345" i="2"/>
  <c r="F1345" i="2"/>
  <c r="E1345" i="2"/>
  <c r="D1345" i="2"/>
  <c r="C1345" i="2"/>
  <c r="B1345" i="2"/>
  <c r="A1345" i="2"/>
  <c r="J1344" i="2"/>
  <c r="I1344" i="2"/>
  <c r="H1344" i="2"/>
  <c r="G1344" i="2"/>
  <c r="F1344" i="2"/>
  <c r="E1344" i="2"/>
  <c r="D1344" i="2"/>
  <c r="C1344" i="2"/>
  <c r="B1344" i="2"/>
  <c r="A1344" i="2"/>
  <c r="J1343" i="2"/>
  <c r="I1343" i="2"/>
  <c r="H1343" i="2"/>
  <c r="G1343" i="2"/>
  <c r="F1343" i="2"/>
  <c r="E1343" i="2"/>
  <c r="D1343" i="2"/>
  <c r="C1343" i="2"/>
  <c r="B1343" i="2"/>
  <c r="A1343" i="2"/>
  <c r="J1342" i="2"/>
  <c r="I1342" i="2"/>
  <c r="H1342" i="2"/>
  <c r="G1342" i="2"/>
  <c r="F1342" i="2"/>
  <c r="E1342" i="2"/>
  <c r="D1342" i="2"/>
  <c r="C1342" i="2"/>
  <c r="B1342" i="2"/>
  <c r="A1342" i="2"/>
  <c r="J1341" i="2"/>
  <c r="I1341" i="2"/>
  <c r="H1341" i="2"/>
  <c r="G1341" i="2"/>
  <c r="F1341" i="2"/>
  <c r="E1341" i="2"/>
  <c r="D1341" i="2"/>
  <c r="C1341" i="2"/>
  <c r="B1341" i="2"/>
  <c r="A1341" i="2"/>
  <c r="J1340" i="2"/>
  <c r="I1340" i="2"/>
  <c r="H1340" i="2"/>
  <c r="G1340" i="2"/>
  <c r="F1340" i="2"/>
  <c r="E1340" i="2"/>
  <c r="D1340" i="2"/>
  <c r="C1340" i="2"/>
  <c r="B1340" i="2"/>
  <c r="A1340" i="2"/>
  <c r="J1339" i="2"/>
  <c r="I1339" i="2"/>
  <c r="H1339" i="2"/>
  <c r="G1339" i="2"/>
  <c r="F1339" i="2"/>
  <c r="E1339" i="2"/>
  <c r="D1339" i="2"/>
  <c r="C1339" i="2"/>
  <c r="B1339" i="2"/>
  <c r="A1339" i="2"/>
  <c r="J1338" i="2"/>
  <c r="I1338" i="2"/>
  <c r="H1338" i="2"/>
  <c r="G1338" i="2"/>
  <c r="F1338" i="2"/>
  <c r="E1338" i="2"/>
  <c r="D1338" i="2"/>
  <c r="C1338" i="2"/>
  <c r="B1338" i="2"/>
  <c r="A1338" i="2"/>
  <c r="J1337" i="2"/>
  <c r="I1337" i="2"/>
  <c r="H1337" i="2"/>
  <c r="G1337" i="2"/>
  <c r="F1337" i="2"/>
  <c r="E1337" i="2"/>
  <c r="D1337" i="2"/>
  <c r="C1337" i="2"/>
  <c r="B1337" i="2"/>
  <c r="A1337" i="2"/>
  <c r="J1336" i="2"/>
  <c r="I1336" i="2"/>
  <c r="H1336" i="2"/>
  <c r="G1336" i="2"/>
  <c r="F1336" i="2"/>
  <c r="E1336" i="2"/>
  <c r="D1336" i="2"/>
  <c r="C1336" i="2"/>
  <c r="B1336" i="2"/>
  <c r="A1336" i="2"/>
  <c r="J1335" i="2"/>
  <c r="I1335" i="2"/>
  <c r="H1335" i="2"/>
  <c r="G1335" i="2"/>
  <c r="F1335" i="2"/>
  <c r="E1335" i="2"/>
  <c r="D1335" i="2"/>
  <c r="C1335" i="2"/>
  <c r="B1335" i="2"/>
  <c r="A1335" i="2"/>
  <c r="J1334" i="2"/>
  <c r="I1334" i="2"/>
  <c r="H1334" i="2"/>
  <c r="G1334" i="2"/>
  <c r="F1334" i="2"/>
  <c r="E1334" i="2"/>
  <c r="D1334" i="2"/>
  <c r="C1334" i="2"/>
  <c r="B1334" i="2"/>
  <c r="A1334" i="2"/>
  <c r="J1333" i="2"/>
  <c r="I1333" i="2"/>
  <c r="H1333" i="2"/>
  <c r="G1333" i="2"/>
  <c r="F1333" i="2"/>
  <c r="E1333" i="2"/>
  <c r="D1333" i="2"/>
  <c r="C1333" i="2"/>
  <c r="B1333" i="2"/>
  <c r="A1333" i="2"/>
  <c r="J1332" i="2"/>
  <c r="I1332" i="2"/>
  <c r="H1332" i="2"/>
  <c r="G1332" i="2"/>
  <c r="F1332" i="2"/>
  <c r="E1332" i="2"/>
  <c r="D1332" i="2"/>
  <c r="C1332" i="2"/>
  <c r="B1332" i="2"/>
  <c r="A1332" i="2"/>
  <c r="J1331" i="2"/>
  <c r="I1331" i="2"/>
  <c r="H1331" i="2"/>
  <c r="G1331" i="2"/>
  <c r="F1331" i="2"/>
  <c r="E1331" i="2"/>
  <c r="D1331" i="2"/>
  <c r="C1331" i="2"/>
  <c r="B1331" i="2"/>
  <c r="A1331" i="2"/>
  <c r="J1330" i="2"/>
  <c r="I1330" i="2"/>
  <c r="H1330" i="2"/>
  <c r="G1330" i="2"/>
  <c r="F1330" i="2"/>
  <c r="E1330" i="2"/>
  <c r="D1330" i="2"/>
  <c r="C1330" i="2"/>
  <c r="B1330" i="2"/>
  <c r="A1330" i="2"/>
  <c r="J1329" i="2"/>
  <c r="I1329" i="2"/>
  <c r="H1329" i="2"/>
  <c r="G1329" i="2"/>
  <c r="F1329" i="2"/>
  <c r="E1329" i="2"/>
  <c r="D1329" i="2"/>
  <c r="C1329" i="2"/>
  <c r="B1329" i="2"/>
  <c r="A1329" i="2"/>
  <c r="J1328" i="2"/>
  <c r="I1328" i="2"/>
  <c r="H1328" i="2"/>
  <c r="G1328" i="2"/>
  <c r="F1328" i="2"/>
  <c r="E1328" i="2"/>
  <c r="D1328" i="2"/>
  <c r="C1328" i="2"/>
  <c r="B1328" i="2"/>
  <c r="A1328" i="2"/>
  <c r="J1327" i="2"/>
  <c r="I1327" i="2"/>
  <c r="H1327" i="2"/>
  <c r="G1327" i="2"/>
  <c r="F1327" i="2"/>
  <c r="E1327" i="2"/>
  <c r="D1327" i="2"/>
  <c r="C1327" i="2"/>
  <c r="B1327" i="2"/>
  <c r="A1327" i="2"/>
  <c r="J1326" i="2"/>
  <c r="I1326" i="2"/>
  <c r="H1326" i="2"/>
  <c r="G1326" i="2"/>
  <c r="F1326" i="2"/>
  <c r="E1326" i="2"/>
  <c r="D1326" i="2"/>
  <c r="C1326" i="2"/>
  <c r="B1326" i="2"/>
  <c r="A1326" i="2"/>
  <c r="J1325" i="2"/>
  <c r="I1325" i="2"/>
  <c r="H1325" i="2"/>
  <c r="G1325" i="2"/>
  <c r="F1325" i="2"/>
  <c r="E1325" i="2"/>
  <c r="D1325" i="2"/>
  <c r="C1325" i="2"/>
  <c r="B1325" i="2"/>
  <c r="A1325" i="2"/>
  <c r="J1324" i="2"/>
  <c r="I1324" i="2"/>
  <c r="H1324" i="2"/>
  <c r="G1324" i="2"/>
  <c r="F1324" i="2"/>
  <c r="E1324" i="2"/>
  <c r="D1324" i="2"/>
  <c r="C1324" i="2"/>
  <c r="B1324" i="2"/>
  <c r="A1324" i="2"/>
  <c r="J1323" i="2"/>
  <c r="I1323" i="2"/>
  <c r="H1323" i="2"/>
  <c r="G1323" i="2"/>
  <c r="F1323" i="2"/>
  <c r="E1323" i="2"/>
  <c r="D1323" i="2"/>
  <c r="C1323" i="2"/>
  <c r="B1323" i="2"/>
  <c r="A1323" i="2"/>
  <c r="J1322" i="2"/>
  <c r="I1322" i="2"/>
  <c r="H1322" i="2"/>
  <c r="G1322" i="2"/>
  <c r="F1322" i="2"/>
  <c r="E1322" i="2"/>
  <c r="D1322" i="2"/>
  <c r="C1322" i="2"/>
  <c r="B1322" i="2"/>
  <c r="A1322" i="2"/>
  <c r="J1321" i="2"/>
  <c r="I1321" i="2"/>
  <c r="H1321" i="2"/>
  <c r="G1321" i="2"/>
  <c r="F1321" i="2"/>
  <c r="E1321" i="2"/>
  <c r="D1321" i="2"/>
  <c r="C1321" i="2"/>
  <c r="B1321" i="2"/>
  <c r="A1321" i="2"/>
  <c r="J1320" i="2"/>
  <c r="I1320" i="2"/>
  <c r="H1320" i="2"/>
  <c r="G1320" i="2"/>
  <c r="F1320" i="2"/>
  <c r="E1320" i="2"/>
  <c r="D1320" i="2"/>
  <c r="C1320" i="2"/>
  <c r="B1320" i="2"/>
  <c r="A1320" i="2"/>
  <c r="J1319" i="2"/>
  <c r="I1319" i="2"/>
  <c r="H1319" i="2"/>
  <c r="G1319" i="2"/>
  <c r="F1319" i="2"/>
  <c r="E1319" i="2"/>
  <c r="D1319" i="2"/>
  <c r="C1319" i="2"/>
  <c r="B1319" i="2"/>
  <c r="A1319" i="2"/>
  <c r="J1318" i="2"/>
  <c r="I1318" i="2"/>
  <c r="H1318" i="2"/>
  <c r="G1318" i="2"/>
  <c r="F1318" i="2"/>
  <c r="E1318" i="2"/>
  <c r="D1318" i="2"/>
  <c r="C1318" i="2"/>
  <c r="B1318" i="2"/>
  <c r="A1318" i="2"/>
  <c r="J1317" i="2"/>
  <c r="I1317" i="2"/>
  <c r="H1317" i="2"/>
  <c r="G1317" i="2"/>
  <c r="F1317" i="2"/>
  <c r="E1317" i="2"/>
  <c r="D1317" i="2"/>
  <c r="C1317" i="2"/>
  <c r="B1317" i="2"/>
  <c r="A1317" i="2"/>
  <c r="J1316" i="2"/>
  <c r="I1316" i="2"/>
  <c r="H1316" i="2"/>
  <c r="G1316" i="2"/>
  <c r="F1316" i="2"/>
  <c r="E1316" i="2"/>
  <c r="D1316" i="2"/>
  <c r="C1316" i="2"/>
  <c r="B1316" i="2"/>
  <c r="A1316" i="2"/>
  <c r="J1315" i="2"/>
  <c r="I1315" i="2"/>
  <c r="H1315" i="2"/>
  <c r="G1315" i="2"/>
  <c r="F1315" i="2"/>
  <c r="E1315" i="2"/>
  <c r="D1315" i="2"/>
  <c r="C1315" i="2"/>
  <c r="B1315" i="2"/>
  <c r="A1315" i="2"/>
  <c r="J1314" i="2"/>
  <c r="I1314" i="2"/>
  <c r="H1314" i="2"/>
  <c r="G1314" i="2"/>
  <c r="F1314" i="2"/>
  <c r="E1314" i="2"/>
  <c r="D1314" i="2"/>
  <c r="C1314" i="2"/>
  <c r="B1314" i="2"/>
  <c r="A1314" i="2"/>
  <c r="J1313" i="2"/>
  <c r="I1313" i="2"/>
  <c r="H1313" i="2"/>
  <c r="G1313" i="2"/>
  <c r="F1313" i="2"/>
  <c r="E1313" i="2"/>
  <c r="D1313" i="2"/>
  <c r="C1313" i="2"/>
  <c r="B1313" i="2"/>
  <c r="A1313" i="2"/>
  <c r="J1312" i="2"/>
  <c r="I1312" i="2"/>
  <c r="H1312" i="2"/>
  <c r="G1312" i="2"/>
  <c r="F1312" i="2"/>
  <c r="E1312" i="2"/>
  <c r="D1312" i="2"/>
  <c r="C1312" i="2"/>
  <c r="B1312" i="2"/>
  <c r="A1312" i="2"/>
  <c r="J1311" i="2"/>
  <c r="I1311" i="2"/>
  <c r="H1311" i="2"/>
  <c r="G1311" i="2"/>
  <c r="F1311" i="2"/>
  <c r="E1311" i="2"/>
  <c r="D1311" i="2"/>
  <c r="C1311" i="2"/>
  <c r="B1311" i="2"/>
  <c r="A1311" i="2"/>
  <c r="J1310" i="2"/>
  <c r="I1310" i="2"/>
  <c r="H1310" i="2"/>
  <c r="G1310" i="2"/>
  <c r="F1310" i="2"/>
  <c r="E1310" i="2"/>
  <c r="D1310" i="2"/>
  <c r="C1310" i="2"/>
  <c r="B1310" i="2"/>
  <c r="A1310" i="2"/>
  <c r="J1309" i="2"/>
  <c r="I1309" i="2"/>
  <c r="H1309" i="2"/>
  <c r="G1309" i="2"/>
  <c r="F1309" i="2"/>
  <c r="E1309" i="2"/>
  <c r="D1309" i="2"/>
  <c r="C1309" i="2"/>
  <c r="B1309" i="2"/>
  <c r="A1309" i="2"/>
  <c r="J1308" i="2"/>
  <c r="I1308" i="2"/>
  <c r="H1308" i="2"/>
  <c r="G1308" i="2"/>
  <c r="F1308" i="2"/>
  <c r="E1308" i="2"/>
  <c r="D1308" i="2"/>
  <c r="C1308" i="2"/>
  <c r="B1308" i="2"/>
  <c r="A1308" i="2"/>
  <c r="J1307" i="2"/>
  <c r="I1307" i="2"/>
  <c r="H1307" i="2"/>
  <c r="G1307" i="2"/>
  <c r="F1307" i="2"/>
  <c r="E1307" i="2"/>
  <c r="D1307" i="2"/>
  <c r="C1307" i="2"/>
  <c r="B1307" i="2"/>
  <c r="A1307" i="2"/>
  <c r="J1306" i="2"/>
  <c r="I1306" i="2"/>
  <c r="H1306" i="2"/>
  <c r="G1306" i="2"/>
  <c r="F1306" i="2"/>
  <c r="E1306" i="2"/>
  <c r="D1306" i="2"/>
  <c r="C1306" i="2"/>
  <c r="B1306" i="2"/>
  <c r="A1306" i="2"/>
  <c r="J1305" i="2"/>
  <c r="I1305" i="2"/>
  <c r="H1305" i="2"/>
  <c r="G1305" i="2"/>
  <c r="F1305" i="2"/>
  <c r="E1305" i="2"/>
  <c r="D1305" i="2"/>
  <c r="C1305" i="2"/>
  <c r="B1305" i="2"/>
  <c r="A1305" i="2"/>
  <c r="J1304" i="2"/>
  <c r="I1304" i="2"/>
  <c r="H1304" i="2"/>
  <c r="G1304" i="2"/>
  <c r="F1304" i="2"/>
  <c r="E1304" i="2"/>
  <c r="D1304" i="2"/>
  <c r="C1304" i="2"/>
  <c r="B1304" i="2"/>
  <c r="A1304" i="2"/>
  <c r="J1303" i="2"/>
  <c r="I1303" i="2"/>
  <c r="H1303" i="2"/>
  <c r="G1303" i="2"/>
  <c r="F1303" i="2"/>
  <c r="E1303" i="2"/>
  <c r="D1303" i="2"/>
  <c r="C1303" i="2"/>
  <c r="B1303" i="2"/>
  <c r="A1303" i="2"/>
  <c r="J1302" i="2"/>
  <c r="I1302" i="2"/>
  <c r="H1302" i="2"/>
  <c r="G1302" i="2"/>
  <c r="F1302" i="2"/>
  <c r="E1302" i="2"/>
  <c r="D1302" i="2"/>
  <c r="C1302" i="2"/>
  <c r="B1302" i="2"/>
  <c r="A1302" i="2"/>
  <c r="J1301" i="2"/>
  <c r="I1301" i="2"/>
  <c r="H1301" i="2"/>
  <c r="G1301" i="2"/>
  <c r="F1301" i="2"/>
  <c r="E1301" i="2"/>
  <c r="D1301" i="2"/>
  <c r="C1301" i="2"/>
  <c r="B1301" i="2"/>
  <c r="A1301" i="2"/>
  <c r="J1300" i="2"/>
  <c r="I1300" i="2"/>
  <c r="H1300" i="2"/>
  <c r="G1300" i="2"/>
  <c r="F1300" i="2"/>
  <c r="E1300" i="2"/>
  <c r="D1300" i="2"/>
  <c r="C1300" i="2"/>
  <c r="B1300" i="2"/>
  <c r="A1300" i="2"/>
  <c r="J1299" i="2"/>
  <c r="I1299" i="2"/>
  <c r="H1299" i="2"/>
  <c r="G1299" i="2"/>
  <c r="F1299" i="2"/>
  <c r="E1299" i="2"/>
  <c r="D1299" i="2"/>
  <c r="C1299" i="2"/>
  <c r="B1299" i="2"/>
  <c r="A1299" i="2"/>
  <c r="J1298" i="2"/>
  <c r="I1298" i="2"/>
  <c r="H1298" i="2"/>
  <c r="G1298" i="2"/>
  <c r="F1298" i="2"/>
  <c r="E1298" i="2"/>
  <c r="D1298" i="2"/>
  <c r="C1298" i="2"/>
  <c r="B1298" i="2"/>
  <c r="A1298" i="2"/>
  <c r="J1297" i="2"/>
  <c r="I1297" i="2"/>
  <c r="H1297" i="2"/>
  <c r="G1297" i="2"/>
  <c r="F1297" i="2"/>
  <c r="E1297" i="2"/>
  <c r="D1297" i="2"/>
  <c r="C1297" i="2"/>
  <c r="B1297" i="2"/>
  <c r="A1297" i="2"/>
  <c r="J1296" i="2"/>
  <c r="I1296" i="2"/>
  <c r="H1296" i="2"/>
  <c r="G1296" i="2"/>
  <c r="F1296" i="2"/>
  <c r="E1296" i="2"/>
  <c r="D1296" i="2"/>
  <c r="C1296" i="2"/>
  <c r="B1296" i="2"/>
  <c r="A1296" i="2"/>
  <c r="J1295" i="2"/>
  <c r="I1295" i="2"/>
  <c r="H1295" i="2"/>
  <c r="G1295" i="2"/>
  <c r="F1295" i="2"/>
  <c r="E1295" i="2"/>
  <c r="D1295" i="2"/>
  <c r="C1295" i="2"/>
  <c r="B1295" i="2"/>
  <c r="A1295" i="2"/>
  <c r="J1294" i="2"/>
  <c r="I1294" i="2"/>
  <c r="H1294" i="2"/>
  <c r="G1294" i="2"/>
  <c r="F1294" i="2"/>
  <c r="E1294" i="2"/>
  <c r="D1294" i="2"/>
  <c r="C1294" i="2"/>
  <c r="B1294" i="2"/>
  <c r="A1294" i="2"/>
  <c r="J1293" i="2"/>
  <c r="I1293" i="2"/>
  <c r="H1293" i="2"/>
  <c r="G1293" i="2"/>
  <c r="F1293" i="2"/>
  <c r="E1293" i="2"/>
  <c r="D1293" i="2"/>
  <c r="C1293" i="2"/>
  <c r="B1293" i="2"/>
  <c r="A1293" i="2"/>
  <c r="J1292" i="2"/>
  <c r="I1292" i="2"/>
  <c r="H1292" i="2"/>
  <c r="G1292" i="2"/>
  <c r="F1292" i="2"/>
  <c r="E1292" i="2"/>
  <c r="D1292" i="2"/>
  <c r="C1292" i="2"/>
  <c r="B1292" i="2"/>
  <c r="A1292" i="2"/>
  <c r="J1291" i="2"/>
  <c r="I1291" i="2"/>
  <c r="H1291" i="2"/>
  <c r="G1291" i="2"/>
  <c r="F1291" i="2"/>
  <c r="E1291" i="2"/>
  <c r="D1291" i="2"/>
  <c r="C1291" i="2"/>
  <c r="B1291" i="2"/>
  <c r="A1291" i="2"/>
  <c r="J1290" i="2"/>
  <c r="I1290" i="2"/>
  <c r="H1290" i="2"/>
  <c r="G1290" i="2"/>
  <c r="F1290" i="2"/>
  <c r="E1290" i="2"/>
  <c r="D1290" i="2"/>
  <c r="C1290" i="2"/>
  <c r="B1290" i="2"/>
  <c r="A1290" i="2"/>
  <c r="J1289" i="2"/>
  <c r="I1289" i="2"/>
  <c r="H1289" i="2"/>
  <c r="G1289" i="2"/>
  <c r="F1289" i="2"/>
  <c r="E1289" i="2"/>
  <c r="D1289" i="2"/>
  <c r="C1289" i="2"/>
  <c r="B1289" i="2"/>
  <c r="A1289" i="2"/>
  <c r="J1288" i="2"/>
  <c r="I1288" i="2"/>
  <c r="H1288" i="2"/>
  <c r="G1288" i="2"/>
  <c r="F1288" i="2"/>
  <c r="E1288" i="2"/>
  <c r="D1288" i="2"/>
  <c r="C1288" i="2"/>
  <c r="B1288" i="2"/>
  <c r="A1288" i="2"/>
  <c r="J1287" i="2"/>
  <c r="I1287" i="2"/>
  <c r="H1287" i="2"/>
  <c r="G1287" i="2"/>
  <c r="F1287" i="2"/>
  <c r="E1287" i="2"/>
  <c r="D1287" i="2"/>
  <c r="C1287" i="2"/>
  <c r="B1287" i="2"/>
  <c r="A1287" i="2"/>
  <c r="J1286" i="2"/>
  <c r="I1286" i="2"/>
  <c r="H1286" i="2"/>
  <c r="G1286" i="2"/>
  <c r="F1286" i="2"/>
  <c r="E1286" i="2"/>
  <c r="D1286" i="2"/>
  <c r="C1286" i="2"/>
  <c r="B1286" i="2"/>
  <c r="A1286" i="2"/>
  <c r="J1285" i="2"/>
  <c r="I1285" i="2"/>
  <c r="H1285" i="2"/>
  <c r="G1285" i="2"/>
  <c r="F1285" i="2"/>
  <c r="E1285" i="2"/>
  <c r="D1285" i="2"/>
  <c r="C1285" i="2"/>
  <c r="B1285" i="2"/>
  <c r="A1285" i="2"/>
  <c r="J1284" i="2"/>
  <c r="I1284" i="2"/>
  <c r="H1284" i="2"/>
  <c r="G1284" i="2"/>
  <c r="F1284" i="2"/>
  <c r="E1284" i="2"/>
  <c r="D1284" i="2"/>
  <c r="C1284" i="2"/>
  <c r="B1284" i="2"/>
  <c r="A1284" i="2"/>
  <c r="J1283" i="2"/>
  <c r="I1283" i="2"/>
  <c r="H1283" i="2"/>
  <c r="G1283" i="2"/>
  <c r="F1283" i="2"/>
  <c r="E1283" i="2"/>
  <c r="D1283" i="2"/>
  <c r="C1283" i="2"/>
  <c r="B1283" i="2"/>
  <c r="A1283" i="2"/>
  <c r="J1282" i="2"/>
  <c r="I1282" i="2"/>
  <c r="H1282" i="2"/>
  <c r="G1282" i="2"/>
  <c r="F1282" i="2"/>
  <c r="E1282" i="2"/>
  <c r="D1282" i="2"/>
  <c r="C1282" i="2"/>
  <c r="B1282" i="2"/>
  <c r="A1282" i="2"/>
  <c r="J1281" i="2"/>
  <c r="I1281" i="2"/>
  <c r="H1281" i="2"/>
  <c r="G1281" i="2"/>
  <c r="F1281" i="2"/>
  <c r="E1281" i="2"/>
  <c r="D1281" i="2"/>
  <c r="C1281" i="2"/>
  <c r="B1281" i="2"/>
  <c r="A1281" i="2"/>
  <c r="J1280" i="2"/>
  <c r="I1280" i="2"/>
  <c r="H1280" i="2"/>
  <c r="G1280" i="2"/>
  <c r="F1280" i="2"/>
  <c r="E1280" i="2"/>
  <c r="D1280" i="2"/>
  <c r="C1280" i="2"/>
  <c r="B1280" i="2"/>
  <c r="A1280" i="2"/>
  <c r="J1279" i="2"/>
  <c r="I1279" i="2"/>
  <c r="H1279" i="2"/>
  <c r="G1279" i="2"/>
  <c r="F1279" i="2"/>
  <c r="E1279" i="2"/>
  <c r="D1279" i="2"/>
  <c r="C1279" i="2"/>
  <c r="B1279" i="2"/>
  <c r="A1279" i="2"/>
  <c r="J1278" i="2"/>
  <c r="I1278" i="2"/>
  <c r="H1278" i="2"/>
  <c r="G1278" i="2"/>
  <c r="F1278" i="2"/>
  <c r="E1278" i="2"/>
  <c r="D1278" i="2"/>
  <c r="C1278" i="2"/>
  <c r="B1278" i="2"/>
  <c r="A1278" i="2"/>
  <c r="J1277" i="2"/>
  <c r="I1277" i="2"/>
  <c r="H1277" i="2"/>
  <c r="G1277" i="2"/>
  <c r="F1277" i="2"/>
  <c r="E1277" i="2"/>
  <c r="D1277" i="2"/>
  <c r="C1277" i="2"/>
  <c r="B1277" i="2"/>
  <c r="A1277" i="2"/>
  <c r="J1276" i="2"/>
  <c r="I1276" i="2"/>
  <c r="H1276" i="2"/>
  <c r="G1276" i="2"/>
  <c r="F1276" i="2"/>
  <c r="E1276" i="2"/>
  <c r="D1276" i="2"/>
  <c r="C1276" i="2"/>
  <c r="B1276" i="2"/>
  <c r="A1276" i="2"/>
  <c r="J1275" i="2"/>
  <c r="I1275" i="2"/>
  <c r="H1275" i="2"/>
  <c r="G1275" i="2"/>
  <c r="F1275" i="2"/>
  <c r="E1275" i="2"/>
  <c r="D1275" i="2"/>
  <c r="C1275" i="2"/>
  <c r="B1275" i="2"/>
  <c r="A1275" i="2"/>
  <c r="J1274" i="2"/>
  <c r="I1274" i="2"/>
  <c r="H1274" i="2"/>
  <c r="G1274" i="2"/>
  <c r="F1274" i="2"/>
  <c r="E1274" i="2"/>
  <c r="D1274" i="2"/>
  <c r="C1274" i="2"/>
  <c r="B1274" i="2"/>
  <c r="A1274" i="2"/>
  <c r="J1273" i="2"/>
  <c r="I1273" i="2"/>
  <c r="H1273" i="2"/>
  <c r="G1273" i="2"/>
  <c r="F1273" i="2"/>
  <c r="E1273" i="2"/>
  <c r="D1273" i="2"/>
  <c r="C1273" i="2"/>
  <c r="B1273" i="2"/>
  <c r="A1273" i="2"/>
  <c r="J1272" i="2"/>
  <c r="I1272" i="2"/>
  <c r="H1272" i="2"/>
  <c r="G1272" i="2"/>
  <c r="F1272" i="2"/>
  <c r="E1272" i="2"/>
  <c r="D1272" i="2"/>
  <c r="C1272" i="2"/>
  <c r="B1272" i="2"/>
  <c r="A1272" i="2"/>
  <c r="J1271" i="2"/>
  <c r="I1271" i="2"/>
  <c r="H1271" i="2"/>
  <c r="G1271" i="2"/>
  <c r="F1271" i="2"/>
  <c r="E1271" i="2"/>
  <c r="D1271" i="2"/>
  <c r="C1271" i="2"/>
  <c r="B1271" i="2"/>
  <c r="A1271" i="2"/>
  <c r="J1270" i="2"/>
  <c r="I1270" i="2"/>
  <c r="H1270" i="2"/>
  <c r="G1270" i="2"/>
  <c r="F1270" i="2"/>
  <c r="E1270" i="2"/>
  <c r="D1270" i="2"/>
  <c r="C1270" i="2"/>
  <c r="B1270" i="2"/>
  <c r="A1270" i="2"/>
  <c r="J1269" i="2"/>
  <c r="I1269" i="2"/>
  <c r="H1269" i="2"/>
  <c r="G1269" i="2"/>
  <c r="F1269" i="2"/>
  <c r="E1269" i="2"/>
  <c r="D1269" i="2"/>
  <c r="C1269" i="2"/>
  <c r="B1269" i="2"/>
  <c r="A1269" i="2"/>
  <c r="J1268" i="2"/>
  <c r="I1268" i="2"/>
  <c r="H1268" i="2"/>
  <c r="G1268" i="2"/>
  <c r="F1268" i="2"/>
  <c r="E1268" i="2"/>
  <c r="D1268" i="2"/>
  <c r="C1268" i="2"/>
  <c r="B1268" i="2"/>
  <c r="A1268" i="2"/>
  <c r="J1267" i="2"/>
  <c r="I1267" i="2"/>
  <c r="H1267" i="2"/>
  <c r="G1267" i="2"/>
  <c r="F1267" i="2"/>
  <c r="E1267" i="2"/>
  <c r="D1267" i="2"/>
  <c r="C1267" i="2"/>
  <c r="B1267" i="2"/>
  <c r="A1267" i="2"/>
  <c r="J1266" i="2"/>
  <c r="I1266" i="2"/>
  <c r="H1266" i="2"/>
  <c r="G1266" i="2"/>
  <c r="F1266" i="2"/>
  <c r="E1266" i="2"/>
  <c r="D1266" i="2"/>
  <c r="C1266" i="2"/>
  <c r="B1266" i="2"/>
  <c r="A1266" i="2"/>
  <c r="J1265" i="2"/>
  <c r="I1265" i="2"/>
  <c r="H1265" i="2"/>
  <c r="G1265" i="2"/>
  <c r="F1265" i="2"/>
  <c r="E1265" i="2"/>
  <c r="D1265" i="2"/>
  <c r="C1265" i="2"/>
  <c r="B1265" i="2"/>
  <c r="A1265" i="2"/>
  <c r="J1264" i="2"/>
  <c r="I1264" i="2"/>
  <c r="H1264" i="2"/>
  <c r="G1264" i="2"/>
  <c r="F1264" i="2"/>
  <c r="E1264" i="2"/>
  <c r="D1264" i="2"/>
  <c r="C1264" i="2"/>
  <c r="B1264" i="2"/>
  <c r="A1264" i="2"/>
  <c r="J1263" i="2"/>
  <c r="I1263" i="2"/>
  <c r="H1263" i="2"/>
  <c r="G1263" i="2"/>
  <c r="F1263" i="2"/>
  <c r="E1263" i="2"/>
  <c r="D1263" i="2"/>
  <c r="C1263" i="2"/>
  <c r="B1263" i="2"/>
  <c r="A1263" i="2"/>
  <c r="J1262" i="2"/>
  <c r="I1262" i="2"/>
  <c r="H1262" i="2"/>
  <c r="G1262" i="2"/>
  <c r="F1262" i="2"/>
  <c r="E1262" i="2"/>
  <c r="D1262" i="2"/>
  <c r="C1262" i="2"/>
  <c r="B1262" i="2"/>
  <c r="A1262" i="2"/>
  <c r="J1261" i="2"/>
  <c r="I1261" i="2"/>
  <c r="H1261" i="2"/>
  <c r="G1261" i="2"/>
  <c r="F1261" i="2"/>
  <c r="E1261" i="2"/>
  <c r="D1261" i="2"/>
  <c r="C1261" i="2"/>
  <c r="B1261" i="2"/>
  <c r="A1261" i="2"/>
  <c r="J1260" i="2"/>
  <c r="I1260" i="2"/>
  <c r="H1260" i="2"/>
  <c r="G1260" i="2"/>
  <c r="F1260" i="2"/>
  <c r="E1260" i="2"/>
  <c r="D1260" i="2"/>
  <c r="C1260" i="2"/>
  <c r="B1260" i="2"/>
  <c r="A1260" i="2"/>
  <c r="J1259" i="2"/>
  <c r="I1259" i="2"/>
  <c r="H1259" i="2"/>
  <c r="G1259" i="2"/>
  <c r="F1259" i="2"/>
  <c r="E1259" i="2"/>
  <c r="D1259" i="2"/>
  <c r="C1259" i="2"/>
  <c r="B1259" i="2"/>
  <c r="A1259" i="2"/>
  <c r="J1258" i="2"/>
  <c r="I1258" i="2"/>
  <c r="H1258" i="2"/>
  <c r="G1258" i="2"/>
  <c r="F1258" i="2"/>
  <c r="E1258" i="2"/>
  <c r="D1258" i="2"/>
  <c r="C1258" i="2"/>
  <c r="B1258" i="2"/>
  <c r="A1258" i="2"/>
  <c r="J1257" i="2"/>
  <c r="I1257" i="2"/>
  <c r="H1257" i="2"/>
  <c r="G1257" i="2"/>
  <c r="F1257" i="2"/>
  <c r="E1257" i="2"/>
  <c r="D1257" i="2"/>
  <c r="C1257" i="2"/>
  <c r="B1257" i="2"/>
  <c r="A1257" i="2"/>
  <c r="J1256" i="2"/>
  <c r="I1256" i="2"/>
  <c r="H1256" i="2"/>
  <c r="G1256" i="2"/>
  <c r="F1256" i="2"/>
  <c r="E1256" i="2"/>
  <c r="D1256" i="2"/>
  <c r="C1256" i="2"/>
  <c r="B1256" i="2"/>
  <c r="A1256" i="2"/>
  <c r="J1255" i="2"/>
  <c r="I1255" i="2"/>
  <c r="H1255" i="2"/>
  <c r="G1255" i="2"/>
  <c r="F1255" i="2"/>
  <c r="E1255" i="2"/>
  <c r="D1255" i="2"/>
  <c r="C1255" i="2"/>
  <c r="B1255" i="2"/>
  <c r="A1255" i="2"/>
  <c r="J1254" i="2"/>
  <c r="I1254" i="2"/>
  <c r="H1254" i="2"/>
  <c r="G1254" i="2"/>
  <c r="F1254" i="2"/>
  <c r="E1254" i="2"/>
  <c r="D1254" i="2"/>
  <c r="C1254" i="2"/>
  <c r="B1254" i="2"/>
  <c r="A1254" i="2"/>
  <c r="J1253" i="2"/>
  <c r="I1253" i="2"/>
  <c r="H1253" i="2"/>
  <c r="G1253" i="2"/>
  <c r="F1253" i="2"/>
  <c r="E1253" i="2"/>
  <c r="D1253" i="2"/>
  <c r="C1253" i="2"/>
  <c r="B1253" i="2"/>
  <c r="A1253" i="2"/>
  <c r="J1252" i="2"/>
  <c r="I1252" i="2"/>
  <c r="H1252" i="2"/>
  <c r="G1252" i="2"/>
  <c r="F1252" i="2"/>
  <c r="E1252" i="2"/>
  <c r="D1252" i="2"/>
  <c r="C1252" i="2"/>
  <c r="B1252" i="2"/>
  <c r="A1252" i="2"/>
  <c r="J1251" i="2"/>
  <c r="I1251" i="2"/>
  <c r="H1251" i="2"/>
  <c r="G1251" i="2"/>
  <c r="F1251" i="2"/>
  <c r="E1251" i="2"/>
  <c r="D1251" i="2"/>
  <c r="C1251" i="2"/>
  <c r="B1251" i="2"/>
  <c r="A1251" i="2"/>
  <c r="J1250" i="2"/>
  <c r="I1250" i="2"/>
  <c r="H1250" i="2"/>
  <c r="G1250" i="2"/>
  <c r="F1250" i="2"/>
  <c r="E1250" i="2"/>
  <c r="D1250" i="2"/>
  <c r="C1250" i="2"/>
  <c r="B1250" i="2"/>
  <c r="A1250" i="2"/>
  <c r="J1249" i="2"/>
  <c r="I1249" i="2"/>
  <c r="H1249" i="2"/>
  <c r="G1249" i="2"/>
  <c r="F1249" i="2"/>
  <c r="E1249" i="2"/>
  <c r="D1249" i="2"/>
  <c r="C1249" i="2"/>
  <c r="B1249" i="2"/>
  <c r="A1249" i="2"/>
  <c r="J1248" i="2"/>
  <c r="I1248" i="2"/>
  <c r="H1248" i="2"/>
  <c r="G1248" i="2"/>
  <c r="F1248" i="2"/>
  <c r="E1248" i="2"/>
  <c r="D1248" i="2"/>
  <c r="C1248" i="2"/>
  <c r="B1248" i="2"/>
  <c r="A1248" i="2"/>
  <c r="J1247" i="2"/>
  <c r="I1247" i="2"/>
  <c r="H1247" i="2"/>
  <c r="G1247" i="2"/>
  <c r="F1247" i="2"/>
  <c r="E1247" i="2"/>
  <c r="D1247" i="2"/>
  <c r="C1247" i="2"/>
  <c r="B1247" i="2"/>
  <c r="A1247" i="2"/>
  <c r="J1246" i="2"/>
  <c r="I1246" i="2"/>
  <c r="H1246" i="2"/>
  <c r="G1246" i="2"/>
  <c r="F1246" i="2"/>
  <c r="E1246" i="2"/>
  <c r="D1246" i="2"/>
  <c r="C1246" i="2"/>
  <c r="B1246" i="2"/>
  <c r="A1246" i="2"/>
  <c r="J1245" i="2"/>
  <c r="I1245" i="2"/>
  <c r="H1245" i="2"/>
  <c r="G1245" i="2"/>
  <c r="F1245" i="2"/>
  <c r="E1245" i="2"/>
  <c r="D1245" i="2"/>
  <c r="C1245" i="2"/>
  <c r="B1245" i="2"/>
  <c r="A1245" i="2"/>
  <c r="J1244" i="2"/>
  <c r="I1244" i="2"/>
  <c r="H1244" i="2"/>
  <c r="G1244" i="2"/>
  <c r="F1244" i="2"/>
  <c r="E1244" i="2"/>
  <c r="D1244" i="2"/>
  <c r="C1244" i="2"/>
  <c r="B1244" i="2"/>
  <c r="A1244" i="2"/>
  <c r="J1243" i="2"/>
  <c r="I1243" i="2"/>
  <c r="H1243" i="2"/>
  <c r="G1243" i="2"/>
  <c r="F1243" i="2"/>
  <c r="E1243" i="2"/>
  <c r="D1243" i="2"/>
  <c r="C1243" i="2"/>
  <c r="B1243" i="2"/>
  <c r="A1243" i="2"/>
  <c r="J1242" i="2"/>
  <c r="I1242" i="2"/>
  <c r="H1242" i="2"/>
  <c r="G1242" i="2"/>
  <c r="F1242" i="2"/>
  <c r="E1242" i="2"/>
  <c r="D1242" i="2"/>
  <c r="C1242" i="2"/>
  <c r="B1242" i="2"/>
  <c r="A1242" i="2"/>
  <c r="J1241" i="2"/>
  <c r="I1241" i="2"/>
  <c r="H1241" i="2"/>
  <c r="G1241" i="2"/>
  <c r="F1241" i="2"/>
  <c r="E1241" i="2"/>
  <c r="D1241" i="2"/>
  <c r="C1241" i="2"/>
  <c r="B1241" i="2"/>
  <c r="A1241" i="2"/>
  <c r="J1240" i="2"/>
  <c r="I1240" i="2"/>
  <c r="H1240" i="2"/>
  <c r="G1240" i="2"/>
  <c r="F1240" i="2"/>
  <c r="E1240" i="2"/>
  <c r="D1240" i="2"/>
  <c r="C1240" i="2"/>
  <c r="B1240" i="2"/>
  <c r="A1240" i="2"/>
  <c r="J1239" i="2"/>
  <c r="I1239" i="2"/>
  <c r="H1239" i="2"/>
  <c r="G1239" i="2"/>
  <c r="F1239" i="2"/>
  <c r="E1239" i="2"/>
  <c r="D1239" i="2"/>
  <c r="C1239" i="2"/>
  <c r="B1239" i="2"/>
  <c r="A1239" i="2"/>
  <c r="J1238" i="2"/>
  <c r="I1238" i="2"/>
  <c r="H1238" i="2"/>
  <c r="G1238" i="2"/>
  <c r="F1238" i="2"/>
  <c r="E1238" i="2"/>
  <c r="D1238" i="2"/>
  <c r="C1238" i="2"/>
  <c r="B1238" i="2"/>
  <c r="A1238" i="2"/>
  <c r="J1237" i="2"/>
  <c r="I1237" i="2"/>
  <c r="H1237" i="2"/>
  <c r="G1237" i="2"/>
  <c r="F1237" i="2"/>
  <c r="E1237" i="2"/>
  <c r="D1237" i="2"/>
  <c r="C1237" i="2"/>
  <c r="B1237" i="2"/>
  <c r="A1237" i="2"/>
  <c r="J1236" i="2"/>
  <c r="I1236" i="2"/>
  <c r="H1236" i="2"/>
  <c r="G1236" i="2"/>
  <c r="F1236" i="2"/>
  <c r="E1236" i="2"/>
  <c r="D1236" i="2"/>
  <c r="C1236" i="2"/>
  <c r="B1236" i="2"/>
  <c r="A1236" i="2"/>
  <c r="J1235" i="2"/>
  <c r="I1235" i="2"/>
  <c r="H1235" i="2"/>
  <c r="G1235" i="2"/>
  <c r="F1235" i="2"/>
  <c r="E1235" i="2"/>
  <c r="D1235" i="2"/>
  <c r="C1235" i="2"/>
  <c r="B1235" i="2"/>
  <c r="A1235" i="2"/>
  <c r="J1234" i="2"/>
  <c r="I1234" i="2"/>
  <c r="H1234" i="2"/>
  <c r="G1234" i="2"/>
  <c r="F1234" i="2"/>
  <c r="E1234" i="2"/>
  <c r="D1234" i="2"/>
  <c r="C1234" i="2"/>
  <c r="B1234" i="2"/>
  <c r="A1234" i="2"/>
  <c r="J1233" i="2"/>
  <c r="I1233" i="2"/>
  <c r="H1233" i="2"/>
  <c r="G1233" i="2"/>
  <c r="F1233" i="2"/>
  <c r="E1233" i="2"/>
  <c r="D1233" i="2"/>
  <c r="C1233" i="2"/>
  <c r="B1233" i="2"/>
  <c r="A1233" i="2"/>
  <c r="J1232" i="2"/>
  <c r="I1232" i="2"/>
  <c r="H1232" i="2"/>
  <c r="G1232" i="2"/>
  <c r="F1232" i="2"/>
  <c r="E1232" i="2"/>
  <c r="D1232" i="2"/>
  <c r="C1232" i="2"/>
  <c r="B1232" i="2"/>
  <c r="A1232" i="2"/>
  <c r="J1231" i="2"/>
  <c r="I1231" i="2"/>
  <c r="H1231" i="2"/>
  <c r="G1231" i="2"/>
  <c r="F1231" i="2"/>
  <c r="E1231" i="2"/>
  <c r="D1231" i="2"/>
  <c r="C1231" i="2"/>
  <c r="B1231" i="2"/>
  <c r="A1231" i="2"/>
  <c r="J1230" i="2"/>
  <c r="I1230" i="2"/>
  <c r="H1230" i="2"/>
  <c r="G1230" i="2"/>
  <c r="F1230" i="2"/>
  <c r="E1230" i="2"/>
  <c r="D1230" i="2"/>
  <c r="C1230" i="2"/>
  <c r="B1230" i="2"/>
  <c r="A1230" i="2"/>
  <c r="J1229" i="2"/>
  <c r="I1229" i="2"/>
  <c r="H1229" i="2"/>
  <c r="G1229" i="2"/>
  <c r="F1229" i="2"/>
  <c r="E1229" i="2"/>
  <c r="D1229" i="2"/>
  <c r="C1229" i="2"/>
  <c r="B1229" i="2"/>
  <c r="A1229" i="2"/>
  <c r="J1228" i="2"/>
  <c r="I1228" i="2"/>
  <c r="H1228" i="2"/>
  <c r="G1228" i="2"/>
  <c r="F1228" i="2"/>
  <c r="E1228" i="2"/>
  <c r="D1228" i="2"/>
  <c r="C1228" i="2"/>
  <c r="B1228" i="2"/>
  <c r="A1228" i="2"/>
  <c r="J1227" i="2"/>
  <c r="I1227" i="2"/>
  <c r="H1227" i="2"/>
  <c r="G1227" i="2"/>
  <c r="F1227" i="2"/>
  <c r="E1227" i="2"/>
  <c r="D1227" i="2"/>
  <c r="C1227" i="2"/>
  <c r="B1227" i="2"/>
  <c r="A1227" i="2"/>
  <c r="J1226" i="2"/>
  <c r="I1226" i="2"/>
  <c r="H1226" i="2"/>
  <c r="G1226" i="2"/>
  <c r="F1226" i="2"/>
  <c r="E1226" i="2"/>
  <c r="D1226" i="2"/>
  <c r="C1226" i="2"/>
  <c r="B1226" i="2"/>
  <c r="A1226" i="2"/>
  <c r="J1225" i="2"/>
  <c r="I1225" i="2"/>
  <c r="H1225" i="2"/>
  <c r="G1225" i="2"/>
  <c r="F1225" i="2"/>
  <c r="E1225" i="2"/>
  <c r="D1225" i="2"/>
  <c r="C1225" i="2"/>
  <c r="B1225" i="2"/>
  <c r="A1225" i="2"/>
  <c r="J1224" i="2"/>
  <c r="I1224" i="2"/>
  <c r="H1224" i="2"/>
  <c r="G1224" i="2"/>
  <c r="F1224" i="2"/>
  <c r="E1224" i="2"/>
  <c r="D1224" i="2"/>
  <c r="C1224" i="2"/>
  <c r="B1224" i="2"/>
  <c r="A1224" i="2"/>
  <c r="J1223" i="2"/>
  <c r="I1223" i="2"/>
  <c r="H1223" i="2"/>
  <c r="G1223" i="2"/>
  <c r="F1223" i="2"/>
  <c r="E1223" i="2"/>
  <c r="D1223" i="2"/>
  <c r="C1223" i="2"/>
  <c r="B1223" i="2"/>
  <c r="A1223" i="2"/>
  <c r="J1222" i="2"/>
  <c r="I1222" i="2"/>
  <c r="H1222" i="2"/>
  <c r="G1222" i="2"/>
  <c r="F1222" i="2"/>
  <c r="E1222" i="2"/>
  <c r="D1222" i="2"/>
  <c r="C1222" i="2"/>
  <c r="B1222" i="2"/>
  <c r="A1222" i="2"/>
  <c r="J1221" i="2"/>
  <c r="I1221" i="2"/>
  <c r="H1221" i="2"/>
  <c r="G1221" i="2"/>
  <c r="F1221" i="2"/>
  <c r="E1221" i="2"/>
  <c r="D1221" i="2"/>
  <c r="C1221" i="2"/>
  <c r="B1221" i="2"/>
  <c r="A1221" i="2"/>
  <c r="J1220" i="2"/>
  <c r="I1220" i="2"/>
  <c r="H1220" i="2"/>
  <c r="G1220" i="2"/>
  <c r="F1220" i="2"/>
  <c r="E1220" i="2"/>
  <c r="D1220" i="2"/>
  <c r="C1220" i="2"/>
  <c r="B1220" i="2"/>
  <c r="A1220" i="2"/>
  <c r="J1219" i="2"/>
  <c r="I1219" i="2"/>
  <c r="H1219" i="2"/>
  <c r="G1219" i="2"/>
  <c r="F1219" i="2"/>
  <c r="E1219" i="2"/>
  <c r="D1219" i="2"/>
  <c r="C1219" i="2"/>
  <c r="B1219" i="2"/>
  <c r="A1219" i="2"/>
  <c r="J1218" i="2"/>
  <c r="I1218" i="2"/>
  <c r="H1218" i="2"/>
  <c r="G1218" i="2"/>
  <c r="F1218" i="2"/>
  <c r="E1218" i="2"/>
  <c r="D1218" i="2"/>
  <c r="C1218" i="2"/>
  <c r="B1218" i="2"/>
  <c r="A1218" i="2"/>
  <c r="J1217" i="2"/>
  <c r="I1217" i="2"/>
  <c r="H1217" i="2"/>
  <c r="G1217" i="2"/>
  <c r="F1217" i="2"/>
  <c r="E1217" i="2"/>
  <c r="D1217" i="2"/>
  <c r="C1217" i="2"/>
  <c r="B1217" i="2"/>
  <c r="A1217" i="2"/>
  <c r="J1216" i="2"/>
  <c r="I1216" i="2"/>
  <c r="H1216" i="2"/>
  <c r="G1216" i="2"/>
  <c r="F1216" i="2"/>
  <c r="E1216" i="2"/>
  <c r="D1216" i="2"/>
  <c r="C1216" i="2"/>
  <c r="B1216" i="2"/>
  <c r="A1216" i="2"/>
  <c r="J1215" i="2"/>
  <c r="I1215" i="2"/>
  <c r="H1215" i="2"/>
  <c r="G1215" i="2"/>
  <c r="F1215" i="2"/>
  <c r="E1215" i="2"/>
  <c r="D1215" i="2"/>
  <c r="C1215" i="2"/>
  <c r="B1215" i="2"/>
  <c r="A1215" i="2"/>
  <c r="J1214" i="2"/>
  <c r="I1214" i="2"/>
  <c r="H1214" i="2"/>
  <c r="G1214" i="2"/>
  <c r="F1214" i="2"/>
  <c r="E1214" i="2"/>
  <c r="D1214" i="2"/>
  <c r="C1214" i="2"/>
  <c r="B1214" i="2"/>
  <c r="A1214" i="2"/>
  <c r="J1213" i="2"/>
  <c r="I1213" i="2"/>
  <c r="H1213" i="2"/>
  <c r="G1213" i="2"/>
  <c r="F1213" i="2"/>
  <c r="E1213" i="2"/>
  <c r="D1213" i="2"/>
  <c r="C1213" i="2"/>
  <c r="B1213" i="2"/>
  <c r="A1213" i="2"/>
  <c r="J1212" i="2"/>
  <c r="I1212" i="2"/>
  <c r="H1212" i="2"/>
  <c r="G1212" i="2"/>
  <c r="F1212" i="2"/>
  <c r="E1212" i="2"/>
  <c r="D1212" i="2"/>
  <c r="C1212" i="2"/>
  <c r="B1212" i="2"/>
  <c r="A1212" i="2"/>
  <c r="J1211" i="2"/>
  <c r="I1211" i="2"/>
  <c r="H1211" i="2"/>
  <c r="G1211" i="2"/>
  <c r="F1211" i="2"/>
  <c r="E1211" i="2"/>
  <c r="D1211" i="2"/>
  <c r="C1211" i="2"/>
  <c r="B1211" i="2"/>
  <c r="A1211" i="2"/>
  <c r="J1210" i="2"/>
  <c r="I1210" i="2"/>
  <c r="H1210" i="2"/>
  <c r="G1210" i="2"/>
  <c r="F1210" i="2"/>
  <c r="E1210" i="2"/>
  <c r="D1210" i="2"/>
  <c r="C1210" i="2"/>
  <c r="B1210" i="2"/>
  <c r="A1210" i="2"/>
  <c r="J1209" i="2"/>
  <c r="I1209" i="2"/>
  <c r="H1209" i="2"/>
  <c r="G1209" i="2"/>
  <c r="F1209" i="2"/>
  <c r="E1209" i="2"/>
  <c r="D1209" i="2"/>
  <c r="C1209" i="2"/>
  <c r="B1209" i="2"/>
  <c r="A1209" i="2"/>
  <c r="J1208" i="2"/>
  <c r="I1208" i="2"/>
  <c r="H1208" i="2"/>
  <c r="G1208" i="2"/>
  <c r="F1208" i="2"/>
  <c r="E1208" i="2"/>
  <c r="D1208" i="2"/>
  <c r="C1208" i="2"/>
  <c r="B1208" i="2"/>
  <c r="A1208" i="2"/>
  <c r="J1207" i="2"/>
  <c r="I1207" i="2"/>
  <c r="H1207" i="2"/>
  <c r="G1207" i="2"/>
  <c r="F1207" i="2"/>
  <c r="E1207" i="2"/>
  <c r="D1207" i="2"/>
  <c r="C1207" i="2"/>
  <c r="B1207" i="2"/>
  <c r="A1207" i="2"/>
  <c r="J1206" i="2"/>
  <c r="I1206" i="2"/>
  <c r="H1206" i="2"/>
  <c r="G1206" i="2"/>
  <c r="F1206" i="2"/>
  <c r="E1206" i="2"/>
  <c r="D1206" i="2"/>
  <c r="C1206" i="2"/>
  <c r="B1206" i="2"/>
  <c r="A1206" i="2"/>
  <c r="J1205" i="2"/>
  <c r="I1205" i="2"/>
  <c r="H1205" i="2"/>
  <c r="G1205" i="2"/>
  <c r="F1205" i="2"/>
  <c r="E1205" i="2"/>
  <c r="D1205" i="2"/>
  <c r="C1205" i="2"/>
  <c r="B1205" i="2"/>
  <c r="A1205" i="2"/>
  <c r="J1204" i="2"/>
  <c r="I1204" i="2"/>
  <c r="H1204" i="2"/>
  <c r="G1204" i="2"/>
  <c r="F1204" i="2"/>
  <c r="E1204" i="2"/>
  <c r="D1204" i="2"/>
  <c r="C1204" i="2"/>
  <c r="B1204" i="2"/>
  <c r="A1204" i="2"/>
  <c r="J1203" i="2"/>
  <c r="I1203" i="2"/>
  <c r="H1203" i="2"/>
  <c r="G1203" i="2"/>
  <c r="F1203" i="2"/>
  <c r="E1203" i="2"/>
  <c r="D1203" i="2"/>
  <c r="C1203" i="2"/>
  <c r="B1203" i="2"/>
  <c r="A1203" i="2"/>
  <c r="J1202" i="2"/>
  <c r="I1202" i="2"/>
  <c r="H1202" i="2"/>
  <c r="G1202" i="2"/>
  <c r="F1202" i="2"/>
  <c r="E1202" i="2"/>
  <c r="D1202" i="2"/>
  <c r="C1202" i="2"/>
  <c r="B1202" i="2"/>
  <c r="A1202" i="2"/>
  <c r="J1201" i="2"/>
  <c r="I1201" i="2"/>
  <c r="H1201" i="2"/>
  <c r="G1201" i="2"/>
  <c r="F1201" i="2"/>
  <c r="E1201" i="2"/>
  <c r="D1201" i="2"/>
  <c r="C1201" i="2"/>
  <c r="B1201" i="2"/>
  <c r="A1201" i="2"/>
  <c r="J1200" i="2"/>
  <c r="I1200" i="2"/>
  <c r="H1200" i="2"/>
  <c r="G1200" i="2"/>
  <c r="F1200" i="2"/>
  <c r="E1200" i="2"/>
  <c r="D1200" i="2"/>
  <c r="C1200" i="2"/>
  <c r="B1200" i="2"/>
  <c r="A1200" i="2"/>
  <c r="J1199" i="2"/>
  <c r="I1199" i="2"/>
  <c r="H1199" i="2"/>
  <c r="G1199" i="2"/>
  <c r="F1199" i="2"/>
  <c r="E1199" i="2"/>
  <c r="D1199" i="2"/>
  <c r="C1199" i="2"/>
  <c r="B1199" i="2"/>
  <c r="A1199" i="2"/>
  <c r="J1198" i="2"/>
  <c r="I1198" i="2"/>
  <c r="H1198" i="2"/>
  <c r="G1198" i="2"/>
  <c r="F1198" i="2"/>
  <c r="E1198" i="2"/>
  <c r="D1198" i="2"/>
  <c r="C1198" i="2"/>
  <c r="B1198" i="2"/>
  <c r="A1198" i="2"/>
  <c r="J1197" i="2"/>
  <c r="I1197" i="2"/>
  <c r="H1197" i="2"/>
  <c r="G1197" i="2"/>
  <c r="F1197" i="2"/>
  <c r="E1197" i="2"/>
  <c r="D1197" i="2"/>
  <c r="C1197" i="2"/>
  <c r="B1197" i="2"/>
  <c r="A1197" i="2"/>
  <c r="J1196" i="2"/>
  <c r="I1196" i="2"/>
  <c r="H1196" i="2"/>
  <c r="G1196" i="2"/>
  <c r="F1196" i="2"/>
  <c r="E1196" i="2"/>
  <c r="D1196" i="2"/>
  <c r="C1196" i="2"/>
  <c r="B1196" i="2"/>
  <c r="A1196" i="2"/>
  <c r="J1195" i="2"/>
  <c r="I1195" i="2"/>
  <c r="H1195" i="2"/>
  <c r="G1195" i="2"/>
  <c r="F1195" i="2"/>
  <c r="E1195" i="2"/>
  <c r="D1195" i="2"/>
  <c r="C1195" i="2"/>
  <c r="B1195" i="2"/>
  <c r="A1195" i="2"/>
  <c r="J1194" i="2"/>
  <c r="I1194" i="2"/>
  <c r="H1194" i="2"/>
  <c r="G1194" i="2"/>
  <c r="F1194" i="2"/>
  <c r="E1194" i="2"/>
  <c r="D1194" i="2"/>
  <c r="C1194" i="2"/>
  <c r="B1194" i="2"/>
  <c r="A1194" i="2"/>
  <c r="J1193" i="2"/>
  <c r="I1193" i="2"/>
  <c r="H1193" i="2"/>
  <c r="G1193" i="2"/>
  <c r="F1193" i="2"/>
  <c r="E1193" i="2"/>
  <c r="D1193" i="2"/>
  <c r="C1193" i="2"/>
  <c r="B1193" i="2"/>
  <c r="A1193" i="2"/>
  <c r="J1192" i="2"/>
  <c r="I1192" i="2"/>
  <c r="H1192" i="2"/>
  <c r="G1192" i="2"/>
  <c r="F1192" i="2"/>
  <c r="E1192" i="2"/>
  <c r="D1192" i="2"/>
  <c r="C1192" i="2"/>
  <c r="B1192" i="2"/>
  <c r="A1192" i="2"/>
  <c r="J1191" i="2"/>
  <c r="I1191" i="2"/>
  <c r="H1191" i="2"/>
  <c r="G1191" i="2"/>
  <c r="F1191" i="2"/>
  <c r="E1191" i="2"/>
  <c r="D1191" i="2"/>
  <c r="C1191" i="2"/>
  <c r="B1191" i="2"/>
  <c r="A1191" i="2"/>
  <c r="J1190" i="2"/>
  <c r="I1190" i="2"/>
  <c r="H1190" i="2"/>
  <c r="G1190" i="2"/>
  <c r="F1190" i="2"/>
  <c r="E1190" i="2"/>
  <c r="D1190" i="2"/>
  <c r="C1190" i="2"/>
  <c r="B1190" i="2"/>
  <c r="A1190" i="2"/>
  <c r="J1189" i="2"/>
  <c r="I1189" i="2"/>
  <c r="H1189" i="2"/>
  <c r="G1189" i="2"/>
  <c r="F1189" i="2"/>
  <c r="E1189" i="2"/>
  <c r="D1189" i="2"/>
  <c r="C1189" i="2"/>
  <c r="B1189" i="2"/>
  <c r="A1189" i="2"/>
  <c r="J1188" i="2"/>
  <c r="I1188" i="2"/>
  <c r="H1188" i="2"/>
  <c r="G1188" i="2"/>
  <c r="F1188" i="2"/>
  <c r="E1188" i="2"/>
  <c r="D1188" i="2"/>
  <c r="C1188" i="2"/>
  <c r="B1188" i="2"/>
  <c r="A1188" i="2"/>
  <c r="J1187" i="2"/>
  <c r="I1187" i="2"/>
  <c r="H1187" i="2"/>
  <c r="G1187" i="2"/>
  <c r="F1187" i="2"/>
  <c r="E1187" i="2"/>
  <c r="D1187" i="2"/>
  <c r="C1187" i="2"/>
  <c r="B1187" i="2"/>
  <c r="A1187" i="2"/>
  <c r="J1186" i="2"/>
  <c r="I1186" i="2"/>
  <c r="H1186" i="2"/>
  <c r="G1186" i="2"/>
  <c r="F1186" i="2"/>
  <c r="E1186" i="2"/>
  <c r="D1186" i="2"/>
  <c r="C1186" i="2"/>
  <c r="B1186" i="2"/>
  <c r="A1186" i="2"/>
  <c r="J1185" i="2"/>
  <c r="I1185" i="2"/>
  <c r="H1185" i="2"/>
  <c r="G1185" i="2"/>
  <c r="F1185" i="2"/>
  <c r="E1185" i="2"/>
  <c r="D1185" i="2"/>
  <c r="C1185" i="2"/>
  <c r="B1185" i="2"/>
  <c r="A1185" i="2"/>
  <c r="J1184" i="2"/>
  <c r="I1184" i="2"/>
  <c r="H1184" i="2"/>
  <c r="G1184" i="2"/>
  <c r="F1184" i="2"/>
  <c r="E1184" i="2"/>
  <c r="D1184" i="2"/>
  <c r="C1184" i="2"/>
  <c r="B1184" i="2"/>
  <c r="A1184" i="2"/>
  <c r="J1183" i="2"/>
  <c r="I1183" i="2"/>
  <c r="H1183" i="2"/>
  <c r="G1183" i="2"/>
  <c r="F1183" i="2"/>
  <c r="E1183" i="2"/>
  <c r="D1183" i="2"/>
  <c r="C1183" i="2"/>
  <c r="B1183" i="2"/>
  <c r="A1183" i="2"/>
  <c r="J1182" i="2"/>
  <c r="I1182" i="2"/>
  <c r="H1182" i="2"/>
  <c r="G1182" i="2"/>
  <c r="F1182" i="2"/>
  <c r="E1182" i="2"/>
  <c r="D1182" i="2"/>
  <c r="C1182" i="2"/>
  <c r="B1182" i="2"/>
  <c r="A1182" i="2"/>
  <c r="J1181" i="2"/>
  <c r="I1181" i="2"/>
  <c r="H1181" i="2"/>
  <c r="G1181" i="2"/>
  <c r="F1181" i="2"/>
  <c r="E1181" i="2"/>
  <c r="D1181" i="2"/>
  <c r="C1181" i="2"/>
  <c r="B1181" i="2"/>
  <c r="A1181" i="2"/>
  <c r="J1180" i="2"/>
  <c r="I1180" i="2"/>
  <c r="H1180" i="2"/>
  <c r="G1180" i="2"/>
  <c r="F1180" i="2"/>
  <c r="E1180" i="2"/>
  <c r="D1180" i="2"/>
  <c r="C1180" i="2"/>
  <c r="B1180" i="2"/>
  <c r="A1180" i="2"/>
  <c r="J1179" i="2"/>
  <c r="I1179" i="2"/>
  <c r="H1179" i="2"/>
  <c r="G1179" i="2"/>
  <c r="F1179" i="2"/>
  <c r="E1179" i="2"/>
  <c r="D1179" i="2"/>
  <c r="C1179" i="2"/>
  <c r="B1179" i="2"/>
  <c r="A1179" i="2"/>
  <c r="J1178" i="2"/>
  <c r="I1178" i="2"/>
  <c r="H1178" i="2"/>
  <c r="G1178" i="2"/>
  <c r="F1178" i="2"/>
  <c r="E1178" i="2"/>
  <c r="D1178" i="2"/>
  <c r="C1178" i="2"/>
  <c r="B1178" i="2"/>
  <c r="A1178" i="2"/>
  <c r="J1177" i="2"/>
  <c r="I1177" i="2"/>
  <c r="H1177" i="2"/>
  <c r="G1177" i="2"/>
  <c r="F1177" i="2"/>
  <c r="E1177" i="2"/>
  <c r="D1177" i="2"/>
  <c r="C1177" i="2"/>
  <c r="B1177" i="2"/>
  <c r="A1177" i="2"/>
  <c r="J1176" i="2"/>
  <c r="I1176" i="2"/>
  <c r="H1176" i="2"/>
  <c r="G1176" i="2"/>
  <c r="F1176" i="2"/>
  <c r="E1176" i="2"/>
  <c r="D1176" i="2"/>
  <c r="C1176" i="2"/>
  <c r="B1176" i="2"/>
  <c r="A1176" i="2"/>
  <c r="J1175" i="2"/>
  <c r="I1175" i="2"/>
  <c r="H1175" i="2"/>
  <c r="G1175" i="2"/>
  <c r="F1175" i="2"/>
  <c r="E1175" i="2"/>
  <c r="D1175" i="2"/>
  <c r="C1175" i="2"/>
  <c r="B1175" i="2"/>
  <c r="A1175" i="2"/>
  <c r="J1174" i="2"/>
  <c r="I1174" i="2"/>
  <c r="H1174" i="2"/>
  <c r="G1174" i="2"/>
  <c r="F1174" i="2"/>
  <c r="E1174" i="2"/>
  <c r="D1174" i="2"/>
  <c r="C1174" i="2"/>
  <c r="B1174" i="2"/>
  <c r="A1174" i="2"/>
  <c r="J1173" i="2"/>
  <c r="I1173" i="2"/>
  <c r="H1173" i="2"/>
  <c r="G1173" i="2"/>
  <c r="F1173" i="2"/>
  <c r="E1173" i="2"/>
  <c r="D1173" i="2"/>
  <c r="C1173" i="2"/>
  <c r="B1173" i="2"/>
  <c r="A1173" i="2"/>
  <c r="J1172" i="2"/>
  <c r="I1172" i="2"/>
  <c r="H1172" i="2"/>
  <c r="G1172" i="2"/>
  <c r="F1172" i="2"/>
  <c r="E1172" i="2"/>
  <c r="D1172" i="2"/>
  <c r="C1172" i="2"/>
  <c r="B1172" i="2"/>
  <c r="A1172" i="2"/>
  <c r="J1171" i="2"/>
  <c r="I1171" i="2"/>
  <c r="H1171" i="2"/>
  <c r="G1171" i="2"/>
  <c r="F1171" i="2"/>
  <c r="E1171" i="2"/>
  <c r="D1171" i="2"/>
  <c r="C1171" i="2"/>
  <c r="B1171" i="2"/>
  <c r="A1171" i="2"/>
  <c r="J1170" i="2"/>
  <c r="I1170" i="2"/>
  <c r="H1170" i="2"/>
  <c r="G1170" i="2"/>
  <c r="F1170" i="2"/>
  <c r="E1170" i="2"/>
  <c r="D1170" i="2"/>
  <c r="C1170" i="2"/>
  <c r="B1170" i="2"/>
  <c r="A1170" i="2"/>
  <c r="J1169" i="2"/>
  <c r="I1169" i="2"/>
  <c r="H1169" i="2"/>
  <c r="G1169" i="2"/>
  <c r="F1169" i="2"/>
  <c r="E1169" i="2"/>
  <c r="D1169" i="2"/>
  <c r="C1169" i="2"/>
  <c r="B1169" i="2"/>
  <c r="A1169" i="2"/>
  <c r="J1168" i="2"/>
  <c r="I1168" i="2"/>
  <c r="H1168" i="2"/>
  <c r="G1168" i="2"/>
  <c r="F1168" i="2"/>
  <c r="E1168" i="2"/>
  <c r="D1168" i="2"/>
  <c r="C1168" i="2"/>
  <c r="B1168" i="2"/>
  <c r="A1168" i="2"/>
  <c r="J1167" i="2"/>
  <c r="I1167" i="2"/>
  <c r="H1167" i="2"/>
  <c r="G1167" i="2"/>
  <c r="F1167" i="2"/>
  <c r="E1167" i="2"/>
  <c r="D1167" i="2"/>
  <c r="C1167" i="2"/>
  <c r="B1167" i="2"/>
  <c r="A1167" i="2"/>
  <c r="J1166" i="2"/>
  <c r="I1166" i="2"/>
  <c r="H1166" i="2"/>
  <c r="G1166" i="2"/>
  <c r="F1166" i="2"/>
  <c r="E1166" i="2"/>
  <c r="D1166" i="2"/>
  <c r="C1166" i="2"/>
  <c r="B1166" i="2"/>
  <c r="A1166" i="2"/>
  <c r="J1165" i="2"/>
  <c r="I1165" i="2"/>
  <c r="H1165" i="2"/>
  <c r="G1165" i="2"/>
  <c r="F1165" i="2"/>
  <c r="E1165" i="2"/>
  <c r="D1165" i="2"/>
  <c r="C1165" i="2"/>
  <c r="B1165" i="2"/>
  <c r="A1165" i="2"/>
  <c r="J1164" i="2"/>
  <c r="I1164" i="2"/>
  <c r="H1164" i="2"/>
  <c r="G1164" i="2"/>
  <c r="F1164" i="2"/>
  <c r="E1164" i="2"/>
  <c r="D1164" i="2"/>
  <c r="C1164" i="2"/>
  <c r="B1164" i="2"/>
  <c r="A1164" i="2"/>
  <c r="J1163" i="2"/>
  <c r="I1163" i="2"/>
  <c r="H1163" i="2"/>
  <c r="G1163" i="2"/>
  <c r="F1163" i="2"/>
  <c r="E1163" i="2"/>
  <c r="D1163" i="2"/>
  <c r="C1163" i="2"/>
  <c r="B1163" i="2"/>
  <c r="A1163" i="2"/>
  <c r="J1162" i="2"/>
  <c r="I1162" i="2"/>
  <c r="H1162" i="2"/>
  <c r="G1162" i="2"/>
  <c r="F1162" i="2"/>
  <c r="E1162" i="2"/>
  <c r="D1162" i="2"/>
  <c r="C1162" i="2"/>
  <c r="B1162" i="2"/>
  <c r="A1162" i="2"/>
  <c r="J1161" i="2"/>
  <c r="I1161" i="2"/>
  <c r="H1161" i="2"/>
  <c r="G1161" i="2"/>
  <c r="F1161" i="2"/>
  <c r="E1161" i="2"/>
  <c r="D1161" i="2"/>
  <c r="C1161" i="2"/>
  <c r="B1161" i="2"/>
  <c r="A1161" i="2"/>
  <c r="J1160" i="2"/>
  <c r="I1160" i="2"/>
  <c r="H1160" i="2"/>
  <c r="G1160" i="2"/>
  <c r="F1160" i="2"/>
  <c r="E1160" i="2"/>
  <c r="D1160" i="2"/>
  <c r="C1160" i="2"/>
  <c r="B1160" i="2"/>
  <c r="A1160" i="2"/>
  <c r="J1159" i="2"/>
  <c r="I1159" i="2"/>
  <c r="H1159" i="2"/>
  <c r="G1159" i="2"/>
  <c r="F1159" i="2"/>
  <c r="E1159" i="2"/>
  <c r="D1159" i="2"/>
  <c r="C1159" i="2"/>
  <c r="B1159" i="2"/>
  <c r="A1159" i="2"/>
  <c r="J1158" i="2"/>
  <c r="I1158" i="2"/>
  <c r="H1158" i="2"/>
  <c r="G1158" i="2"/>
  <c r="F1158" i="2"/>
  <c r="E1158" i="2"/>
  <c r="D1158" i="2"/>
  <c r="C1158" i="2"/>
  <c r="B1158" i="2"/>
  <c r="A1158" i="2"/>
  <c r="J1157" i="2"/>
  <c r="I1157" i="2"/>
  <c r="H1157" i="2"/>
  <c r="G1157" i="2"/>
  <c r="F1157" i="2"/>
  <c r="E1157" i="2"/>
  <c r="D1157" i="2"/>
  <c r="C1157" i="2"/>
  <c r="B1157" i="2"/>
  <c r="A1157" i="2"/>
  <c r="J1156" i="2"/>
  <c r="I1156" i="2"/>
  <c r="H1156" i="2"/>
  <c r="G1156" i="2"/>
  <c r="F1156" i="2"/>
  <c r="E1156" i="2"/>
  <c r="D1156" i="2"/>
  <c r="C1156" i="2"/>
  <c r="B1156" i="2"/>
  <c r="A1156" i="2"/>
  <c r="J1155" i="2"/>
  <c r="I1155" i="2"/>
  <c r="H1155" i="2"/>
  <c r="G1155" i="2"/>
  <c r="F1155" i="2"/>
  <c r="E1155" i="2"/>
  <c r="D1155" i="2"/>
  <c r="C1155" i="2"/>
  <c r="B1155" i="2"/>
  <c r="A1155" i="2"/>
  <c r="J1154" i="2"/>
  <c r="I1154" i="2"/>
  <c r="H1154" i="2"/>
  <c r="G1154" i="2"/>
  <c r="F1154" i="2"/>
  <c r="E1154" i="2"/>
  <c r="D1154" i="2"/>
  <c r="C1154" i="2"/>
  <c r="B1154" i="2"/>
  <c r="A1154" i="2"/>
  <c r="J1153" i="2"/>
  <c r="I1153" i="2"/>
  <c r="H1153" i="2"/>
  <c r="G1153" i="2"/>
  <c r="F1153" i="2"/>
  <c r="E1153" i="2"/>
  <c r="D1153" i="2"/>
  <c r="C1153" i="2"/>
  <c r="B1153" i="2"/>
  <c r="A1153" i="2"/>
  <c r="J1152" i="2"/>
  <c r="I1152" i="2"/>
  <c r="H1152" i="2"/>
  <c r="G1152" i="2"/>
  <c r="F1152" i="2"/>
  <c r="E1152" i="2"/>
  <c r="D1152" i="2"/>
  <c r="C1152" i="2"/>
  <c r="B1152" i="2"/>
  <c r="A1152" i="2"/>
  <c r="J1151" i="2"/>
  <c r="I1151" i="2"/>
  <c r="H1151" i="2"/>
  <c r="G1151" i="2"/>
  <c r="F1151" i="2"/>
  <c r="E1151" i="2"/>
  <c r="D1151" i="2"/>
  <c r="C1151" i="2"/>
  <c r="B1151" i="2"/>
  <c r="A1151" i="2"/>
  <c r="J1150" i="2"/>
  <c r="I1150" i="2"/>
  <c r="H1150" i="2"/>
  <c r="G1150" i="2"/>
  <c r="F1150" i="2"/>
  <c r="E1150" i="2"/>
  <c r="D1150" i="2"/>
  <c r="C1150" i="2"/>
  <c r="B1150" i="2"/>
  <c r="A1150" i="2"/>
  <c r="J1149" i="2"/>
  <c r="I1149" i="2"/>
  <c r="H1149" i="2"/>
  <c r="G1149" i="2"/>
  <c r="F1149" i="2"/>
  <c r="E1149" i="2"/>
  <c r="D1149" i="2"/>
  <c r="C1149" i="2"/>
  <c r="B1149" i="2"/>
  <c r="A1149" i="2"/>
  <c r="J1148" i="2"/>
  <c r="I1148" i="2"/>
  <c r="H1148" i="2"/>
  <c r="G1148" i="2"/>
  <c r="F1148" i="2"/>
  <c r="E1148" i="2"/>
  <c r="D1148" i="2"/>
  <c r="C1148" i="2"/>
  <c r="B1148" i="2"/>
  <c r="A1148" i="2"/>
  <c r="J1147" i="2"/>
  <c r="I1147" i="2"/>
  <c r="H1147" i="2"/>
  <c r="G1147" i="2"/>
  <c r="F1147" i="2"/>
  <c r="E1147" i="2"/>
  <c r="D1147" i="2"/>
  <c r="C1147" i="2"/>
  <c r="B1147" i="2"/>
  <c r="A1147" i="2"/>
  <c r="J1146" i="2"/>
  <c r="I1146" i="2"/>
  <c r="H1146" i="2"/>
  <c r="G1146" i="2"/>
  <c r="F1146" i="2"/>
  <c r="E1146" i="2"/>
  <c r="D1146" i="2"/>
  <c r="C1146" i="2"/>
  <c r="B1146" i="2"/>
  <c r="A1146" i="2"/>
  <c r="J1145" i="2"/>
  <c r="I1145" i="2"/>
  <c r="H1145" i="2"/>
  <c r="G1145" i="2"/>
  <c r="F1145" i="2"/>
  <c r="E1145" i="2"/>
  <c r="D1145" i="2"/>
  <c r="C1145" i="2"/>
  <c r="B1145" i="2"/>
  <c r="A1145" i="2"/>
  <c r="J1144" i="2"/>
  <c r="I1144" i="2"/>
  <c r="H1144" i="2"/>
  <c r="G1144" i="2"/>
  <c r="F1144" i="2"/>
  <c r="E1144" i="2"/>
  <c r="D1144" i="2"/>
  <c r="C1144" i="2"/>
  <c r="B1144" i="2"/>
  <c r="A1144" i="2"/>
  <c r="J1143" i="2"/>
  <c r="I1143" i="2"/>
  <c r="H1143" i="2"/>
  <c r="G1143" i="2"/>
  <c r="F1143" i="2"/>
  <c r="E1143" i="2"/>
  <c r="D1143" i="2"/>
  <c r="C1143" i="2"/>
  <c r="B1143" i="2"/>
  <c r="A1143" i="2"/>
  <c r="J1142" i="2"/>
  <c r="I1142" i="2"/>
  <c r="H1142" i="2"/>
  <c r="G1142" i="2"/>
  <c r="F1142" i="2"/>
  <c r="E1142" i="2"/>
  <c r="D1142" i="2"/>
  <c r="C1142" i="2"/>
  <c r="B1142" i="2"/>
  <c r="A1142" i="2"/>
  <c r="J1141" i="2"/>
  <c r="I1141" i="2"/>
  <c r="H1141" i="2"/>
  <c r="G1141" i="2"/>
  <c r="F1141" i="2"/>
  <c r="E1141" i="2"/>
  <c r="D1141" i="2"/>
  <c r="C1141" i="2"/>
  <c r="B1141" i="2"/>
  <c r="A1141" i="2"/>
  <c r="J1140" i="2"/>
  <c r="I1140" i="2"/>
  <c r="H1140" i="2"/>
  <c r="G1140" i="2"/>
  <c r="F1140" i="2"/>
  <c r="E1140" i="2"/>
  <c r="D1140" i="2"/>
  <c r="C1140" i="2"/>
  <c r="B1140" i="2"/>
  <c r="A1140" i="2"/>
  <c r="J1139" i="2"/>
  <c r="I1139" i="2"/>
  <c r="H1139" i="2"/>
  <c r="G1139" i="2"/>
  <c r="F1139" i="2"/>
  <c r="E1139" i="2"/>
  <c r="D1139" i="2"/>
  <c r="C1139" i="2"/>
  <c r="B1139" i="2"/>
  <c r="A1139" i="2"/>
  <c r="J1138" i="2"/>
  <c r="I1138" i="2"/>
  <c r="H1138" i="2"/>
  <c r="G1138" i="2"/>
  <c r="F1138" i="2"/>
  <c r="E1138" i="2"/>
  <c r="D1138" i="2"/>
  <c r="C1138" i="2"/>
  <c r="B1138" i="2"/>
  <c r="A1138" i="2"/>
  <c r="J1137" i="2"/>
  <c r="I1137" i="2"/>
  <c r="H1137" i="2"/>
  <c r="G1137" i="2"/>
  <c r="F1137" i="2"/>
  <c r="E1137" i="2"/>
  <c r="D1137" i="2"/>
  <c r="C1137" i="2"/>
  <c r="B1137" i="2"/>
  <c r="A1137" i="2"/>
  <c r="J1136" i="2"/>
  <c r="I1136" i="2"/>
  <c r="H1136" i="2"/>
  <c r="G1136" i="2"/>
  <c r="F1136" i="2"/>
  <c r="E1136" i="2"/>
  <c r="D1136" i="2"/>
  <c r="C1136" i="2"/>
  <c r="B1136" i="2"/>
  <c r="A1136" i="2"/>
  <c r="J1135" i="2"/>
  <c r="I1135" i="2"/>
  <c r="H1135" i="2"/>
  <c r="G1135" i="2"/>
  <c r="F1135" i="2"/>
  <c r="E1135" i="2"/>
  <c r="D1135" i="2"/>
  <c r="C1135" i="2"/>
  <c r="B1135" i="2"/>
  <c r="A1135" i="2"/>
  <c r="J1134" i="2"/>
  <c r="I1134" i="2"/>
  <c r="H1134" i="2"/>
  <c r="G1134" i="2"/>
  <c r="F1134" i="2"/>
  <c r="E1134" i="2"/>
  <c r="D1134" i="2"/>
  <c r="C1134" i="2"/>
  <c r="B1134" i="2"/>
  <c r="A1134" i="2"/>
  <c r="J1133" i="2"/>
  <c r="I1133" i="2"/>
  <c r="H1133" i="2"/>
  <c r="G1133" i="2"/>
  <c r="F1133" i="2"/>
  <c r="E1133" i="2"/>
  <c r="D1133" i="2"/>
  <c r="C1133" i="2"/>
  <c r="B1133" i="2"/>
  <c r="A1133" i="2"/>
  <c r="J1132" i="2"/>
  <c r="I1132" i="2"/>
  <c r="H1132" i="2"/>
  <c r="G1132" i="2"/>
  <c r="F1132" i="2"/>
  <c r="E1132" i="2"/>
  <c r="D1132" i="2"/>
  <c r="C1132" i="2"/>
  <c r="B1132" i="2"/>
  <c r="A1132" i="2"/>
  <c r="J1131" i="2"/>
  <c r="I1131" i="2"/>
  <c r="H1131" i="2"/>
  <c r="G1131" i="2"/>
  <c r="F1131" i="2"/>
  <c r="E1131" i="2"/>
  <c r="D1131" i="2"/>
  <c r="C1131" i="2"/>
  <c r="B1131" i="2"/>
  <c r="A1131" i="2"/>
  <c r="J1130" i="2"/>
  <c r="I1130" i="2"/>
  <c r="H1130" i="2"/>
  <c r="G1130" i="2"/>
  <c r="F1130" i="2"/>
  <c r="E1130" i="2"/>
  <c r="D1130" i="2"/>
  <c r="C1130" i="2"/>
  <c r="B1130" i="2"/>
  <c r="A1130" i="2"/>
  <c r="J1129" i="2"/>
  <c r="I1129" i="2"/>
  <c r="H1129" i="2"/>
  <c r="G1129" i="2"/>
  <c r="F1129" i="2"/>
  <c r="E1129" i="2"/>
  <c r="D1129" i="2"/>
  <c r="C1129" i="2"/>
  <c r="B1129" i="2"/>
  <c r="A1129" i="2"/>
  <c r="J1128" i="2"/>
  <c r="I1128" i="2"/>
  <c r="H1128" i="2"/>
  <c r="G1128" i="2"/>
  <c r="F1128" i="2"/>
  <c r="E1128" i="2"/>
  <c r="D1128" i="2"/>
  <c r="C1128" i="2"/>
  <c r="B1128" i="2"/>
  <c r="A1128" i="2"/>
  <c r="J1127" i="2"/>
  <c r="I1127" i="2"/>
  <c r="H1127" i="2"/>
  <c r="G1127" i="2"/>
  <c r="F1127" i="2"/>
  <c r="E1127" i="2"/>
  <c r="D1127" i="2"/>
  <c r="C1127" i="2"/>
  <c r="B1127" i="2"/>
  <c r="A1127" i="2"/>
  <c r="J1126" i="2"/>
  <c r="I1126" i="2"/>
  <c r="H1126" i="2"/>
  <c r="G1126" i="2"/>
  <c r="F1126" i="2"/>
  <c r="E1126" i="2"/>
  <c r="D1126" i="2"/>
  <c r="C1126" i="2"/>
  <c r="B1126" i="2"/>
  <c r="A1126" i="2"/>
  <c r="J1125" i="2"/>
  <c r="I1125" i="2"/>
  <c r="H1125" i="2"/>
  <c r="G1125" i="2"/>
  <c r="F1125" i="2"/>
  <c r="E1125" i="2"/>
  <c r="D1125" i="2"/>
  <c r="C1125" i="2"/>
  <c r="B1125" i="2"/>
  <c r="A1125" i="2"/>
  <c r="J1124" i="2"/>
  <c r="I1124" i="2"/>
  <c r="H1124" i="2"/>
  <c r="G1124" i="2"/>
  <c r="F1124" i="2"/>
  <c r="E1124" i="2"/>
  <c r="D1124" i="2"/>
  <c r="C1124" i="2"/>
  <c r="B1124" i="2"/>
  <c r="A1124" i="2"/>
  <c r="J1123" i="2"/>
  <c r="I1123" i="2"/>
  <c r="H1123" i="2"/>
  <c r="G1123" i="2"/>
  <c r="F1123" i="2"/>
  <c r="E1123" i="2"/>
  <c r="D1123" i="2"/>
  <c r="C1123" i="2"/>
  <c r="B1123" i="2"/>
  <c r="A1123" i="2"/>
  <c r="J1122" i="2"/>
  <c r="I1122" i="2"/>
  <c r="H1122" i="2"/>
  <c r="G1122" i="2"/>
  <c r="F1122" i="2"/>
  <c r="E1122" i="2"/>
  <c r="D1122" i="2"/>
  <c r="C1122" i="2"/>
  <c r="B1122" i="2"/>
  <c r="A1122" i="2"/>
  <c r="J1121" i="2"/>
  <c r="I1121" i="2"/>
  <c r="H1121" i="2"/>
  <c r="G1121" i="2"/>
  <c r="F1121" i="2"/>
  <c r="E1121" i="2"/>
  <c r="D1121" i="2"/>
  <c r="C1121" i="2"/>
  <c r="B1121" i="2"/>
  <c r="A1121" i="2"/>
  <c r="J1120" i="2"/>
  <c r="I1120" i="2"/>
  <c r="H1120" i="2"/>
  <c r="G1120" i="2"/>
  <c r="F1120" i="2"/>
  <c r="E1120" i="2"/>
  <c r="D1120" i="2"/>
  <c r="C1120" i="2"/>
  <c r="B1120" i="2"/>
  <c r="A1120" i="2"/>
  <c r="J1119" i="2"/>
  <c r="I1119" i="2"/>
  <c r="H1119" i="2"/>
  <c r="G1119" i="2"/>
  <c r="F1119" i="2"/>
  <c r="E1119" i="2"/>
  <c r="D1119" i="2"/>
  <c r="C1119" i="2"/>
  <c r="B1119" i="2"/>
  <c r="A1119" i="2"/>
  <c r="J1118" i="2"/>
  <c r="I1118" i="2"/>
  <c r="H1118" i="2"/>
  <c r="G1118" i="2"/>
  <c r="F1118" i="2"/>
  <c r="E1118" i="2"/>
  <c r="D1118" i="2"/>
  <c r="C1118" i="2"/>
  <c r="B1118" i="2"/>
  <c r="A1118" i="2"/>
  <c r="J1117" i="2"/>
  <c r="I1117" i="2"/>
  <c r="H1117" i="2"/>
  <c r="G1117" i="2"/>
  <c r="F1117" i="2"/>
  <c r="E1117" i="2"/>
  <c r="D1117" i="2"/>
  <c r="C1117" i="2"/>
  <c r="B1117" i="2"/>
  <c r="A1117" i="2"/>
  <c r="J1116" i="2"/>
  <c r="I1116" i="2"/>
  <c r="H1116" i="2"/>
  <c r="G1116" i="2"/>
  <c r="F1116" i="2"/>
  <c r="E1116" i="2"/>
  <c r="D1116" i="2"/>
  <c r="C1116" i="2"/>
  <c r="B1116" i="2"/>
  <c r="A1116" i="2"/>
  <c r="J1115" i="2"/>
  <c r="I1115" i="2"/>
  <c r="H1115" i="2"/>
  <c r="G1115" i="2"/>
  <c r="F1115" i="2"/>
  <c r="E1115" i="2"/>
  <c r="D1115" i="2"/>
  <c r="C1115" i="2"/>
  <c r="B1115" i="2"/>
  <c r="A1115" i="2"/>
  <c r="J1114" i="2"/>
  <c r="I1114" i="2"/>
  <c r="H1114" i="2"/>
  <c r="G1114" i="2"/>
  <c r="F1114" i="2"/>
  <c r="E1114" i="2"/>
  <c r="D1114" i="2"/>
  <c r="C1114" i="2"/>
  <c r="B1114" i="2"/>
  <c r="A1114" i="2"/>
  <c r="J1113" i="2"/>
  <c r="I1113" i="2"/>
  <c r="H1113" i="2"/>
  <c r="G1113" i="2"/>
  <c r="F1113" i="2"/>
  <c r="E1113" i="2"/>
  <c r="D1113" i="2"/>
  <c r="C1113" i="2"/>
  <c r="B1113" i="2"/>
  <c r="A1113" i="2"/>
  <c r="J1112" i="2"/>
  <c r="I1112" i="2"/>
  <c r="H1112" i="2"/>
  <c r="G1112" i="2"/>
  <c r="F1112" i="2"/>
  <c r="E1112" i="2"/>
  <c r="D1112" i="2"/>
  <c r="C1112" i="2"/>
  <c r="B1112" i="2"/>
  <c r="A1112" i="2"/>
  <c r="J1111" i="2"/>
  <c r="I1111" i="2"/>
  <c r="H1111" i="2"/>
  <c r="G1111" i="2"/>
  <c r="F1111" i="2"/>
  <c r="E1111" i="2"/>
  <c r="D1111" i="2"/>
  <c r="C1111" i="2"/>
  <c r="B1111" i="2"/>
  <c r="A1111" i="2"/>
  <c r="J1110" i="2"/>
  <c r="I1110" i="2"/>
  <c r="H1110" i="2"/>
  <c r="G1110" i="2"/>
  <c r="F1110" i="2"/>
  <c r="E1110" i="2"/>
  <c r="D1110" i="2"/>
  <c r="C1110" i="2"/>
  <c r="B1110" i="2"/>
  <c r="A1110" i="2"/>
  <c r="J1109" i="2"/>
  <c r="I1109" i="2"/>
  <c r="H1109" i="2"/>
  <c r="G1109" i="2"/>
  <c r="F1109" i="2"/>
  <c r="E1109" i="2"/>
  <c r="D1109" i="2"/>
  <c r="C1109" i="2"/>
  <c r="B1109" i="2"/>
  <c r="A1109" i="2"/>
  <c r="J1108" i="2"/>
  <c r="I1108" i="2"/>
  <c r="H1108" i="2"/>
  <c r="G1108" i="2"/>
  <c r="F1108" i="2"/>
  <c r="E1108" i="2"/>
  <c r="D1108" i="2"/>
  <c r="C1108" i="2"/>
  <c r="B1108" i="2"/>
  <c r="A1108" i="2"/>
  <c r="J1107" i="2"/>
  <c r="I1107" i="2"/>
  <c r="H1107" i="2"/>
  <c r="G1107" i="2"/>
  <c r="F1107" i="2"/>
  <c r="E1107" i="2"/>
  <c r="D1107" i="2"/>
  <c r="C1107" i="2"/>
  <c r="B1107" i="2"/>
  <c r="A1107" i="2"/>
  <c r="J1106" i="2"/>
  <c r="I1106" i="2"/>
  <c r="H1106" i="2"/>
  <c r="G1106" i="2"/>
  <c r="F1106" i="2"/>
  <c r="E1106" i="2"/>
  <c r="D1106" i="2"/>
  <c r="C1106" i="2"/>
  <c r="B1106" i="2"/>
  <c r="A1106" i="2"/>
  <c r="J1105" i="2"/>
  <c r="I1105" i="2"/>
  <c r="H1105" i="2"/>
  <c r="G1105" i="2"/>
  <c r="F1105" i="2"/>
  <c r="E1105" i="2"/>
  <c r="D1105" i="2"/>
  <c r="C1105" i="2"/>
  <c r="B1105" i="2"/>
  <c r="A1105" i="2"/>
  <c r="J1104" i="2"/>
  <c r="I1104" i="2"/>
  <c r="H1104" i="2"/>
  <c r="G1104" i="2"/>
  <c r="F1104" i="2"/>
  <c r="E1104" i="2"/>
  <c r="D1104" i="2"/>
  <c r="C1104" i="2"/>
  <c r="B1104" i="2"/>
  <c r="A1104" i="2"/>
  <c r="J1103" i="2"/>
  <c r="I1103" i="2"/>
  <c r="H1103" i="2"/>
  <c r="G1103" i="2"/>
  <c r="F1103" i="2"/>
  <c r="E1103" i="2"/>
  <c r="D1103" i="2"/>
  <c r="C1103" i="2"/>
  <c r="B1103" i="2"/>
  <c r="A1103" i="2"/>
  <c r="J1102" i="2"/>
  <c r="I1102" i="2"/>
  <c r="H1102" i="2"/>
  <c r="G1102" i="2"/>
  <c r="F1102" i="2"/>
  <c r="E1102" i="2"/>
  <c r="D1102" i="2"/>
  <c r="C1102" i="2"/>
  <c r="B1102" i="2"/>
  <c r="A1102" i="2"/>
  <c r="J1101" i="2"/>
  <c r="I1101" i="2"/>
  <c r="H1101" i="2"/>
  <c r="G1101" i="2"/>
  <c r="F1101" i="2"/>
  <c r="E1101" i="2"/>
  <c r="D1101" i="2"/>
  <c r="C1101" i="2"/>
  <c r="B1101" i="2"/>
  <c r="A1101" i="2"/>
  <c r="J1100" i="2"/>
  <c r="I1100" i="2"/>
  <c r="H1100" i="2"/>
  <c r="G1100" i="2"/>
  <c r="F1100" i="2"/>
  <c r="E1100" i="2"/>
  <c r="D1100" i="2"/>
  <c r="C1100" i="2"/>
  <c r="B1100" i="2"/>
  <c r="A1100" i="2"/>
  <c r="J1099" i="2"/>
  <c r="I1099" i="2"/>
  <c r="H1099" i="2"/>
  <c r="G1099" i="2"/>
  <c r="F1099" i="2"/>
  <c r="E1099" i="2"/>
  <c r="D1099" i="2"/>
  <c r="C1099" i="2"/>
  <c r="B1099" i="2"/>
  <c r="A1099" i="2"/>
  <c r="J1098" i="2"/>
  <c r="I1098" i="2"/>
  <c r="H1098" i="2"/>
  <c r="G1098" i="2"/>
  <c r="F1098" i="2"/>
  <c r="E1098" i="2"/>
  <c r="D1098" i="2"/>
  <c r="C1098" i="2"/>
  <c r="B1098" i="2"/>
  <c r="A1098" i="2"/>
  <c r="J1097" i="2"/>
  <c r="I1097" i="2"/>
  <c r="H1097" i="2"/>
  <c r="G1097" i="2"/>
  <c r="F1097" i="2"/>
  <c r="E1097" i="2"/>
  <c r="D1097" i="2"/>
  <c r="C1097" i="2"/>
  <c r="B1097" i="2"/>
  <c r="A1097" i="2"/>
  <c r="J1096" i="2"/>
  <c r="I1096" i="2"/>
  <c r="H1096" i="2"/>
  <c r="G1096" i="2"/>
  <c r="F1096" i="2"/>
  <c r="E1096" i="2"/>
  <c r="D1096" i="2"/>
  <c r="C1096" i="2"/>
  <c r="B1096" i="2"/>
  <c r="A1096" i="2"/>
  <c r="J1095" i="2"/>
  <c r="I1095" i="2"/>
  <c r="H1095" i="2"/>
  <c r="G1095" i="2"/>
  <c r="F1095" i="2"/>
  <c r="E1095" i="2"/>
  <c r="D1095" i="2"/>
  <c r="C1095" i="2"/>
  <c r="B1095" i="2"/>
  <c r="A1095" i="2"/>
  <c r="J1094" i="2"/>
  <c r="I1094" i="2"/>
  <c r="H1094" i="2"/>
  <c r="G1094" i="2"/>
  <c r="F1094" i="2"/>
  <c r="E1094" i="2"/>
  <c r="D1094" i="2"/>
  <c r="C1094" i="2"/>
  <c r="B1094" i="2"/>
  <c r="A1094" i="2"/>
  <c r="J1093" i="2"/>
  <c r="I1093" i="2"/>
  <c r="H1093" i="2"/>
  <c r="G1093" i="2"/>
  <c r="F1093" i="2"/>
  <c r="E1093" i="2"/>
  <c r="D1093" i="2"/>
  <c r="C1093" i="2"/>
  <c r="B1093" i="2"/>
  <c r="A1093" i="2"/>
  <c r="J1092" i="2"/>
  <c r="I1092" i="2"/>
  <c r="H1092" i="2"/>
  <c r="G1092" i="2"/>
  <c r="F1092" i="2"/>
  <c r="E1092" i="2"/>
  <c r="D1092" i="2"/>
  <c r="C1092" i="2"/>
  <c r="B1092" i="2"/>
  <c r="A1092" i="2"/>
  <c r="J1091" i="2"/>
  <c r="I1091" i="2"/>
  <c r="H1091" i="2"/>
  <c r="G1091" i="2"/>
  <c r="F1091" i="2"/>
  <c r="E1091" i="2"/>
  <c r="D1091" i="2"/>
  <c r="C1091" i="2"/>
  <c r="B1091" i="2"/>
  <c r="A1091" i="2"/>
  <c r="J1090" i="2"/>
  <c r="I1090" i="2"/>
  <c r="H1090" i="2"/>
  <c r="G1090" i="2"/>
  <c r="F1090" i="2"/>
  <c r="E1090" i="2"/>
  <c r="D1090" i="2"/>
  <c r="C1090" i="2"/>
  <c r="B1090" i="2"/>
  <c r="A1090" i="2"/>
  <c r="J1089" i="2"/>
  <c r="I1089" i="2"/>
  <c r="H1089" i="2"/>
  <c r="G1089" i="2"/>
  <c r="F1089" i="2"/>
  <c r="E1089" i="2"/>
  <c r="D1089" i="2"/>
  <c r="C1089" i="2"/>
  <c r="B1089" i="2"/>
  <c r="A1089" i="2"/>
  <c r="J1088" i="2"/>
  <c r="I1088" i="2"/>
  <c r="H1088" i="2"/>
  <c r="G1088" i="2"/>
  <c r="F1088" i="2"/>
  <c r="E1088" i="2"/>
  <c r="D1088" i="2"/>
  <c r="C1088" i="2"/>
  <c r="B1088" i="2"/>
  <c r="A1088" i="2"/>
  <c r="J1087" i="2"/>
  <c r="I1087" i="2"/>
  <c r="H1087" i="2"/>
  <c r="G1087" i="2"/>
  <c r="F1087" i="2"/>
  <c r="E1087" i="2"/>
  <c r="D1087" i="2"/>
  <c r="C1087" i="2"/>
  <c r="B1087" i="2"/>
  <c r="A1087" i="2"/>
  <c r="J1086" i="2"/>
  <c r="I1086" i="2"/>
  <c r="H1086" i="2"/>
  <c r="G1086" i="2"/>
  <c r="F1086" i="2"/>
  <c r="E1086" i="2"/>
  <c r="D1086" i="2"/>
  <c r="C1086" i="2"/>
  <c r="B1086" i="2"/>
  <c r="A1086" i="2"/>
  <c r="J1085" i="2"/>
  <c r="I1085" i="2"/>
  <c r="H1085" i="2"/>
  <c r="G1085" i="2"/>
  <c r="F1085" i="2"/>
  <c r="E1085" i="2"/>
  <c r="D1085" i="2"/>
  <c r="C1085" i="2"/>
  <c r="B1085" i="2"/>
  <c r="A1085" i="2"/>
  <c r="J1084" i="2"/>
  <c r="I1084" i="2"/>
  <c r="H1084" i="2"/>
  <c r="G1084" i="2"/>
  <c r="F1084" i="2"/>
  <c r="E1084" i="2"/>
  <c r="D1084" i="2"/>
  <c r="C1084" i="2"/>
  <c r="B1084" i="2"/>
  <c r="A1084" i="2"/>
  <c r="J1083" i="2"/>
  <c r="I1083" i="2"/>
  <c r="H1083" i="2"/>
  <c r="G1083" i="2"/>
  <c r="F1083" i="2"/>
  <c r="E1083" i="2"/>
  <c r="D1083" i="2"/>
  <c r="C1083" i="2"/>
  <c r="B1083" i="2"/>
  <c r="A1083" i="2"/>
  <c r="J1082" i="2"/>
  <c r="I1082" i="2"/>
  <c r="H1082" i="2"/>
  <c r="G1082" i="2"/>
  <c r="F1082" i="2"/>
  <c r="E1082" i="2"/>
  <c r="D1082" i="2"/>
  <c r="C1082" i="2"/>
  <c r="B1082" i="2"/>
  <c r="A1082" i="2"/>
  <c r="J1081" i="2"/>
  <c r="I1081" i="2"/>
  <c r="H1081" i="2"/>
  <c r="G1081" i="2"/>
  <c r="F1081" i="2"/>
  <c r="E1081" i="2"/>
  <c r="D1081" i="2"/>
  <c r="C1081" i="2"/>
  <c r="B1081" i="2"/>
  <c r="A1081" i="2"/>
  <c r="J1080" i="2"/>
  <c r="I1080" i="2"/>
  <c r="H1080" i="2"/>
  <c r="G1080" i="2"/>
  <c r="F1080" i="2"/>
  <c r="E1080" i="2"/>
  <c r="D1080" i="2"/>
  <c r="C1080" i="2"/>
  <c r="B1080" i="2"/>
  <c r="A1080" i="2"/>
  <c r="J1079" i="2"/>
  <c r="I1079" i="2"/>
  <c r="H1079" i="2"/>
  <c r="G1079" i="2"/>
  <c r="F1079" i="2"/>
  <c r="E1079" i="2"/>
  <c r="D1079" i="2"/>
  <c r="C1079" i="2"/>
  <c r="B1079" i="2"/>
  <c r="A1079" i="2"/>
  <c r="J1078" i="2"/>
  <c r="I1078" i="2"/>
  <c r="H1078" i="2"/>
  <c r="G1078" i="2"/>
  <c r="F1078" i="2"/>
  <c r="E1078" i="2"/>
  <c r="D1078" i="2"/>
  <c r="C1078" i="2"/>
  <c r="B1078" i="2"/>
  <c r="A1078" i="2"/>
  <c r="J1077" i="2"/>
  <c r="I1077" i="2"/>
  <c r="H1077" i="2"/>
  <c r="G1077" i="2"/>
  <c r="F1077" i="2"/>
  <c r="E1077" i="2"/>
  <c r="D1077" i="2"/>
  <c r="C1077" i="2"/>
  <c r="B1077" i="2"/>
  <c r="A1077" i="2"/>
  <c r="J1076" i="2"/>
  <c r="I1076" i="2"/>
  <c r="H1076" i="2"/>
  <c r="G1076" i="2"/>
  <c r="F1076" i="2"/>
  <c r="E1076" i="2"/>
  <c r="D1076" i="2"/>
  <c r="C1076" i="2"/>
  <c r="B1076" i="2"/>
  <c r="A1076" i="2"/>
  <c r="J1075" i="2"/>
  <c r="I1075" i="2"/>
  <c r="H1075" i="2"/>
  <c r="G1075" i="2"/>
  <c r="F1075" i="2"/>
  <c r="E1075" i="2"/>
  <c r="D1075" i="2"/>
  <c r="C1075" i="2"/>
  <c r="B1075" i="2"/>
  <c r="A1075" i="2"/>
  <c r="J1074" i="2"/>
  <c r="I1074" i="2"/>
  <c r="H1074" i="2"/>
  <c r="G1074" i="2"/>
  <c r="F1074" i="2"/>
  <c r="E1074" i="2"/>
  <c r="D1074" i="2"/>
  <c r="C1074" i="2"/>
  <c r="B1074" i="2"/>
  <c r="A1074" i="2"/>
  <c r="J1073" i="2"/>
  <c r="I1073" i="2"/>
  <c r="H1073" i="2"/>
  <c r="G1073" i="2"/>
  <c r="F1073" i="2"/>
  <c r="E1073" i="2"/>
  <c r="D1073" i="2"/>
  <c r="C1073" i="2"/>
  <c r="B1073" i="2"/>
  <c r="A1073" i="2"/>
  <c r="J1072" i="2"/>
  <c r="I1072" i="2"/>
  <c r="H1072" i="2"/>
  <c r="G1072" i="2"/>
  <c r="F1072" i="2"/>
  <c r="E1072" i="2"/>
  <c r="D1072" i="2"/>
  <c r="C1072" i="2"/>
  <c r="B1072" i="2"/>
  <c r="A1072" i="2"/>
  <c r="J1071" i="2"/>
  <c r="I1071" i="2"/>
  <c r="H1071" i="2"/>
  <c r="G1071" i="2"/>
  <c r="F1071" i="2"/>
  <c r="E1071" i="2"/>
  <c r="D1071" i="2"/>
  <c r="C1071" i="2"/>
  <c r="B1071" i="2"/>
  <c r="A1071" i="2"/>
  <c r="J1070" i="2"/>
  <c r="I1070" i="2"/>
  <c r="H1070" i="2"/>
  <c r="G1070" i="2"/>
  <c r="F1070" i="2"/>
  <c r="E1070" i="2"/>
  <c r="D1070" i="2"/>
  <c r="C1070" i="2"/>
  <c r="B1070" i="2"/>
  <c r="A1070" i="2"/>
  <c r="J1069" i="2"/>
  <c r="I1069" i="2"/>
  <c r="H1069" i="2"/>
  <c r="G1069" i="2"/>
  <c r="F1069" i="2"/>
  <c r="E1069" i="2"/>
  <c r="D1069" i="2"/>
  <c r="C1069" i="2"/>
  <c r="B1069" i="2"/>
  <c r="A1069" i="2"/>
  <c r="J1068" i="2"/>
  <c r="I1068" i="2"/>
  <c r="H1068" i="2"/>
  <c r="G1068" i="2"/>
  <c r="F1068" i="2"/>
  <c r="E1068" i="2"/>
  <c r="D1068" i="2"/>
  <c r="C1068" i="2"/>
  <c r="B1068" i="2"/>
  <c r="A1068" i="2"/>
  <c r="J1067" i="2"/>
  <c r="I1067" i="2"/>
  <c r="H1067" i="2"/>
  <c r="G1067" i="2"/>
  <c r="F1067" i="2"/>
  <c r="E1067" i="2"/>
  <c r="D1067" i="2"/>
  <c r="C1067" i="2"/>
  <c r="B1067" i="2"/>
  <c r="A1067" i="2"/>
  <c r="J1066" i="2"/>
  <c r="I1066" i="2"/>
  <c r="H1066" i="2"/>
  <c r="G1066" i="2"/>
  <c r="F1066" i="2"/>
  <c r="E1066" i="2"/>
  <c r="D1066" i="2"/>
  <c r="C1066" i="2"/>
  <c r="B1066" i="2"/>
  <c r="A1066" i="2"/>
  <c r="J1065" i="2"/>
  <c r="I1065" i="2"/>
  <c r="H1065" i="2"/>
  <c r="G1065" i="2"/>
  <c r="F1065" i="2"/>
  <c r="E1065" i="2"/>
  <c r="D1065" i="2"/>
  <c r="C1065" i="2"/>
  <c r="B1065" i="2"/>
  <c r="A1065" i="2"/>
  <c r="J1064" i="2"/>
  <c r="I1064" i="2"/>
  <c r="H1064" i="2"/>
  <c r="G1064" i="2"/>
  <c r="F1064" i="2"/>
  <c r="E1064" i="2"/>
  <c r="D1064" i="2"/>
  <c r="C1064" i="2"/>
  <c r="B1064" i="2"/>
  <c r="A1064" i="2"/>
  <c r="J1063" i="2"/>
  <c r="I1063" i="2"/>
  <c r="H1063" i="2"/>
  <c r="G1063" i="2"/>
  <c r="F1063" i="2"/>
  <c r="E1063" i="2"/>
  <c r="D1063" i="2"/>
  <c r="C1063" i="2"/>
  <c r="B1063" i="2"/>
  <c r="A1063" i="2"/>
  <c r="J1062" i="2"/>
  <c r="I1062" i="2"/>
  <c r="H1062" i="2"/>
  <c r="G1062" i="2"/>
  <c r="F1062" i="2"/>
  <c r="E1062" i="2"/>
  <c r="D1062" i="2"/>
  <c r="C1062" i="2"/>
  <c r="B1062" i="2"/>
  <c r="A1062" i="2"/>
  <c r="J1061" i="2"/>
  <c r="I1061" i="2"/>
  <c r="H1061" i="2"/>
  <c r="G1061" i="2"/>
  <c r="F1061" i="2"/>
  <c r="E1061" i="2"/>
  <c r="D1061" i="2"/>
  <c r="C1061" i="2"/>
  <c r="B1061" i="2"/>
  <c r="A1061" i="2"/>
  <c r="J1060" i="2"/>
  <c r="I1060" i="2"/>
  <c r="H1060" i="2"/>
  <c r="G1060" i="2"/>
  <c r="F1060" i="2"/>
  <c r="E1060" i="2"/>
  <c r="D1060" i="2"/>
  <c r="C1060" i="2"/>
  <c r="B1060" i="2"/>
  <c r="A1060" i="2"/>
  <c r="J1059" i="2"/>
  <c r="I1059" i="2"/>
  <c r="H1059" i="2"/>
  <c r="G1059" i="2"/>
  <c r="F1059" i="2"/>
  <c r="E1059" i="2"/>
  <c r="D1059" i="2"/>
  <c r="C1059" i="2"/>
  <c r="B1059" i="2"/>
  <c r="A1059" i="2"/>
  <c r="J1058" i="2"/>
  <c r="I1058" i="2"/>
  <c r="H1058" i="2"/>
  <c r="G1058" i="2"/>
  <c r="F1058" i="2"/>
  <c r="E1058" i="2"/>
  <c r="D1058" i="2"/>
  <c r="C1058" i="2"/>
  <c r="B1058" i="2"/>
  <c r="A1058" i="2"/>
  <c r="J1057" i="2"/>
  <c r="I1057" i="2"/>
  <c r="H1057" i="2"/>
  <c r="G1057" i="2"/>
  <c r="F1057" i="2"/>
  <c r="E1057" i="2"/>
  <c r="D1057" i="2"/>
  <c r="C1057" i="2"/>
  <c r="B1057" i="2"/>
  <c r="A1057" i="2"/>
  <c r="J1056" i="2"/>
  <c r="I1056" i="2"/>
  <c r="H1056" i="2"/>
  <c r="G1056" i="2"/>
  <c r="F1056" i="2"/>
  <c r="E1056" i="2"/>
  <c r="D1056" i="2"/>
  <c r="C1056" i="2"/>
  <c r="B1056" i="2"/>
  <c r="A1056" i="2"/>
  <c r="J1055" i="2"/>
  <c r="I1055" i="2"/>
  <c r="H1055" i="2"/>
  <c r="G1055" i="2"/>
  <c r="F1055" i="2"/>
  <c r="E1055" i="2"/>
  <c r="D1055" i="2"/>
  <c r="C1055" i="2"/>
  <c r="B1055" i="2"/>
  <c r="A1055" i="2"/>
  <c r="J1054" i="2"/>
  <c r="I1054" i="2"/>
  <c r="H1054" i="2"/>
  <c r="G1054" i="2"/>
  <c r="F1054" i="2"/>
  <c r="E1054" i="2"/>
  <c r="D1054" i="2"/>
  <c r="C1054" i="2"/>
  <c r="B1054" i="2"/>
  <c r="A1054" i="2"/>
  <c r="J1053" i="2"/>
  <c r="I1053" i="2"/>
  <c r="H1053" i="2"/>
  <c r="G1053" i="2"/>
  <c r="F1053" i="2"/>
  <c r="E1053" i="2"/>
  <c r="D1053" i="2"/>
  <c r="C1053" i="2"/>
  <c r="B1053" i="2"/>
  <c r="A1053" i="2"/>
  <c r="J1052" i="2"/>
  <c r="I1052" i="2"/>
  <c r="H1052" i="2"/>
  <c r="G1052" i="2"/>
  <c r="F1052" i="2"/>
  <c r="E1052" i="2"/>
  <c r="D1052" i="2"/>
  <c r="C1052" i="2"/>
  <c r="B1052" i="2"/>
  <c r="A1052" i="2"/>
  <c r="J1051" i="2"/>
  <c r="I1051" i="2"/>
  <c r="H1051" i="2"/>
  <c r="G1051" i="2"/>
  <c r="F1051" i="2"/>
  <c r="E1051" i="2"/>
  <c r="D1051" i="2"/>
  <c r="C1051" i="2"/>
  <c r="B1051" i="2"/>
  <c r="A1051" i="2"/>
  <c r="J1050" i="2"/>
  <c r="I1050" i="2"/>
  <c r="H1050" i="2"/>
  <c r="G1050" i="2"/>
  <c r="F1050" i="2"/>
  <c r="E1050" i="2"/>
  <c r="D1050" i="2"/>
  <c r="C1050" i="2"/>
  <c r="B1050" i="2"/>
  <c r="A1050" i="2"/>
  <c r="J1049" i="2"/>
  <c r="I1049" i="2"/>
  <c r="H1049" i="2"/>
  <c r="G1049" i="2"/>
  <c r="F1049" i="2"/>
  <c r="E1049" i="2"/>
  <c r="D1049" i="2"/>
  <c r="C1049" i="2"/>
  <c r="B1049" i="2"/>
  <c r="A1049" i="2"/>
  <c r="J1048" i="2"/>
  <c r="I1048" i="2"/>
  <c r="H1048" i="2"/>
  <c r="G1048" i="2"/>
  <c r="F1048" i="2"/>
  <c r="E1048" i="2"/>
  <c r="D1048" i="2"/>
  <c r="C1048" i="2"/>
  <c r="B1048" i="2"/>
  <c r="A1048" i="2"/>
  <c r="J1047" i="2"/>
  <c r="I1047" i="2"/>
  <c r="H1047" i="2"/>
  <c r="G1047" i="2"/>
  <c r="F1047" i="2"/>
  <c r="E1047" i="2"/>
  <c r="D1047" i="2"/>
  <c r="C1047" i="2"/>
  <c r="B1047" i="2"/>
  <c r="A1047" i="2"/>
  <c r="J1046" i="2"/>
  <c r="I1046" i="2"/>
  <c r="H1046" i="2"/>
  <c r="G1046" i="2"/>
  <c r="F1046" i="2"/>
  <c r="E1046" i="2"/>
  <c r="D1046" i="2"/>
  <c r="C1046" i="2"/>
  <c r="B1046" i="2"/>
  <c r="A1046" i="2"/>
  <c r="J1045" i="2"/>
  <c r="I1045" i="2"/>
  <c r="H1045" i="2"/>
  <c r="G1045" i="2"/>
  <c r="F1045" i="2"/>
  <c r="E1045" i="2"/>
  <c r="D1045" i="2"/>
  <c r="C1045" i="2"/>
  <c r="B1045" i="2"/>
  <c r="A1045" i="2"/>
  <c r="J1044" i="2"/>
  <c r="I1044" i="2"/>
  <c r="H1044" i="2"/>
  <c r="G1044" i="2"/>
  <c r="F1044" i="2"/>
  <c r="E1044" i="2"/>
  <c r="D1044" i="2"/>
  <c r="C1044" i="2"/>
  <c r="B1044" i="2"/>
  <c r="A1044" i="2"/>
  <c r="J1043" i="2"/>
  <c r="I1043" i="2"/>
  <c r="H1043" i="2"/>
  <c r="G1043" i="2"/>
  <c r="F1043" i="2"/>
  <c r="E1043" i="2"/>
  <c r="D1043" i="2"/>
  <c r="C1043" i="2"/>
  <c r="B1043" i="2"/>
  <c r="A1043" i="2"/>
  <c r="J1042" i="2"/>
  <c r="I1042" i="2"/>
  <c r="H1042" i="2"/>
  <c r="G1042" i="2"/>
  <c r="F1042" i="2"/>
  <c r="E1042" i="2"/>
  <c r="D1042" i="2"/>
  <c r="C1042" i="2"/>
  <c r="B1042" i="2"/>
  <c r="A1042" i="2"/>
  <c r="J1041" i="2"/>
  <c r="I1041" i="2"/>
  <c r="H1041" i="2"/>
  <c r="G1041" i="2"/>
  <c r="F1041" i="2"/>
  <c r="E1041" i="2"/>
  <c r="D1041" i="2"/>
  <c r="C1041" i="2"/>
  <c r="B1041" i="2"/>
  <c r="A1041" i="2"/>
  <c r="J1040" i="2"/>
  <c r="I1040" i="2"/>
  <c r="H1040" i="2"/>
  <c r="G1040" i="2"/>
  <c r="F1040" i="2"/>
  <c r="E1040" i="2"/>
  <c r="D1040" i="2"/>
  <c r="C1040" i="2"/>
  <c r="B1040" i="2"/>
  <c r="A1040" i="2"/>
  <c r="J1039" i="2"/>
  <c r="I1039" i="2"/>
  <c r="H1039" i="2"/>
  <c r="G1039" i="2"/>
  <c r="F1039" i="2"/>
  <c r="E1039" i="2"/>
  <c r="D1039" i="2"/>
  <c r="C1039" i="2"/>
  <c r="B1039" i="2"/>
  <c r="A1039" i="2"/>
  <c r="J1038" i="2"/>
  <c r="I1038" i="2"/>
  <c r="H1038" i="2"/>
  <c r="G1038" i="2"/>
  <c r="F1038" i="2"/>
  <c r="E1038" i="2"/>
  <c r="D1038" i="2"/>
  <c r="C1038" i="2"/>
  <c r="B1038" i="2"/>
  <c r="A1038" i="2"/>
  <c r="J1037" i="2"/>
  <c r="I1037" i="2"/>
  <c r="H1037" i="2"/>
  <c r="G1037" i="2"/>
  <c r="F1037" i="2"/>
  <c r="E1037" i="2"/>
  <c r="D1037" i="2"/>
  <c r="C1037" i="2"/>
  <c r="B1037" i="2"/>
  <c r="A1037" i="2"/>
  <c r="J1036" i="2"/>
  <c r="I1036" i="2"/>
  <c r="H1036" i="2"/>
  <c r="G1036" i="2"/>
  <c r="F1036" i="2"/>
  <c r="E1036" i="2"/>
  <c r="D1036" i="2"/>
  <c r="C1036" i="2"/>
  <c r="B1036" i="2"/>
  <c r="A1036" i="2"/>
  <c r="J1035" i="2"/>
  <c r="I1035" i="2"/>
  <c r="H1035" i="2"/>
  <c r="G1035" i="2"/>
  <c r="F1035" i="2"/>
  <c r="E1035" i="2"/>
  <c r="D1035" i="2"/>
  <c r="C1035" i="2"/>
  <c r="B1035" i="2"/>
  <c r="A1035" i="2"/>
  <c r="J1034" i="2"/>
  <c r="I1034" i="2"/>
  <c r="H1034" i="2"/>
  <c r="G1034" i="2"/>
  <c r="F1034" i="2"/>
  <c r="E1034" i="2"/>
  <c r="D1034" i="2"/>
  <c r="C1034" i="2"/>
  <c r="B1034" i="2"/>
  <c r="A1034" i="2"/>
  <c r="J1033" i="2"/>
  <c r="I1033" i="2"/>
  <c r="H1033" i="2"/>
  <c r="G1033" i="2"/>
  <c r="F1033" i="2"/>
  <c r="E1033" i="2"/>
  <c r="D1033" i="2"/>
  <c r="C1033" i="2"/>
  <c r="B1033" i="2"/>
  <c r="A1033" i="2"/>
  <c r="J1032" i="2"/>
  <c r="I1032" i="2"/>
  <c r="H1032" i="2"/>
  <c r="G1032" i="2"/>
  <c r="F1032" i="2"/>
  <c r="E1032" i="2"/>
  <c r="D1032" i="2"/>
  <c r="C1032" i="2"/>
  <c r="B1032" i="2"/>
  <c r="A1032" i="2"/>
  <c r="J1031" i="2"/>
  <c r="I1031" i="2"/>
  <c r="H1031" i="2"/>
  <c r="G1031" i="2"/>
  <c r="F1031" i="2"/>
  <c r="E1031" i="2"/>
  <c r="D1031" i="2"/>
  <c r="C1031" i="2"/>
  <c r="B1031" i="2"/>
  <c r="A1031" i="2"/>
  <c r="J1030" i="2"/>
  <c r="I1030" i="2"/>
  <c r="H1030" i="2"/>
  <c r="G1030" i="2"/>
  <c r="F1030" i="2"/>
  <c r="E1030" i="2"/>
  <c r="D1030" i="2"/>
  <c r="C1030" i="2"/>
  <c r="B1030" i="2"/>
  <c r="A1030" i="2"/>
  <c r="J1029" i="2"/>
  <c r="I1029" i="2"/>
  <c r="H1029" i="2"/>
  <c r="G1029" i="2"/>
  <c r="F1029" i="2"/>
  <c r="E1029" i="2"/>
  <c r="D1029" i="2"/>
  <c r="C1029" i="2"/>
  <c r="B1029" i="2"/>
  <c r="A1029" i="2"/>
  <c r="J1028" i="2"/>
  <c r="I1028" i="2"/>
  <c r="H1028" i="2"/>
  <c r="G1028" i="2"/>
  <c r="F1028" i="2"/>
  <c r="E1028" i="2"/>
  <c r="D1028" i="2"/>
  <c r="C1028" i="2"/>
  <c r="B1028" i="2"/>
  <c r="A1028" i="2"/>
  <c r="J1027" i="2"/>
  <c r="I1027" i="2"/>
  <c r="H1027" i="2"/>
  <c r="G1027" i="2"/>
  <c r="F1027" i="2"/>
  <c r="E1027" i="2"/>
  <c r="D1027" i="2"/>
  <c r="C1027" i="2"/>
  <c r="B1027" i="2"/>
  <c r="A1027" i="2"/>
  <c r="J1026" i="2"/>
  <c r="I1026" i="2"/>
  <c r="H1026" i="2"/>
  <c r="G1026" i="2"/>
  <c r="F1026" i="2"/>
  <c r="E1026" i="2"/>
  <c r="D1026" i="2"/>
  <c r="C1026" i="2"/>
  <c r="B1026" i="2"/>
  <c r="A1026" i="2"/>
  <c r="J1025" i="2"/>
  <c r="I1025" i="2"/>
  <c r="H1025" i="2"/>
  <c r="G1025" i="2"/>
  <c r="F1025" i="2"/>
  <c r="E1025" i="2"/>
  <c r="D1025" i="2"/>
  <c r="C1025" i="2"/>
  <c r="B1025" i="2"/>
  <c r="A1025" i="2"/>
  <c r="J1024" i="2"/>
  <c r="I1024" i="2"/>
  <c r="H1024" i="2"/>
  <c r="G1024" i="2"/>
  <c r="F1024" i="2"/>
  <c r="E1024" i="2"/>
  <c r="D1024" i="2"/>
  <c r="C1024" i="2"/>
  <c r="B1024" i="2"/>
  <c r="A1024" i="2"/>
  <c r="J1023" i="2"/>
  <c r="I1023" i="2"/>
  <c r="H1023" i="2"/>
  <c r="G1023" i="2"/>
  <c r="F1023" i="2"/>
  <c r="E1023" i="2"/>
  <c r="D1023" i="2"/>
  <c r="C1023" i="2"/>
  <c r="B1023" i="2"/>
  <c r="A1023" i="2"/>
  <c r="J1022" i="2"/>
  <c r="I1022" i="2"/>
  <c r="H1022" i="2"/>
  <c r="G1022" i="2"/>
  <c r="F1022" i="2"/>
  <c r="E1022" i="2"/>
  <c r="D1022" i="2"/>
  <c r="C1022" i="2"/>
  <c r="B1022" i="2"/>
  <c r="A1022" i="2"/>
  <c r="J1021" i="2"/>
  <c r="I1021" i="2"/>
  <c r="H1021" i="2"/>
  <c r="G1021" i="2"/>
  <c r="F1021" i="2"/>
  <c r="E1021" i="2"/>
  <c r="D1021" i="2"/>
  <c r="C1021" i="2"/>
  <c r="B1021" i="2"/>
  <c r="A1021" i="2"/>
  <c r="J1020" i="2"/>
  <c r="I1020" i="2"/>
  <c r="H1020" i="2"/>
  <c r="G1020" i="2"/>
  <c r="F1020" i="2"/>
  <c r="E1020" i="2"/>
  <c r="D1020" i="2"/>
  <c r="C1020" i="2"/>
  <c r="B1020" i="2"/>
  <c r="A1020" i="2"/>
  <c r="J1019" i="2"/>
  <c r="I1019" i="2"/>
  <c r="H1019" i="2"/>
  <c r="G1019" i="2"/>
  <c r="F1019" i="2"/>
  <c r="E1019" i="2"/>
  <c r="D1019" i="2"/>
  <c r="C1019" i="2"/>
  <c r="B1019" i="2"/>
  <c r="A1019" i="2"/>
  <c r="J1018" i="2"/>
  <c r="I1018" i="2"/>
  <c r="H1018" i="2"/>
  <c r="G1018" i="2"/>
  <c r="F1018" i="2"/>
  <c r="E1018" i="2"/>
  <c r="D1018" i="2"/>
  <c r="C1018" i="2"/>
  <c r="B1018" i="2"/>
  <c r="A1018" i="2"/>
  <c r="J1017" i="2"/>
  <c r="I1017" i="2"/>
  <c r="H1017" i="2"/>
  <c r="G1017" i="2"/>
  <c r="F1017" i="2"/>
  <c r="E1017" i="2"/>
  <c r="D1017" i="2"/>
  <c r="C1017" i="2"/>
  <c r="B1017" i="2"/>
  <c r="A1017" i="2"/>
  <c r="J1016" i="2"/>
  <c r="I1016" i="2"/>
  <c r="H1016" i="2"/>
  <c r="G1016" i="2"/>
  <c r="F1016" i="2"/>
  <c r="E1016" i="2"/>
  <c r="D1016" i="2"/>
  <c r="C1016" i="2"/>
  <c r="B1016" i="2"/>
  <c r="A1016" i="2"/>
  <c r="J1015" i="2"/>
  <c r="I1015" i="2"/>
  <c r="H1015" i="2"/>
  <c r="G1015" i="2"/>
  <c r="F1015" i="2"/>
  <c r="E1015" i="2"/>
  <c r="D1015" i="2"/>
  <c r="C1015" i="2"/>
  <c r="B1015" i="2"/>
  <c r="A1015" i="2"/>
  <c r="J1014" i="2"/>
  <c r="I1014" i="2"/>
  <c r="H1014" i="2"/>
  <c r="G1014" i="2"/>
  <c r="F1014" i="2"/>
  <c r="E1014" i="2"/>
  <c r="D1014" i="2"/>
  <c r="C1014" i="2"/>
  <c r="B1014" i="2"/>
  <c r="A1014" i="2"/>
  <c r="J1013" i="2"/>
  <c r="I1013" i="2"/>
  <c r="H1013" i="2"/>
  <c r="G1013" i="2"/>
  <c r="F1013" i="2"/>
  <c r="E1013" i="2"/>
  <c r="D1013" i="2"/>
  <c r="C1013" i="2"/>
  <c r="B1013" i="2"/>
  <c r="A1013" i="2"/>
  <c r="J1012" i="2"/>
  <c r="I1012" i="2"/>
  <c r="H1012" i="2"/>
  <c r="G1012" i="2"/>
  <c r="F1012" i="2"/>
  <c r="E1012" i="2"/>
  <c r="D1012" i="2"/>
  <c r="C1012" i="2"/>
  <c r="B1012" i="2"/>
  <c r="A1012" i="2"/>
  <c r="J1011" i="2"/>
  <c r="I1011" i="2"/>
  <c r="H1011" i="2"/>
  <c r="G1011" i="2"/>
  <c r="F1011" i="2"/>
  <c r="E1011" i="2"/>
  <c r="D1011" i="2"/>
  <c r="C1011" i="2"/>
  <c r="B1011" i="2"/>
  <c r="A1011" i="2"/>
  <c r="J1010" i="2"/>
  <c r="I1010" i="2"/>
  <c r="H1010" i="2"/>
  <c r="G1010" i="2"/>
  <c r="F1010" i="2"/>
  <c r="E1010" i="2"/>
  <c r="D1010" i="2"/>
  <c r="C1010" i="2"/>
  <c r="B1010" i="2"/>
  <c r="A1010" i="2"/>
  <c r="J1009" i="2"/>
  <c r="I1009" i="2"/>
  <c r="H1009" i="2"/>
  <c r="G1009" i="2"/>
  <c r="F1009" i="2"/>
  <c r="E1009" i="2"/>
  <c r="D1009" i="2"/>
  <c r="C1009" i="2"/>
  <c r="B1009" i="2"/>
  <c r="A1009" i="2"/>
  <c r="J1008" i="2"/>
  <c r="I1008" i="2"/>
  <c r="H1008" i="2"/>
  <c r="G1008" i="2"/>
  <c r="F1008" i="2"/>
  <c r="E1008" i="2"/>
  <c r="D1008" i="2"/>
  <c r="C1008" i="2"/>
  <c r="B1008" i="2"/>
  <c r="A1008" i="2"/>
  <c r="J1007" i="2"/>
  <c r="I1007" i="2"/>
  <c r="H1007" i="2"/>
  <c r="G1007" i="2"/>
  <c r="F1007" i="2"/>
  <c r="E1007" i="2"/>
  <c r="D1007" i="2"/>
  <c r="C1007" i="2"/>
  <c r="B1007" i="2"/>
  <c r="A1007" i="2"/>
  <c r="J1006" i="2"/>
  <c r="I1006" i="2"/>
  <c r="H1006" i="2"/>
  <c r="G1006" i="2"/>
  <c r="F1006" i="2"/>
  <c r="E1006" i="2"/>
  <c r="D1006" i="2"/>
  <c r="C1006" i="2"/>
  <c r="B1006" i="2"/>
  <c r="A1006" i="2"/>
  <c r="J1005" i="2"/>
  <c r="I1005" i="2"/>
  <c r="H1005" i="2"/>
  <c r="G1005" i="2"/>
  <c r="F1005" i="2"/>
  <c r="E1005" i="2"/>
  <c r="D1005" i="2"/>
  <c r="C1005" i="2"/>
  <c r="B1005" i="2"/>
  <c r="A1005" i="2"/>
  <c r="J1004" i="2"/>
  <c r="I1004" i="2"/>
  <c r="H1004" i="2"/>
  <c r="G1004" i="2"/>
  <c r="F1004" i="2"/>
  <c r="E1004" i="2"/>
  <c r="D1004" i="2"/>
  <c r="C1004" i="2"/>
  <c r="B1004" i="2"/>
  <c r="A1004" i="2"/>
  <c r="J1003" i="2"/>
  <c r="I1003" i="2"/>
  <c r="H1003" i="2"/>
  <c r="G1003" i="2"/>
  <c r="F1003" i="2"/>
  <c r="E1003" i="2"/>
  <c r="D1003" i="2"/>
  <c r="C1003" i="2"/>
  <c r="B1003" i="2"/>
  <c r="A1003" i="2"/>
  <c r="J1002" i="2"/>
  <c r="I1002" i="2"/>
  <c r="H1002" i="2"/>
  <c r="G1002" i="2"/>
  <c r="F1002" i="2"/>
  <c r="E1002" i="2"/>
  <c r="D1002" i="2"/>
  <c r="C1002" i="2"/>
  <c r="B1002" i="2"/>
  <c r="A1002" i="2"/>
  <c r="J1001" i="2"/>
  <c r="I1001" i="2"/>
  <c r="H1001" i="2"/>
  <c r="G1001" i="2"/>
  <c r="F1001" i="2"/>
  <c r="E1001" i="2"/>
  <c r="D1001" i="2"/>
  <c r="C1001" i="2"/>
  <c r="B1001" i="2"/>
  <c r="A1001" i="2"/>
  <c r="J1000" i="2"/>
  <c r="I1000" i="2"/>
  <c r="H1000" i="2"/>
  <c r="G1000" i="2"/>
  <c r="F1000" i="2"/>
  <c r="E1000" i="2"/>
  <c r="D1000" i="2"/>
  <c r="C1000" i="2"/>
  <c r="B1000" i="2"/>
  <c r="A1000" i="2"/>
  <c r="J999" i="2"/>
  <c r="I999" i="2"/>
  <c r="H999" i="2"/>
  <c r="G999" i="2"/>
  <c r="F999" i="2"/>
  <c r="E999" i="2"/>
  <c r="D999" i="2"/>
  <c r="C999" i="2"/>
  <c r="B999" i="2"/>
  <c r="A999" i="2"/>
  <c r="J998" i="2"/>
  <c r="I998" i="2"/>
  <c r="H998" i="2"/>
  <c r="G998" i="2"/>
  <c r="F998" i="2"/>
  <c r="E998" i="2"/>
  <c r="D998" i="2"/>
  <c r="C998" i="2"/>
  <c r="B998" i="2"/>
  <c r="A998" i="2"/>
  <c r="J997" i="2"/>
  <c r="I997" i="2"/>
  <c r="H997" i="2"/>
  <c r="G997" i="2"/>
  <c r="F997" i="2"/>
  <c r="E997" i="2"/>
  <c r="D997" i="2"/>
  <c r="C997" i="2"/>
  <c r="B997" i="2"/>
  <c r="A997" i="2"/>
  <c r="J996" i="2"/>
  <c r="I996" i="2"/>
  <c r="H996" i="2"/>
  <c r="G996" i="2"/>
  <c r="F996" i="2"/>
  <c r="E996" i="2"/>
  <c r="D996" i="2"/>
  <c r="C996" i="2"/>
  <c r="B996" i="2"/>
  <c r="A996" i="2"/>
  <c r="J995" i="2"/>
  <c r="I995" i="2"/>
  <c r="H995" i="2"/>
  <c r="G995" i="2"/>
  <c r="F995" i="2"/>
  <c r="E995" i="2"/>
  <c r="D995" i="2"/>
  <c r="C995" i="2"/>
  <c r="B995" i="2"/>
  <c r="A995" i="2"/>
  <c r="J994" i="2"/>
  <c r="I994" i="2"/>
  <c r="H994" i="2"/>
  <c r="G994" i="2"/>
  <c r="F994" i="2"/>
  <c r="E994" i="2"/>
  <c r="D994" i="2"/>
  <c r="C994" i="2"/>
  <c r="B994" i="2"/>
  <c r="A994" i="2"/>
  <c r="J993" i="2"/>
  <c r="I993" i="2"/>
  <c r="H993" i="2"/>
  <c r="G993" i="2"/>
  <c r="F993" i="2"/>
  <c r="E993" i="2"/>
  <c r="D993" i="2"/>
  <c r="C993" i="2"/>
  <c r="B993" i="2"/>
  <c r="A993" i="2"/>
  <c r="J992" i="2"/>
  <c r="I992" i="2"/>
  <c r="H992" i="2"/>
  <c r="G992" i="2"/>
  <c r="F992" i="2"/>
  <c r="E992" i="2"/>
  <c r="D992" i="2"/>
  <c r="C992" i="2"/>
  <c r="B992" i="2"/>
  <c r="A992" i="2"/>
  <c r="J991" i="2"/>
  <c r="I991" i="2"/>
  <c r="H991" i="2"/>
  <c r="G991" i="2"/>
  <c r="F991" i="2"/>
  <c r="E991" i="2"/>
  <c r="D991" i="2"/>
  <c r="C991" i="2"/>
  <c r="B991" i="2"/>
  <c r="A991" i="2"/>
  <c r="J990" i="2"/>
  <c r="I990" i="2"/>
  <c r="H990" i="2"/>
  <c r="G990" i="2"/>
  <c r="F990" i="2"/>
  <c r="E990" i="2"/>
  <c r="D990" i="2"/>
  <c r="C990" i="2"/>
  <c r="B990" i="2"/>
  <c r="A990" i="2"/>
  <c r="J989" i="2"/>
  <c r="I989" i="2"/>
  <c r="H989" i="2"/>
  <c r="G989" i="2"/>
  <c r="F989" i="2"/>
  <c r="E989" i="2"/>
  <c r="D989" i="2"/>
  <c r="C989" i="2"/>
  <c r="B989" i="2"/>
  <c r="A989" i="2"/>
  <c r="J988" i="2"/>
  <c r="I988" i="2"/>
  <c r="H988" i="2"/>
  <c r="G988" i="2"/>
  <c r="F988" i="2"/>
  <c r="E988" i="2"/>
  <c r="D988" i="2"/>
  <c r="C988" i="2"/>
  <c r="B988" i="2"/>
  <c r="A988" i="2"/>
  <c r="J987" i="2"/>
  <c r="I987" i="2"/>
  <c r="H987" i="2"/>
  <c r="G987" i="2"/>
  <c r="F987" i="2"/>
  <c r="E987" i="2"/>
  <c r="D987" i="2"/>
  <c r="C987" i="2"/>
  <c r="B987" i="2"/>
  <c r="A987" i="2"/>
  <c r="J986" i="2"/>
  <c r="I986" i="2"/>
  <c r="H986" i="2"/>
  <c r="G986" i="2"/>
  <c r="F986" i="2"/>
  <c r="E986" i="2"/>
  <c r="D986" i="2"/>
  <c r="C986" i="2"/>
  <c r="B986" i="2"/>
  <c r="A986" i="2"/>
  <c r="J985" i="2"/>
  <c r="I985" i="2"/>
  <c r="H985" i="2"/>
  <c r="G985" i="2"/>
  <c r="F985" i="2"/>
  <c r="E985" i="2"/>
  <c r="D985" i="2"/>
  <c r="C985" i="2"/>
  <c r="B985" i="2"/>
  <c r="A985" i="2"/>
  <c r="J984" i="2"/>
  <c r="I984" i="2"/>
  <c r="H984" i="2"/>
  <c r="G984" i="2"/>
  <c r="F984" i="2"/>
  <c r="E984" i="2"/>
  <c r="D984" i="2"/>
  <c r="C984" i="2"/>
  <c r="B984" i="2"/>
  <c r="A984" i="2"/>
  <c r="J983" i="2"/>
  <c r="I983" i="2"/>
  <c r="H983" i="2"/>
  <c r="G983" i="2"/>
  <c r="F983" i="2"/>
  <c r="E983" i="2"/>
  <c r="D983" i="2"/>
  <c r="C983" i="2"/>
  <c r="B983" i="2"/>
  <c r="A983" i="2"/>
  <c r="J982" i="2"/>
  <c r="I982" i="2"/>
  <c r="H982" i="2"/>
  <c r="G982" i="2"/>
  <c r="F982" i="2"/>
  <c r="E982" i="2"/>
  <c r="D982" i="2"/>
  <c r="C982" i="2"/>
  <c r="B982" i="2"/>
  <c r="A982" i="2"/>
  <c r="J981" i="2"/>
  <c r="I981" i="2"/>
  <c r="H981" i="2"/>
  <c r="G981" i="2"/>
  <c r="F981" i="2"/>
  <c r="E981" i="2"/>
  <c r="D981" i="2"/>
  <c r="C981" i="2"/>
  <c r="B981" i="2"/>
  <c r="A981" i="2"/>
  <c r="J980" i="2"/>
  <c r="I980" i="2"/>
  <c r="H980" i="2"/>
  <c r="G980" i="2"/>
  <c r="F980" i="2"/>
  <c r="E980" i="2"/>
  <c r="D980" i="2"/>
  <c r="C980" i="2"/>
  <c r="B980" i="2"/>
  <c r="A980" i="2"/>
  <c r="J979" i="2"/>
  <c r="I979" i="2"/>
  <c r="H979" i="2"/>
  <c r="G979" i="2"/>
  <c r="F979" i="2"/>
  <c r="E979" i="2"/>
  <c r="D979" i="2"/>
  <c r="C979" i="2"/>
  <c r="B979" i="2"/>
  <c r="A979" i="2"/>
  <c r="J978" i="2"/>
  <c r="I978" i="2"/>
  <c r="H978" i="2"/>
  <c r="G978" i="2"/>
  <c r="F978" i="2"/>
  <c r="E978" i="2"/>
  <c r="D978" i="2"/>
  <c r="C978" i="2"/>
  <c r="B978" i="2"/>
  <c r="A978" i="2"/>
  <c r="J977" i="2"/>
  <c r="I977" i="2"/>
  <c r="H977" i="2"/>
  <c r="G977" i="2"/>
  <c r="F977" i="2"/>
  <c r="E977" i="2"/>
  <c r="D977" i="2"/>
  <c r="C977" i="2"/>
  <c r="B977" i="2"/>
  <c r="A977" i="2"/>
  <c r="J976" i="2"/>
  <c r="I976" i="2"/>
  <c r="H976" i="2"/>
  <c r="G976" i="2"/>
  <c r="F976" i="2"/>
  <c r="E976" i="2"/>
  <c r="D976" i="2"/>
  <c r="C976" i="2"/>
  <c r="B976" i="2"/>
  <c r="A976" i="2"/>
  <c r="J975" i="2"/>
  <c r="I975" i="2"/>
  <c r="H975" i="2"/>
  <c r="G975" i="2"/>
  <c r="F975" i="2"/>
  <c r="E975" i="2"/>
  <c r="D975" i="2"/>
  <c r="C975" i="2"/>
  <c r="B975" i="2"/>
  <c r="A975" i="2"/>
  <c r="J974" i="2"/>
  <c r="I974" i="2"/>
  <c r="H974" i="2"/>
  <c r="G974" i="2"/>
  <c r="F974" i="2"/>
  <c r="E974" i="2"/>
  <c r="D974" i="2"/>
  <c r="C974" i="2"/>
  <c r="B974" i="2"/>
  <c r="A974" i="2"/>
  <c r="J973" i="2"/>
  <c r="I973" i="2"/>
  <c r="H973" i="2"/>
  <c r="G973" i="2"/>
  <c r="F973" i="2"/>
  <c r="E973" i="2"/>
  <c r="D973" i="2"/>
  <c r="C973" i="2"/>
  <c r="B973" i="2"/>
  <c r="A973" i="2"/>
  <c r="J972" i="2"/>
  <c r="I972" i="2"/>
  <c r="H972" i="2"/>
  <c r="G972" i="2"/>
  <c r="F972" i="2"/>
  <c r="E972" i="2"/>
  <c r="D972" i="2"/>
  <c r="C972" i="2"/>
  <c r="B972" i="2"/>
  <c r="A972" i="2"/>
  <c r="J971" i="2"/>
  <c r="I971" i="2"/>
  <c r="H971" i="2"/>
  <c r="G971" i="2"/>
  <c r="F971" i="2"/>
  <c r="E971" i="2"/>
  <c r="D971" i="2"/>
  <c r="C971" i="2"/>
  <c r="B971" i="2"/>
  <c r="A971" i="2"/>
  <c r="J970" i="2"/>
  <c r="I970" i="2"/>
  <c r="H970" i="2"/>
  <c r="G970" i="2"/>
  <c r="F970" i="2"/>
  <c r="E970" i="2"/>
  <c r="D970" i="2"/>
  <c r="C970" i="2"/>
  <c r="B970" i="2"/>
  <c r="A970" i="2"/>
  <c r="J969" i="2"/>
  <c r="I969" i="2"/>
  <c r="H969" i="2"/>
  <c r="G969" i="2"/>
  <c r="F969" i="2"/>
  <c r="E969" i="2"/>
  <c r="D969" i="2"/>
  <c r="C969" i="2"/>
  <c r="B969" i="2"/>
  <c r="A969" i="2"/>
  <c r="J968" i="2"/>
  <c r="I968" i="2"/>
  <c r="H968" i="2"/>
  <c r="G968" i="2"/>
  <c r="F968" i="2"/>
  <c r="E968" i="2"/>
  <c r="D968" i="2"/>
  <c r="C968" i="2"/>
  <c r="B968" i="2"/>
  <c r="A968" i="2"/>
  <c r="J967" i="2"/>
  <c r="I967" i="2"/>
  <c r="H967" i="2"/>
  <c r="G967" i="2"/>
  <c r="F967" i="2"/>
  <c r="E967" i="2"/>
  <c r="D967" i="2"/>
  <c r="C967" i="2"/>
  <c r="B967" i="2"/>
  <c r="A967" i="2"/>
  <c r="J966" i="2"/>
  <c r="I966" i="2"/>
  <c r="H966" i="2"/>
  <c r="G966" i="2"/>
  <c r="F966" i="2"/>
  <c r="E966" i="2"/>
  <c r="D966" i="2"/>
  <c r="C966" i="2"/>
  <c r="B966" i="2"/>
  <c r="A966" i="2"/>
  <c r="J965" i="2"/>
  <c r="I965" i="2"/>
  <c r="H965" i="2"/>
  <c r="G965" i="2"/>
  <c r="F965" i="2"/>
  <c r="E965" i="2"/>
  <c r="D965" i="2"/>
  <c r="C965" i="2"/>
  <c r="B965" i="2"/>
  <c r="A965" i="2"/>
  <c r="J964" i="2"/>
  <c r="I964" i="2"/>
  <c r="H964" i="2"/>
  <c r="G964" i="2"/>
  <c r="F964" i="2"/>
  <c r="E964" i="2"/>
  <c r="D964" i="2"/>
  <c r="C964" i="2"/>
  <c r="B964" i="2"/>
  <c r="A964" i="2"/>
  <c r="J963" i="2"/>
  <c r="I963" i="2"/>
  <c r="H963" i="2"/>
  <c r="G963" i="2"/>
  <c r="F963" i="2"/>
  <c r="E963" i="2"/>
  <c r="D963" i="2"/>
  <c r="C963" i="2"/>
  <c r="B963" i="2"/>
  <c r="A963" i="2"/>
  <c r="J962" i="2"/>
  <c r="I962" i="2"/>
  <c r="H962" i="2"/>
  <c r="G962" i="2"/>
  <c r="F962" i="2"/>
  <c r="E962" i="2"/>
  <c r="D962" i="2"/>
  <c r="C962" i="2"/>
  <c r="B962" i="2"/>
  <c r="A962" i="2"/>
  <c r="J961" i="2"/>
  <c r="I961" i="2"/>
  <c r="H961" i="2"/>
  <c r="G961" i="2"/>
  <c r="F961" i="2"/>
  <c r="E961" i="2"/>
  <c r="D961" i="2"/>
  <c r="C961" i="2"/>
  <c r="B961" i="2"/>
  <c r="A961" i="2"/>
  <c r="J960" i="2"/>
  <c r="I960" i="2"/>
  <c r="H960" i="2"/>
  <c r="G960" i="2"/>
  <c r="F960" i="2"/>
  <c r="E960" i="2"/>
  <c r="D960" i="2"/>
  <c r="C960" i="2"/>
  <c r="B960" i="2"/>
  <c r="A960" i="2"/>
  <c r="J959" i="2"/>
  <c r="I959" i="2"/>
  <c r="H959" i="2"/>
  <c r="G959" i="2"/>
  <c r="F959" i="2"/>
  <c r="E959" i="2"/>
  <c r="D959" i="2"/>
  <c r="C959" i="2"/>
  <c r="B959" i="2"/>
  <c r="A959" i="2"/>
  <c r="J958" i="2"/>
  <c r="I958" i="2"/>
  <c r="H958" i="2"/>
  <c r="G958" i="2"/>
  <c r="F958" i="2"/>
  <c r="E958" i="2"/>
  <c r="D958" i="2"/>
  <c r="C958" i="2"/>
  <c r="B958" i="2"/>
  <c r="A958" i="2"/>
  <c r="J957" i="2"/>
  <c r="I957" i="2"/>
  <c r="H957" i="2"/>
  <c r="G957" i="2"/>
  <c r="F957" i="2"/>
  <c r="E957" i="2"/>
  <c r="D957" i="2"/>
  <c r="C957" i="2"/>
  <c r="B957" i="2"/>
  <c r="A957" i="2"/>
  <c r="J956" i="2"/>
  <c r="I956" i="2"/>
  <c r="H956" i="2"/>
  <c r="G956" i="2"/>
  <c r="F956" i="2"/>
  <c r="E956" i="2"/>
  <c r="D956" i="2"/>
  <c r="C956" i="2"/>
  <c r="B956" i="2"/>
  <c r="A956" i="2"/>
  <c r="J955" i="2"/>
  <c r="I955" i="2"/>
  <c r="H955" i="2"/>
  <c r="G955" i="2"/>
  <c r="F955" i="2"/>
  <c r="E955" i="2"/>
  <c r="D955" i="2"/>
  <c r="C955" i="2"/>
  <c r="B955" i="2"/>
  <c r="A955" i="2"/>
  <c r="J954" i="2"/>
  <c r="I954" i="2"/>
  <c r="H954" i="2"/>
  <c r="G954" i="2"/>
  <c r="F954" i="2"/>
  <c r="E954" i="2"/>
  <c r="D954" i="2"/>
  <c r="C954" i="2"/>
  <c r="B954" i="2"/>
  <c r="A954" i="2"/>
  <c r="J953" i="2"/>
  <c r="I953" i="2"/>
  <c r="H953" i="2"/>
  <c r="G953" i="2"/>
  <c r="F953" i="2"/>
  <c r="E953" i="2"/>
  <c r="D953" i="2"/>
  <c r="C953" i="2"/>
  <c r="B953" i="2"/>
  <c r="A953" i="2"/>
  <c r="J952" i="2"/>
  <c r="I952" i="2"/>
  <c r="H952" i="2"/>
  <c r="G952" i="2"/>
  <c r="F952" i="2"/>
  <c r="E952" i="2"/>
  <c r="D952" i="2"/>
  <c r="C952" i="2"/>
  <c r="B952" i="2"/>
  <c r="A952" i="2"/>
  <c r="J951" i="2"/>
  <c r="I951" i="2"/>
  <c r="H951" i="2"/>
  <c r="G951" i="2"/>
  <c r="F951" i="2"/>
  <c r="E951" i="2"/>
  <c r="D951" i="2"/>
  <c r="C951" i="2"/>
  <c r="B951" i="2"/>
  <c r="A951" i="2"/>
  <c r="J950" i="2"/>
  <c r="I950" i="2"/>
  <c r="H950" i="2"/>
  <c r="G950" i="2"/>
  <c r="F950" i="2"/>
  <c r="E950" i="2"/>
  <c r="D950" i="2"/>
  <c r="C950" i="2"/>
  <c r="B950" i="2"/>
  <c r="A950" i="2"/>
  <c r="J949" i="2"/>
  <c r="I949" i="2"/>
  <c r="H949" i="2"/>
  <c r="G949" i="2"/>
  <c r="F949" i="2"/>
  <c r="E949" i="2"/>
  <c r="D949" i="2"/>
  <c r="C949" i="2"/>
  <c r="B949" i="2"/>
  <c r="A949" i="2"/>
  <c r="J948" i="2"/>
  <c r="I948" i="2"/>
  <c r="H948" i="2"/>
  <c r="G948" i="2"/>
  <c r="F948" i="2"/>
  <c r="E948" i="2"/>
  <c r="D948" i="2"/>
  <c r="C948" i="2"/>
  <c r="B948" i="2"/>
  <c r="A948" i="2"/>
  <c r="J947" i="2"/>
  <c r="I947" i="2"/>
  <c r="H947" i="2"/>
  <c r="G947" i="2"/>
  <c r="F947" i="2"/>
  <c r="E947" i="2"/>
  <c r="D947" i="2"/>
  <c r="C947" i="2"/>
  <c r="B947" i="2"/>
  <c r="A947" i="2"/>
  <c r="J946" i="2"/>
  <c r="I946" i="2"/>
  <c r="H946" i="2"/>
  <c r="G946" i="2"/>
  <c r="F946" i="2"/>
  <c r="E946" i="2"/>
  <c r="D946" i="2"/>
  <c r="C946" i="2"/>
  <c r="B946" i="2"/>
  <c r="A946" i="2"/>
  <c r="J945" i="2"/>
  <c r="I945" i="2"/>
  <c r="H945" i="2"/>
  <c r="G945" i="2"/>
  <c r="F945" i="2"/>
  <c r="E945" i="2"/>
  <c r="D945" i="2"/>
  <c r="C945" i="2"/>
  <c r="B945" i="2"/>
  <c r="A945" i="2"/>
  <c r="J944" i="2"/>
  <c r="I944" i="2"/>
  <c r="H944" i="2"/>
  <c r="G944" i="2"/>
  <c r="F944" i="2"/>
  <c r="E944" i="2"/>
  <c r="D944" i="2"/>
  <c r="C944" i="2"/>
  <c r="B944" i="2"/>
  <c r="A944" i="2"/>
  <c r="J943" i="2"/>
  <c r="I943" i="2"/>
  <c r="H943" i="2"/>
  <c r="G943" i="2"/>
  <c r="F943" i="2"/>
  <c r="E943" i="2"/>
  <c r="D943" i="2"/>
  <c r="C943" i="2"/>
  <c r="B943" i="2"/>
  <c r="A943" i="2"/>
  <c r="J942" i="2"/>
  <c r="I942" i="2"/>
  <c r="H942" i="2"/>
  <c r="G942" i="2"/>
  <c r="F942" i="2"/>
  <c r="E942" i="2"/>
  <c r="D942" i="2"/>
  <c r="C942" i="2"/>
  <c r="B942" i="2"/>
  <c r="A942" i="2"/>
  <c r="J941" i="2"/>
  <c r="I941" i="2"/>
  <c r="H941" i="2"/>
  <c r="G941" i="2"/>
  <c r="F941" i="2"/>
  <c r="E941" i="2"/>
  <c r="D941" i="2"/>
  <c r="C941" i="2"/>
  <c r="B941" i="2"/>
  <c r="A941" i="2"/>
  <c r="J940" i="2"/>
  <c r="I940" i="2"/>
  <c r="H940" i="2"/>
  <c r="G940" i="2"/>
  <c r="F940" i="2"/>
  <c r="E940" i="2"/>
  <c r="D940" i="2"/>
  <c r="C940" i="2"/>
  <c r="B940" i="2"/>
  <c r="A940" i="2"/>
  <c r="J939" i="2"/>
  <c r="I939" i="2"/>
  <c r="H939" i="2"/>
  <c r="G939" i="2"/>
  <c r="F939" i="2"/>
  <c r="E939" i="2"/>
  <c r="D939" i="2"/>
  <c r="C939" i="2"/>
  <c r="B939" i="2"/>
  <c r="A939" i="2"/>
  <c r="J938" i="2"/>
  <c r="I938" i="2"/>
  <c r="H938" i="2"/>
  <c r="G938" i="2"/>
  <c r="F938" i="2"/>
  <c r="E938" i="2"/>
  <c r="D938" i="2"/>
  <c r="C938" i="2"/>
  <c r="B938" i="2"/>
  <c r="A938" i="2"/>
  <c r="J937" i="2"/>
  <c r="I937" i="2"/>
  <c r="H937" i="2"/>
  <c r="G937" i="2"/>
  <c r="F937" i="2"/>
  <c r="E937" i="2"/>
  <c r="D937" i="2"/>
  <c r="C937" i="2"/>
  <c r="B937" i="2"/>
  <c r="A937" i="2"/>
  <c r="J936" i="2"/>
  <c r="I936" i="2"/>
  <c r="H936" i="2"/>
  <c r="G936" i="2"/>
  <c r="F936" i="2"/>
  <c r="E936" i="2"/>
  <c r="D936" i="2"/>
  <c r="C936" i="2"/>
  <c r="B936" i="2"/>
  <c r="A936" i="2"/>
  <c r="J935" i="2"/>
  <c r="I935" i="2"/>
  <c r="H935" i="2"/>
  <c r="G935" i="2"/>
  <c r="F935" i="2"/>
  <c r="E935" i="2"/>
  <c r="D935" i="2"/>
  <c r="C935" i="2"/>
  <c r="B935" i="2"/>
  <c r="A935" i="2"/>
  <c r="J934" i="2"/>
  <c r="I934" i="2"/>
  <c r="H934" i="2"/>
  <c r="G934" i="2"/>
  <c r="F934" i="2"/>
  <c r="E934" i="2"/>
  <c r="D934" i="2"/>
  <c r="C934" i="2"/>
  <c r="B934" i="2"/>
  <c r="A934" i="2"/>
  <c r="J933" i="2"/>
  <c r="I933" i="2"/>
  <c r="H933" i="2"/>
  <c r="G933" i="2"/>
  <c r="F933" i="2"/>
  <c r="E933" i="2"/>
  <c r="D933" i="2"/>
  <c r="C933" i="2"/>
  <c r="B933" i="2"/>
  <c r="A933" i="2"/>
  <c r="J932" i="2"/>
  <c r="I932" i="2"/>
  <c r="H932" i="2"/>
  <c r="G932" i="2"/>
  <c r="F932" i="2"/>
  <c r="E932" i="2"/>
  <c r="D932" i="2"/>
  <c r="C932" i="2"/>
  <c r="B932" i="2"/>
  <c r="A932" i="2"/>
  <c r="J931" i="2"/>
  <c r="I931" i="2"/>
  <c r="H931" i="2"/>
  <c r="G931" i="2"/>
  <c r="F931" i="2"/>
  <c r="E931" i="2"/>
  <c r="D931" i="2"/>
  <c r="C931" i="2"/>
  <c r="B931" i="2"/>
  <c r="A931" i="2"/>
  <c r="J930" i="2"/>
  <c r="I930" i="2"/>
  <c r="H930" i="2"/>
  <c r="G930" i="2"/>
  <c r="F930" i="2"/>
  <c r="E930" i="2"/>
  <c r="D930" i="2"/>
  <c r="C930" i="2"/>
  <c r="B930" i="2"/>
  <c r="A930" i="2"/>
  <c r="J929" i="2"/>
  <c r="I929" i="2"/>
  <c r="H929" i="2"/>
  <c r="G929" i="2"/>
  <c r="F929" i="2"/>
  <c r="E929" i="2"/>
  <c r="D929" i="2"/>
  <c r="C929" i="2"/>
  <c r="B929" i="2"/>
  <c r="A929" i="2"/>
  <c r="J928" i="2"/>
  <c r="I928" i="2"/>
  <c r="H928" i="2"/>
  <c r="G928" i="2"/>
  <c r="F928" i="2"/>
  <c r="E928" i="2"/>
  <c r="D928" i="2"/>
  <c r="C928" i="2"/>
  <c r="B928" i="2"/>
  <c r="A928" i="2"/>
  <c r="J927" i="2"/>
  <c r="I927" i="2"/>
  <c r="H927" i="2"/>
  <c r="G927" i="2"/>
  <c r="F927" i="2"/>
  <c r="E927" i="2"/>
  <c r="D927" i="2"/>
  <c r="C927" i="2"/>
  <c r="B927" i="2"/>
  <c r="A927" i="2"/>
  <c r="J926" i="2"/>
  <c r="I926" i="2"/>
  <c r="H926" i="2"/>
  <c r="G926" i="2"/>
  <c r="F926" i="2"/>
  <c r="E926" i="2"/>
  <c r="D926" i="2"/>
  <c r="C926" i="2"/>
  <c r="B926" i="2"/>
  <c r="A926" i="2"/>
  <c r="J925" i="2"/>
  <c r="I925" i="2"/>
  <c r="H925" i="2"/>
  <c r="G925" i="2"/>
  <c r="F925" i="2"/>
  <c r="E925" i="2"/>
  <c r="D925" i="2"/>
  <c r="C925" i="2"/>
  <c r="B925" i="2"/>
  <c r="A925" i="2"/>
  <c r="J924" i="2"/>
  <c r="I924" i="2"/>
  <c r="H924" i="2"/>
  <c r="G924" i="2"/>
  <c r="F924" i="2"/>
  <c r="E924" i="2"/>
  <c r="D924" i="2"/>
  <c r="C924" i="2"/>
  <c r="B924" i="2"/>
  <c r="A924" i="2"/>
  <c r="J923" i="2"/>
  <c r="I923" i="2"/>
  <c r="H923" i="2"/>
  <c r="G923" i="2"/>
  <c r="F923" i="2"/>
  <c r="E923" i="2"/>
  <c r="D923" i="2"/>
  <c r="C923" i="2"/>
  <c r="B923" i="2"/>
  <c r="A923" i="2"/>
  <c r="J922" i="2"/>
  <c r="I922" i="2"/>
  <c r="H922" i="2"/>
  <c r="G922" i="2"/>
  <c r="F922" i="2"/>
  <c r="E922" i="2"/>
  <c r="D922" i="2"/>
  <c r="C922" i="2"/>
  <c r="B922" i="2"/>
  <c r="A922" i="2"/>
  <c r="J921" i="2"/>
  <c r="I921" i="2"/>
  <c r="H921" i="2"/>
  <c r="G921" i="2"/>
  <c r="F921" i="2"/>
  <c r="E921" i="2"/>
  <c r="D921" i="2"/>
  <c r="C921" i="2"/>
  <c r="B921" i="2"/>
  <c r="A921" i="2"/>
  <c r="J920" i="2"/>
  <c r="I920" i="2"/>
  <c r="H920" i="2"/>
  <c r="G920" i="2"/>
  <c r="F920" i="2"/>
  <c r="E920" i="2"/>
  <c r="D920" i="2"/>
  <c r="C920" i="2"/>
  <c r="B920" i="2"/>
  <c r="A920" i="2"/>
  <c r="J919" i="2"/>
  <c r="I919" i="2"/>
  <c r="H919" i="2"/>
  <c r="G919" i="2"/>
  <c r="F919" i="2"/>
  <c r="E919" i="2"/>
  <c r="D919" i="2"/>
  <c r="C919" i="2"/>
  <c r="B919" i="2"/>
  <c r="A919" i="2"/>
  <c r="J918" i="2"/>
  <c r="I918" i="2"/>
  <c r="H918" i="2"/>
  <c r="G918" i="2"/>
  <c r="F918" i="2"/>
  <c r="E918" i="2"/>
  <c r="D918" i="2"/>
  <c r="C918" i="2"/>
  <c r="B918" i="2"/>
  <c r="A918" i="2"/>
  <c r="J917" i="2"/>
  <c r="I917" i="2"/>
  <c r="H917" i="2"/>
  <c r="G917" i="2"/>
  <c r="F917" i="2"/>
  <c r="E917" i="2"/>
  <c r="D917" i="2"/>
  <c r="C917" i="2"/>
  <c r="B917" i="2"/>
  <c r="A917" i="2"/>
  <c r="J916" i="2"/>
  <c r="I916" i="2"/>
  <c r="H916" i="2"/>
  <c r="G916" i="2"/>
  <c r="F916" i="2"/>
  <c r="E916" i="2"/>
  <c r="D916" i="2"/>
  <c r="C916" i="2"/>
  <c r="B916" i="2"/>
  <c r="A916" i="2"/>
  <c r="J915" i="2"/>
  <c r="I915" i="2"/>
  <c r="H915" i="2"/>
  <c r="G915" i="2"/>
  <c r="F915" i="2"/>
  <c r="E915" i="2"/>
  <c r="D915" i="2"/>
  <c r="C915" i="2"/>
  <c r="B915" i="2"/>
  <c r="A915" i="2"/>
  <c r="J914" i="2"/>
  <c r="I914" i="2"/>
  <c r="H914" i="2"/>
  <c r="G914" i="2"/>
  <c r="F914" i="2"/>
  <c r="E914" i="2"/>
  <c r="D914" i="2"/>
  <c r="C914" i="2"/>
  <c r="B914" i="2"/>
  <c r="A914" i="2"/>
  <c r="J913" i="2"/>
  <c r="I913" i="2"/>
  <c r="H913" i="2"/>
  <c r="G913" i="2"/>
  <c r="F913" i="2"/>
  <c r="E913" i="2"/>
  <c r="D913" i="2"/>
  <c r="C913" i="2"/>
  <c r="B913" i="2"/>
  <c r="A913" i="2"/>
  <c r="J912" i="2"/>
  <c r="I912" i="2"/>
  <c r="H912" i="2"/>
  <c r="G912" i="2"/>
  <c r="F912" i="2"/>
  <c r="E912" i="2"/>
  <c r="D912" i="2"/>
  <c r="C912" i="2"/>
  <c r="B912" i="2"/>
  <c r="A912" i="2"/>
  <c r="J911" i="2"/>
  <c r="I911" i="2"/>
  <c r="H911" i="2"/>
  <c r="G911" i="2"/>
  <c r="F911" i="2"/>
  <c r="E911" i="2"/>
  <c r="D911" i="2"/>
  <c r="C911" i="2"/>
  <c r="B911" i="2"/>
  <c r="A911" i="2"/>
  <c r="J910" i="2"/>
  <c r="I910" i="2"/>
  <c r="H910" i="2"/>
  <c r="G910" i="2"/>
  <c r="F910" i="2"/>
  <c r="E910" i="2"/>
  <c r="D910" i="2"/>
  <c r="C910" i="2"/>
  <c r="B910" i="2"/>
  <c r="A910" i="2"/>
  <c r="J909" i="2"/>
  <c r="I909" i="2"/>
  <c r="H909" i="2"/>
  <c r="G909" i="2"/>
  <c r="F909" i="2"/>
  <c r="E909" i="2"/>
  <c r="D909" i="2"/>
  <c r="C909" i="2"/>
  <c r="B909" i="2"/>
  <c r="A909" i="2"/>
  <c r="J908" i="2"/>
  <c r="I908" i="2"/>
  <c r="H908" i="2"/>
  <c r="G908" i="2"/>
  <c r="F908" i="2"/>
  <c r="E908" i="2"/>
  <c r="D908" i="2"/>
  <c r="C908" i="2"/>
  <c r="B908" i="2"/>
  <c r="A908" i="2"/>
  <c r="J907" i="2"/>
  <c r="I907" i="2"/>
  <c r="H907" i="2"/>
  <c r="G907" i="2"/>
  <c r="F907" i="2"/>
  <c r="E907" i="2"/>
  <c r="D907" i="2"/>
  <c r="C907" i="2"/>
  <c r="B907" i="2"/>
  <c r="A907" i="2"/>
  <c r="J906" i="2"/>
  <c r="I906" i="2"/>
  <c r="H906" i="2"/>
  <c r="G906" i="2"/>
  <c r="F906" i="2"/>
  <c r="E906" i="2"/>
  <c r="D906" i="2"/>
  <c r="C906" i="2"/>
  <c r="B906" i="2"/>
  <c r="A906" i="2"/>
  <c r="J905" i="2"/>
  <c r="I905" i="2"/>
  <c r="H905" i="2"/>
  <c r="G905" i="2"/>
  <c r="F905" i="2"/>
  <c r="E905" i="2"/>
  <c r="D905" i="2"/>
  <c r="C905" i="2"/>
  <c r="B905" i="2"/>
  <c r="A905" i="2"/>
  <c r="J904" i="2"/>
  <c r="I904" i="2"/>
  <c r="H904" i="2"/>
  <c r="G904" i="2"/>
  <c r="F904" i="2"/>
  <c r="E904" i="2"/>
  <c r="D904" i="2"/>
  <c r="C904" i="2"/>
  <c r="B904" i="2"/>
  <c r="A904" i="2"/>
  <c r="J903" i="2"/>
  <c r="I903" i="2"/>
  <c r="H903" i="2"/>
  <c r="G903" i="2"/>
  <c r="F903" i="2"/>
  <c r="E903" i="2"/>
  <c r="D903" i="2"/>
  <c r="C903" i="2"/>
  <c r="B903" i="2"/>
  <c r="A903" i="2"/>
  <c r="J902" i="2"/>
  <c r="I902" i="2"/>
  <c r="H902" i="2"/>
  <c r="G902" i="2"/>
  <c r="F902" i="2"/>
  <c r="E902" i="2"/>
  <c r="D902" i="2"/>
  <c r="C902" i="2"/>
  <c r="B902" i="2"/>
  <c r="A902" i="2"/>
  <c r="J901" i="2"/>
  <c r="I901" i="2"/>
  <c r="H901" i="2"/>
  <c r="G901" i="2"/>
  <c r="F901" i="2"/>
  <c r="E901" i="2"/>
  <c r="D901" i="2"/>
  <c r="C901" i="2"/>
  <c r="B901" i="2"/>
  <c r="A901" i="2"/>
  <c r="J900" i="2"/>
  <c r="I900" i="2"/>
  <c r="H900" i="2"/>
  <c r="G900" i="2"/>
  <c r="F900" i="2"/>
  <c r="E900" i="2"/>
  <c r="D900" i="2"/>
  <c r="C900" i="2"/>
  <c r="B900" i="2"/>
  <c r="A900" i="2"/>
  <c r="J899" i="2"/>
  <c r="I899" i="2"/>
  <c r="H899" i="2"/>
  <c r="G899" i="2"/>
  <c r="F899" i="2"/>
  <c r="E899" i="2"/>
  <c r="D899" i="2"/>
  <c r="C899" i="2"/>
  <c r="B899" i="2"/>
  <c r="A899" i="2"/>
  <c r="J898" i="2"/>
  <c r="I898" i="2"/>
  <c r="H898" i="2"/>
  <c r="G898" i="2"/>
  <c r="F898" i="2"/>
  <c r="E898" i="2"/>
  <c r="D898" i="2"/>
  <c r="C898" i="2"/>
  <c r="B898" i="2"/>
  <c r="A898" i="2"/>
  <c r="J897" i="2"/>
  <c r="I897" i="2"/>
  <c r="H897" i="2"/>
  <c r="G897" i="2"/>
  <c r="F897" i="2"/>
  <c r="E897" i="2"/>
  <c r="D897" i="2"/>
  <c r="C897" i="2"/>
  <c r="B897" i="2"/>
  <c r="A897" i="2"/>
  <c r="J896" i="2"/>
  <c r="I896" i="2"/>
  <c r="H896" i="2"/>
  <c r="G896" i="2"/>
  <c r="F896" i="2"/>
  <c r="E896" i="2"/>
  <c r="D896" i="2"/>
  <c r="C896" i="2"/>
  <c r="B896" i="2"/>
  <c r="A896" i="2"/>
  <c r="J895" i="2"/>
  <c r="I895" i="2"/>
  <c r="H895" i="2"/>
  <c r="G895" i="2"/>
  <c r="F895" i="2"/>
  <c r="E895" i="2"/>
  <c r="D895" i="2"/>
  <c r="C895" i="2"/>
  <c r="B895" i="2"/>
  <c r="A895" i="2"/>
  <c r="J894" i="2"/>
  <c r="I894" i="2"/>
  <c r="H894" i="2"/>
  <c r="G894" i="2"/>
  <c r="F894" i="2"/>
  <c r="E894" i="2"/>
  <c r="D894" i="2"/>
  <c r="C894" i="2"/>
  <c r="B894" i="2"/>
  <c r="A894" i="2"/>
  <c r="J893" i="2"/>
  <c r="I893" i="2"/>
  <c r="H893" i="2"/>
  <c r="G893" i="2"/>
  <c r="F893" i="2"/>
  <c r="E893" i="2"/>
  <c r="D893" i="2"/>
  <c r="C893" i="2"/>
  <c r="B893" i="2"/>
  <c r="A893" i="2"/>
  <c r="J892" i="2"/>
  <c r="I892" i="2"/>
  <c r="H892" i="2"/>
  <c r="G892" i="2"/>
  <c r="F892" i="2"/>
  <c r="E892" i="2"/>
  <c r="D892" i="2"/>
  <c r="C892" i="2"/>
  <c r="B892" i="2"/>
  <c r="A892" i="2"/>
  <c r="J891" i="2"/>
  <c r="I891" i="2"/>
  <c r="H891" i="2"/>
  <c r="G891" i="2"/>
  <c r="F891" i="2"/>
  <c r="E891" i="2"/>
  <c r="D891" i="2"/>
  <c r="C891" i="2"/>
  <c r="B891" i="2"/>
  <c r="A891" i="2"/>
  <c r="J890" i="2"/>
  <c r="I890" i="2"/>
  <c r="H890" i="2"/>
  <c r="G890" i="2"/>
  <c r="F890" i="2"/>
  <c r="E890" i="2"/>
  <c r="D890" i="2"/>
  <c r="C890" i="2"/>
  <c r="B890" i="2"/>
  <c r="A890" i="2"/>
  <c r="J889" i="2"/>
  <c r="I889" i="2"/>
  <c r="H889" i="2"/>
  <c r="G889" i="2"/>
  <c r="F889" i="2"/>
  <c r="E889" i="2"/>
  <c r="D889" i="2"/>
  <c r="C889" i="2"/>
  <c r="B889" i="2"/>
  <c r="A889" i="2"/>
  <c r="J888" i="2"/>
  <c r="I888" i="2"/>
  <c r="H888" i="2"/>
  <c r="G888" i="2"/>
  <c r="F888" i="2"/>
  <c r="E888" i="2"/>
  <c r="D888" i="2"/>
  <c r="C888" i="2"/>
  <c r="B888" i="2"/>
  <c r="A888" i="2"/>
  <c r="J887" i="2"/>
  <c r="I887" i="2"/>
  <c r="H887" i="2"/>
  <c r="G887" i="2"/>
  <c r="F887" i="2"/>
  <c r="E887" i="2"/>
  <c r="D887" i="2"/>
  <c r="C887" i="2"/>
  <c r="B887" i="2"/>
  <c r="A887" i="2"/>
  <c r="J886" i="2"/>
  <c r="I886" i="2"/>
  <c r="H886" i="2"/>
  <c r="G886" i="2"/>
  <c r="F886" i="2"/>
  <c r="E886" i="2"/>
  <c r="D886" i="2"/>
  <c r="C886" i="2"/>
  <c r="B886" i="2"/>
  <c r="A886" i="2"/>
  <c r="J885" i="2"/>
  <c r="I885" i="2"/>
  <c r="H885" i="2"/>
  <c r="G885" i="2"/>
  <c r="F885" i="2"/>
  <c r="E885" i="2"/>
  <c r="D885" i="2"/>
  <c r="C885" i="2"/>
  <c r="B885" i="2"/>
  <c r="A885" i="2"/>
  <c r="J884" i="2"/>
  <c r="I884" i="2"/>
  <c r="H884" i="2"/>
  <c r="G884" i="2"/>
  <c r="F884" i="2"/>
  <c r="E884" i="2"/>
  <c r="D884" i="2"/>
  <c r="C884" i="2"/>
  <c r="B884" i="2"/>
  <c r="A884" i="2"/>
  <c r="J883" i="2"/>
  <c r="I883" i="2"/>
  <c r="H883" i="2"/>
  <c r="G883" i="2"/>
  <c r="F883" i="2"/>
  <c r="E883" i="2"/>
  <c r="D883" i="2"/>
  <c r="C883" i="2"/>
  <c r="B883" i="2"/>
  <c r="A883" i="2"/>
  <c r="J882" i="2"/>
  <c r="I882" i="2"/>
  <c r="H882" i="2"/>
  <c r="G882" i="2"/>
  <c r="F882" i="2"/>
  <c r="E882" i="2"/>
  <c r="D882" i="2"/>
  <c r="C882" i="2"/>
  <c r="B882" i="2"/>
  <c r="A882" i="2"/>
  <c r="J881" i="2"/>
  <c r="I881" i="2"/>
  <c r="H881" i="2"/>
  <c r="G881" i="2"/>
  <c r="F881" i="2"/>
  <c r="E881" i="2"/>
  <c r="D881" i="2"/>
  <c r="C881" i="2"/>
  <c r="B881" i="2"/>
  <c r="A881" i="2"/>
  <c r="J880" i="2"/>
  <c r="I880" i="2"/>
  <c r="H880" i="2"/>
  <c r="G880" i="2"/>
  <c r="F880" i="2"/>
  <c r="E880" i="2"/>
  <c r="D880" i="2"/>
  <c r="C880" i="2"/>
  <c r="B880" i="2"/>
  <c r="A880" i="2"/>
  <c r="J879" i="2"/>
  <c r="I879" i="2"/>
  <c r="H879" i="2"/>
  <c r="G879" i="2"/>
  <c r="F879" i="2"/>
  <c r="E879" i="2"/>
  <c r="D879" i="2"/>
  <c r="C879" i="2"/>
  <c r="B879" i="2"/>
  <c r="A879" i="2"/>
  <c r="J878" i="2"/>
  <c r="I878" i="2"/>
  <c r="H878" i="2"/>
  <c r="G878" i="2"/>
  <c r="F878" i="2"/>
  <c r="E878" i="2"/>
  <c r="D878" i="2"/>
  <c r="C878" i="2"/>
  <c r="B878" i="2"/>
  <c r="A878" i="2"/>
  <c r="J877" i="2"/>
  <c r="I877" i="2"/>
  <c r="H877" i="2"/>
  <c r="G877" i="2"/>
  <c r="F877" i="2"/>
  <c r="E877" i="2"/>
  <c r="D877" i="2"/>
  <c r="C877" i="2"/>
  <c r="B877" i="2"/>
  <c r="A877" i="2"/>
  <c r="J876" i="2"/>
  <c r="I876" i="2"/>
  <c r="H876" i="2"/>
  <c r="G876" i="2"/>
  <c r="F876" i="2"/>
  <c r="E876" i="2"/>
  <c r="D876" i="2"/>
  <c r="C876" i="2"/>
  <c r="B876" i="2"/>
  <c r="A876" i="2"/>
  <c r="J875" i="2"/>
  <c r="I875" i="2"/>
  <c r="H875" i="2"/>
  <c r="G875" i="2"/>
  <c r="F875" i="2"/>
  <c r="E875" i="2"/>
  <c r="D875" i="2"/>
  <c r="C875" i="2"/>
  <c r="B875" i="2"/>
  <c r="A875" i="2"/>
  <c r="J874" i="2"/>
  <c r="I874" i="2"/>
  <c r="H874" i="2"/>
  <c r="G874" i="2"/>
  <c r="F874" i="2"/>
  <c r="E874" i="2"/>
  <c r="D874" i="2"/>
  <c r="C874" i="2"/>
  <c r="B874" i="2"/>
  <c r="A874" i="2"/>
  <c r="J873" i="2"/>
  <c r="I873" i="2"/>
  <c r="H873" i="2"/>
  <c r="G873" i="2"/>
  <c r="F873" i="2"/>
  <c r="E873" i="2"/>
  <c r="D873" i="2"/>
  <c r="C873" i="2"/>
  <c r="B873" i="2"/>
  <c r="A873" i="2"/>
  <c r="J872" i="2"/>
  <c r="I872" i="2"/>
  <c r="H872" i="2"/>
  <c r="G872" i="2"/>
  <c r="F872" i="2"/>
  <c r="E872" i="2"/>
  <c r="D872" i="2"/>
  <c r="C872" i="2"/>
  <c r="B872" i="2"/>
  <c r="A872" i="2"/>
  <c r="J871" i="2"/>
  <c r="I871" i="2"/>
  <c r="H871" i="2"/>
  <c r="G871" i="2"/>
  <c r="F871" i="2"/>
  <c r="E871" i="2"/>
  <c r="D871" i="2"/>
  <c r="C871" i="2"/>
  <c r="B871" i="2"/>
  <c r="A871" i="2"/>
  <c r="J870" i="2"/>
  <c r="I870" i="2"/>
  <c r="H870" i="2"/>
  <c r="G870" i="2"/>
  <c r="F870" i="2"/>
  <c r="E870" i="2"/>
  <c r="D870" i="2"/>
  <c r="C870" i="2"/>
  <c r="B870" i="2"/>
  <c r="A870" i="2"/>
  <c r="J869" i="2"/>
  <c r="I869" i="2"/>
  <c r="H869" i="2"/>
  <c r="G869" i="2"/>
  <c r="F869" i="2"/>
  <c r="E869" i="2"/>
  <c r="D869" i="2"/>
  <c r="C869" i="2"/>
  <c r="B869" i="2"/>
  <c r="A869" i="2"/>
  <c r="J868" i="2"/>
  <c r="I868" i="2"/>
  <c r="H868" i="2"/>
  <c r="G868" i="2"/>
  <c r="F868" i="2"/>
  <c r="E868" i="2"/>
  <c r="D868" i="2"/>
  <c r="C868" i="2"/>
  <c r="B868" i="2"/>
  <c r="A868" i="2"/>
  <c r="J867" i="2"/>
  <c r="I867" i="2"/>
  <c r="H867" i="2"/>
  <c r="G867" i="2"/>
  <c r="F867" i="2"/>
  <c r="E867" i="2"/>
  <c r="D867" i="2"/>
  <c r="C867" i="2"/>
  <c r="B867" i="2"/>
  <c r="A867" i="2"/>
  <c r="J866" i="2"/>
  <c r="I866" i="2"/>
  <c r="H866" i="2"/>
  <c r="G866" i="2"/>
  <c r="F866" i="2"/>
  <c r="E866" i="2"/>
  <c r="D866" i="2"/>
  <c r="C866" i="2"/>
  <c r="B866" i="2"/>
  <c r="A866" i="2"/>
  <c r="J865" i="2"/>
  <c r="I865" i="2"/>
  <c r="H865" i="2"/>
  <c r="G865" i="2"/>
  <c r="F865" i="2"/>
  <c r="E865" i="2"/>
  <c r="D865" i="2"/>
  <c r="C865" i="2"/>
  <c r="B865" i="2"/>
  <c r="A865" i="2"/>
  <c r="J864" i="2"/>
  <c r="I864" i="2"/>
  <c r="H864" i="2"/>
  <c r="G864" i="2"/>
  <c r="F864" i="2"/>
  <c r="E864" i="2"/>
  <c r="D864" i="2"/>
  <c r="C864" i="2"/>
  <c r="B864" i="2"/>
  <c r="A864" i="2"/>
  <c r="J863" i="2"/>
  <c r="I863" i="2"/>
  <c r="H863" i="2"/>
  <c r="G863" i="2"/>
  <c r="F863" i="2"/>
  <c r="E863" i="2"/>
  <c r="D863" i="2"/>
  <c r="C863" i="2"/>
  <c r="B863" i="2"/>
  <c r="A863" i="2"/>
  <c r="J862" i="2"/>
  <c r="I862" i="2"/>
  <c r="H862" i="2"/>
  <c r="G862" i="2"/>
  <c r="F862" i="2"/>
  <c r="E862" i="2"/>
  <c r="D862" i="2"/>
  <c r="C862" i="2"/>
  <c r="B862" i="2"/>
  <c r="A862" i="2"/>
  <c r="J861" i="2"/>
  <c r="I861" i="2"/>
  <c r="H861" i="2"/>
  <c r="G861" i="2"/>
  <c r="F861" i="2"/>
  <c r="E861" i="2"/>
  <c r="D861" i="2"/>
  <c r="C861" i="2"/>
  <c r="B861" i="2"/>
  <c r="A861" i="2"/>
  <c r="J860" i="2"/>
  <c r="I860" i="2"/>
  <c r="H860" i="2"/>
  <c r="G860" i="2"/>
  <c r="F860" i="2"/>
  <c r="E860" i="2"/>
  <c r="D860" i="2"/>
  <c r="C860" i="2"/>
  <c r="B860" i="2"/>
  <c r="A860" i="2"/>
  <c r="J859" i="2"/>
  <c r="I859" i="2"/>
  <c r="H859" i="2"/>
  <c r="G859" i="2"/>
  <c r="F859" i="2"/>
  <c r="E859" i="2"/>
  <c r="D859" i="2"/>
  <c r="C859" i="2"/>
  <c r="B859" i="2"/>
  <c r="A859" i="2"/>
  <c r="J858" i="2"/>
  <c r="I858" i="2"/>
  <c r="H858" i="2"/>
  <c r="G858" i="2"/>
  <c r="F858" i="2"/>
  <c r="E858" i="2"/>
  <c r="D858" i="2"/>
  <c r="C858" i="2"/>
  <c r="B858" i="2"/>
  <c r="A858" i="2"/>
  <c r="J857" i="2"/>
  <c r="I857" i="2"/>
  <c r="H857" i="2"/>
  <c r="G857" i="2"/>
  <c r="F857" i="2"/>
  <c r="E857" i="2"/>
  <c r="D857" i="2"/>
  <c r="C857" i="2"/>
  <c r="B857" i="2"/>
  <c r="A857" i="2"/>
  <c r="J856" i="2"/>
  <c r="I856" i="2"/>
  <c r="H856" i="2"/>
  <c r="G856" i="2"/>
  <c r="F856" i="2"/>
  <c r="E856" i="2"/>
  <c r="D856" i="2"/>
  <c r="C856" i="2"/>
  <c r="B856" i="2"/>
  <c r="A856" i="2"/>
  <c r="J855" i="2"/>
  <c r="I855" i="2"/>
  <c r="H855" i="2"/>
  <c r="G855" i="2"/>
  <c r="F855" i="2"/>
  <c r="E855" i="2"/>
  <c r="D855" i="2"/>
  <c r="C855" i="2"/>
  <c r="B855" i="2"/>
  <c r="A855" i="2"/>
  <c r="J854" i="2"/>
  <c r="I854" i="2"/>
  <c r="H854" i="2"/>
  <c r="G854" i="2"/>
  <c r="F854" i="2"/>
  <c r="E854" i="2"/>
  <c r="D854" i="2"/>
  <c r="C854" i="2"/>
  <c r="B854" i="2"/>
  <c r="A854" i="2"/>
  <c r="J853" i="2"/>
  <c r="I853" i="2"/>
  <c r="H853" i="2"/>
  <c r="G853" i="2"/>
  <c r="F853" i="2"/>
  <c r="E853" i="2"/>
  <c r="D853" i="2"/>
  <c r="C853" i="2"/>
  <c r="B853" i="2"/>
  <c r="A853" i="2"/>
  <c r="J852" i="2"/>
  <c r="I852" i="2"/>
  <c r="H852" i="2"/>
  <c r="G852" i="2"/>
  <c r="F852" i="2"/>
  <c r="E852" i="2"/>
  <c r="D852" i="2"/>
  <c r="C852" i="2"/>
  <c r="B852" i="2"/>
  <c r="A852" i="2"/>
  <c r="J851" i="2"/>
  <c r="I851" i="2"/>
  <c r="H851" i="2"/>
  <c r="G851" i="2"/>
  <c r="F851" i="2"/>
  <c r="E851" i="2"/>
  <c r="D851" i="2"/>
  <c r="C851" i="2"/>
  <c r="B851" i="2"/>
  <c r="A851" i="2"/>
  <c r="J850" i="2"/>
  <c r="I850" i="2"/>
  <c r="H850" i="2"/>
  <c r="G850" i="2"/>
  <c r="F850" i="2"/>
  <c r="E850" i="2"/>
  <c r="D850" i="2"/>
  <c r="C850" i="2"/>
  <c r="B850" i="2"/>
  <c r="A850" i="2"/>
  <c r="J849" i="2"/>
  <c r="I849" i="2"/>
  <c r="H849" i="2"/>
  <c r="G849" i="2"/>
  <c r="F849" i="2"/>
  <c r="E849" i="2"/>
  <c r="D849" i="2"/>
  <c r="C849" i="2"/>
  <c r="B849" i="2"/>
  <c r="A849" i="2"/>
  <c r="J848" i="2"/>
  <c r="I848" i="2"/>
  <c r="H848" i="2"/>
  <c r="G848" i="2"/>
  <c r="F848" i="2"/>
  <c r="E848" i="2"/>
  <c r="D848" i="2"/>
  <c r="C848" i="2"/>
  <c r="B848" i="2"/>
  <c r="A848" i="2"/>
  <c r="J847" i="2"/>
  <c r="I847" i="2"/>
  <c r="H847" i="2"/>
  <c r="G847" i="2"/>
  <c r="F847" i="2"/>
  <c r="E847" i="2"/>
  <c r="D847" i="2"/>
  <c r="C847" i="2"/>
  <c r="B847" i="2"/>
  <c r="A847" i="2"/>
  <c r="J846" i="2"/>
  <c r="I846" i="2"/>
  <c r="H846" i="2"/>
  <c r="G846" i="2"/>
  <c r="F846" i="2"/>
  <c r="E846" i="2"/>
  <c r="D846" i="2"/>
  <c r="C846" i="2"/>
  <c r="B846" i="2"/>
  <c r="A846" i="2"/>
  <c r="J845" i="2"/>
  <c r="I845" i="2"/>
  <c r="H845" i="2"/>
  <c r="G845" i="2"/>
  <c r="F845" i="2"/>
  <c r="E845" i="2"/>
  <c r="D845" i="2"/>
  <c r="C845" i="2"/>
  <c r="B845" i="2"/>
  <c r="A845" i="2"/>
  <c r="J844" i="2"/>
  <c r="I844" i="2"/>
  <c r="H844" i="2"/>
  <c r="G844" i="2"/>
  <c r="F844" i="2"/>
  <c r="E844" i="2"/>
  <c r="D844" i="2"/>
  <c r="C844" i="2"/>
  <c r="B844" i="2"/>
  <c r="A844" i="2"/>
  <c r="J843" i="2"/>
  <c r="I843" i="2"/>
  <c r="H843" i="2"/>
  <c r="G843" i="2"/>
  <c r="F843" i="2"/>
  <c r="E843" i="2"/>
  <c r="D843" i="2"/>
  <c r="C843" i="2"/>
  <c r="B843" i="2"/>
  <c r="A843" i="2"/>
  <c r="J842" i="2"/>
  <c r="I842" i="2"/>
  <c r="H842" i="2"/>
  <c r="G842" i="2"/>
  <c r="F842" i="2"/>
  <c r="E842" i="2"/>
  <c r="D842" i="2"/>
  <c r="C842" i="2"/>
  <c r="B842" i="2"/>
  <c r="A842" i="2"/>
  <c r="J841" i="2"/>
  <c r="I841" i="2"/>
  <c r="H841" i="2"/>
  <c r="G841" i="2"/>
  <c r="F841" i="2"/>
  <c r="E841" i="2"/>
  <c r="D841" i="2"/>
  <c r="C841" i="2"/>
  <c r="B841" i="2"/>
  <c r="A841" i="2"/>
  <c r="J840" i="2"/>
  <c r="I840" i="2"/>
  <c r="H840" i="2"/>
  <c r="G840" i="2"/>
  <c r="F840" i="2"/>
  <c r="E840" i="2"/>
  <c r="D840" i="2"/>
  <c r="C840" i="2"/>
  <c r="B840" i="2"/>
  <c r="A840" i="2"/>
  <c r="J839" i="2"/>
  <c r="I839" i="2"/>
  <c r="H839" i="2"/>
  <c r="G839" i="2"/>
  <c r="F839" i="2"/>
  <c r="E839" i="2"/>
  <c r="D839" i="2"/>
  <c r="C839" i="2"/>
  <c r="B839" i="2"/>
  <c r="A839" i="2"/>
  <c r="J838" i="2"/>
  <c r="I838" i="2"/>
  <c r="H838" i="2"/>
  <c r="G838" i="2"/>
  <c r="F838" i="2"/>
  <c r="E838" i="2"/>
  <c r="D838" i="2"/>
  <c r="C838" i="2"/>
  <c r="B838" i="2"/>
  <c r="A838" i="2"/>
  <c r="J837" i="2"/>
  <c r="I837" i="2"/>
  <c r="H837" i="2"/>
  <c r="G837" i="2"/>
  <c r="F837" i="2"/>
  <c r="E837" i="2"/>
  <c r="D837" i="2"/>
  <c r="C837" i="2"/>
  <c r="B837" i="2"/>
  <c r="A837" i="2"/>
  <c r="J836" i="2"/>
  <c r="I836" i="2"/>
  <c r="H836" i="2"/>
  <c r="G836" i="2"/>
  <c r="F836" i="2"/>
  <c r="E836" i="2"/>
  <c r="D836" i="2"/>
  <c r="C836" i="2"/>
  <c r="B836" i="2"/>
  <c r="A836" i="2"/>
  <c r="J835" i="2"/>
  <c r="I835" i="2"/>
  <c r="H835" i="2"/>
  <c r="G835" i="2"/>
  <c r="F835" i="2"/>
  <c r="E835" i="2"/>
  <c r="D835" i="2"/>
  <c r="C835" i="2"/>
  <c r="B835" i="2"/>
  <c r="A835" i="2"/>
  <c r="J834" i="2"/>
  <c r="I834" i="2"/>
  <c r="H834" i="2"/>
  <c r="G834" i="2"/>
  <c r="F834" i="2"/>
  <c r="E834" i="2"/>
  <c r="D834" i="2"/>
  <c r="C834" i="2"/>
  <c r="B834" i="2"/>
  <c r="A834" i="2"/>
  <c r="J833" i="2"/>
  <c r="I833" i="2"/>
  <c r="H833" i="2"/>
  <c r="G833" i="2"/>
  <c r="F833" i="2"/>
  <c r="E833" i="2"/>
  <c r="D833" i="2"/>
  <c r="C833" i="2"/>
  <c r="B833" i="2"/>
  <c r="A833" i="2"/>
  <c r="J832" i="2"/>
  <c r="I832" i="2"/>
  <c r="H832" i="2"/>
  <c r="G832" i="2"/>
  <c r="F832" i="2"/>
  <c r="E832" i="2"/>
  <c r="D832" i="2"/>
  <c r="C832" i="2"/>
  <c r="B832" i="2"/>
  <c r="A832" i="2"/>
  <c r="J831" i="2"/>
  <c r="I831" i="2"/>
  <c r="H831" i="2"/>
  <c r="G831" i="2"/>
  <c r="F831" i="2"/>
  <c r="E831" i="2"/>
  <c r="D831" i="2"/>
  <c r="C831" i="2"/>
  <c r="B831" i="2"/>
  <c r="A831" i="2"/>
  <c r="J830" i="2"/>
  <c r="I830" i="2"/>
  <c r="H830" i="2"/>
  <c r="G830" i="2"/>
  <c r="F830" i="2"/>
  <c r="E830" i="2"/>
  <c r="D830" i="2"/>
  <c r="C830" i="2"/>
  <c r="B830" i="2"/>
  <c r="A830" i="2"/>
  <c r="J829" i="2"/>
  <c r="I829" i="2"/>
  <c r="H829" i="2"/>
  <c r="G829" i="2"/>
  <c r="F829" i="2"/>
  <c r="E829" i="2"/>
  <c r="D829" i="2"/>
  <c r="C829" i="2"/>
  <c r="B829" i="2"/>
  <c r="A829" i="2"/>
  <c r="J828" i="2"/>
  <c r="I828" i="2"/>
  <c r="H828" i="2"/>
  <c r="G828" i="2"/>
  <c r="F828" i="2"/>
  <c r="E828" i="2"/>
  <c r="D828" i="2"/>
  <c r="C828" i="2"/>
  <c r="B828" i="2"/>
  <c r="A828" i="2"/>
  <c r="J827" i="2"/>
  <c r="I827" i="2"/>
  <c r="H827" i="2"/>
  <c r="G827" i="2"/>
  <c r="F827" i="2"/>
  <c r="E827" i="2"/>
  <c r="D827" i="2"/>
  <c r="C827" i="2"/>
  <c r="B827" i="2"/>
  <c r="A827" i="2"/>
  <c r="J826" i="2"/>
  <c r="I826" i="2"/>
  <c r="H826" i="2"/>
  <c r="G826" i="2"/>
  <c r="F826" i="2"/>
  <c r="E826" i="2"/>
  <c r="D826" i="2"/>
  <c r="C826" i="2"/>
  <c r="B826" i="2"/>
  <c r="A826" i="2"/>
  <c r="J825" i="2"/>
  <c r="I825" i="2"/>
  <c r="H825" i="2"/>
  <c r="G825" i="2"/>
  <c r="F825" i="2"/>
  <c r="E825" i="2"/>
  <c r="D825" i="2"/>
  <c r="C825" i="2"/>
  <c r="B825" i="2"/>
  <c r="A825" i="2"/>
  <c r="J824" i="2"/>
  <c r="I824" i="2"/>
  <c r="H824" i="2"/>
  <c r="G824" i="2"/>
  <c r="F824" i="2"/>
  <c r="E824" i="2"/>
  <c r="D824" i="2"/>
  <c r="C824" i="2"/>
  <c r="B824" i="2"/>
  <c r="A824" i="2"/>
  <c r="J823" i="2"/>
  <c r="I823" i="2"/>
  <c r="H823" i="2"/>
  <c r="G823" i="2"/>
  <c r="F823" i="2"/>
  <c r="E823" i="2"/>
  <c r="D823" i="2"/>
  <c r="C823" i="2"/>
  <c r="B823" i="2"/>
  <c r="A823" i="2"/>
  <c r="J822" i="2"/>
  <c r="I822" i="2"/>
  <c r="H822" i="2"/>
  <c r="G822" i="2"/>
  <c r="F822" i="2"/>
  <c r="E822" i="2"/>
  <c r="D822" i="2"/>
  <c r="C822" i="2"/>
  <c r="B822" i="2"/>
  <c r="A822" i="2"/>
  <c r="J821" i="2"/>
  <c r="I821" i="2"/>
  <c r="H821" i="2"/>
  <c r="G821" i="2"/>
  <c r="F821" i="2"/>
  <c r="E821" i="2"/>
  <c r="D821" i="2"/>
  <c r="C821" i="2"/>
  <c r="B821" i="2"/>
  <c r="A821" i="2"/>
  <c r="J820" i="2"/>
  <c r="I820" i="2"/>
  <c r="H820" i="2"/>
  <c r="G820" i="2"/>
  <c r="F820" i="2"/>
  <c r="E820" i="2"/>
  <c r="D820" i="2"/>
  <c r="C820" i="2"/>
  <c r="B820" i="2"/>
  <c r="A820" i="2"/>
  <c r="J819" i="2"/>
  <c r="I819" i="2"/>
  <c r="H819" i="2"/>
  <c r="G819" i="2"/>
  <c r="F819" i="2"/>
  <c r="E819" i="2"/>
  <c r="D819" i="2"/>
  <c r="C819" i="2"/>
  <c r="B819" i="2"/>
  <c r="A819" i="2"/>
  <c r="J818" i="2"/>
  <c r="I818" i="2"/>
  <c r="H818" i="2"/>
  <c r="G818" i="2"/>
  <c r="F818" i="2"/>
  <c r="E818" i="2"/>
  <c r="D818" i="2"/>
  <c r="C818" i="2"/>
  <c r="B818" i="2"/>
  <c r="A818" i="2"/>
  <c r="J817" i="2"/>
  <c r="I817" i="2"/>
  <c r="H817" i="2"/>
  <c r="G817" i="2"/>
  <c r="F817" i="2"/>
  <c r="E817" i="2"/>
  <c r="D817" i="2"/>
  <c r="C817" i="2"/>
  <c r="B817" i="2"/>
  <c r="A817" i="2"/>
  <c r="J816" i="2"/>
  <c r="I816" i="2"/>
  <c r="H816" i="2"/>
  <c r="G816" i="2"/>
  <c r="F816" i="2"/>
  <c r="E816" i="2"/>
  <c r="D816" i="2"/>
  <c r="C816" i="2"/>
  <c r="B816" i="2"/>
  <c r="A816" i="2"/>
  <c r="J815" i="2"/>
  <c r="I815" i="2"/>
  <c r="H815" i="2"/>
  <c r="G815" i="2"/>
  <c r="F815" i="2"/>
  <c r="E815" i="2"/>
  <c r="D815" i="2"/>
  <c r="C815" i="2"/>
  <c r="B815" i="2"/>
  <c r="A815" i="2"/>
  <c r="J814" i="2"/>
  <c r="I814" i="2"/>
  <c r="H814" i="2"/>
  <c r="G814" i="2"/>
  <c r="F814" i="2"/>
  <c r="E814" i="2"/>
  <c r="D814" i="2"/>
  <c r="C814" i="2"/>
  <c r="B814" i="2"/>
  <c r="A814" i="2"/>
  <c r="J813" i="2"/>
  <c r="I813" i="2"/>
  <c r="H813" i="2"/>
  <c r="G813" i="2"/>
  <c r="F813" i="2"/>
  <c r="E813" i="2"/>
  <c r="D813" i="2"/>
  <c r="C813" i="2"/>
  <c r="B813" i="2"/>
  <c r="A813" i="2"/>
  <c r="J812" i="2"/>
  <c r="I812" i="2"/>
  <c r="H812" i="2"/>
  <c r="G812" i="2"/>
  <c r="F812" i="2"/>
  <c r="E812" i="2"/>
  <c r="D812" i="2"/>
  <c r="C812" i="2"/>
  <c r="B812" i="2"/>
  <c r="A812" i="2"/>
  <c r="J811" i="2"/>
  <c r="I811" i="2"/>
  <c r="H811" i="2"/>
  <c r="G811" i="2"/>
  <c r="F811" i="2"/>
  <c r="E811" i="2"/>
  <c r="D811" i="2"/>
  <c r="C811" i="2"/>
  <c r="B811" i="2"/>
  <c r="A811" i="2"/>
  <c r="J810" i="2"/>
  <c r="I810" i="2"/>
  <c r="H810" i="2"/>
  <c r="G810" i="2"/>
  <c r="F810" i="2"/>
  <c r="E810" i="2"/>
  <c r="D810" i="2"/>
  <c r="C810" i="2"/>
  <c r="B810" i="2"/>
  <c r="A810" i="2"/>
  <c r="J809" i="2"/>
  <c r="I809" i="2"/>
  <c r="H809" i="2"/>
  <c r="G809" i="2"/>
  <c r="F809" i="2"/>
  <c r="E809" i="2"/>
  <c r="D809" i="2"/>
  <c r="C809" i="2"/>
  <c r="B809" i="2"/>
  <c r="A809" i="2"/>
  <c r="J808" i="2"/>
  <c r="I808" i="2"/>
  <c r="H808" i="2"/>
  <c r="G808" i="2"/>
  <c r="F808" i="2"/>
  <c r="E808" i="2"/>
  <c r="D808" i="2"/>
  <c r="C808" i="2"/>
  <c r="B808" i="2"/>
  <c r="A808" i="2"/>
  <c r="J807" i="2"/>
  <c r="I807" i="2"/>
  <c r="H807" i="2"/>
  <c r="G807" i="2"/>
  <c r="F807" i="2"/>
  <c r="E807" i="2"/>
  <c r="D807" i="2"/>
  <c r="C807" i="2"/>
  <c r="B807" i="2"/>
  <c r="A807" i="2"/>
  <c r="J806" i="2"/>
  <c r="I806" i="2"/>
  <c r="H806" i="2"/>
  <c r="G806" i="2"/>
  <c r="F806" i="2"/>
  <c r="E806" i="2"/>
  <c r="D806" i="2"/>
  <c r="C806" i="2"/>
  <c r="B806" i="2"/>
  <c r="A806" i="2"/>
  <c r="J805" i="2"/>
  <c r="I805" i="2"/>
  <c r="H805" i="2"/>
  <c r="G805" i="2"/>
  <c r="F805" i="2"/>
  <c r="E805" i="2"/>
  <c r="D805" i="2"/>
  <c r="C805" i="2"/>
  <c r="B805" i="2"/>
  <c r="A805" i="2"/>
  <c r="J804" i="2"/>
  <c r="I804" i="2"/>
  <c r="H804" i="2"/>
  <c r="G804" i="2"/>
  <c r="F804" i="2"/>
  <c r="E804" i="2"/>
  <c r="D804" i="2"/>
  <c r="C804" i="2"/>
  <c r="B804" i="2"/>
  <c r="A804" i="2"/>
  <c r="J803" i="2"/>
  <c r="I803" i="2"/>
  <c r="H803" i="2"/>
  <c r="G803" i="2"/>
  <c r="F803" i="2"/>
  <c r="E803" i="2"/>
  <c r="D803" i="2"/>
  <c r="C803" i="2"/>
  <c r="B803" i="2"/>
  <c r="A803" i="2"/>
  <c r="J802" i="2"/>
  <c r="I802" i="2"/>
  <c r="H802" i="2"/>
  <c r="G802" i="2"/>
  <c r="F802" i="2"/>
  <c r="E802" i="2"/>
  <c r="D802" i="2"/>
  <c r="C802" i="2"/>
  <c r="B802" i="2"/>
  <c r="A802" i="2"/>
  <c r="J801" i="2"/>
  <c r="I801" i="2"/>
  <c r="H801" i="2"/>
  <c r="G801" i="2"/>
  <c r="F801" i="2"/>
  <c r="E801" i="2"/>
  <c r="D801" i="2"/>
  <c r="C801" i="2"/>
  <c r="B801" i="2"/>
  <c r="A801" i="2"/>
  <c r="J800" i="2"/>
  <c r="I800" i="2"/>
  <c r="H800" i="2"/>
  <c r="G800" i="2"/>
  <c r="F800" i="2"/>
  <c r="E800" i="2"/>
  <c r="D800" i="2"/>
  <c r="C800" i="2"/>
  <c r="B800" i="2"/>
  <c r="A800" i="2"/>
  <c r="J799" i="2"/>
  <c r="I799" i="2"/>
  <c r="H799" i="2"/>
  <c r="G799" i="2"/>
  <c r="F799" i="2"/>
  <c r="E799" i="2"/>
  <c r="D799" i="2"/>
  <c r="C799" i="2"/>
  <c r="B799" i="2"/>
  <c r="A799" i="2"/>
  <c r="J798" i="2"/>
  <c r="I798" i="2"/>
  <c r="H798" i="2"/>
  <c r="G798" i="2"/>
  <c r="F798" i="2"/>
  <c r="E798" i="2"/>
  <c r="D798" i="2"/>
  <c r="C798" i="2"/>
  <c r="B798" i="2"/>
  <c r="A798" i="2"/>
  <c r="J797" i="2"/>
  <c r="I797" i="2"/>
  <c r="H797" i="2"/>
  <c r="G797" i="2"/>
  <c r="F797" i="2"/>
  <c r="E797" i="2"/>
  <c r="D797" i="2"/>
  <c r="C797" i="2"/>
  <c r="B797" i="2"/>
  <c r="A797" i="2"/>
  <c r="J796" i="2"/>
  <c r="I796" i="2"/>
  <c r="H796" i="2"/>
  <c r="G796" i="2"/>
  <c r="F796" i="2"/>
  <c r="E796" i="2"/>
  <c r="D796" i="2"/>
  <c r="C796" i="2"/>
  <c r="B796" i="2"/>
  <c r="A796" i="2"/>
  <c r="J795" i="2"/>
  <c r="I795" i="2"/>
  <c r="H795" i="2"/>
  <c r="G795" i="2"/>
  <c r="F795" i="2"/>
  <c r="E795" i="2"/>
  <c r="D795" i="2"/>
  <c r="C795" i="2"/>
  <c r="B795" i="2"/>
  <c r="A795" i="2"/>
  <c r="J794" i="2"/>
  <c r="I794" i="2"/>
  <c r="H794" i="2"/>
  <c r="G794" i="2"/>
  <c r="F794" i="2"/>
  <c r="E794" i="2"/>
  <c r="D794" i="2"/>
  <c r="C794" i="2"/>
  <c r="B794" i="2"/>
  <c r="A794" i="2"/>
  <c r="J793" i="2"/>
  <c r="I793" i="2"/>
  <c r="H793" i="2"/>
  <c r="G793" i="2"/>
  <c r="F793" i="2"/>
  <c r="E793" i="2"/>
  <c r="D793" i="2"/>
  <c r="C793" i="2"/>
  <c r="B793" i="2"/>
  <c r="A793" i="2"/>
  <c r="J792" i="2"/>
  <c r="I792" i="2"/>
  <c r="H792" i="2"/>
  <c r="G792" i="2"/>
  <c r="F792" i="2"/>
  <c r="E792" i="2"/>
  <c r="D792" i="2"/>
  <c r="C792" i="2"/>
  <c r="B792" i="2"/>
  <c r="A792" i="2"/>
  <c r="J791" i="2"/>
  <c r="I791" i="2"/>
  <c r="H791" i="2"/>
  <c r="G791" i="2"/>
  <c r="F791" i="2"/>
  <c r="E791" i="2"/>
  <c r="D791" i="2"/>
  <c r="C791" i="2"/>
  <c r="B791" i="2"/>
  <c r="A791" i="2"/>
  <c r="J790" i="2"/>
  <c r="I790" i="2"/>
  <c r="H790" i="2"/>
  <c r="G790" i="2"/>
  <c r="F790" i="2"/>
  <c r="E790" i="2"/>
  <c r="D790" i="2"/>
  <c r="C790" i="2"/>
  <c r="B790" i="2"/>
  <c r="A790" i="2"/>
  <c r="J789" i="2"/>
  <c r="I789" i="2"/>
  <c r="H789" i="2"/>
  <c r="G789" i="2"/>
  <c r="F789" i="2"/>
  <c r="E789" i="2"/>
  <c r="D789" i="2"/>
  <c r="C789" i="2"/>
  <c r="B789" i="2"/>
  <c r="A789" i="2"/>
  <c r="J788" i="2"/>
  <c r="I788" i="2"/>
  <c r="H788" i="2"/>
  <c r="G788" i="2"/>
  <c r="F788" i="2"/>
  <c r="E788" i="2"/>
  <c r="D788" i="2"/>
  <c r="C788" i="2"/>
  <c r="B788" i="2"/>
  <c r="A788" i="2"/>
  <c r="J787" i="2"/>
  <c r="I787" i="2"/>
  <c r="H787" i="2"/>
  <c r="G787" i="2"/>
  <c r="F787" i="2"/>
  <c r="E787" i="2"/>
  <c r="D787" i="2"/>
  <c r="C787" i="2"/>
  <c r="B787" i="2"/>
  <c r="A787" i="2"/>
  <c r="J786" i="2"/>
  <c r="I786" i="2"/>
  <c r="H786" i="2"/>
  <c r="G786" i="2"/>
  <c r="F786" i="2"/>
  <c r="E786" i="2"/>
  <c r="D786" i="2"/>
  <c r="C786" i="2"/>
  <c r="B786" i="2"/>
  <c r="A786" i="2"/>
  <c r="J785" i="2"/>
  <c r="I785" i="2"/>
  <c r="H785" i="2"/>
  <c r="G785" i="2"/>
  <c r="F785" i="2"/>
  <c r="E785" i="2"/>
  <c r="D785" i="2"/>
  <c r="C785" i="2"/>
  <c r="B785" i="2"/>
  <c r="A785" i="2"/>
  <c r="J784" i="2"/>
  <c r="I784" i="2"/>
  <c r="H784" i="2"/>
  <c r="G784" i="2"/>
  <c r="F784" i="2"/>
  <c r="E784" i="2"/>
  <c r="D784" i="2"/>
  <c r="C784" i="2"/>
  <c r="B784" i="2"/>
  <c r="A784" i="2"/>
  <c r="J783" i="2"/>
  <c r="I783" i="2"/>
  <c r="H783" i="2"/>
  <c r="G783" i="2"/>
  <c r="F783" i="2"/>
  <c r="E783" i="2"/>
  <c r="D783" i="2"/>
  <c r="C783" i="2"/>
  <c r="B783" i="2"/>
  <c r="A783" i="2"/>
  <c r="J782" i="2"/>
  <c r="I782" i="2"/>
  <c r="H782" i="2"/>
  <c r="G782" i="2"/>
  <c r="F782" i="2"/>
  <c r="E782" i="2"/>
  <c r="D782" i="2"/>
  <c r="C782" i="2"/>
  <c r="B782" i="2"/>
  <c r="A782" i="2"/>
  <c r="J781" i="2"/>
  <c r="I781" i="2"/>
  <c r="H781" i="2"/>
  <c r="G781" i="2"/>
  <c r="F781" i="2"/>
  <c r="E781" i="2"/>
  <c r="D781" i="2"/>
  <c r="C781" i="2"/>
  <c r="B781" i="2"/>
  <c r="A781" i="2"/>
  <c r="J780" i="2"/>
  <c r="I780" i="2"/>
  <c r="H780" i="2"/>
  <c r="G780" i="2"/>
  <c r="F780" i="2"/>
  <c r="E780" i="2"/>
  <c r="D780" i="2"/>
  <c r="C780" i="2"/>
  <c r="B780" i="2"/>
  <c r="A780" i="2"/>
  <c r="J779" i="2"/>
  <c r="I779" i="2"/>
  <c r="H779" i="2"/>
  <c r="G779" i="2"/>
  <c r="F779" i="2"/>
  <c r="E779" i="2"/>
  <c r="D779" i="2"/>
  <c r="C779" i="2"/>
  <c r="B779" i="2"/>
  <c r="A779" i="2"/>
  <c r="J778" i="2"/>
  <c r="I778" i="2"/>
  <c r="H778" i="2"/>
  <c r="G778" i="2"/>
  <c r="F778" i="2"/>
  <c r="E778" i="2"/>
  <c r="D778" i="2"/>
  <c r="C778" i="2"/>
  <c r="B778" i="2"/>
  <c r="A778" i="2"/>
  <c r="J777" i="2"/>
  <c r="I777" i="2"/>
  <c r="H777" i="2"/>
  <c r="G777" i="2"/>
  <c r="F777" i="2"/>
  <c r="E777" i="2"/>
  <c r="D777" i="2"/>
  <c r="C777" i="2"/>
  <c r="B777" i="2"/>
  <c r="A777" i="2"/>
  <c r="J776" i="2"/>
  <c r="I776" i="2"/>
  <c r="H776" i="2"/>
  <c r="G776" i="2"/>
  <c r="F776" i="2"/>
  <c r="E776" i="2"/>
  <c r="D776" i="2"/>
  <c r="C776" i="2"/>
  <c r="B776" i="2"/>
  <c r="A776" i="2"/>
  <c r="J775" i="2"/>
  <c r="I775" i="2"/>
  <c r="H775" i="2"/>
  <c r="G775" i="2"/>
  <c r="F775" i="2"/>
  <c r="E775" i="2"/>
  <c r="D775" i="2"/>
  <c r="C775" i="2"/>
  <c r="B775" i="2"/>
  <c r="A775" i="2"/>
  <c r="J774" i="2"/>
  <c r="I774" i="2"/>
  <c r="H774" i="2"/>
  <c r="G774" i="2"/>
  <c r="F774" i="2"/>
  <c r="E774" i="2"/>
  <c r="D774" i="2"/>
  <c r="C774" i="2"/>
  <c r="B774" i="2"/>
  <c r="A774" i="2"/>
  <c r="J773" i="2"/>
  <c r="I773" i="2"/>
  <c r="H773" i="2"/>
  <c r="G773" i="2"/>
  <c r="F773" i="2"/>
  <c r="E773" i="2"/>
  <c r="D773" i="2"/>
  <c r="C773" i="2"/>
  <c r="B773" i="2"/>
  <c r="A773" i="2"/>
  <c r="J772" i="2"/>
  <c r="I772" i="2"/>
  <c r="H772" i="2"/>
  <c r="G772" i="2"/>
  <c r="F772" i="2"/>
  <c r="E772" i="2"/>
  <c r="D772" i="2"/>
  <c r="C772" i="2"/>
  <c r="B772" i="2"/>
  <c r="A772" i="2"/>
  <c r="J771" i="2"/>
  <c r="I771" i="2"/>
  <c r="H771" i="2"/>
  <c r="G771" i="2"/>
  <c r="F771" i="2"/>
  <c r="E771" i="2"/>
  <c r="D771" i="2"/>
  <c r="C771" i="2"/>
  <c r="B771" i="2"/>
  <c r="A771" i="2"/>
  <c r="J770" i="2"/>
  <c r="I770" i="2"/>
  <c r="H770" i="2"/>
  <c r="G770" i="2"/>
  <c r="F770" i="2"/>
  <c r="E770" i="2"/>
  <c r="D770" i="2"/>
  <c r="C770" i="2"/>
  <c r="B770" i="2"/>
  <c r="A770" i="2"/>
  <c r="J769" i="2"/>
  <c r="I769" i="2"/>
  <c r="H769" i="2"/>
  <c r="G769" i="2"/>
  <c r="F769" i="2"/>
  <c r="E769" i="2"/>
  <c r="D769" i="2"/>
  <c r="C769" i="2"/>
  <c r="B769" i="2"/>
  <c r="A769" i="2"/>
  <c r="J768" i="2"/>
  <c r="I768" i="2"/>
  <c r="H768" i="2"/>
  <c r="G768" i="2"/>
  <c r="F768" i="2"/>
  <c r="E768" i="2"/>
  <c r="D768" i="2"/>
  <c r="C768" i="2"/>
  <c r="B768" i="2"/>
  <c r="A768" i="2"/>
  <c r="J767" i="2"/>
  <c r="I767" i="2"/>
  <c r="H767" i="2"/>
  <c r="G767" i="2"/>
  <c r="F767" i="2"/>
  <c r="E767" i="2"/>
  <c r="D767" i="2"/>
  <c r="C767" i="2"/>
  <c r="B767" i="2"/>
  <c r="A767" i="2"/>
  <c r="J766" i="2"/>
  <c r="I766" i="2"/>
  <c r="H766" i="2"/>
  <c r="G766" i="2"/>
  <c r="F766" i="2"/>
  <c r="E766" i="2"/>
  <c r="D766" i="2"/>
  <c r="C766" i="2"/>
  <c r="B766" i="2"/>
  <c r="A766" i="2"/>
  <c r="J765" i="2"/>
  <c r="I765" i="2"/>
  <c r="H765" i="2"/>
  <c r="G765" i="2"/>
  <c r="F765" i="2"/>
  <c r="E765" i="2"/>
  <c r="D765" i="2"/>
  <c r="C765" i="2"/>
  <c r="B765" i="2"/>
  <c r="A765" i="2"/>
  <c r="J764" i="2"/>
  <c r="I764" i="2"/>
  <c r="H764" i="2"/>
  <c r="G764" i="2"/>
  <c r="F764" i="2"/>
  <c r="E764" i="2"/>
  <c r="D764" i="2"/>
  <c r="C764" i="2"/>
  <c r="B764" i="2"/>
  <c r="A764" i="2"/>
  <c r="J763" i="2"/>
  <c r="I763" i="2"/>
  <c r="H763" i="2"/>
  <c r="G763" i="2"/>
  <c r="F763" i="2"/>
  <c r="E763" i="2"/>
  <c r="D763" i="2"/>
  <c r="C763" i="2"/>
  <c r="B763" i="2"/>
  <c r="A763" i="2"/>
  <c r="J762" i="2"/>
  <c r="I762" i="2"/>
  <c r="H762" i="2"/>
  <c r="G762" i="2"/>
  <c r="F762" i="2"/>
  <c r="E762" i="2"/>
  <c r="D762" i="2"/>
  <c r="C762" i="2"/>
  <c r="B762" i="2"/>
  <c r="A762" i="2"/>
  <c r="J761" i="2"/>
  <c r="I761" i="2"/>
  <c r="H761" i="2"/>
  <c r="G761" i="2"/>
  <c r="F761" i="2"/>
  <c r="E761" i="2"/>
  <c r="D761" i="2"/>
  <c r="C761" i="2"/>
  <c r="B761" i="2"/>
  <c r="A761" i="2"/>
  <c r="J760" i="2"/>
  <c r="I760" i="2"/>
  <c r="H760" i="2"/>
  <c r="G760" i="2"/>
  <c r="F760" i="2"/>
  <c r="E760" i="2"/>
  <c r="D760" i="2"/>
  <c r="C760" i="2"/>
  <c r="B760" i="2"/>
  <c r="A760" i="2"/>
  <c r="J759" i="2"/>
  <c r="I759" i="2"/>
  <c r="H759" i="2"/>
  <c r="G759" i="2"/>
  <c r="F759" i="2"/>
  <c r="E759" i="2"/>
  <c r="D759" i="2"/>
  <c r="C759" i="2"/>
  <c r="B759" i="2"/>
  <c r="A759" i="2"/>
  <c r="J758" i="2"/>
  <c r="I758" i="2"/>
  <c r="H758" i="2"/>
  <c r="G758" i="2"/>
  <c r="F758" i="2"/>
  <c r="E758" i="2"/>
  <c r="D758" i="2"/>
  <c r="C758" i="2"/>
  <c r="B758" i="2"/>
  <c r="A758" i="2"/>
  <c r="J757" i="2"/>
  <c r="I757" i="2"/>
  <c r="H757" i="2"/>
  <c r="G757" i="2"/>
  <c r="F757" i="2"/>
  <c r="E757" i="2"/>
  <c r="D757" i="2"/>
  <c r="C757" i="2"/>
  <c r="B757" i="2"/>
  <c r="A757" i="2"/>
  <c r="J756" i="2"/>
  <c r="I756" i="2"/>
  <c r="H756" i="2"/>
  <c r="G756" i="2"/>
  <c r="F756" i="2"/>
  <c r="E756" i="2"/>
  <c r="D756" i="2"/>
  <c r="C756" i="2"/>
  <c r="B756" i="2"/>
  <c r="A756" i="2"/>
  <c r="J755" i="2"/>
  <c r="I755" i="2"/>
  <c r="H755" i="2"/>
  <c r="G755" i="2"/>
  <c r="F755" i="2"/>
  <c r="E755" i="2"/>
  <c r="D755" i="2"/>
  <c r="C755" i="2"/>
  <c r="B755" i="2"/>
  <c r="A755" i="2"/>
  <c r="J754" i="2"/>
  <c r="I754" i="2"/>
  <c r="H754" i="2"/>
  <c r="G754" i="2"/>
  <c r="F754" i="2"/>
  <c r="E754" i="2"/>
  <c r="D754" i="2"/>
  <c r="C754" i="2"/>
  <c r="B754" i="2"/>
  <c r="A754" i="2"/>
  <c r="J753" i="2"/>
  <c r="I753" i="2"/>
  <c r="H753" i="2"/>
  <c r="G753" i="2"/>
  <c r="F753" i="2"/>
  <c r="E753" i="2"/>
  <c r="D753" i="2"/>
  <c r="C753" i="2"/>
  <c r="B753" i="2"/>
  <c r="A753" i="2"/>
  <c r="J752" i="2"/>
  <c r="I752" i="2"/>
  <c r="H752" i="2"/>
  <c r="G752" i="2"/>
  <c r="F752" i="2"/>
  <c r="E752" i="2"/>
  <c r="D752" i="2"/>
  <c r="C752" i="2"/>
  <c r="B752" i="2"/>
  <c r="A752" i="2"/>
  <c r="J751" i="2"/>
  <c r="I751" i="2"/>
  <c r="H751" i="2"/>
  <c r="G751" i="2"/>
  <c r="F751" i="2"/>
  <c r="E751" i="2"/>
  <c r="D751" i="2"/>
  <c r="C751" i="2"/>
  <c r="B751" i="2"/>
  <c r="A751" i="2"/>
  <c r="J750" i="2"/>
  <c r="I750" i="2"/>
  <c r="H750" i="2"/>
  <c r="G750" i="2"/>
  <c r="F750" i="2"/>
  <c r="E750" i="2"/>
  <c r="D750" i="2"/>
  <c r="C750" i="2"/>
  <c r="B750" i="2"/>
  <c r="A750" i="2"/>
  <c r="J749" i="2"/>
  <c r="I749" i="2"/>
  <c r="H749" i="2"/>
  <c r="G749" i="2"/>
  <c r="F749" i="2"/>
  <c r="E749" i="2"/>
  <c r="D749" i="2"/>
  <c r="C749" i="2"/>
  <c r="B749" i="2"/>
  <c r="A749" i="2"/>
  <c r="J748" i="2"/>
  <c r="I748" i="2"/>
  <c r="H748" i="2"/>
  <c r="G748" i="2"/>
  <c r="F748" i="2"/>
  <c r="E748" i="2"/>
  <c r="D748" i="2"/>
  <c r="C748" i="2"/>
  <c r="B748" i="2"/>
  <c r="A748" i="2"/>
  <c r="J747" i="2"/>
  <c r="I747" i="2"/>
  <c r="H747" i="2"/>
  <c r="G747" i="2"/>
  <c r="F747" i="2"/>
  <c r="E747" i="2"/>
  <c r="D747" i="2"/>
  <c r="C747" i="2"/>
  <c r="B747" i="2"/>
  <c r="A747" i="2"/>
  <c r="J746" i="2"/>
  <c r="I746" i="2"/>
  <c r="H746" i="2"/>
  <c r="G746" i="2"/>
  <c r="F746" i="2"/>
  <c r="E746" i="2"/>
  <c r="D746" i="2"/>
  <c r="C746" i="2"/>
  <c r="B746" i="2"/>
  <c r="A746" i="2"/>
  <c r="J745" i="2"/>
  <c r="I745" i="2"/>
  <c r="H745" i="2"/>
  <c r="G745" i="2"/>
  <c r="F745" i="2"/>
  <c r="E745" i="2"/>
  <c r="D745" i="2"/>
  <c r="C745" i="2"/>
  <c r="B745" i="2"/>
  <c r="A745" i="2"/>
  <c r="J744" i="2"/>
  <c r="I744" i="2"/>
  <c r="H744" i="2"/>
  <c r="G744" i="2"/>
  <c r="F744" i="2"/>
  <c r="E744" i="2"/>
  <c r="D744" i="2"/>
  <c r="C744" i="2"/>
  <c r="B744" i="2"/>
  <c r="A744" i="2"/>
  <c r="J743" i="2"/>
  <c r="I743" i="2"/>
  <c r="H743" i="2"/>
  <c r="G743" i="2"/>
  <c r="F743" i="2"/>
  <c r="E743" i="2"/>
  <c r="D743" i="2"/>
  <c r="C743" i="2"/>
  <c r="B743" i="2"/>
  <c r="A743" i="2"/>
  <c r="J742" i="2"/>
  <c r="I742" i="2"/>
  <c r="H742" i="2"/>
  <c r="G742" i="2"/>
  <c r="F742" i="2"/>
  <c r="E742" i="2"/>
  <c r="D742" i="2"/>
  <c r="C742" i="2"/>
  <c r="B742" i="2"/>
  <c r="A742" i="2"/>
  <c r="J741" i="2"/>
  <c r="I741" i="2"/>
  <c r="H741" i="2"/>
  <c r="G741" i="2"/>
  <c r="F741" i="2"/>
  <c r="E741" i="2"/>
  <c r="D741" i="2"/>
  <c r="C741" i="2"/>
  <c r="B741" i="2"/>
  <c r="A741" i="2"/>
  <c r="J740" i="2"/>
  <c r="I740" i="2"/>
  <c r="H740" i="2"/>
  <c r="G740" i="2"/>
  <c r="F740" i="2"/>
  <c r="E740" i="2"/>
  <c r="D740" i="2"/>
  <c r="C740" i="2"/>
  <c r="B740" i="2"/>
  <c r="A740" i="2"/>
  <c r="J739" i="2"/>
  <c r="I739" i="2"/>
  <c r="H739" i="2"/>
  <c r="G739" i="2"/>
  <c r="F739" i="2"/>
  <c r="E739" i="2"/>
  <c r="D739" i="2"/>
  <c r="C739" i="2"/>
  <c r="B739" i="2"/>
  <c r="A739" i="2"/>
  <c r="J738" i="2"/>
  <c r="I738" i="2"/>
  <c r="H738" i="2"/>
  <c r="G738" i="2"/>
  <c r="F738" i="2"/>
  <c r="E738" i="2"/>
  <c r="D738" i="2"/>
  <c r="C738" i="2"/>
  <c r="B738" i="2"/>
  <c r="A738" i="2"/>
  <c r="J737" i="2"/>
  <c r="I737" i="2"/>
  <c r="H737" i="2"/>
  <c r="G737" i="2"/>
  <c r="F737" i="2"/>
  <c r="E737" i="2"/>
  <c r="D737" i="2"/>
  <c r="C737" i="2"/>
  <c r="B737" i="2"/>
  <c r="A737" i="2"/>
  <c r="J736" i="2"/>
  <c r="I736" i="2"/>
  <c r="H736" i="2"/>
  <c r="G736" i="2"/>
  <c r="F736" i="2"/>
  <c r="E736" i="2"/>
  <c r="D736" i="2"/>
  <c r="C736" i="2"/>
  <c r="B736" i="2"/>
  <c r="A736" i="2"/>
  <c r="J735" i="2"/>
  <c r="I735" i="2"/>
  <c r="H735" i="2"/>
  <c r="G735" i="2"/>
  <c r="F735" i="2"/>
  <c r="E735" i="2"/>
  <c r="D735" i="2"/>
  <c r="C735" i="2"/>
  <c r="B735" i="2"/>
  <c r="A735" i="2"/>
  <c r="J734" i="2"/>
  <c r="I734" i="2"/>
  <c r="H734" i="2"/>
  <c r="G734" i="2"/>
  <c r="F734" i="2"/>
  <c r="E734" i="2"/>
  <c r="D734" i="2"/>
  <c r="C734" i="2"/>
  <c r="B734" i="2"/>
  <c r="A734" i="2"/>
  <c r="J733" i="2"/>
  <c r="I733" i="2"/>
  <c r="H733" i="2"/>
  <c r="G733" i="2"/>
  <c r="F733" i="2"/>
  <c r="E733" i="2"/>
  <c r="D733" i="2"/>
  <c r="C733" i="2"/>
  <c r="B733" i="2"/>
  <c r="A733" i="2"/>
  <c r="J732" i="2"/>
  <c r="I732" i="2"/>
  <c r="H732" i="2"/>
  <c r="G732" i="2"/>
  <c r="F732" i="2"/>
  <c r="E732" i="2"/>
  <c r="D732" i="2"/>
  <c r="C732" i="2"/>
  <c r="B732" i="2"/>
  <c r="A732" i="2"/>
  <c r="J731" i="2"/>
  <c r="I731" i="2"/>
  <c r="H731" i="2"/>
  <c r="G731" i="2"/>
  <c r="F731" i="2"/>
  <c r="E731" i="2"/>
  <c r="D731" i="2"/>
  <c r="C731" i="2"/>
  <c r="B731" i="2"/>
  <c r="A731" i="2"/>
  <c r="J730" i="2"/>
  <c r="I730" i="2"/>
  <c r="H730" i="2"/>
  <c r="G730" i="2"/>
  <c r="F730" i="2"/>
  <c r="E730" i="2"/>
  <c r="D730" i="2"/>
  <c r="C730" i="2"/>
  <c r="B730" i="2"/>
  <c r="A730" i="2"/>
  <c r="J729" i="2"/>
  <c r="I729" i="2"/>
  <c r="H729" i="2"/>
  <c r="G729" i="2"/>
  <c r="F729" i="2"/>
  <c r="E729" i="2"/>
  <c r="D729" i="2"/>
  <c r="C729" i="2"/>
  <c r="B729" i="2"/>
  <c r="A729" i="2"/>
  <c r="J728" i="2"/>
  <c r="I728" i="2"/>
  <c r="H728" i="2"/>
  <c r="G728" i="2"/>
  <c r="F728" i="2"/>
  <c r="E728" i="2"/>
  <c r="D728" i="2"/>
  <c r="C728" i="2"/>
  <c r="B728" i="2"/>
  <c r="A728" i="2"/>
  <c r="J727" i="2"/>
  <c r="I727" i="2"/>
  <c r="H727" i="2"/>
  <c r="G727" i="2"/>
  <c r="F727" i="2"/>
  <c r="E727" i="2"/>
  <c r="D727" i="2"/>
  <c r="C727" i="2"/>
  <c r="B727" i="2"/>
  <c r="A727" i="2"/>
  <c r="J726" i="2"/>
  <c r="I726" i="2"/>
  <c r="H726" i="2"/>
  <c r="G726" i="2"/>
  <c r="F726" i="2"/>
  <c r="E726" i="2"/>
  <c r="D726" i="2"/>
  <c r="C726" i="2"/>
  <c r="B726" i="2"/>
  <c r="A726" i="2"/>
  <c r="J725" i="2"/>
  <c r="I725" i="2"/>
  <c r="H725" i="2"/>
  <c r="G725" i="2"/>
  <c r="F725" i="2"/>
  <c r="E725" i="2"/>
  <c r="D725" i="2"/>
  <c r="C725" i="2"/>
  <c r="B725" i="2"/>
  <c r="A725" i="2"/>
  <c r="J724" i="2"/>
  <c r="I724" i="2"/>
  <c r="H724" i="2"/>
  <c r="G724" i="2"/>
  <c r="F724" i="2"/>
  <c r="E724" i="2"/>
  <c r="D724" i="2"/>
  <c r="C724" i="2"/>
  <c r="B724" i="2"/>
  <c r="A724" i="2"/>
  <c r="J723" i="2"/>
  <c r="I723" i="2"/>
  <c r="H723" i="2"/>
  <c r="G723" i="2"/>
  <c r="F723" i="2"/>
  <c r="E723" i="2"/>
  <c r="D723" i="2"/>
  <c r="C723" i="2"/>
  <c r="B723" i="2"/>
  <c r="A723" i="2"/>
  <c r="J722" i="2"/>
  <c r="I722" i="2"/>
  <c r="H722" i="2"/>
  <c r="G722" i="2"/>
  <c r="F722" i="2"/>
  <c r="E722" i="2"/>
  <c r="D722" i="2"/>
  <c r="C722" i="2"/>
  <c r="B722" i="2"/>
  <c r="A722" i="2"/>
  <c r="J721" i="2"/>
  <c r="I721" i="2"/>
  <c r="H721" i="2"/>
  <c r="G721" i="2"/>
  <c r="F721" i="2"/>
  <c r="E721" i="2"/>
  <c r="D721" i="2"/>
  <c r="C721" i="2"/>
  <c r="B721" i="2"/>
  <c r="A721" i="2"/>
  <c r="J720" i="2"/>
  <c r="I720" i="2"/>
  <c r="H720" i="2"/>
  <c r="G720" i="2"/>
  <c r="F720" i="2"/>
  <c r="E720" i="2"/>
  <c r="D720" i="2"/>
  <c r="C720" i="2"/>
  <c r="B720" i="2"/>
  <c r="A720" i="2"/>
  <c r="J719" i="2"/>
  <c r="I719" i="2"/>
  <c r="H719" i="2"/>
  <c r="G719" i="2"/>
  <c r="F719" i="2"/>
  <c r="E719" i="2"/>
  <c r="D719" i="2"/>
  <c r="C719" i="2"/>
  <c r="B719" i="2"/>
  <c r="A719" i="2"/>
  <c r="J718" i="2"/>
  <c r="I718" i="2"/>
  <c r="H718" i="2"/>
  <c r="G718" i="2"/>
  <c r="F718" i="2"/>
  <c r="E718" i="2"/>
  <c r="D718" i="2"/>
  <c r="C718" i="2"/>
  <c r="B718" i="2"/>
  <c r="A718" i="2"/>
  <c r="J717" i="2"/>
  <c r="I717" i="2"/>
  <c r="H717" i="2"/>
  <c r="G717" i="2"/>
  <c r="F717" i="2"/>
  <c r="E717" i="2"/>
  <c r="D717" i="2"/>
  <c r="C717" i="2"/>
  <c r="B717" i="2"/>
  <c r="A717" i="2"/>
  <c r="J716" i="2"/>
  <c r="I716" i="2"/>
  <c r="H716" i="2"/>
  <c r="G716" i="2"/>
  <c r="F716" i="2"/>
  <c r="E716" i="2"/>
  <c r="D716" i="2"/>
  <c r="C716" i="2"/>
  <c r="B716" i="2"/>
  <c r="A716" i="2"/>
  <c r="J715" i="2"/>
  <c r="I715" i="2"/>
  <c r="H715" i="2"/>
  <c r="G715" i="2"/>
  <c r="F715" i="2"/>
  <c r="E715" i="2"/>
  <c r="D715" i="2"/>
  <c r="C715" i="2"/>
  <c r="B715" i="2"/>
  <c r="A715" i="2"/>
  <c r="J714" i="2"/>
  <c r="I714" i="2"/>
  <c r="H714" i="2"/>
  <c r="G714" i="2"/>
  <c r="F714" i="2"/>
  <c r="E714" i="2"/>
  <c r="D714" i="2"/>
  <c r="C714" i="2"/>
  <c r="B714" i="2"/>
  <c r="A714" i="2"/>
  <c r="J713" i="2"/>
  <c r="I713" i="2"/>
  <c r="H713" i="2"/>
  <c r="G713" i="2"/>
  <c r="F713" i="2"/>
  <c r="E713" i="2"/>
  <c r="D713" i="2"/>
  <c r="C713" i="2"/>
  <c r="B713" i="2"/>
  <c r="A713" i="2"/>
  <c r="J712" i="2"/>
  <c r="I712" i="2"/>
  <c r="H712" i="2"/>
  <c r="G712" i="2"/>
  <c r="F712" i="2"/>
  <c r="E712" i="2"/>
  <c r="D712" i="2"/>
  <c r="C712" i="2"/>
  <c r="B712" i="2"/>
  <c r="A712" i="2"/>
  <c r="J711" i="2"/>
  <c r="I711" i="2"/>
  <c r="H711" i="2"/>
  <c r="G711" i="2"/>
  <c r="F711" i="2"/>
  <c r="E711" i="2"/>
  <c r="D711" i="2"/>
  <c r="C711" i="2"/>
  <c r="B711" i="2"/>
  <c r="A711" i="2"/>
  <c r="J710" i="2"/>
  <c r="I710" i="2"/>
  <c r="H710" i="2"/>
  <c r="G710" i="2"/>
  <c r="F710" i="2"/>
  <c r="E710" i="2"/>
  <c r="D710" i="2"/>
  <c r="C710" i="2"/>
  <c r="B710" i="2"/>
  <c r="A710" i="2"/>
  <c r="J709" i="2"/>
  <c r="I709" i="2"/>
  <c r="H709" i="2"/>
  <c r="G709" i="2"/>
  <c r="F709" i="2"/>
  <c r="E709" i="2"/>
  <c r="D709" i="2"/>
  <c r="C709" i="2"/>
  <c r="B709" i="2"/>
  <c r="A709" i="2"/>
  <c r="J708" i="2"/>
  <c r="I708" i="2"/>
  <c r="H708" i="2"/>
  <c r="G708" i="2"/>
  <c r="F708" i="2"/>
  <c r="E708" i="2"/>
  <c r="D708" i="2"/>
  <c r="C708" i="2"/>
  <c r="B708" i="2"/>
  <c r="A708" i="2"/>
  <c r="J707" i="2"/>
  <c r="I707" i="2"/>
  <c r="H707" i="2"/>
  <c r="G707" i="2"/>
  <c r="F707" i="2"/>
  <c r="E707" i="2"/>
  <c r="D707" i="2"/>
  <c r="C707" i="2"/>
  <c r="B707" i="2"/>
  <c r="A707" i="2"/>
  <c r="J706" i="2"/>
  <c r="I706" i="2"/>
  <c r="H706" i="2"/>
  <c r="G706" i="2"/>
  <c r="F706" i="2"/>
  <c r="E706" i="2"/>
  <c r="D706" i="2"/>
  <c r="C706" i="2"/>
  <c r="B706" i="2"/>
  <c r="A706" i="2"/>
  <c r="J705" i="2"/>
  <c r="I705" i="2"/>
  <c r="H705" i="2"/>
  <c r="G705" i="2"/>
  <c r="F705" i="2"/>
  <c r="E705" i="2"/>
  <c r="D705" i="2"/>
  <c r="C705" i="2"/>
  <c r="B705" i="2"/>
  <c r="A705" i="2"/>
  <c r="J704" i="2"/>
  <c r="I704" i="2"/>
  <c r="H704" i="2"/>
  <c r="G704" i="2"/>
  <c r="F704" i="2"/>
  <c r="E704" i="2"/>
  <c r="D704" i="2"/>
  <c r="C704" i="2"/>
  <c r="B704" i="2"/>
  <c r="A704" i="2"/>
  <c r="J703" i="2"/>
  <c r="I703" i="2"/>
  <c r="H703" i="2"/>
  <c r="G703" i="2"/>
  <c r="F703" i="2"/>
  <c r="E703" i="2"/>
  <c r="D703" i="2"/>
  <c r="C703" i="2"/>
  <c r="B703" i="2"/>
  <c r="A703" i="2"/>
  <c r="J702" i="2"/>
  <c r="I702" i="2"/>
  <c r="H702" i="2"/>
  <c r="G702" i="2"/>
  <c r="F702" i="2"/>
  <c r="E702" i="2"/>
  <c r="D702" i="2"/>
  <c r="C702" i="2"/>
  <c r="B702" i="2"/>
  <c r="A702" i="2"/>
  <c r="J701" i="2"/>
  <c r="I701" i="2"/>
  <c r="H701" i="2"/>
  <c r="G701" i="2"/>
  <c r="F701" i="2"/>
  <c r="E701" i="2"/>
  <c r="D701" i="2"/>
  <c r="C701" i="2"/>
  <c r="B701" i="2"/>
  <c r="A701" i="2"/>
  <c r="J700" i="2"/>
  <c r="I700" i="2"/>
  <c r="H700" i="2"/>
  <c r="G700" i="2"/>
  <c r="F700" i="2"/>
  <c r="E700" i="2"/>
  <c r="D700" i="2"/>
  <c r="C700" i="2"/>
  <c r="B700" i="2"/>
  <c r="A700" i="2"/>
  <c r="J699" i="2"/>
  <c r="I699" i="2"/>
  <c r="H699" i="2"/>
  <c r="G699" i="2"/>
  <c r="F699" i="2"/>
  <c r="E699" i="2"/>
  <c r="D699" i="2"/>
  <c r="C699" i="2"/>
  <c r="B699" i="2"/>
  <c r="A699" i="2"/>
  <c r="J698" i="2"/>
  <c r="I698" i="2"/>
  <c r="H698" i="2"/>
  <c r="G698" i="2"/>
  <c r="F698" i="2"/>
  <c r="E698" i="2"/>
  <c r="D698" i="2"/>
  <c r="C698" i="2"/>
  <c r="B698" i="2"/>
  <c r="A698" i="2"/>
  <c r="J697" i="2"/>
  <c r="I697" i="2"/>
  <c r="H697" i="2"/>
  <c r="G697" i="2"/>
  <c r="F697" i="2"/>
  <c r="E697" i="2"/>
  <c r="D697" i="2"/>
  <c r="C697" i="2"/>
  <c r="B697" i="2"/>
  <c r="A697" i="2"/>
  <c r="J696" i="2"/>
  <c r="I696" i="2"/>
  <c r="H696" i="2"/>
  <c r="G696" i="2"/>
  <c r="F696" i="2"/>
  <c r="E696" i="2"/>
  <c r="D696" i="2"/>
  <c r="C696" i="2"/>
  <c r="B696" i="2"/>
  <c r="A696" i="2"/>
  <c r="J695" i="2"/>
  <c r="I695" i="2"/>
  <c r="H695" i="2"/>
  <c r="G695" i="2"/>
  <c r="F695" i="2"/>
  <c r="E695" i="2"/>
  <c r="D695" i="2"/>
  <c r="C695" i="2"/>
  <c r="B695" i="2"/>
  <c r="A695" i="2"/>
  <c r="J694" i="2"/>
  <c r="I694" i="2"/>
  <c r="H694" i="2"/>
  <c r="G694" i="2"/>
  <c r="F694" i="2"/>
  <c r="E694" i="2"/>
  <c r="D694" i="2"/>
  <c r="C694" i="2"/>
  <c r="B694" i="2"/>
  <c r="A694" i="2"/>
  <c r="J693" i="2"/>
  <c r="I693" i="2"/>
  <c r="H693" i="2"/>
  <c r="G693" i="2"/>
  <c r="F693" i="2"/>
  <c r="E693" i="2"/>
  <c r="D693" i="2"/>
  <c r="C693" i="2"/>
  <c r="B693" i="2"/>
  <c r="A693" i="2"/>
  <c r="J692" i="2"/>
  <c r="I692" i="2"/>
  <c r="H692" i="2"/>
  <c r="G692" i="2"/>
  <c r="F692" i="2"/>
  <c r="E692" i="2"/>
  <c r="D692" i="2"/>
  <c r="C692" i="2"/>
  <c r="B692" i="2"/>
  <c r="A692" i="2"/>
  <c r="J691" i="2"/>
  <c r="I691" i="2"/>
  <c r="H691" i="2"/>
  <c r="G691" i="2"/>
  <c r="F691" i="2"/>
  <c r="E691" i="2"/>
  <c r="D691" i="2"/>
  <c r="C691" i="2"/>
  <c r="B691" i="2"/>
  <c r="A691" i="2"/>
  <c r="J690" i="2"/>
  <c r="I690" i="2"/>
  <c r="H690" i="2"/>
  <c r="G690" i="2"/>
  <c r="F690" i="2"/>
  <c r="E690" i="2"/>
  <c r="D690" i="2"/>
  <c r="C690" i="2"/>
  <c r="B690" i="2"/>
  <c r="A690" i="2"/>
  <c r="J689" i="2"/>
  <c r="I689" i="2"/>
  <c r="H689" i="2"/>
  <c r="G689" i="2"/>
  <c r="F689" i="2"/>
  <c r="E689" i="2"/>
  <c r="D689" i="2"/>
  <c r="C689" i="2"/>
  <c r="B689" i="2"/>
  <c r="A689" i="2"/>
  <c r="J688" i="2"/>
  <c r="I688" i="2"/>
  <c r="H688" i="2"/>
  <c r="G688" i="2"/>
  <c r="F688" i="2"/>
  <c r="E688" i="2"/>
  <c r="D688" i="2"/>
  <c r="C688" i="2"/>
  <c r="B688" i="2"/>
  <c r="A688" i="2"/>
  <c r="J687" i="2"/>
  <c r="I687" i="2"/>
  <c r="H687" i="2"/>
  <c r="G687" i="2"/>
  <c r="F687" i="2"/>
  <c r="E687" i="2"/>
  <c r="D687" i="2"/>
  <c r="C687" i="2"/>
  <c r="B687" i="2"/>
  <c r="A687" i="2"/>
  <c r="J686" i="2"/>
  <c r="I686" i="2"/>
  <c r="H686" i="2"/>
  <c r="G686" i="2"/>
  <c r="F686" i="2"/>
  <c r="E686" i="2"/>
  <c r="D686" i="2"/>
  <c r="C686" i="2"/>
  <c r="B686" i="2"/>
  <c r="A686" i="2"/>
  <c r="J685" i="2"/>
  <c r="I685" i="2"/>
  <c r="H685" i="2"/>
  <c r="G685" i="2"/>
  <c r="F685" i="2"/>
  <c r="E685" i="2"/>
  <c r="D685" i="2"/>
  <c r="C685" i="2"/>
  <c r="B685" i="2"/>
  <c r="A685" i="2"/>
  <c r="J684" i="2"/>
  <c r="I684" i="2"/>
  <c r="H684" i="2"/>
  <c r="G684" i="2"/>
  <c r="F684" i="2"/>
  <c r="E684" i="2"/>
  <c r="D684" i="2"/>
  <c r="C684" i="2"/>
  <c r="B684" i="2"/>
  <c r="A684" i="2"/>
  <c r="J683" i="2"/>
  <c r="I683" i="2"/>
  <c r="H683" i="2"/>
  <c r="G683" i="2"/>
  <c r="F683" i="2"/>
  <c r="E683" i="2"/>
  <c r="D683" i="2"/>
  <c r="C683" i="2"/>
  <c r="B683" i="2"/>
  <c r="A683" i="2"/>
  <c r="J682" i="2"/>
  <c r="I682" i="2"/>
  <c r="H682" i="2"/>
  <c r="G682" i="2"/>
  <c r="F682" i="2"/>
  <c r="E682" i="2"/>
  <c r="D682" i="2"/>
  <c r="C682" i="2"/>
  <c r="B682" i="2"/>
  <c r="A682" i="2"/>
  <c r="J681" i="2"/>
  <c r="I681" i="2"/>
  <c r="H681" i="2"/>
  <c r="G681" i="2"/>
  <c r="F681" i="2"/>
  <c r="E681" i="2"/>
  <c r="D681" i="2"/>
  <c r="C681" i="2"/>
  <c r="B681" i="2"/>
  <c r="A681" i="2"/>
  <c r="J680" i="2"/>
  <c r="I680" i="2"/>
  <c r="H680" i="2"/>
  <c r="G680" i="2"/>
  <c r="F680" i="2"/>
  <c r="E680" i="2"/>
  <c r="D680" i="2"/>
  <c r="C680" i="2"/>
  <c r="B680" i="2"/>
  <c r="A680" i="2"/>
  <c r="J679" i="2"/>
  <c r="I679" i="2"/>
  <c r="H679" i="2"/>
  <c r="G679" i="2"/>
  <c r="F679" i="2"/>
  <c r="E679" i="2"/>
  <c r="D679" i="2"/>
  <c r="C679" i="2"/>
  <c r="B679" i="2"/>
  <c r="A679" i="2"/>
  <c r="J678" i="2"/>
  <c r="I678" i="2"/>
  <c r="H678" i="2"/>
  <c r="G678" i="2"/>
  <c r="F678" i="2"/>
  <c r="E678" i="2"/>
  <c r="D678" i="2"/>
  <c r="C678" i="2"/>
  <c r="B678" i="2"/>
  <c r="A678" i="2"/>
  <c r="J677" i="2"/>
  <c r="I677" i="2"/>
  <c r="H677" i="2"/>
  <c r="G677" i="2"/>
  <c r="F677" i="2"/>
  <c r="E677" i="2"/>
  <c r="D677" i="2"/>
  <c r="C677" i="2"/>
  <c r="B677" i="2"/>
  <c r="A677" i="2"/>
  <c r="J676" i="2"/>
  <c r="I676" i="2"/>
  <c r="H676" i="2"/>
  <c r="G676" i="2"/>
  <c r="F676" i="2"/>
  <c r="E676" i="2"/>
  <c r="D676" i="2"/>
  <c r="C676" i="2"/>
  <c r="B676" i="2"/>
  <c r="A676" i="2"/>
  <c r="J675" i="2"/>
  <c r="I675" i="2"/>
  <c r="H675" i="2"/>
  <c r="G675" i="2"/>
  <c r="F675" i="2"/>
  <c r="E675" i="2"/>
  <c r="D675" i="2"/>
  <c r="C675" i="2"/>
  <c r="B675" i="2"/>
  <c r="A675" i="2"/>
  <c r="J674" i="2"/>
  <c r="I674" i="2"/>
  <c r="H674" i="2"/>
  <c r="G674" i="2"/>
  <c r="F674" i="2"/>
  <c r="E674" i="2"/>
  <c r="D674" i="2"/>
  <c r="C674" i="2"/>
  <c r="B674" i="2"/>
  <c r="A674" i="2"/>
  <c r="J673" i="2"/>
  <c r="I673" i="2"/>
  <c r="H673" i="2"/>
  <c r="G673" i="2"/>
  <c r="F673" i="2"/>
  <c r="E673" i="2"/>
  <c r="D673" i="2"/>
  <c r="C673" i="2"/>
  <c r="B673" i="2"/>
  <c r="A673" i="2"/>
  <c r="J672" i="2"/>
  <c r="I672" i="2"/>
  <c r="H672" i="2"/>
  <c r="G672" i="2"/>
  <c r="F672" i="2"/>
  <c r="E672" i="2"/>
  <c r="D672" i="2"/>
  <c r="C672" i="2"/>
  <c r="B672" i="2"/>
  <c r="A672" i="2"/>
  <c r="J671" i="2"/>
  <c r="I671" i="2"/>
  <c r="H671" i="2"/>
  <c r="G671" i="2"/>
  <c r="F671" i="2"/>
  <c r="E671" i="2"/>
  <c r="D671" i="2"/>
  <c r="C671" i="2"/>
  <c r="B671" i="2"/>
  <c r="A671" i="2"/>
  <c r="J670" i="2"/>
  <c r="I670" i="2"/>
  <c r="H670" i="2"/>
  <c r="G670" i="2"/>
  <c r="F670" i="2"/>
  <c r="E670" i="2"/>
  <c r="D670" i="2"/>
  <c r="C670" i="2"/>
  <c r="B670" i="2"/>
  <c r="A670" i="2"/>
  <c r="J669" i="2"/>
  <c r="I669" i="2"/>
  <c r="H669" i="2"/>
  <c r="G669" i="2"/>
  <c r="F669" i="2"/>
  <c r="E669" i="2"/>
  <c r="D669" i="2"/>
  <c r="C669" i="2"/>
  <c r="B669" i="2"/>
  <c r="A669" i="2"/>
  <c r="J668" i="2"/>
  <c r="I668" i="2"/>
  <c r="H668" i="2"/>
  <c r="G668" i="2"/>
  <c r="F668" i="2"/>
  <c r="E668" i="2"/>
  <c r="D668" i="2"/>
  <c r="C668" i="2"/>
  <c r="B668" i="2"/>
  <c r="A668" i="2"/>
  <c r="J667" i="2"/>
  <c r="I667" i="2"/>
  <c r="H667" i="2"/>
  <c r="G667" i="2"/>
  <c r="F667" i="2"/>
  <c r="E667" i="2"/>
  <c r="D667" i="2"/>
  <c r="C667" i="2"/>
  <c r="B667" i="2"/>
  <c r="A667" i="2"/>
  <c r="J666" i="2"/>
  <c r="I666" i="2"/>
  <c r="H666" i="2"/>
  <c r="G666" i="2"/>
  <c r="F666" i="2"/>
  <c r="E666" i="2"/>
  <c r="D666" i="2"/>
  <c r="C666" i="2"/>
  <c r="B666" i="2"/>
  <c r="A666" i="2"/>
  <c r="J665" i="2"/>
  <c r="I665" i="2"/>
  <c r="H665" i="2"/>
  <c r="G665" i="2"/>
  <c r="F665" i="2"/>
  <c r="E665" i="2"/>
  <c r="D665" i="2"/>
  <c r="C665" i="2"/>
  <c r="B665" i="2"/>
  <c r="A665" i="2"/>
  <c r="J664" i="2"/>
  <c r="I664" i="2"/>
  <c r="H664" i="2"/>
  <c r="G664" i="2"/>
  <c r="F664" i="2"/>
  <c r="E664" i="2"/>
  <c r="D664" i="2"/>
  <c r="C664" i="2"/>
  <c r="B664" i="2"/>
  <c r="A664" i="2"/>
  <c r="J663" i="2"/>
  <c r="I663" i="2"/>
  <c r="H663" i="2"/>
  <c r="G663" i="2"/>
  <c r="F663" i="2"/>
  <c r="E663" i="2"/>
  <c r="D663" i="2"/>
  <c r="C663" i="2"/>
  <c r="B663" i="2"/>
  <c r="A663" i="2"/>
  <c r="J662" i="2"/>
  <c r="I662" i="2"/>
  <c r="H662" i="2"/>
  <c r="G662" i="2"/>
  <c r="F662" i="2"/>
  <c r="E662" i="2"/>
  <c r="D662" i="2"/>
  <c r="C662" i="2"/>
  <c r="B662" i="2"/>
  <c r="A662" i="2"/>
  <c r="J661" i="2"/>
  <c r="I661" i="2"/>
  <c r="H661" i="2"/>
  <c r="G661" i="2"/>
  <c r="F661" i="2"/>
  <c r="E661" i="2"/>
  <c r="D661" i="2"/>
  <c r="C661" i="2"/>
  <c r="B661" i="2"/>
  <c r="A661" i="2"/>
  <c r="J660" i="2"/>
  <c r="I660" i="2"/>
  <c r="H660" i="2"/>
  <c r="G660" i="2"/>
  <c r="F660" i="2"/>
  <c r="E660" i="2"/>
  <c r="D660" i="2"/>
  <c r="C660" i="2"/>
  <c r="B660" i="2"/>
  <c r="A660" i="2"/>
  <c r="J659" i="2"/>
  <c r="I659" i="2"/>
  <c r="H659" i="2"/>
  <c r="G659" i="2"/>
  <c r="F659" i="2"/>
  <c r="E659" i="2"/>
  <c r="D659" i="2"/>
  <c r="C659" i="2"/>
  <c r="B659" i="2"/>
  <c r="A659" i="2"/>
  <c r="J658" i="2"/>
  <c r="I658" i="2"/>
  <c r="H658" i="2"/>
  <c r="G658" i="2"/>
  <c r="F658" i="2"/>
  <c r="E658" i="2"/>
  <c r="D658" i="2"/>
  <c r="C658" i="2"/>
  <c r="B658" i="2"/>
  <c r="A658" i="2"/>
  <c r="J657" i="2"/>
  <c r="I657" i="2"/>
  <c r="H657" i="2"/>
  <c r="G657" i="2"/>
  <c r="F657" i="2"/>
  <c r="E657" i="2"/>
  <c r="D657" i="2"/>
  <c r="C657" i="2"/>
  <c r="B657" i="2"/>
  <c r="A657" i="2"/>
  <c r="J656" i="2"/>
  <c r="I656" i="2"/>
  <c r="H656" i="2"/>
  <c r="G656" i="2"/>
  <c r="F656" i="2"/>
  <c r="E656" i="2"/>
  <c r="D656" i="2"/>
  <c r="C656" i="2"/>
  <c r="B656" i="2"/>
  <c r="A656" i="2"/>
  <c r="J655" i="2"/>
  <c r="I655" i="2"/>
  <c r="H655" i="2"/>
  <c r="G655" i="2"/>
  <c r="F655" i="2"/>
  <c r="E655" i="2"/>
  <c r="D655" i="2"/>
  <c r="C655" i="2"/>
  <c r="B655" i="2"/>
  <c r="A655" i="2"/>
  <c r="J654" i="2"/>
  <c r="I654" i="2"/>
  <c r="H654" i="2"/>
  <c r="G654" i="2"/>
  <c r="F654" i="2"/>
  <c r="E654" i="2"/>
  <c r="D654" i="2"/>
  <c r="C654" i="2"/>
  <c r="B654" i="2"/>
  <c r="A654" i="2"/>
  <c r="J653" i="2"/>
  <c r="I653" i="2"/>
  <c r="H653" i="2"/>
  <c r="G653" i="2"/>
  <c r="F653" i="2"/>
  <c r="E653" i="2"/>
  <c r="D653" i="2"/>
  <c r="C653" i="2"/>
  <c r="B653" i="2"/>
  <c r="A653" i="2"/>
  <c r="J652" i="2"/>
  <c r="I652" i="2"/>
  <c r="H652" i="2"/>
  <c r="G652" i="2"/>
  <c r="F652" i="2"/>
  <c r="E652" i="2"/>
  <c r="D652" i="2"/>
  <c r="C652" i="2"/>
  <c r="B652" i="2"/>
  <c r="A652" i="2"/>
  <c r="J651" i="2"/>
  <c r="I651" i="2"/>
  <c r="H651" i="2"/>
  <c r="G651" i="2"/>
  <c r="F651" i="2"/>
  <c r="E651" i="2"/>
  <c r="D651" i="2"/>
  <c r="C651" i="2"/>
  <c r="B651" i="2"/>
  <c r="A651" i="2"/>
  <c r="J650" i="2"/>
  <c r="I650" i="2"/>
  <c r="H650" i="2"/>
  <c r="G650" i="2"/>
  <c r="F650" i="2"/>
  <c r="E650" i="2"/>
  <c r="D650" i="2"/>
  <c r="C650" i="2"/>
  <c r="B650" i="2"/>
  <c r="A650" i="2"/>
  <c r="J649" i="2"/>
  <c r="I649" i="2"/>
  <c r="H649" i="2"/>
  <c r="G649" i="2"/>
  <c r="F649" i="2"/>
  <c r="E649" i="2"/>
  <c r="D649" i="2"/>
  <c r="C649" i="2"/>
  <c r="B649" i="2"/>
  <c r="A649" i="2"/>
  <c r="J648" i="2"/>
  <c r="I648" i="2"/>
  <c r="H648" i="2"/>
  <c r="G648" i="2"/>
  <c r="F648" i="2"/>
  <c r="E648" i="2"/>
  <c r="D648" i="2"/>
  <c r="C648" i="2"/>
  <c r="B648" i="2"/>
  <c r="A648" i="2"/>
  <c r="J647" i="2"/>
  <c r="I647" i="2"/>
  <c r="H647" i="2"/>
  <c r="G647" i="2"/>
  <c r="F647" i="2"/>
  <c r="E647" i="2"/>
  <c r="D647" i="2"/>
  <c r="C647" i="2"/>
  <c r="B647" i="2"/>
  <c r="A647" i="2"/>
  <c r="J646" i="2"/>
  <c r="I646" i="2"/>
  <c r="H646" i="2"/>
  <c r="G646" i="2"/>
  <c r="F646" i="2"/>
  <c r="E646" i="2"/>
  <c r="D646" i="2"/>
  <c r="C646" i="2"/>
  <c r="B646" i="2"/>
  <c r="A646" i="2"/>
  <c r="J645" i="2"/>
  <c r="I645" i="2"/>
  <c r="H645" i="2"/>
  <c r="G645" i="2"/>
  <c r="F645" i="2"/>
  <c r="E645" i="2"/>
  <c r="D645" i="2"/>
  <c r="C645" i="2"/>
  <c r="B645" i="2"/>
  <c r="A645" i="2"/>
  <c r="J644" i="2"/>
  <c r="I644" i="2"/>
  <c r="H644" i="2"/>
  <c r="G644" i="2"/>
  <c r="F644" i="2"/>
  <c r="E644" i="2"/>
  <c r="D644" i="2"/>
  <c r="C644" i="2"/>
  <c r="B644" i="2"/>
  <c r="A644" i="2"/>
  <c r="J643" i="2"/>
  <c r="I643" i="2"/>
  <c r="H643" i="2"/>
  <c r="G643" i="2"/>
  <c r="F643" i="2"/>
  <c r="E643" i="2"/>
  <c r="D643" i="2"/>
  <c r="C643" i="2"/>
  <c r="B643" i="2"/>
  <c r="A643" i="2"/>
  <c r="J642" i="2"/>
  <c r="I642" i="2"/>
  <c r="H642" i="2"/>
  <c r="G642" i="2"/>
  <c r="F642" i="2"/>
  <c r="E642" i="2"/>
  <c r="D642" i="2"/>
  <c r="C642" i="2"/>
  <c r="B642" i="2"/>
  <c r="A642" i="2"/>
  <c r="J641" i="2"/>
  <c r="I641" i="2"/>
  <c r="H641" i="2"/>
  <c r="G641" i="2"/>
  <c r="F641" i="2"/>
  <c r="E641" i="2"/>
  <c r="D641" i="2"/>
  <c r="C641" i="2"/>
  <c r="B641" i="2"/>
  <c r="A641" i="2"/>
  <c r="J640" i="2"/>
  <c r="I640" i="2"/>
  <c r="H640" i="2"/>
  <c r="G640" i="2"/>
  <c r="F640" i="2"/>
  <c r="E640" i="2"/>
  <c r="D640" i="2"/>
  <c r="C640" i="2"/>
  <c r="B640" i="2"/>
  <c r="A640" i="2"/>
  <c r="J639" i="2"/>
  <c r="I639" i="2"/>
  <c r="H639" i="2"/>
  <c r="G639" i="2"/>
  <c r="F639" i="2"/>
  <c r="E639" i="2"/>
  <c r="D639" i="2"/>
  <c r="C639" i="2"/>
  <c r="B639" i="2"/>
  <c r="A639" i="2"/>
  <c r="J638" i="2"/>
  <c r="I638" i="2"/>
  <c r="H638" i="2"/>
  <c r="G638" i="2"/>
  <c r="F638" i="2"/>
  <c r="E638" i="2"/>
  <c r="D638" i="2"/>
  <c r="C638" i="2"/>
  <c r="B638" i="2"/>
  <c r="A638" i="2"/>
  <c r="J637" i="2"/>
  <c r="I637" i="2"/>
  <c r="H637" i="2"/>
  <c r="G637" i="2"/>
  <c r="F637" i="2"/>
  <c r="E637" i="2"/>
  <c r="D637" i="2"/>
  <c r="C637" i="2"/>
  <c r="B637" i="2"/>
  <c r="A637" i="2"/>
  <c r="J636" i="2"/>
  <c r="I636" i="2"/>
  <c r="H636" i="2"/>
  <c r="G636" i="2"/>
  <c r="F636" i="2"/>
  <c r="E636" i="2"/>
  <c r="D636" i="2"/>
  <c r="C636" i="2"/>
  <c r="B636" i="2"/>
  <c r="A636" i="2"/>
  <c r="J635" i="2"/>
  <c r="I635" i="2"/>
  <c r="H635" i="2"/>
  <c r="G635" i="2"/>
  <c r="F635" i="2"/>
  <c r="E635" i="2"/>
  <c r="D635" i="2"/>
  <c r="C635" i="2"/>
  <c r="B635" i="2"/>
  <c r="A635" i="2"/>
  <c r="J634" i="2"/>
  <c r="I634" i="2"/>
  <c r="H634" i="2"/>
  <c r="G634" i="2"/>
  <c r="F634" i="2"/>
  <c r="E634" i="2"/>
  <c r="D634" i="2"/>
  <c r="C634" i="2"/>
  <c r="B634" i="2"/>
  <c r="A634" i="2"/>
  <c r="J633" i="2"/>
  <c r="I633" i="2"/>
  <c r="H633" i="2"/>
  <c r="G633" i="2"/>
  <c r="F633" i="2"/>
  <c r="E633" i="2"/>
  <c r="D633" i="2"/>
  <c r="C633" i="2"/>
  <c r="B633" i="2"/>
  <c r="A633" i="2"/>
  <c r="J632" i="2"/>
  <c r="I632" i="2"/>
  <c r="H632" i="2"/>
  <c r="G632" i="2"/>
  <c r="F632" i="2"/>
  <c r="E632" i="2"/>
  <c r="D632" i="2"/>
  <c r="C632" i="2"/>
  <c r="B632" i="2"/>
  <c r="A632" i="2"/>
  <c r="J631" i="2"/>
  <c r="I631" i="2"/>
  <c r="H631" i="2"/>
  <c r="G631" i="2"/>
  <c r="F631" i="2"/>
  <c r="E631" i="2"/>
  <c r="D631" i="2"/>
  <c r="C631" i="2"/>
  <c r="B631" i="2"/>
  <c r="A631" i="2"/>
  <c r="J630" i="2"/>
  <c r="I630" i="2"/>
  <c r="H630" i="2"/>
  <c r="G630" i="2"/>
  <c r="F630" i="2"/>
  <c r="E630" i="2"/>
  <c r="D630" i="2"/>
  <c r="C630" i="2"/>
  <c r="B630" i="2"/>
  <c r="A630" i="2"/>
  <c r="J629" i="2"/>
  <c r="I629" i="2"/>
  <c r="H629" i="2"/>
  <c r="G629" i="2"/>
  <c r="F629" i="2"/>
  <c r="E629" i="2"/>
  <c r="D629" i="2"/>
  <c r="C629" i="2"/>
  <c r="B629" i="2"/>
  <c r="A629" i="2"/>
  <c r="J628" i="2"/>
  <c r="I628" i="2"/>
  <c r="H628" i="2"/>
  <c r="G628" i="2"/>
  <c r="F628" i="2"/>
  <c r="E628" i="2"/>
  <c r="D628" i="2"/>
  <c r="C628" i="2"/>
  <c r="B628" i="2"/>
  <c r="A628" i="2"/>
  <c r="J627" i="2"/>
  <c r="I627" i="2"/>
  <c r="H627" i="2"/>
  <c r="G627" i="2"/>
  <c r="F627" i="2"/>
  <c r="E627" i="2"/>
  <c r="D627" i="2"/>
  <c r="C627" i="2"/>
  <c r="B627" i="2"/>
  <c r="A627" i="2"/>
  <c r="J626" i="2"/>
  <c r="I626" i="2"/>
  <c r="H626" i="2"/>
  <c r="G626" i="2"/>
  <c r="F626" i="2"/>
  <c r="E626" i="2"/>
  <c r="D626" i="2"/>
  <c r="C626" i="2"/>
  <c r="B626" i="2"/>
  <c r="A626" i="2"/>
  <c r="J625" i="2"/>
  <c r="I625" i="2"/>
  <c r="H625" i="2"/>
  <c r="G625" i="2"/>
  <c r="F625" i="2"/>
  <c r="E625" i="2"/>
  <c r="D625" i="2"/>
  <c r="C625" i="2"/>
  <c r="B625" i="2"/>
  <c r="A625" i="2"/>
  <c r="J624" i="2"/>
  <c r="I624" i="2"/>
  <c r="H624" i="2"/>
  <c r="G624" i="2"/>
  <c r="F624" i="2"/>
  <c r="E624" i="2"/>
  <c r="D624" i="2"/>
  <c r="C624" i="2"/>
  <c r="B624" i="2"/>
  <c r="A624" i="2"/>
  <c r="J623" i="2"/>
  <c r="I623" i="2"/>
  <c r="H623" i="2"/>
  <c r="G623" i="2"/>
  <c r="F623" i="2"/>
  <c r="E623" i="2"/>
  <c r="D623" i="2"/>
  <c r="C623" i="2"/>
  <c r="B623" i="2"/>
  <c r="A623" i="2"/>
  <c r="J622" i="2"/>
  <c r="I622" i="2"/>
  <c r="H622" i="2"/>
  <c r="G622" i="2"/>
  <c r="F622" i="2"/>
  <c r="E622" i="2"/>
  <c r="D622" i="2"/>
  <c r="C622" i="2"/>
  <c r="B622" i="2"/>
  <c r="A622" i="2"/>
  <c r="J621" i="2"/>
  <c r="I621" i="2"/>
  <c r="H621" i="2"/>
  <c r="G621" i="2"/>
  <c r="F621" i="2"/>
  <c r="E621" i="2"/>
  <c r="D621" i="2"/>
  <c r="C621" i="2"/>
  <c r="B621" i="2"/>
  <c r="A621" i="2"/>
  <c r="J620" i="2"/>
  <c r="I620" i="2"/>
  <c r="H620" i="2"/>
  <c r="G620" i="2"/>
  <c r="F620" i="2"/>
  <c r="E620" i="2"/>
  <c r="D620" i="2"/>
  <c r="C620" i="2"/>
  <c r="B620" i="2"/>
  <c r="A620" i="2"/>
  <c r="J619" i="2"/>
  <c r="I619" i="2"/>
  <c r="H619" i="2"/>
  <c r="G619" i="2"/>
  <c r="F619" i="2"/>
  <c r="E619" i="2"/>
  <c r="D619" i="2"/>
  <c r="C619" i="2"/>
  <c r="B619" i="2"/>
  <c r="A619" i="2"/>
  <c r="J618" i="2"/>
  <c r="I618" i="2"/>
  <c r="H618" i="2"/>
  <c r="G618" i="2"/>
  <c r="F618" i="2"/>
  <c r="E618" i="2"/>
  <c r="D618" i="2"/>
  <c r="C618" i="2"/>
  <c r="B618" i="2"/>
  <c r="A618" i="2"/>
  <c r="J617" i="2"/>
  <c r="I617" i="2"/>
  <c r="H617" i="2"/>
  <c r="G617" i="2"/>
  <c r="F617" i="2"/>
  <c r="E617" i="2"/>
  <c r="D617" i="2"/>
  <c r="C617" i="2"/>
  <c r="B617" i="2"/>
  <c r="A617" i="2"/>
  <c r="J616" i="2"/>
  <c r="I616" i="2"/>
  <c r="H616" i="2"/>
  <c r="G616" i="2"/>
  <c r="F616" i="2"/>
  <c r="E616" i="2"/>
  <c r="D616" i="2"/>
  <c r="C616" i="2"/>
  <c r="B616" i="2"/>
  <c r="A616" i="2"/>
  <c r="J615" i="2"/>
  <c r="I615" i="2"/>
  <c r="H615" i="2"/>
  <c r="G615" i="2"/>
  <c r="F615" i="2"/>
  <c r="E615" i="2"/>
  <c r="D615" i="2"/>
  <c r="C615" i="2"/>
  <c r="B615" i="2"/>
  <c r="A615" i="2"/>
  <c r="J614" i="2"/>
  <c r="I614" i="2"/>
  <c r="H614" i="2"/>
  <c r="G614" i="2"/>
  <c r="F614" i="2"/>
  <c r="E614" i="2"/>
  <c r="D614" i="2"/>
  <c r="C614" i="2"/>
  <c r="B614" i="2"/>
  <c r="A614" i="2"/>
  <c r="J613" i="2"/>
  <c r="I613" i="2"/>
  <c r="H613" i="2"/>
  <c r="G613" i="2"/>
  <c r="F613" i="2"/>
  <c r="E613" i="2"/>
  <c r="D613" i="2"/>
  <c r="C613" i="2"/>
  <c r="B613" i="2"/>
  <c r="A613" i="2"/>
  <c r="J612" i="2"/>
  <c r="I612" i="2"/>
  <c r="H612" i="2"/>
  <c r="G612" i="2"/>
  <c r="F612" i="2"/>
  <c r="E612" i="2"/>
  <c r="D612" i="2"/>
  <c r="C612" i="2"/>
  <c r="B612" i="2"/>
  <c r="A612" i="2"/>
  <c r="J611" i="2"/>
  <c r="I611" i="2"/>
  <c r="H611" i="2"/>
  <c r="G611" i="2"/>
  <c r="F611" i="2"/>
  <c r="E611" i="2"/>
  <c r="D611" i="2"/>
  <c r="C611" i="2"/>
  <c r="B611" i="2"/>
  <c r="A611" i="2"/>
  <c r="J610" i="2"/>
  <c r="I610" i="2"/>
  <c r="H610" i="2"/>
  <c r="G610" i="2"/>
  <c r="F610" i="2"/>
  <c r="E610" i="2"/>
  <c r="D610" i="2"/>
  <c r="C610" i="2"/>
  <c r="B610" i="2"/>
  <c r="A610" i="2"/>
  <c r="J609" i="2"/>
  <c r="I609" i="2"/>
  <c r="H609" i="2"/>
  <c r="G609" i="2"/>
  <c r="F609" i="2"/>
  <c r="E609" i="2"/>
  <c r="D609" i="2"/>
  <c r="C609" i="2"/>
  <c r="B609" i="2"/>
  <c r="A609" i="2"/>
  <c r="J608" i="2"/>
  <c r="I608" i="2"/>
  <c r="H608" i="2"/>
  <c r="G608" i="2"/>
  <c r="F608" i="2"/>
  <c r="E608" i="2"/>
  <c r="D608" i="2"/>
  <c r="C608" i="2"/>
  <c r="B608" i="2"/>
  <c r="A608" i="2"/>
  <c r="J607" i="2"/>
  <c r="I607" i="2"/>
  <c r="H607" i="2"/>
  <c r="G607" i="2"/>
  <c r="F607" i="2"/>
  <c r="E607" i="2"/>
  <c r="D607" i="2"/>
  <c r="C607" i="2"/>
  <c r="B607" i="2"/>
  <c r="A607" i="2"/>
  <c r="J606" i="2"/>
  <c r="I606" i="2"/>
  <c r="H606" i="2"/>
  <c r="G606" i="2"/>
  <c r="F606" i="2"/>
  <c r="E606" i="2"/>
  <c r="D606" i="2"/>
  <c r="C606" i="2"/>
  <c r="B606" i="2"/>
  <c r="A606" i="2"/>
  <c r="J605" i="2"/>
  <c r="I605" i="2"/>
  <c r="H605" i="2"/>
  <c r="G605" i="2"/>
  <c r="F605" i="2"/>
  <c r="E605" i="2"/>
  <c r="D605" i="2"/>
  <c r="C605" i="2"/>
  <c r="B605" i="2"/>
  <c r="A605" i="2"/>
  <c r="J604" i="2"/>
  <c r="I604" i="2"/>
  <c r="H604" i="2"/>
  <c r="G604" i="2"/>
  <c r="F604" i="2"/>
  <c r="E604" i="2"/>
  <c r="D604" i="2"/>
  <c r="C604" i="2"/>
  <c r="B604" i="2"/>
  <c r="A604" i="2"/>
  <c r="J603" i="2"/>
  <c r="I603" i="2"/>
  <c r="H603" i="2"/>
  <c r="G603" i="2"/>
  <c r="F603" i="2"/>
  <c r="E603" i="2"/>
  <c r="D603" i="2"/>
  <c r="C603" i="2"/>
  <c r="B603" i="2"/>
  <c r="A603" i="2"/>
  <c r="J602" i="2"/>
  <c r="I602" i="2"/>
  <c r="H602" i="2"/>
  <c r="G602" i="2"/>
  <c r="F602" i="2"/>
  <c r="E602" i="2"/>
  <c r="D602" i="2"/>
  <c r="C602" i="2"/>
  <c r="B602" i="2"/>
  <c r="A602" i="2"/>
  <c r="J601" i="2"/>
  <c r="I601" i="2"/>
  <c r="H601" i="2"/>
  <c r="G601" i="2"/>
  <c r="F601" i="2"/>
  <c r="E601" i="2"/>
  <c r="D601" i="2"/>
  <c r="C601" i="2"/>
  <c r="B601" i="2"/>
  <c r="A601" i="2"/>
  <c r="J600" i="2"/>
  <c r="I600" i="2"/>
  <c r="H600" i="2"/>
  <c r="G600" i="2"/>
  <c r="F600" i="2"/>
  <c r="E600" i="2"/>
  <c r="D600" i="2"/>
  <c r="C600" i="2"/>
  <c r="B600" i="2"/>
  <c r="A600" i="2"/>
  <c r="J599" i="2"/>
  <c r="I599" i="2"/>
  <c r="H599" i="2"/>
  <c r="G599" i="2"/>
  <c r="F599" i="2"/>
  <c r="E599" i="2"/>
  <c r="D599" i="2"/>
  <c r="C599" i="2"/>
  <c r="B599" i="2"/>
  <c r="A599" i="2"/>
  <c r="J598" i="2"/>
  <c r="I598" i="2"/>
  <c r="H598" i="2"/>
  <c r="G598" i="2"/>
  <c r="F598" i="2"/>
  <c r="E598" i="2"/>
  <c r="D598" i="2"/>
  <c r="C598" i="2"/>
  <c r="B598" i="2"/>
  <c r="A598" i="2"/>
  <c r="J597" i="2"/>
  <c r="I597" i="2"/>
  <c r="H597" i="2"/>
  <c r="G597" i="2"/>
  <c r="F597" i="2"/>
  <c r="E597" i="2"/>
  <c r="D597" i="2"/>
  <c r="C597" i="2"/>
  <c r="B597" i="2"/>
  <c r="A597" i="2"/>
  <c r="J596" i="2"/>
  <c r="I596" i="2"/>
  <c r="H596" i="2"/>
  <c r="G596" i="2"/>
  <c r="F596" i="2"/>
  <c r="E596" i="2"/>
  <c r="D596" i="2"/>
  <c r="C596" i="2"/>
  <c r="B596" i="2"/>
  <c r="A596" i="2"/>
  <c r="J595" i="2"/>
  <c r="I595" i="2"/>
  <c r="H595" i="2"/>
  <c r="G595" i="2"/>
  <c r="F595" i="2"/>
  <c r="E595" i="2"/>
  <c r="D595" i="2"/>
  <c r="C595" i="2"/>
  <c r="B595" i="2"/>
  <c r="A595" i="2"/>
  <c r="J594" i="2"/>
  <c r="I594" i="2"/>
  <c r="H594" i="2"/>
  <c r="G594" i="2"/>
  <c r="F594" i="2"/>
  <c r="E594" i="2"/>
  <c r="D594" i="2"/>
  <c r="C594" i="2"/>
  <c r="B594" i="2"/>
  <c r="A594" i="2"/>
  <c r="J593" i="2"/>
  <c r="I593" i="2"/>
  <c r="H593" i="2"/>
  <c r="G593" i="2"/>
  <c r="F593" i="2"/>
  <c r="E593" i="2"/>
  <c r="D593" i="2"/>
  <c r="C593" i="2"/>
  <c r="B593" i="2"/>
  <c r="A593" i="2"/>
  <c r="J592" i="2"/>
  <c r="I592" i="2"/>
  <c r="H592" i="2"/>
  <c r="G592" i="2"/>
  <c r="F592" i="2"/>
  <c r="E592" i="2"/>
  <c r="D592" i="2"/>
  <c r="C592" i="2"/>
  <c r="B592" i="2"/>
  <c r="A592" i="2"/>
  <c r="J591" i="2"/>
  <c r="I591" i="2"/>
  <c r="H591" i="2"/>
  <c r="G591" i="2"/>
  <c r="F591" i="2"/>
  <c r="E591" i="2"/>
  <c r="D591" i="2"/>
  <c r="C591" i="2"/>
  <c r="B591" i="2"/>
  <c r="A591" i="2"/>
  <c r="J590" i="2"/>
  <c r="I590" i="2"/>
  <c r="H590" i="2"/>
  <c r="G590" i="2"/>
  <c r="F590" i="2"/>
  <c r="E590" i="2"/>
  <c r="D590" i="2"/>
  <c r="C590" i="2"/>
  <c r="B590" i="2"/>
  <c r="A590" i="2"/>
  <c r="J589" i="2"/>
  <c r="I589" i="2"/>
  <c r="H589" i="2"/>
  <c r="G589" i="2"/>
  <c r="F589" i="2"/>
  <c r="E589" i="2"/>
  <c r="D589" i="2"/>
  <c r="C589" i="2"/>
  <c r="B589" i="2"/>
  <c r="A589" i="2"/>
  <c r="J588" i="2"/>
  <c r="I588" i="2"/>
  <c r="H588" i="2"/>
  <c r="G588" i="2"/>
  <c r="F588" i="2"/>
  <c r="E588" i="2"/>
  <c r="D588" i="2"/>
  <c r="C588" i="2"/>
  <c r="B588" i="2"/>
  <c r="A588" i="2"/>
  <c r="J587" i="2"/>
  <c r="I587" i="2"/>
  <c r="H587" i="2"/>
  <c r="G587" i="2"/>
  <c r="F587" i="2"/>
  <c r="E587" i="2"/>
  <c r="D587" i="2"/>
  <c r="C587" i="2"/>
  <c r="B587" i="2"/>
  <c r="A587" i="2"/>
  <c r="J586" i="2"/>
  <c r="I586" i="2"/>
  <c r="H586" i="2"/>
  <c r="G586" i="2"/>
  <c r="F586" i="2"/>
  <c r="E586" i="2"/>
  <c r="D586" i="2"/>
  <c r="C586" i="2"/>
  <c r="B586" i="2"/>
  <c r="A586" i="2"/>
  <c r="J585" i="2"/>
  <c r="I585" i="2"/>
  <c r="H585" i="2"/>
  <c r="G585" i="2"/>
  <c r="F585" i="2"/>
  <c r="E585" i="2"/>
  <c r="D585" i="2"/>
  <c r="C585" i="2"/>
  <c r="B585" i="2"/>
  <c r="A585" i="2"/>
  <c r="J584" i="2"/>
  <c r="I584" i="2"/>
  <c r="H584" i="2"/>
  <c r="G584" i="2"/>
  <c r="F584" i="2"/>
  <c r="E584" i="2"/>
  <c r="D584" i="2"/>
  <c r="C584" i="2"/>
  <c r="B584" i="2"/>
  <c r="A584" i="2"/>
  <c r="J583" i="2"/>
  <c r="I583" i="2"/>
  <c r="H583" i="2"/>
  <c r="G583" i="2"/>
  <c r="F583" i="2"/>
  <c r="E583" i="2"/>
  <c r="D583" i="2"/>
  <c r="C583" i="2"/>
  <c r="B583" i="2"/>
  <c r="A583" i="2"/>
  <c r="J582" i="2"/>
  <c r="I582" i="2"/>
  <c r="H582" i="2"/>
  <c r="G582" i="2"/>
  <c r="F582" i="2"/>
  <c r="E582" i="2"/>
  <c r="D582" i="2"/>
  <c r="C582" i="2"/>
  <c r="B582" i="2"/>
  <c r="A582" i="2"/>
  <c r="J581" i="2"/>
  <c r="I581" i="2"/>
  <c r="H581" i="2"/>
  <c r="G581" i="2"/>
  <c r="F581" i="2"/>
  <c r="E581" i="2"/>
  <c r="D581" i="2"/>
  <c r="C581" i="2"/>
  <c r="B581" i="2"/>
  <c r="A581" i="2"/>
  <c r="J580" i="2"/>
  <c r="I580" i="2"/>
  <c r="H580" i="2"/>
  <c r="G580" i="2"/>
  <c r="F580" i="2"/>
  <c r="E580" i="2"/>
  <c r="D580" i="2"/>
  <c r="C580" i="2"/>
  <c r="B580" i="2"/>
  <c r="A580" i="2"/>
  <c r="J579" i="2"/>
  <c r="I579" i="2"/>
  <c r="H579" i="2"/>
  <c r="G579" i="2"/>
  <c r="F579" i="2"/>
  <c r="E579" i="2"/>
  <c r="D579" i="2"/>
  <c r="C579" i="2"/>
  <c r="B579" i="2"/>
  <c r="A579" i="2"/>
  <c r="J578" i="2"/>
  <c r="I578" i="2"/>
  <c r="H578" i="2"/>
  <c r="G578" i="2"/>
  <c r="F578" i="2"/>
  <c r="E578" i="2"/>
  <c r="D578" i="2"/>
  <c r="C578" i="2"/>
  <c r="B578" i="2"/>
  <c r="A578" i="2"/>
  <c r="J577" i="2"/>
  <c r="I577" i="2"/>
  <c r="H577" i="2"/>
  <c r="G577" i="2"/>
  <c r="F577" i="2"/>
  <c r="E577" i="2"/>
  <c r="D577" i="2"/>
  <c r="C577" i="2"/>
  <c r="B577" i="2"/>
  <c r="A577" i="2"/>
  <c r="J576" i="2"/>
  <c r="I576" i="2"/>
  <c r="H576" i="2"/>
  <c r="G576" i="2"/>
  <c r="F576" i="2"/>
  <c r="E576" i="2"/>
  <c r="D576" i="2"/>
  <c r="C576" i="2"/>
  <c r="B576" i="2"/>
  <c r="A576" i="2"/>
  <c r="J575" i="2"/>
  <c r="I575" i="2"/>
  <c r="H575" i="2"/>
  <c r="G575" i="2"/>
  <c r="F575" i="2"/>
  <c r="E575" i="2"/>
  <c r="D575" i="2"/>
  <c r="C575" i="2"/>
  <c r="B575" i="2"/>
  <c r="A575" i="2"/>
  <c r="J574" i="2"/>
  <c r="I574" i="2"/>
  <c r="H574" i="2"/>
  <c r="G574" i="2"/>
  <c r="F574" i="2"/>
  <c r="E574" i="2"/>
  <c r="D574" i="2"/>
  <c r="C574" i="2"/>
  <c r="B574" i="2"/>
  <c r="A574" i="2"/>
  <c r="J573" i="2"/>
  <c r="I573" i="2"/>
  <c r="H573" i="2"/>
  <c r="G573" i="2"/>
  <c r="F573" i="2"/>
  <c r="E573" i="2"/>
  <c r="D573" i="2"/>
  <c r="C573" i="2"/>
  <c r="B573" i="2"/>
  <c r="A573" i="2"/>
  <c r="J572" i="2"/>
  <c r="I572" i="2"/>
  <c r="H572" i="2"/>
  <c r="G572" i="2"/>
  <c r="F572" i="2"/>
  <c r="E572" i="2"/>
  <c r="D572" i="2"/>
  <c r="C572" i="2"/>
  <c r="B572" i="2"/>
  <c r="A572" i="2"/>
  <c r="J571" i="2"/>
  <c r="I571" i="2"/>
  <c r="H571" i="2"/>
  <c r="G571" i="2"/>
  <c r="F571" i="2"/>
  <c r="E571" i="2"/>
  <c r="D571" i="2"/>
  <c r="C571" i="2"/>
  <c r="B571" i="2"/>
  <c r="A571" i="2"/>
  <c r="J570" i="2"/>
  <c r="I570" i="2"/>
  <c r="H570" i="2"/>
  <c r="G570" i="2"/>
  <c r="F570" i="2"/>
  <c r="E570" i="2"/>
  <c r="D570" i="2"/>
  <c r="C570" i="2"/>
  <c r="B570" i="2"/>
  <c r="A570" i="2"/>
  <c r="J569" i="2"/>
  <c r="I569" i="2"/>
  <c r="H569" i="2"/>
  <c r="G569" i="2"/>
  <c r="F569" i="2"/>
  <c r="E569" i="2"/>
  <c r="D569" i="2"/>
  <c r="C569" i="2"/>
  <c r="B569" i="2"/>
  <c r="A569" i="2"/>
  <c r="J568" i="2"/>
  <c r="I568" i="2"/>
  <c r="H568" i="2"/>
  <c r="G568" i="2"/>
  <c r="F568" i="2"/>
  <c r="E568" i="2"/>
  <c r="D568" i="2"/>
  <c r="C568" i="2"/>
  <c r="B568" i="2"/>
  <c r="A568" i="2"/>
  <c r="J567" i="2"/>
  <c r="I567" i="2"/>
  <c r="H567" i="2"/>
  <c r="G567" i="2"/>
  <c r="F567" i="2"/>
  <c r="E567" i="2"/>
  <c r="D567" i="2"/>
  <c r="C567" i="2"/>
  <c r="B567" i="2"/>
  <c r="A567" i="2"/>
  <c r="J566" i="2"/>
  <c r="I566" i="2"/>
  <c r="H566" i="2"/>
  <c r="G566" i="2"/>
  <c r="F566" i="2"/>
  <c r="E566" i="2"/>
  <c r="D566" i="2"/>
  <c r="C566" i="2"/>
  <c r="B566" i="2"/>
  <c r="A566" i="2"/>
  <c r="J565" i="2"/>
  <c r="I565" i="2"/>
  <c r="H565" i="2"/>
  <c r="G565" i="2"/>
  <c r="F565" i="2"/>
  <c r="E565" i="2"/>
  <c r="D565" i="2"/>
  <c r="C565" i="2"/>
  <c r="B565" i="2"/>
  <c r="A565" i="2"/>
  <c r="J564" i="2"/>
  <c r="I564" i="2"/>
  <c r="H564" i="2"/>
  <c r="G564" i="2"/>
  <c r="F564" i="2"/>
  <c r="E564" i="2"/>
  <c r="D564" i="2"/>
  <c r="C564" i="2"/>
  <c r="B564" i="2"/>
  <c r="A564" i="2"/>
  <c r="J563" i="2"/>
  <c r="I563" i="2"/>
  <c r="H563" i="2"/>
  <c r="G563" i="2"/>
  <c r="F563" i="2"/>
  <c r="E563" i="2"/>
  <c r="D563" i="2"/>
  <c r="C563" i="2"/>
  <c r="B563" i="2"/>
  <c r="A563" i="2"/>
  <c r="J562" i="2"/>
  <c r="I562" i="2"/>
  <c r="H562" i="2"/>
  <c r="G562" i="2"/>
  <c r="F562" i="2"/>
  <c r="E562" i="2"/>
  <c r="D562" i="2"/>
  <c r="C562" i="2"/>
  <c r="B562" i="2"/>
  <c r="A562" i="2"/>
  <c r="J561" i="2"/>
  <c r="I561" i="2"/>
  <c r="H561" i="2"/>
  <c r="G561" i="2"/>
  <c r="F561" i="2"/>
  <c r="E561" i="2"/>
  <c r="D561" i="2"/>
  <c r="C561" i="2"/>
  <c r="B561" i="2"/>
  <c r="A561" i="2"/>
  <c r="J560" i="2"/>
  <c r="I560" i="2"/>
  <c r="H560" i="2"/>
  <c r="G560" i="2"/>
  <c r="F560" i="2"/>
  <c r="E560" i="2"/>
  <c r="D560" i="2"/>
  <c r="C560" i="2"/>
  <c r="B560" i="2"/>
  <c r="A560" i="2"/>
  <c r="J559" i="2"/>
  <c r="I559" i="2"/>
  <c r="H559" i="2"/>
  <c r="G559" i="2"/>
  <c r="F559" i="2"/>
  <c r="E559" i="2"/>
  <c r="D559" i="2"/>
  <c r="C559" i="2"/>
  <c r="B559" i="2"/>
  <c r="A559" i="2"/>
  <c r="J558" i="2"/>
  <c r="I558" i="2"/>
  <c r="H558" i="2"/>
  <c r="G558" i="2"/>
  <c r="F558" i="2"/>
  <c r="E558" i="2"/>
  <c r="D558" i="2"/>
  <c r="C558" i="2"/>
  <c r="B558" i="2"/>
  <c r="A558" i="2"/>
  <c r="J557" i="2"/>
  <c r="I557" i="2"/>
  <c r="H557" i="2"/>
  <c r="G557" i="2"/>
  <c r="F557" i="2"/>
  <c r="E557" i="2"/>
  <c r="D557" i="2"/>
  <c r="C557" i="2"/>
  <c r="B557" i="2"/>
  <c r="A557" i="2"/>
  <c r="J556" i="2"/>
  <c r="I556" i="2"/>
  <c r="H556" i="2"/>
  <c r="G556" i="2"/>
  <c r="F556" i="2"/>
  <c r="E556" i="2"/>
  <c r="D556" i="2"/>
  <c r="C556" i="2"/>
  <c r="B556" i="2"/>
  <c r="A556" i="2"/>
  <c r="J555" i="2"/>
  <c r="I555" i="2"/>
  <c r="H555" i="2"/>
  <c r="G555" i="2"/>
  <c r="F555" i="2"/>
  <c r="E555" i="2"/>
  <c r="D555" i="2"/>
  <c r="C555" i="2"/>
  <c r="B555" i="2"/>
  <c r="A555" i="2"/>
  <c r="J554" i="2"/>
  <c r="I554" i="2"/>
  <c r="H554" i="2"/>
  <c r="G554" i="2"/>
  <c r="F554" i="2"/>
  <c r="E554" i="2"/>
  <c r="D554" i="2"/>
  <c r="C554" i="2"/>
  <c r="B554" i="2"/>
  <c r="A554" i="2"/>
  <c r="J553" i="2"/>
  <c r="I553" i="2"/>
  <c r="H553" i="2"/>
  <c r="G553" i="2"/>
  <c r="F553" i="2"/>
  <c r="E553" i="2"/>
  <c r="D553" i="2"/>
  <c r="C553" i="2"/>
  <c r="B553" i="2"/>
  <c r="A553" i="2"/>
  <c r="J552" i="2"/>
  <c r="I552" i="2"/>
  <c r="H552" i="2"/>
  <c r="G552" i="2"/>
  <c r="F552" i="2"/>
  <c r="E552" i="2"/>
  <c r="D552" i="2"/>
  <c r="C552" i="2"/>
  <c r="B552" i="2"/>
  <c r="A552" i="2"/>
  <c r="J551" i="2"/>
  <c r="I551" i="2"/>
  <c r="H551" i="2"/>
  <c r="G551" i="2"/>
  <c r="F551" i="2"/>
  <c r="E551" i="2"/>
  <c r="D551" i="2"/>
  <c r="C551" i="2"/>
  <c r="B551" i="2"/>
  <c r="A551" i="2"/>
  <c r="J550" i="2"/>
  <c r="I550" i="2"/>
  <c r="H550" i="2"/>
  <c r="G550" i="2"/>
  <c r="F550" i="2"/>
  <c r="E550" i="2"/>
  <c r="D550" i="2"/>
  <c r="C550" i="2"/>
  <c r="B550" i="2"/>
  <c r="A550" i="2"/>
  <c r="J549" i="2"/>
  <c r="I549" i="2"/>
  <c r="H549" i="2"/>
  <c r="G549" i="2"/>
  <c r="F549" i="2"/>
  <c r="E549" i="2"/>
  <c r="D549" i="2"/>
  <c r="C549" i="2"/>
  <c r="B549" i="2"/>
  <c r="A549" i="2"/>
  <c r="J548" i="2"/>
  <c r="I548" i="2"/>
  <c r="H548" i="2"/>
  <c r="G548" i="2"/>
  <c r="F548" i="2"/>
  <c r="E548" i="2"/>
  <c r="D548" i="2"/>
  <c r="C548" i="2"/>
  <c r="B548" i="2"/>
  <c r="A548" i="2"/>
  <c r="J547" i="2"/>
  <c r="I547" i="2"/>
  <c r="H547" i="2"/>
  <c r="G547" i="2"/>
  <c r="F547" i="2"/>
  <c r="E547" i="2"/>
  <c r="D547" i="2"/>
  <c r="C547" i="2"/>
  <c r="B547" i="2"/>
  <c r="A547" i="2"/>
  <c r="J546" i="2"/>
  <c r="I546" i="2"/>
  <c r="H546" i="2"/>
  <c r="G546" i="2"/>
  <c r="F546" i="2"/>
  <c r="E546" i="2"/>
  <c r="D546" i="2"/>
  <c r="C546" i="2"/>
  <c r="B546" i="2"/>
  <c r="A546" i="2"/>
  <c r="J545" i="2"/>
  <c r="I545" i="2"/>
  <c r="H545" i="2"/>
  <c r="G545" i="2"/>
  <c r="F545" i="2"/>
  <c r="E545" i="2"/>
  <c r="D545" i="2"/>
  <c r="C545" i="2"/>
  <c r="B545" i="2"/>
  <c r="A545" i="2"/>
  <c r="J544" i="2"/>
  <c r="I544" i="2"/>
  <c r="H544" i="2"/>
  <c r="G544" i="2"/>
  <c r="F544" i="2"/>
  <c r="E544" i="2"/>
  <c r="D544" i="2"/>
  <c r="C544" i="2"/>
  <c r="B544" i="2"/>
  <c r="A544" i="2"/>
  <c r="J543" i="2"/>
  <c r="I543" i="2"/>
  <c r="H543" i="2"/>
  <c r="G543" i="2"/>
  <c r="F543" i="2"/>
  <c r="E543" i="2"/>
  <c r="D543" i="2"/>
  <c r="C543" i="2"/>
  <c r="B543" i="2"/>
  <c r="A543" i="2"/>
  <c r="J542" i="2"/>
  <c r="I542" i="2"/>
  <c r="H542" i="2"/>
  <c r="G542" i="2"/>
  <c r="F542" i="2"/>
  <c r="E542" i="2"/>
  <c r="D542" i="2"/>
  <c r="C542" i="2"/>
  <c r="B542" i="2"/>
  <c r="A542" i="2"/>
  <c r="J541" i="2"/>
  <c r="I541" i="2"/>
  <c r="H541" i="2"/>
  <c r="G541" i="2"/>
  <c r="F541" i="2"/>
  <c r="E541" i="2"/>
  <c r="D541" i="2"/>
  <c r="C541" i="2"/>
  <c r="B541" i="2"/>
  <c r="A541" i="2"/>
  <c r="J540" i="2"/>
  <c r="I540" i="2"/>
  <c r="H540" i="2"/>
  <c r="G540" i="2"/>
  <c r="F540" i="2"/>
  <c r="E540" i="2"/>
  <c r="D540" i="2"/>
  <c r="C540" i="2"/>
  <c r="B540" i="2"/>
  <c r="A540" i="2"/>
  <c r="J539" i="2"/>
  <c r="I539" i="2"/>
  <c r="H539" i="2"/>
  <c r="G539" i="2"/>
  <c r="F539" i="2"/>
  <c r="E539" i="2"/>
  <c r="D539" i="2"/>
  <c r="C539" i="2"/>
  <c r="B539" i="2"/>
  <c r="A539" i="2"/>
  <c r="J538" i="2"/>
  <c r="I538" i="2"/>
  <c r="H538" i="2"/>
  <c r="G538" i="2"/>
  <c r="F538" i="2"/>
  <c r="E538" i="2"/>
  <c r="D538" i="2"/>
  <c r="C538" i="2"/>
  <c r="B538" i="2"/>
  <c r="A538" i="2"/>
  <c r="J537" i="2"/>
  <c r="I537" i="2"/>
  <c r="H537" i="2"/>
  <c r="G537" i="2"/>
  <c r="F537" i="2"/>
  <c r="E537" i="2"/>
  <c r="D537" i="2"/>
  <c r="C537" i="2"/>
  <c r="B537" i="2"/>
  <c r="A537" i="2"/>
  <c r="J536" i="2"/>
  <c r="I536" i="2"/>
  <c r="H536" i="2"/>
  <c r="G536" i="2"/>
  <c r="F536" i="2"/>
  <c r="E536" i="2"/>
  <c r="D536" i="2"/>
  <c r="C536" i="2"/>
  <c r="B536" i="2"/>
  <c r="A536" i="2"/>
  <c r="J535" i="2"/>
  <c r="I535" i="2"/>
  <c r="H535" i="2"/>
  <c r="G535" i="2"/>
  <c r="F535" i="2"/>
  <c r="E535" i="2"/>
  <c r="D535" i="2"/>
  <c r="C535" i="2"/>
  <c r="B535" i="2"/>
  <c r="A535" i="2"/>
  <c r="J534" i="2"/>
  <c r="I534" i="2"/>
  <c r="H534" i="2"/>
  <c r="G534" i="2"/>
  <c r="F534" i="2"/>
  <c r="E534" i="2"/>
  <c r="D534" i="2"/>
  <c r="C534" i="2"/>
  <c r="B534" i="2"/>
  <c r="A534" i="2"/>
  <c r="J533" i="2"/>
  <c r="I533" i="2"/>
  <c r="H533" i="2"/>
  <c r="G533" i="2"/>
  <c r="F533" i="2"/>
  <c r="E533" i="2"/>
  <c r="D533" i="2"/>
  <c r="C533" i="2"/>
  <c r="B533" i="2"/>
  <c r="A533" i="2"/>
  <c r="J532" i="2"/>
  <c r="I532" i="2"/>
  <c r="H532" i="2"/>
  <c r="G532" i="2"/>
  <c r="F532" i="2"/>
  <c r="E532" i="2"/>
  <c r="D532" i="2"/>
  <c r="C532" i="2"/>
  <c r="B532" i="2"/>
  <c r="A532" i="2"/>
  <c r="J531" i="2"/>
  <c r="I531" i="2"/>
  <c r="H531" i="2"/>
  <c r="G531" i="2"/>
  <c r="F531" i="2"/>
  <c r="E531" i="2"/>
  <c r="D531" i="2"/>
  <c r="C531" i="2"/>
  <c r="B531" i="2"/>
  <c r="A531" i="2"/>
  <c r="J530" i="2"/>
  <c r="I530" i="2"/>
  <c r="H530" i="2"/>
  <c r="G530" i="2"/>
  <c r="F530" i="2"/>
  <c r="E530" i="2"/>
  <c r="D530" i="2"/>
  <c r="C530" i="2"/>
  <c r="B530" i="2"/>
  <c r="A530" i="2"/>
  <c r="J529" i="2"/>
  <c r="I529" i="2"/>
  <c r="H529" i="2"/>
  <c r="G529" i="2"/>
  <c r="F529" i="2"/>
  <c r="E529" i="2"/>
  <c r="D529" i="2"/>
  <c r="C529" i="2"/>
  <c r="B529" i="2"/>
  <c r="A529" i="2"/>
  <c r="J528" i="2"/>
  <c r="I528" i="2"/>
  <c r="H528" i="2"/>
  <c r="G528" i="2"/>
  <c r="F528" i="2"/>
  <c r="E528" i="2"/>
  <c r="D528" i="2"/>
  <c r="C528" i="2"/>
  <c r="B528" i="2"/>
  <c r="A528" i="2"/>
  <c r="J527" i="2"/>
  <c r="I527" i="2"/>
  <c r="H527" i="2"/>
  <c r="G527" i="2"/>
  <c r="F527" i="2"/>
  <c r="E527" i="2"/>
  <c r="D527" i="2"/>
  <c r="C527" i="2"/>
  <c r="B527" i="2"/>
  <c r="A527" i="2"/>
  <c r="J526" i="2"/>
  <c r="I526" i="2"/>
  <c r="H526" i="2"/>
  <c r="G526" i="2"/>
  <c r="F526" i="2"/>
  <c r="E526" i="2"/>
  <c r="D526" i="2"/>
  <c r="C526" i="2"/>
  <c r="B526" i="2"/>
  <c r="A526" i="2"/>
  <c r="J525" i="2"/>
  <c r="I525" i="2"/>
  <c r="H525" i="2"/>
  <c r="G525" i="2"/>
  <c r="F525" i="2"/>
  <c r="E525" i="2"/>
  <c r="D525" i="2"/>
  <c r="C525" i="2"/>
  <c r="B525" i="2"/>
  <c r="A525" i="2"/>
  <c r="J524" i="2"/>
  <c r="I524" i="2"/>
  <c r="H524" i="2"/>
  <c r="G524" i="2"/>
  <c r="F524" i="2"/>
  <c r="E524" i="2"/>
  <c r="D524" i="2"/>
  <c r="C524" i="2"/>
  <c r="B524" i="2"/>
  <c r="A524" i="2"/>
  <c r="J523" i="2"/>
  <c r="I523" i="2"/>
  <c r="H523" i="2"/>
  <c r="G523" i="2"/>
  <c r="F523" i="2"/>
  <c r="E523" i="2"/>
  <c r="D523" i="2"/>
  <c r="C523" i="2"/>
  <c r="B523" i="2"/>
  <c r="A523" i="2"/>
  <c r="J522" i="2"/>
  <c r="I522" i="2"/>
  <c r="H522" i="2"/>
  <c r="G522" i="2"/>
  <c r="F522" i="2"/>
  <c r="E522" i="2"/>
  <c r="D522" i="2"/>
  <c r="C522" i="2"/>
  <c r="B522" i="2"/>
  <c r="A522" i="2"/>
  <c r="J521" i="2"/>
  <c r="I521" i="2"/>
  <c r="H521" i="2"/>
  <c r="G521" i="2"/>
  <c r="F521" i="2"/>
  <c r="E521" i="2"/>
  <c r="D521" i="2"/>
  <c r="C521" i="2"/>
  <c r="B521" i="2"/>
  <c r="A521" i="2"/>
  <c r="J520" i="2"/>
  <c r="I520" i="2"/>
  <c r="H520" i="2"/>
  <c r="G520" i="2"/>
  <c r="F520" i="2"/>
  <c r="E520" i="2"/>
  <c r="D520" i="2"/>
  <c r="C520" i="2"/>
  <c r="B520" i="2"/>
  <c r="A520" i="2"/>
  <c r="J519" i="2"/>
  <c r="I519" i="2"/>
  <c r="H519" i="2"/>
  <c r="G519" i="2"/>
  <c r="F519" i="2"/>
  <c r="E519" i="2"/>
  <c r="D519" i="2"/>
  <c r="C519" i="2"/>
  <c r="B519" i="2"/>
  <c r="A519" i="2"/>
  <c r="J518" i="2"/>
  <c r="I518" i="2"/>
  <c r="H518" i="2"/>
  <c r="G518" i="2"/>
  <c r="F518" i="2"/>
  <c r="E518" i="2"/>
  <c r="D518" i="2"/>
  <c r="C518" i="2"/>
  <c r="B518" i="2"/>
  <c r="A518" i="2"/>
  <c r="J517" i="2"/>
  <c r="I517" i="2"/>
  <c r="H517" i="2"/>
  <c r="G517" i="2"/>
  <c r="F517" i="2"/>
  <c r="E517" i="2"/>
  <c r="D517" i="2"/>
  <c r="C517" i="2"/>
  <c r="B517" i="2"/>
  <c r="A517" i="2"/>
  <c r="J516" i="2"/>
  <c r="I516" i="2"/>
  <c r="H516" i="2"/>
  <c r="G516" i="2"/>
  <c r="F516" i="2"/>
  <c r="E516" i="2"/>
  <c r="D516" i="2"/>
  <c r="C516" i="2"/>
  <c r="B516" i="2"/>
  <c r="A516" i="2"/>
  <c r="J515" i="2"/>
  <c r="I515" i="2"/>
  <c r="H515" i="2"/>
  <c r="G515" i="2"/>
  <c r="F515" i="2"/>
  <c r="E515" i="2"/>
  <c r="D515" i="2"/>
  <c r="C515" i="2"/>
  <c r="B515" i="2"/>
  <c r="A515" i="2"/>
  <c r="J514" i="2"/>
  <c r="I514" i="2"/>
  <c r="H514" i="2"/>
  <c r="G514" i="2"/>
  <c r="F514" i="2"/>
  <c r="E514" i="2"/>
  <c r="D514" i="2"/>
  <c r="C514" i="2"/>
  <c r="B514" i="2"/>
  <c r="A514" i="2"/>
  <c r="J513" i="2"/>
  <c r="I513" i="2"/>
  <c r="H513" i="2"/>
  <c r="G513" i="2"/>
  <c r="F513" i="2"/>
  <c r="E513" i="2"/>
  <c r="D513" i="2"/>
  <c r="C513" i="2"/>
  <c r="B513" i="2"/>
  <c r="A513" i="2"/>
  <c r="J512" i="2"/>
  <c r="I512" i="2"/>
  <c r="H512" i="2"/>
  <c r="G512" i="2"/>
  <c r="F512" i="2"/>
  <c r="E512" i="2"/>
  <c r="D512" i="2"/>
  <c r="C512" i="2"/>
  <c r="B512" i="2"/>
  <c r="A512" i="2"/>
  <c r="J511" i="2"/>
  <c r="I511" i="2"/>
  <c r="H511" i="2"/>
  <c r="G511" i="2"/>
  <c r="F511" i="2"/>
  <c r="E511" i="2"/>
  <c r="D511" i="2"/>
  <c r="C511" i="2"/>
  <c r="B511" i="2"/>
  <c r="A511" i="2"/>
  <c r="J510" i="2"/>
  <c r="I510" i="2"/>
  <c r="H510" i="2"/>
  <c r="G510" i="2"/>
  <c r="F510" i="2"/>
  <c r="E510" i="2"/>
  <c r="D510" i="2"/>
  <c r="C510" i="2"/>
  <c r="B510" i="2"/>
  <c r="A510" i="2"/>
  <c r="J509" i="2"/>
  <c r="I509" i="2"/>
  <c r="H509" i="2"/>
  <c r="G509" i="2"/>
  <c r="F509" i="2"/>
  <c r="E509" i="2"/>
  <c r="D509" i="2"/>
  <c r="C509" i="2"/>
  <c r="B509" i="2"/>
  <c r="A509" i="2"/>
  <c r="J508" i="2"/>
  <c r="I508" i="2"/>
  <c r="H508" i="2"/>
  <c r="G508" i="2"/>
  <c r="F508" i="2"/>
  <c r="E508" i="2"/>
  <c r="D508" i="2"/>
  <c r="C508" i="2"/>
  <c r="B508" i="2"/>
  <c r="A508" i="2"/>
  <c r="J507" i="2"/>
  <c r="I507" i="2"/>
  <c r="H507" i="2"/>
  <c r="G507" i="2"/>
  <c r="F507" i="2"/>
  <c r="E507" i="2"/>
  <c r="D507" i="2"/>
  <c r="C507" i="2"/>
  <c r="B507" i="2"/>
  <c r="A507" i="2"/>
  <c r="J506" i="2"/>
  <c r="I506" i="2"/>
  <c r="H506" i="2"/>
  <c r="G506" i="2"/>
  <c r="F506" i="2"/>
  <c r="E506" i="2"/>
  <c r="D506" i="2"/>
  <c r="C506" i="2"/>
  <c r="B506" i="2"/>
  <c r="A506" i="2"/>
  <c r="J505" i="2"/>
  <c r="I505" i="2"/>
  <c r="H505" i="2"/>
  <c r="G505" i="2"/>
  <c r="F505" i="2"/>
  <c r="E505" i="2"/>
  <c r="D505" i="2"/>
  <c r="C505" i="2"/>
  <c r="B505" i="2"/>
  <c r="A505" i="2"/>
  <c r="J504" i="2"/>
  <c r="I504" i="2"/>
  <c r="H504" i="2"/>
  <c r="G504" i="2"/>
  <c r="F504" i="2"/>
  <c r="E504" i="2"/>
  <c r="D504" i="2"/>
  <c r="C504" i="2"/>
  <c r="B504" i="2"/>
  <c r="A504" i="2"/>
  <c r="J503" i="2"/>
  <c r="I503" i="2"/>
  <c r="H503" i="2"/>
  <c r="G503" i="2"/>
  <c r="F503" i="2"/>
  <c r="E503" i="2"/>
  <c r="D503" i="2"/>
  <c r="C503" i="2"/>
  <c r="B503" i="2"/>
  <c r="A503" i="2"/>
  <c r="J502" i="2"/>
  <c r="I502" i="2"/>
  <c r="H502" i="2"/>
  <c r="G502" i="2"/>
  <c r="F502" i="2"/>
  <c r="E502" i="2"/>
  <c r="D502" i="2"/>
  <c r="C502" i="2"/>
  <c r="B502" i="2"/>
  <c r="A502" i="2"/>
  <c r="J501" i="2"/>
  <c r="I501" i="2"/>
  <c r="H501" i="2"/>
  <c r="G501" i="2"/>
  <c r="F501" i="2"/>
  <c r="E501" i="2"/>
  <c r="D501" i="2"/>
  <c r="C501" i="2"/>
  <c r="B501" i="2"/>
  <c r="A501" i="2"/>
  <c r="J500" i="2"/>
  <c r="I500" i="2"/>
  <c r="H500" i="2"/>
  <c r="G500" i="2"/>
  <c r="F500" i="2"/>
  <c r="E500" i="2"/>
  <c r="D500" i="2"/>
  <c r="C500" i="2"/>
  <c r="B500" i="2"/>
  <c r="A500" i="2"/>
  <c r="J499" i="2"/>
  <c r="I499" i="2"/>
  <c r="H499" i="2"/>
  <c r="G499" i="2"/>
  <c r="F499" i="2"/>
  <c r="E499" i="2"/>
  <c r="D499" i="2"/>
  <c r="C499" i="2"/>
  <c r="B499" i="2"/>
  <c r="A499" i="2"/>
  <c r="J498" i="2"/>
  <c r="I498" i="2"/>
  <c r="H498" i="2"/>
  <c r="G498" i="2"/>
  <c r="F498" i="2"/>
  <c r="E498" i="2"/>
  <c r="D498" i="2"/>
  <c r="C498" i="2"/>
  <c r="B498" i="2"/>
  <c r="A498" i="2"/>
  <c r="J497" i="2"/>
  <c r="I497" i="2"/>
  <c r="H497" i="2"/>
  <c r="G497" i="2"/>
  <c r="F497" i="2"/>
  <c r="E497" i="2"/>
  <c r="D497" i="2"/>
  <c r="C497" i="2"/>
  <c r="B497" i="2"/>
  <c r="A497" i="2"/>
  <c r="J496" i="2"/>
  <c r="I496" i="2"/>
  <c r="H496" i="2"/>
  <c r="G496" i="2"/>
  <c r="F496" i="2"/>
  <c r="E496" i="2"/>
  <c r="D496" i="2"/>
  <c r="C496" i="2"/>
  <c r="B496" i="2"/>
  <c r="A496" i="2"/>
  <c r="J495" i="2"/>
  <c r="I495" i="2"/>
  <c r="H495" i="2"/>
  <c r="G495" i="2"/>
  <c r="F495" i="2"/>
  <c r="E495" i="2"/>
  <c r="D495" i="2"/>
  <c r="C495" i="2"/>
  <c r="B495" i="2"/>
  <c r="A495" i="2"/>
  <c r="J494" i="2"/>
  <c r="I494" i="2"/>
  <c r="H494" i="2"/>
  <c r="G494" i="2"/>
  <c r="F494" i="2"/>
  <c r="E494" i="2"/>
  <c r="D494" i="2"/>
  <c r="C494" i="2"/>
  <c r="B494" i="2"/>
  <c r="A494" i="2"/>
  <c r="J493" i="2"/>
  <c r="I493" i="2"/>
  <c r="H493" i="2"/>
  <c r="G493" i="2"/>
  <c r="F493" i="2"/>
  <c r="E493" i="2"/>
  <c r="D493" i="2"/>
  <c r="C493" i="2"/>
  <c r="B493" i="2"/>
  <c r="A493" i="2"/>
  <c r="J492" i="2"/>
  <c r="I492" i="2"/>
  <c r="H492" i="2"/>
  <c r="G492" i="2"/>
  <c r="F492" i="2"/>
  <c r="E492" i="2"/>
  <c r="D492" i="2"/>
  <c r="C492" i="2"/>
  <c r="B492" i="2"/>
  <c r="A492" i="2"/>
  <c r="J491" i="2"/>
  <c r="I491" i="2"/>
  <c r="H491" i="2"/>
  <c r="G491" i="2"/>
  <c r="F491" i="2"/>
  <c r="E491" i="2"/>
  <c r="D491" i="2"/>
  <c r="C491" i="2"/>
  <c r="B491" i="2"/>
  <c r="A491" i="2"/>
  <c r="J490" i="2"/>
  <c r="I490" i="2"/>
  <c r="H490" i="2"/>
  <c r="G490" i="2"/>
  <c r="F490" i="2"/>
  <c r="E490" i="2"/>
  <c r="D490" i="2"/>
  <c r="C490" i="2"/>
  <c r="B490" i="2"/>
  <c r="A490" i="2"/>
  <c r="J489" i="2"/>
  <c r="I489" i="2"/>
  <c r="H489" i="2"/>
  <c r="G489" i="2"/>
  <c r="F489" i="2"/>
  <c r="E489" i="2"/>
  <c r="D489" i="2"/>
  <c r="C489" i="2"/>
  <c r="B489" i="2"/>
  <c r="A489" i="2"/>
  <c r="J488" i="2"/>
  <c r="I488" i="2"/>
  <c r="H488" i="2"/>
  <c r="G488" i="2"/>
  <c r="F488" i="2"/>
  <c r="E488" i="2"/>
  <c r="D488" i="2"/>
  <c r="C488" i="2"/>
  <c r="B488" i="2"/>
  <c r="A488" i="2"/>
  <c r="J487" i="2"/>
  <c r="I487" i="2"/>
  <c r="H487" i="2"/>
  <c r="G487" i="2"/>
  <c r="F487" i="2"/>
  <c r="E487" i="2"/>
  <c r="D487" i="2"/>
  <c r="C487" i="2"/>
  <c r="B487" i="2"/>
  <c r="A487" i="2"/>
  <c r="J486" i="2"/>
  <c r="I486" i="2"/>
  <c r="H486" i="2"/>
  <c r="G486" i="2"/>
  <c r="F486" i="2"/>
  <c r="E486" i="2"/>
  <c r="D486" i="2"/>
  <c r="C486" i="2"/>
  <c r="B486" i="2"/>
  <c r="A486" i="2"/>
  <c r="J485" i="2"/>
  <c r="I485" i="2"/>
  <c r="H485" i="2"/>
  <c r="G485" i="2"/>
  <c r="F485" i="2"/>
  <c r="E485" i="2"/>
  <c r="D485" i="2"/>
  <c r="C485" i="2"/>
  <c r="B485" i="2"/>
  <c r="A485" i="2"/>
  <c r="J484" i="2"/>
  <c r="I484" i="2"/>
  <c r="H484" i="2"/>
  <c r="G484" i="2"/>
  <c r="F484" i="2"/>
  <c r="E484" i="2"/>
  <c r="D484" i="2"/>
  <c r="C484" i="2"/>
  <c r="B484" i="2"/>
  <c r="A484" i="2"/>
  <c r="J483" i="2"/>
  <c r="I483" i="2"/>
  <c r="H483" i="2"/>
  <c r="G483" i="2"/>
  <c r="F483" i="2"/>
  <c r="E483" i="2"/>
  <c r="D483" i="2"/>
  <c r="C483" i="2"/>
  <c r="B483" i="2"/>
  <c r="A483" i="2"/>
  <c r="J482" i="2"/>
  <c r="I482" i="2"/>
  <c r="H482" i="2"/>
  <c r="G482" i="2"/>
  <c r="F482" i="2"/>
  <c r="E482" i="2"/>
  <c r="D482" i="2"/>
  <c r="C482" i="2"/>
  <c r="B482" i="2"/>
  <c r="A482" i="2"/>
  <c r="J481" i="2"/>
  <c r="I481" i="2"/>
  <c r="H481" i="2"/>
  <c r="G481" i="2"/>
  <c r="F481" i="2"/>
  <c r="E481" i="2"/>
  <c r="D481" i="2"/>
  <c r="C481" i="2"/>
  <c r="B481" i="2"/>
  <c r="A481" i="2"/>
  <c r="J480" i="2"/>
  <c r="I480" i="2"/>
  <c r="H480" i="2"/>
  <c r="G480" i="2"/>
  <c r="F480" i="2"/>
  <c r="E480" i="2"/>
  <c r="D480" i="2"/>
  <c r="C480" i="2"/>
  <c r="B480" i="2"/>
  <c r="A480" i="2"/>
  <c r="J479" i="2"/>
  <c r="I479" i="2"/>
  <c r="H479" i="2"/>
  <c r="G479" i="2"/>
  <c r="F479" i="2"/>
  <c r="E479" i="2"/>
  <c r="D479" i="2"/>
  <c r="C479" i="2"/>
  <c r="B479" i="2"/>
  <c r="A479" i="2"/>
  <c r="J478" i="2"/>
  <c r="I478" i="2"/>
  <c r="H478" i="2"/>
  <c r="G478" i="2"/>
  <c r="F478" i="2"/>
  <c r="E478" i="2"/>
  <c r="D478" i="2"/>
  <c r="C478" i="2"/>
  <c r="B478" i="2"/>
  <c r="A478" i="2"/>
  <c r="J477" i="2"/>
  <c r="I477" i="2"/>
  <c r="H477" i="2"/>
  <c r="G477" i="2"/>
  <c r="F477" i="2"/>
  <c r="E477" i="2"/>
  <c r="D477" i="2"/>
  <c r="C477" i="2"/>
  <c r="B477" i="2"/>
  <c r="A477" i="2"/>
  <c r="J476" i="2"/>
  <c r="I476" i="2"/>
  <c r="H476" i="2"/>
  <c r="G476" i="2"/>
  <c r="F476" i="2"/>
  <c r="E476" i="2"/>
  <c r="D476" i="2"/>
  <c r="C476" i="2"/>
  <c r="B476" i="2"/>
  <c r="A476" i="2"/>
  <c r="J475" i="2"/>
  <c r="I475" i="2"/>
  <c r="H475" i="2"/>
  <c r="G475" i="2"/>
  <c r="F475" i="2"/>
  <c r="E475" i="2"/>
  <c r="D475" i="2"/>
  <c r="C475" i="2"/>
  <c r="B475" i="2"/>
  <c r="A475" i="2"/>
  <c r="J474" i="2"/>
  <c r="I474" i="2"/>
  <c r="H474" i="2"/>
  <c r="G474" i="2"/>
  <c r="F474" i="2"/>
  <c r="E474" i="2"/>
  <c r="D474" i="2"/>
  <c r="C474" i="2"/>
  <c r="B474" i="2"/>
  <c r="A474" i="2"/>
  <c r="J473" i="2"/>
  <c r="I473" i="2"/>
  <c r="H473" i="2"/>
  <c r="G473" i="2"/>
  <c r="F473" i="2"/>
  <c r="E473" i="2"/>
  <c r="D473" i="2"/>
  <c r="C473" i="2"/>
  <c r="B473" i="2"/>
  <c r="A473" i="2"/>
  <c r="J472" i="2"/>
  <c r="I472" i="2"/>
  <c r="H472" i="2"/>
  <c r="G472" i="2"/>
  <c r="F472" i="2"/>
  <c r="E472" i="2"/>
  <c r="D472" i="2"/>
  <c r="C472" i="2"/>
  <c r="B472" i="2"/>
  <c r="A472" i="2"/>
  <c r="J471" i="2"/>
  <c r="I471" i="2"/>
  <c r="H471" i="2"/>
  <c r="G471" i="2"/>
  <c r="F471" i="2"/>
  <c r="E471" i="2"/>
  <c r="D471" i="2"/>
  <c r="C471" i="2"/>
  <c r="B471" i="2"/>
  <c r="A471" i="2"/>
  <c r="J470" i="2"/>
  <c r="I470" i="2"/>
  <c r="H470" i="2"/>
  <c r="G470" i="2"/>
  <c r="F470" i="2"/>
  <c r="E470" i="2"/>
  <c r="D470" i="2"/>
  <c r="C470" i="2"/>
  <c r="B470" i="2"/>
  <c r="A470" i="2"/>
  <c r="J469" i="2"/>
  <c r="I469" i="2"/>
  <c r="H469" i="2"/>
  <c r="G469" i="2"/>
  <c r="F469" i="2"/>
  <c r="E469" i="2"/>
  <c r="D469" i="2"/>
  <c r="C469" i="2"/>
  <c r="B469" i="2"/>
  <c r="A469" i="2"/>
  <c r="J468" i="2"/>
  <c r="I468" i="2"/>
  <c r="H468" i="2"/>
  <c r="G468" i="2"/>
  <c r="F468" i="2"/>
  <c r="E468" i="2"/>
  <c r="D468" i="2"/>
  <c r="C468" i="2"/>
  <c r="B468" i="2"/>
  <c r="A468" i="2"/>
  <c r="J467" i="2"/>
  <c r="I467" i="2"/>
  <c r="H467" i="2"/>
  <c r="G467" i="2"/>
  <c r="F467" i="2"/>
  <c r="E467" i="2"/>
  <c r="D467" i="2"/>
  <c r="C467" i="2"/>
  <c r="B467" i="2"/>
  <c r="A467" i="2"/>
  <c r="J466" i="2"/>
  <c r="I466" i="2"/>
  <c r="H466" i="2"/>
  <c r="G466" i="2"/>
  <c r="F466" i="2"/>
  <c r="E466" i="2"/>
  <c r="D466" i="2"/>
  <c r="C466" i="2"/>
  <c r="B466" i="2"/>
  <c r="A466" i="2"/>
  <c r="J465" i="2"/>
  <c r="I465" i="2"/>
  <c r="H465" i="2"/>
  <c r="G465" i="2"/>
  <c r="F465" i="2"/>
  <c r="E465" i="2"/>
  <c r="D465" i="2"/>
  <c r="C465" i="2"/>
  <c r="B465" i="2"/>
  <c r="A465" i="2"/>
  <c r="J464" i="2"/>
  <c r="I464" i="2"/>
  <c r="H464" i="2"/>
  <c r="G464" i="2"/>
  <c r="F464" i="2"/>
  <c r="E464" i="2"/>
  <c r="D464" i="2"/>
  <c r="C464" i="2"/>
  <c r="B464" i="2"/>
  <c r="A464" i="2"/>
  <c r="J463" i="2"/>
  <c r="I463" i="2"/>
  <c r="H463" i="2"/>
  <c r="G463" i="2"/>
  <c r="F463" i="2"/>
  <c r="E463" i="2"/>
  <c r="D463" i="2"/>
  <c r="C463" i="2"/>
  <c r="B463" i="2"/>
  <c r="A463" i="2"/>
  <c r="J462" i="2"/>
  <c r="I462" i="2"/>
  <c r="H462" i="2"/>
  <c r="G462" i="2"/>
  <c r="F462" i="2"/>
  <c r="E462" i="2"/>
  <c r="D462" i="2"/>
  <c r="C462" i="2"/>
  <c r="B462" i="2"/>
  <c r="A462" i="2"/>
  <c r="J461" i="2"/>
  <c r="I461" i="2"/>
  <c r="H461" i="2"/>
  <c r="G461" i="2"/>
  <c r="F461" i="2"/>
  <c r="E461" i="2"/>
  <c r="D461" i="2"/>
  <c r="C461" i="2"/>
  <c r="B461" i="2"/>
  <c r="A461" i="2"/>
  <c r="J460" i="2"/>
  <c r="I460" i="2"/>
  <c r="H460" i="2"/>
  <c r="G460" i="2"/>
  <c r="F460" i="2"/>
  <c r="E460" i="2"/>
  <c r="D460" i="2"/>
  <c r="C460" i="2"/>
  <c r="B460" i="2"/>
  <c r="A460" i="2"/>
  <c r="J459" i="2"/>
  <c r="I459" i="2"/>
  <c r="H459" i="2"/>
  <c r="G459" i="2"/>
  <c r="F459" i="2"/>
  <c r="E459" i="2"/>
  <c r="D459" i="2"/>
  <c r="C459" i="2"/>
  <c r="B459" i="2"/>
  <c r="A459" i="2"/>
  <c r="J458" i="2"/>
  <c r="I458" i="2"/>
  <c r="H458" i="2"/>
  <c r="G458" i="2"/>
  <c r="F458" i="2"/>
  <c r="E458" i="2"/>
  <c r="D458" i="2"/>
  <c r="C458" i="2"/>
  <c r="B458" i="2"/>
  <c r="A458" i="2"/>
  <c r="J457" i="2"/>
  <c r="I457" i="2"/>
  <c r="H457" i="2"/>
  <c r="G457" i="2"/>
  <c r="F457" i="2"/>
  <c r="E457" i="2"/>
  <c r="D457" i="2"/>
  <c r="C457" i="2"/>
  <c r="B457" i="2"/>
  <c r="A457" i="2"/>
  <c r="J456" i="2"/>
  <c r="I456" i="2"/>
  <c r="H456" i="2"/>
  <c r="G456" i="2"/>
  <c r="F456" i="2"/>
  <c r="E456" i="2"/>
  <c r="D456" i="2"/>
  <c r="C456" i="2"/>
  <c r="B456" i="2"/>
  <c r="A456" i="2"/>
  <c r="J455" i="2"/>
  <c r="I455" i="2"/>
  <c r="H455" i="2"/>
  <c r="G455" i="2"/>
  <c r="F455" i="2"/>
  <c r="E455" i="2"/>
  <c r="D455" i="2"/>
  <c r="C455" i="2"/>
  <c r="B455" i="2"/>
  <c r="A455" i="2"/>
  <c r="J454" i="2"/>
  <c r="I454" i="2"/>
  <c r="H454" i="2"/>
  <c r="G454" i="2"/>
  <c r="F454" i="2"/>
  <c r="E454" i="2"/>
  <c r="D454" i="2"/>
  <c r="C454" i="2"/>
  <c r="B454" i="2"/>
  <c r="A454" i="2"/>
  <c r="J453" i="2"/>
  <c r="I453" i="2"/>
  <c r="H453" i="2"/>
  <c r="G453" i="2"/>
  <c r="F453" i="2"/>
  <c r="E453" i="2"/>
  <c r="D453" i="2"/>
  <c r="C453" i="2"/>
  <c r="B453" i="2"/>
  <c r="A453" i="2"/>
  <c r="J452" i="2"/>
  <c r="I452" i="2"/>
  <c r="H452" i="2"/>
  <c r="G452" i="2"/>
  <c r="F452" i="2"/>
  <c r="E452" i="2"/>
  <c r="D452" i="2"/>
  <c r="C452" i="2"/>
  <c r="B452" i="2"/>
  <c r="A452" i="2"/>
  <c r="J451" i="2"/>
  <c r="I451" i="2"/>
  <c r="H451" i="2"/>
  <c r="G451" i="2"/>
  <c r="F451" i="2"/>
  <c r="E451" i="2"/>
  <c r="D451" i="2"/>
  <c r="C451" i="2"/>
  <c r="B451" i="2"/>
  <c r="A451" i="2"/>
  <c r="J450" i="2"/>
  <c r="I450" i="2"/>
  <c r="H450" i="2"/>
  <c r="G450" i="2"/>
  <c r="F450" i="2"/>
  <c r="E450" i="2"/>
  <c r="D450" i="2"/>
  <c r="C450" i="2"/>
  <c r="B450" i="2"/>
  <c r="A450" i="2"/>
  <c r="J449" i="2"/>
  <c r="I449" i="2"/>
  <c r="H449" i="2"/>
  <c r="G449" i="2"/>
  <c r="F449" i="2"/>
  <c r="E449" i="2"/>
  <c r="D449" i="2"/>
  <c r="C449" i="2"/>
  <c r="B449" i="2"/>
  <c r="A449" i="2"/>
  <c r="J448" i="2"/>
  <c r="I448" i="2"/>
  <c r="H448" i="2"/>
  <c r="G448" i="2"/>
  <c r="F448" i="2"/>
  <c r="E448" i="2"/>
  <c r="D448" i="2"/>
  <c r="C448" i="2"/>
  <c r="B448" i="2"/>
  <c r="A448" i="2"/>
  <c r="J447" i="2"/>
  <c r="I447" i="2"/>
  <c r="H447" i="2"/>
  <c r="G447" i="2"/>
  <c r="F447" i="2"/>
  <c r="E447" i="2"/>
  <c r="D447" i="2"/>
  <c r="C447" i="2"/>
  <c r="B447" i="2"/>
  <c r="A447" i="2"/>
  <c r="J446" i="2"/>
  <c r="I446" i="2"/>
  <c r="H446" i="2"/>
  <c r="G446" i="2"/>
  <c r="F446" i="2"/>
  <c r="E446" i="2"/>
  <c r="D446" i="2"/>
  <c r="C446" i="2"/>
  <c r="B446" i="2"/>
  <c r="A446" i="2"/>
  <c r="J445" i="2"/>
  <c r="I445" i="2"/>
  <c r="H445" i="2"/>
  <c r="G445" i="2"/>
  <c r="F445" i="2"/>
  <c r="E445" i="2"/>
  <c r="D445" i="2"/>
  <c r="C445" i="2"/>
  <c r="B445" i="2"/>
  <c r="A445" i="2"/>
  <c r="J444" i="2"/>
  <c r="I444" i="2"/>
  <c r="H444" i="2"/>
  <c r="G444" i="2"/>
  <c r="F444" i="2"/>
  <c r="E444" i="2"/>
  <c r="D444" i="2"/>
  <c r="C444" i="2"/>
  <c r="B444" i="2"/>
  <c r="A444" i="2"/>
  <c r="J443" i="2"/>
  <c r="I443" i="2"/>
  <c r="H443" i="2"/>
  <c r="G443" i="2"/>
  <c r="F443" i="2"/>
  <c r="E443" i="2"/>
  <c r="D443" i="2"/>
  <c r="C443" i="2"/>
  <c r="B443" i="2"/>
  <c r="A443" i="2"/>
  <c r="J442" i="2"/>
  <c r="I442" i="2"/>
  <c r="H442" i="2"/>
  <c r="G442" i="2"/>
  <c r="F442" i="2"/>
  <c r="E442" i="2"/>
  <c r="D442" i="2"/>
  <c r="C442" i="2"/>
  <c r="B442" i="2"/>
  <c r="A442" i="2"/>
  <c r="J441" i="2"/>
  <c r="I441" i="2"/>
  <c r="H441" i="2"/>
  <c r="G441" i="2"/>
  <c r="F441" i="2"/>
  <c r="E441" i="2"/>
  <c r="D441" i="2"/>
  <c r="C441" i="2"/>
  <c r="B441" i="2"/>
  <c r="A441" i="2"/>
  <c r="J440" i="2"/>
  <c r="I440" i="2"/>
  <c r="H440" i="2"/>
  <c r="G440" i="2"/>
  <c r="F440" i="2"/>
  <c r="E440" i="2"/>
  <c r="D440" i="2"/>
  <c r="C440" i="2"/>
  <c r="B440" i="2"/>
  <c r="A440" i="2"/>
  <c r="J439" i="2"/>
  <c r="I439" i="2"/>
  <c r="H439" i="2"/>
  <c r="G439" i="2"/>
  <c r="F439" i="2"/>
  <c r="E439" i="2"/>
  <c r="D439" i="2"/>
  <c r="C439" i="2"/>
  <c r="B439" i="2"/>
  <c r="A439" i="2"/>
  <c r="J438" i="2"/>
  <c r="I438" i="2"/>
  <c r="H438" i="2"/>
  <c r="G438" i="2"/>
  <c r="F438" i="2"/>
  <c r="E438" i="2"/>
  <c r="D438" i="2"/>
  <c r="C438" i="2"/>
  <c r="B438" i="2"/>
  <c r="A438" i="2"/>
  <c r="J437" i="2"/>
  <c r="I437" i="2"/>
  <c r="H437" i="2"/>
  <c r="G437" i="2"/>
  <c r="F437" i="2"/>
  <c r="E437" i="2"/>
  <c r="D437" i="2"/>
  <c r="C437" i="2"/>
  <c r="B437" i="2"/>
  <c r="A437" i="2"/>
  <c r="J436" i="2"/>
  <c r="I436" i="2"/>
  <c r="H436" i="2"/>
  <c r="G436" i="2"/>
  <c r="F436" i="2"/>
  <c r="E436" i="2"/>
  <c r="D436" i="2"/>
  <c r="C436" i="2"/>
  <c r="B436" i="2"/>
  <c r="A436" i="2"/>
  <c r="J435" i="2"/>
  <c r="I435" i="2"/>
  <c r="H435" i="2"/>
  <c r="G435" i="2"/>
  <c r="F435" i="2"/>
  <c r="E435" i="2"/>
  <c r="D435" i="2"/>
  <c r="C435" i="2"/>
  <c r="B435" i="2"/>
  <c r="A435" i="2"/>
  <c r="J434" i="2"/>
  <c r="I434" i="2"/>
  <c r="H434" i="2"/>
  <c r="G434" i="2"/>
  <c r="F434" i="2"/>
  <c r="E434" i="2"/>
  <c r="D434" i="2"/>
  <c r="C434" i="2"/>
  <c r="B434" i="2"/>
  <c r="A434" i="2"/>
  <c r="J433" i="2"/>
  <c r="I433" i="2"/>
  <c r="H433" i="2"/>
  <c r="G433" i="2"/>
  <c r="F433" i="2"/>
  <c r="E433" i="2"/>
  <c r="D433" i="2"/>
  <c r="C433" i="2"/>
  <c r="B433" i="2"/>
  <c r="A433" i="2"/>
  <c r="J432" i="2"/>
  <c r="I432" i="2"/>
  <c r="H432" i="2"/>
  <c r="G432" i="2"/>
  <c r="F432" i="2"/>
  <c r="E432" i="2"/>
  <c r="D432" i="2"/>
  <c r="C432" i="2"/>
  <c r="B432" i="2"/>
  <c r="A432" i="2"/>
  <c r="J431" i="2"/>
  <c r="I431" i="2"/>
  <c r="H431" i="2"/>
  <c r="G431" i="2"/>
  <c r="F431" i="2"/>
  <c r="E431" i="2"/>
  <c r="D431" i="2"/>
  <c r="C431" i="2"/>
  <c r="B431" i="2"/>
  <c r="A431" i="2"/>
  <c r="J430" i="2"/>
  <c r="I430" i="2"/>
  <c r="H430" i="2"/>
  <c r="G430" i="2"/>
  <c r="F430" i="2"/>
  <c r="E430" i="2"/>
  <c r="D430" i="2"/>
  <c r="C430" i="2"/>
  <c r="B430" i="2"/>
  <c r="A430" i="2"/>
  <c r="J429" i="2"/>
  <c r="I429" i="2"/>
  <c r="H429" i="2"/>
  <c r="G429" i="2"/>
  <c r="F429" i="2"/>
  <c r="E429" i="2"/>
  <c r="D429" i="2"/>
  <c r="C429" i="2"/>
  <c r="B429" i="2"/>
  <c r="A429" i="2"/>
  <c r="J428" i="2"/>
  <c r="I428" i="2"/>
  <c r="H428" i="2"/>
  <c r="G428" i="2"/>
  <c r="F428" i="2"/>
  <c r="E428" i="2"/>
  <c r="D428" i="2"/>
  <c r="C428" i="2"/>
  <c r="B428" i="2"/>
  <c r="A428" i="2"/>
  <c r="J427" i="2"/>
  <c r="I427" i="2"/>
  <c r="H427" i="2"/>
  <c r="G427" i="2"/>
  <c r="F427" i="2"/>
  <c r="E427" i="2"/>
  <c r="D427" i="2"/>
  <c r="C427" i="2"/>
  <c r="B427" i="2"/>
  <c r="A427" i="2"/>
  <c r="J426" i="2"/>
  <c r="I426" i="2"/>
  <c r="H426" i="2"/>
  <c r="G426" i="2"/>
  <c r="F426" i="2"/>
  <c r="E426" i="2"/>
  <c r="D426" i="2"/>
  <c r="C426" i="2"/>
  <c r="B426" i="2"/>
  <c r="A426" i="2"/>
  <c r="J425" i="2"/>
  <c r="I425" i="2"/>
  <c r="H425" i="2"/>
  <c r="G425" i="2"/>
  <c r="F425" i="2"/>
  <c r="E425" i="2"/>
  <c r="D425" i="2"/>
  <c r="C425" i="2"/>
  <c r="B425" i="2"/>
  <c r="A425" i="2"/>
  <c r="J424" i="2"/>
  <c r="I424" i="2"/>
  <c r="H424" i="2"/>
  <c r="G424" i="2"/>
  <c r="F424" i="2"/>
  <c r="E424" i="2"/>
  <c r="D424" i="2"/>
  <c r="C424" i="2"/>
  <c r="B424" i="2"/>
  <c r="A424" i="2"/>
  <c r="J423" i="2"/>
  <c r="I423" i="2"/>
  <c r="H423" i="2"/>
  <c r="G423" i="2"/>
  <c r="F423" i="2"/>
  <c r="E423" i="2"/>
  <c r="D423" i="2"/>
  <c r="C423" i="2"/>
  <c r="B423" i="2"/>
  <c r="A423" i="2"/>
  <c r="J422" i="2"/>
  <c r="I422" i="2"/>
  <c r="H422" i="2"/>
  <c r="G422" i="2"/>
  <c r="F422" i="2"/>
  <c r="E422" i="2"/>
  <c r="D422" i="2"/>
  <c r="C422" i="2"/>
  <c r="B422" i="2"/>
  <c r="A422" i="2"/>
  <c r="J421" i="2"/>
  <c r="I421" i="2"/>
  <c r="H421" i="2"/>
  <c r="G421" i="2"/>
  <c r="F421" i="2"/>
  <c r="E421" i="2"/>
  <c r="D421" i="2"/>
  <c r="C421" i="2"/>
  <c r="B421" i="2"/>
  <c r="A421" i="2"/>
  <c r="J420" i="2"/>
  <c r="I420" i="2"/>
  <c r="H420" i="2"/>
  <c r="G420" i="2"/>
  <c r="F420" i="2"/>
  <c r="E420" i="2"/>
  <c r="D420" i="2"/>
  <c r="C420" i="2"/>
  <c r="B420" i="2"/>
  <c r="A420" i="2"/>
  <c r="J419" i="2"/>
  <c r="I419" i="2"/>
  <c r="H419" i="2"/>
  <c r="G419" i="2"/>
  <c r="F419" i="2"/>
  <c r="E419" i="2"/>
  <c r="D419" i="2"/>
  <c r="C419" i="2"/>
  <c r="B419" i="2"/>
  <c r="A419" i="2"/>
  <c r="J418" i="2"/>
  <c r="I418" i="2"/>
  <c r="H418" i="2"/>
  <c r="G418" i="2"/>
  <c r="F418" i="2"/>
  <c r="E418" i="2"/>
  <c r="D418" i="2"/>
  <c r="C418" i="2"/>
  <c r="B418" i="2"/>
  <c r="A418" i="2"/>
  <c r="J417" i="2"/>
  <c r="I417" i="2"/>
  <c r="H417" i="2"/>
  <c r="G417" i="2"/>
  <c r="F417" i="2"/>
  <c r="E417" i="2"/>
  <c r="D417" i="2"/>
  <c r="C417" i="2"/>
  <c r="B417" i="2"/>
  <c r="A417" i="2"/>
  <c r="J416" i="2"/>
  <c r="I416" i="2"/>
  <c r="H416" i="2"/>
  <c r="G416" i="2"/>
  <c r="F416" i="2"/>
  <c r="E416" i="2"/>
  <c r="D416" i="2"/>
  <c r="C416" i="2"/>
  <c r="B416" i="2"/>
  <c r="A416" i="2"/>
  <c r="J415" i="2"/>
  <c r="I415" i="2"/>
  <c r="H415" i="2"/>
  <c r="G415" i="2"/>
  <c r="F415" i="2"/>
  <c r="E415" i="2"/>
  <c r="D415" i="2"/>
  <c r="C415" i="2"/>
  <c r="B415" i="2"/>
  <c r="A415" i="2"/>
  <c r="J414" i="2"/>
  <c r="I414" i="2"/>
  <c r="H414" i="2"/>
  <c r="G414" i="2"/>
  <c r="F414" i="2"/>
  <c r="E414" i="2"/>
  <c r="D414" i="2"/>
  <c r="C414" i="2"/>
  <c r="B414" i="2"/>
  <c r="A414" i="2"/>
  <c r="J413" i="2"/>
  <c r="I413" i="2"/>
  <c r="H413" i="2"/>
  <c r="G413" i="2"/>
  <c r="F413" i="2"/>
  <c r="E413" i="2"/>
  <c r="D413" i="2"/>
  <c r="C413" i="2"/>
  <c r="B413" i="2"/>
  <c r="A413" i="2"/>
  <c r="J412" i="2"/>
  <c r="I412" i="2"/>
  <c r="H412" i="2"/>
  <c r="G412" i="2"/>
  <c r="F412" i="2"/>
  <c r="E412" i="2"/>
  <c r="D412" i="2"/>
  <c r="C412" i="2"/>
  <c r="B412" i="2"/>
  <c r="A412" i="2"/>
  <c r="J411" i="2"/>
  <c r="I411" i="2"/>
  <c r="H411" i="2"/>
  <c r="G411" i="2"/>
  <c r="F411" i="2"/>
  <c r="E411" i="2"/>
  <c r="D411" i="2"/>
  <c r="C411" i="2"/>
  <c r="B411" i="2"/>
  <c r="A411" i="2"/>
  <c r="J410" i="2"/>
  <c r="I410" i="2"/>
  <c r="H410" i="2"/>
  <c r="G410" i="2"/>
  <c r="F410" i="2"/>
  <c r="E410" i="2"/>
  <c r="D410" i="2"/>
  <c r="C410" i="2"/>
  <c r="B410" i="2"/>
  <c r="A410" i="2"/>
  <c r="J409" i="2"/>
  <c r="I409" i="2"/>
  <c r="H409" i="2"/>
  <c r="G409" i="2"/>
  <c r="F409" i="2"/>
  <c r="E409" i="2"/>
  <c r="D409" i="2"/>
  <c r="C409" i="2"/>
  <c r="B409" i="2"/>
  <c r="A409" i="2"/>
  <c r="J408" i="2"/>
  <c r="I408" i="2"/>
  <c r="H408" i="2"/>
  <c r="G408" i="2"/>
  <c r="F408" i="2"/>
  <c r="E408" i="2"/>
  <c r="D408" i="2"/>
  <c r="C408" i="2"/>
  <c r="B408" i="2"/>
  <c r="A408" i="2"/>
  <c r="J407" i="2"/>
  <c r="I407" i="2"/>
  <c r="H407" i="2"/>
  <c r="G407" i="2"/>
  <c r="F407" i="2"/>
  <c r="E407" i="2"/>
  <c r="D407" i="2"/>
  <c r="C407" i="2"/>
  <c r="B407" i="2"/>
  <c r="A407" i="2"/>
  <c r="J406" i="2"/>
  <c r="I406" i="2"/>
  <c r="H406" i="2"/>
  <c r="G406" i="2"/>
  <c r="F406" i="2"/>
  <c r="E406" i="2"/>
  <c r="D406" i="2"/>
  <c r="C406" i="2"/>
  <c r="B406" i="2"/>
  <c r="A406" i="2"/>
  <c r="J405" i="2"/>
  <c r="I405" i="2"/>
  <c r="H405" i="2"/>
  <c r="G405" i="2"/>
  <c r="F405" i="2"/>
  <c r="E405" i="2"/>
  <c r="D405" i="2"/>
  <c r="C405" i="2"/>
  <c r="B405" i="2"/>
  <c r="A405" i="2"/>
  <c r="J404" i="2"/>
  <c r="I404" i="2"/>
  <c r="H404" i="2"/>
  <c r="G404" i="2"/>
  <c r="F404" i="2"/>
  <c r="E404" i="2"/>
  <c r="D404" i="2"/>
  <c r="C404" i="2"/>
  <c r="B404" i="2"/>
  <c r="A404" i="2"/>
  <c r="J403" i="2"/>
  <c r="I403" i="2"/>
  <c r="H403" i="2"/>
  <c r="G403" i="2"/>
  <c r="F403" i="2"/>
  <c r="E403" i="2"/>
  <c r="D403" i="2"/>
  <c r="C403" i="2"/>
  <c r="B403" i="2"/>
  <c r="A403" i="2"/>
  <c r="J402" i="2"/>
  <c r="I402" i="2"/>
  <c r="H402" i="2"/>
  <c r="G402" i="2"/>
  <c r="F402" i="2"/>
  <c r="E402" i="2"/>
  <c r="D402" i="2"/>
  <c r="C402" i="2"/>
  <c r="B402" i="2"/>
  <c r="A402" i="2"/>
  <c r="J401" i="2"/>
  <c r="I401" i="2"/>
  <c r="H401" i="2"/>
  <c r="G401" i="2"/>
  <c r="F401" i="2"/>
  <c r="E401" i="2"/>
  <c r="D401" i="2"/>
  <c r="C401" i="2"/>
  <c r="B401" i="2"/>
  <c r="A401" i="2"/>
  <c r="J400" i="2"/>
  <c r="I400" i="2"/>
  <c r="H400" i="2"/>
  <c r="G400" i="2"/>
  <c r="F400" i="2"/>
  <c r="E400" i="2"/>
  <c r="D400" i="2"/>
  <c r="C400" i="2"/>
  <c r="B400" i="2"/>
  <c r="A400" i="2"/>
  <c r="J399" i="2"/>
  <c r="I399" i="2"/>
  <c r="H399" i="2"/>
  <c r="G399" i="2"/>
  <c r="F399" i="2"/>
  <c r="E399" i="2"/>
  <c r="D399" i="2"/>
  <c r="C399" i="2"/>
  <c r="B399" i="2"/>
  <c r="A399" i="2"/>
  <c r="J398" i="2"/>
  <c r="I398" i="2"/>
  <c r="H398" i="2"/>
  <c r="G398" i="2"/>
  <c r="F398" i="2"/>
  <c r="E398" i="2"/>
  <c r="D398" i="2"/>
  <c r="C398" i="2"/>
  <c r="B398" i="2"/>
  <c r="A398" i="2"/>
  <c r="J397" i="2"/>
  <c r="I397" i="2"/>
  <c r="H397" i="2"/>
  <c r="G397" i="2"/>
  <c r="F397" i="2"/>
  <c r="E397" i="2"/>
  <c r="D397" i="2"/>
  <c r="C397" i="2"/>
  <c r="B397" i="2"/>
  <c r="A397" i="2"/>
  <c r="J396" i="2"/>
  <c r="I396" i="2"/>
  <c r="H396" i="2"/>
  <c r="G396" i="2"/>
  <c r="F396" i="2"/>
  <c r="E396" i="2"/>
  <c r="D396" i="2"/>
  <c r="C396" i="2"/>
  <c r="B396" i="2"/>
  <c r="A396" i="2"/>
  <c r="J395" i="2"/>
  <c r="I395" i="2"/>
  <c r="H395" i="2"/>
  <c r="G395" i="2"/>
  <c r="F395" i="2"/>
  <c r="E395" i="2"/>
  <c r="D395" i="2"/>
  <c r="C395" i="2"/>
  <c r="B395" i="2"/>
  <c r="A395" i="2"/>
  <c r="J394" i="2"/>
  <c r="I394" i="2"/>
  <c r="H394" i="2"/>
  <c r="G394" i="2"/>
  <c r="F394" i="2"/>
  <c r="E394" i="2"/>
  <c r="D394" i="2"/>
  <c r="C394" i="2"/>
  <c r="B394" i="2"/>
  <c r="A394" i="2"/>
  <c r="J393" i="2"/>
  <c r="I393" i="2"/>
  <c r="H393" i="2"/>
  <c r="G393" i="2"/>
  <c r="F393" i="2"/>
  <c r="E393" i="2"/>
  <c r="D393" i="2"/>
  <c r="C393" i="2"/>
  <c r="B393" i="2"/>
  <c r="A393" i="2"/>
  <c r="J392" i="2"/>
  <c r="I392" i="2"/>
  <c r="H392" i="2"/>
  <c r="G392" i="2"/>
  <c r="F392" i="2"/>
  <c r="E392" i="2"/>
  <c r="D392" i="2"/>
  <c r="C392" i="2"/>
  <c r="B392" i="2"/>
  <c r="A392" i="2"/>
  <c r="J391" i="2"/>
  <c r="I391" i="2"/>
  <c r="H391" i="2"/>
  <c r="G391" i="2"/>
  <c r="F391" i="2"/>
  <c r="E391" i="2"/>
  <c r="D391" i="2"/>
  <c r="C391" i="2"/>
  <c r="B391" i="2"/>
  <c r="A391" i="2"/>
  <c r="J390" i="2"/>
  <c r="I390" i="2"/>
  <c r="H390" i="2"/>
  <c r="G390" i="2"/>
  <c r="F390" i="2"/>
  <c r="E390" i="2"/>
  <c r="D390" i="2"/>
  <c r="C390" i="2"/>
  <c r="B390" i="2"/>
  <c r="A390" i="2"/>
  <c r="J389" i="2"/>
  <c r="I389" i="2"/>
  <c r="H389" i="2"/>
  <c r="G389" i="2"/>
  <c r="F389" i="2"/>
  <c r="E389" i="2"/>
  <c r="D389" i="2"/>
  <c r="C389" i="2"/>
  <c r="B389" i="2"/>
  <c r="A389" i="2"/>
  <c r="J388" i="2"/>
  <c r="I388" i="2"/>
  <c r="H388" i="2"/>
  <c r="G388" i="2"/>
  <c r="F388" i="2"/>
  <c r="E388" i="2"/>
  <c r="D388" i="2"/>
  <c r="C388" i="2"/>
  <c r="B388" i="2"/>
  <c r="A388" i="2"/>
  <c r="J387" i="2"/>
  <c r="I387" i="2"/>
  <c r="H387" i="2"/>
  <c r="G387" i="2"/>
  <c r="F387" i="2"/>
  <c r="E387" i="2"/>
  <c r="D387" i="2"/>
  <c r="C387" i="2"/>
  <c r="B387" i="2"/>
  <c r="A387" i="2"/>
  <c r="J386" i="2"/>
  <c r="I386" i="2"/>
  <c r="H386" i="2"/>
  <c r="G386" i="2"/>
  <c r="F386" i="2"/>
  <c r="E386" i="2"/>
  <c r="D386" i="2"/>
  <c r="C386" i="2"/>
  <c r="B386" i="2"/>
  <c r="A386" i="2"/>
  <c r="J385" i="2"/>
  <c r="I385" i="2"/>
  <c r="H385" i="2"/>
  <c r="G385" i="2"/>
  <c r="F385" i="2"/>
  <c r="E385" i="2"/>
  <c r="D385" i="2"/>
  <c r="C385" i="2"/>
  <c r="B385" i="2"/>
  <c r="A385" i="2"/>
  <c r="J384" i="2"/>
  <c r="I384" i="2"/>
  <c r="H384" i="2"/>
  <c r="G384" i="2"/>
  <c r="F384" i="2"/>
  <c r="E384" i="2"/>
  <c r="D384" i="2"/>
  <c r="C384" i="2"/>
  <c r="B384" i="2"/>
  <c r="A384" i="2"/>
  <c r="J383" i="2"/>
  <c r="I383" i="2"/>
  <c r="H383" i="2"/>
  <c r="G383" i="2"/>
  <c r="F383" i="2"/>
  <c r="E383" i="2"/>
  <c r="D383" i="2"/>
  <c r="C383" i="2"/>
  <c r="B383" i="2"/>
  <c r="A383" i="2"/>
  <c r="J382" i="2"/>
  <c r="I382" i="2"/>
  <c r="H382" i="2"/>
  <c r="G382" i="2"/>
  <c r="F382" i="2"/>
  <c r="E382" i="2"/>
  <c r="D382" i="2"/>
  <c r="C382" i="2"/>
  <c r="B382" i="2"/>
  <c r="A382" i="2"/>
  <c r="J381" i="2"/>
  <c r="I381" i="2"/>
  <c r="H381" i="2"/>
  <c r="G381" i="2"/>
  <c r="F381" i="2"/>
  <c r="E381" i="2"/>
  <c r="D381" i="2"/>
  <c r="C381" i="2"/>
  <c r="B381" i="2"/>
  <c r="A381" i="2"/>
  <c r="J380" i="2"/>
  <c r="I380" i="2"/>
  <c r="H380" i="2"/>
  <c r="G380" i="2"/>
  <c r="F380" i="2"/>
  <c r="E380" i="2"/>
  <c r="D380" i="2"/>
  <c r="C380" i="2"/>
  <c r="B380" i="2"/>
  <c r="A380" i="2"/>
  <c r="J379" i="2"/>
  <c r="I379" i="2"/>
  <c r="H379" i="2"/>
  <c r="G379" i="2"/>
  <c r="F379" i="2"/>
  <c r="E379" i="2"/>
  <c r="D379" i="2"/>
  <c r="C379" i="2"/>
  <c r="B379" i="2"/>
  <c r="A379" i="2"/>
  <c r="J378" i="2"/>
  <c r="I378" i="2"/>
  <c r="H378" i="2"/>
  <c r="G378" i="2"/>
  <c r="F378" i="2"/>
  <c r="E378" i="2"/>
  <c r="D378" i="2"/>
  <c r="C378" i="2"/>
  <c r="B378" i="2"/>
  <c r="A378" i="2"/>
  <c r="J377" i="2"/>
  <c r="I377" i="2"/>
  <c r="H377" i="2"/>
  <c r="G377" i="2"/>
  <c r="F377" i="2"/>
  <c r="E377" i="2"/>
  <c r="D377" i="2"/>
  <c r="C377" i="2"/>
  <c r="B377" i="2"/>
  <c r="A377" i="2"/>
  <c r="J376" i="2"/>
  <c r="I376" i="2"/>
  <c r="H376" i="2"/>
  <c r="G376" i="2"/>
  <c r="F376" i="2"/>
  <c r="E376" i="2"/>
  <c r="D376" i="2"/>
  <c r="C376" i="2"/>
  <c r="B376" i="2"/>
  <c r="A376" i="2"/>
  <c r="J375" i="2"/>
  <c r="I375" i="2"/>
  <c r="H375" i="2"/>
  <c r="G375" i="2"/>
  <c r="F375" i="2"/>
  <c r="E375" i="2"/>
  <c r="D375" i="2"/>
  <c r="C375" i="2"/>
  <c r="B375" i="2"/>
  <c r="A375" i="2"/>
  <c r="J374" i="2"/>
  <c r="I374" i="2"/>
  <c r="H374" i="2"/>
  <c r="G374" i="2"/>
  <c r="F374" i="2"/>
  <c r="E374" i="2"/>
  <c r="D374" i="2"/>
  <c r="C374" i="2"/>
  <c r="B374" i="2"/>
  <c r="A374" i="2"/>
  <c r="J373" i="2"/>
  <c r="I373" i="2"/>
  <c r="H373" i="2"/>
  <c r="G373" i="2"/>
  <c r="F373" i="2"/>
  <c r="E373" i="2"/>
  <c r="D373" i="2"/>
  <c r="C373" i="2"/>
  <c r="B373" i="2"/>
  <c r="A373" i="2"/>
  <c r="J372" i="2"/>
  <c r="I372" i="2"/>
  <c r="H372" i="2"/>
  <c r="G372" i="2"/>
  <c r="F372" i="2"/>
  <c r="E372" i="2"/>
  <c r="D372" i="2"/>
  <c r="C372" i="2"/>
  <c r="B372" i="2"/>
  <c r="A372" i="2"/>
  <c r="J371" i="2"/>
  <c r="I371" i="2"/>
  <c r="H371" i="2"/>
  <c r="G371" i="2"/>
  <c r="F371" i="2"/>
  <c r="E371" i="2"/>
  <c r="D371" i="2"/>
  <c r="C371" i="2"/>
  <c r="B371" i="2"/>
  <c r="A371" i="2"/>
  <c r="J370" i="2"/>
  <c r="I370" i="2"/>
  <c r="H370" i="2"/>
  <c r="G370" i="2"/>
  <c r="F370" i="2"/>
  <c r="E370" i="2"/>
  <c r="D370" i="2"/>
  <c r="C370" i="2"/>
  <c r="B370" i="2"/>
  <c r="A370" i="2"/>
  <c r="J369" i="2"/>
  <c r="I369" i="2"/>
  <c r="H369" i="2"/>
  <c r="G369" i="2"/>
  <c r="F369" i="2"/>
  <c r="E369" i="2"/>
  <c r="D369" i="2"/>
  <c r="C369" i="2"/>
  <c r="B369" i="2"/>
  <c r="A369" i="2"/>
  <c r="J368" i="2"/>
  <c r="I368" i="2"/>
  <c r="H368" i="2"/>
  <c r="G368" i="2"/>
  <c r="F368" i="2"/>
  <c r="E368" i="2"/>
  <c r="D368" i="2"/>
  <c r="C368" i="2"/>
  <c r="B368" i="2"/>
  <c r="A368" i="2"/>
  <c r="J367" i="2"/>
  <c r="I367" i="2"/>
  <c r="H367" i="2"/>
  <c r="G367" i="2"/>
  <c r="F367" i="2"/>
  <c r="E367" i="2"/>
  <c r="D367" i="2"/>
  <c r="C367" i="2"/>
  <c r="B367" i="2"/>
  <c r="A367" i="2"/>
  <c r="J366" i="2"/>
  <c r="I366" i="2"/>
  <c r="H366" i="2"/>
  <c r="G366" i="2"/>
  <c r="F366" i="2"/>
  <c r="E366" i="2"/>
  <c r="D366" i="2"/>
  <c r="C366" i="2"/>
  <c r="B366" i="2"/>
  <c r="A366" i="2"/>
  <c r="J365" i="2"/>
  <c r="I365" i="2"/>
  <c r="H365" i="2"/>
  <c r="G365" i="2"/>
  <c r="F365" i="2"/>
  <c r="E365" i="2"/>
  <c r="D365" i="2"/>
  <c r="C365" i="2"/>
  <c r="B365" i="2"/>
  <c r="A365" i="2"/>
  <c r="J364" i="2"/>
  <c r="I364" i="2"/>
  <c r="H364" i="2"/>
  <c r="G364" i="2"/>
  <c r="F364" i="2"/>
  <c r="E364" i="2"/>
  <c r="D364" i="2"/>
  <c r="C364" i="2"/>
  <c r="B364" i="2"/>
  <c r="A364" i="2"/>
  <c r="J363" i="2"/>
  <c r="I363" i="2"/>
  <c r="H363" i="2"/>
  <c r="G363" i="2"/>
  <c r="F363" i="2"/>
  <c r="E363" i="2"/>
  <c r="D363" i="2"/>
  <c r="C363" i="2"/>
  <c r="B363" i="2"/>
  <c r="A363" i="2"/>
  <c r="J362" i="2"/>
  <c r="I362" i="2"/>
  <c r="H362" i="2"/>
  <c r="G362" i="2"/>
  <c r="F362" i="2"/>
  <c r="E362" i="2"/>
  <c r="D362" i="2"/>
  <c r="C362" i="2"/>
  <c r="B362" i="2"/>
  <c r="A362" i="2"/>
  <c r="J361" i="2"/>
  <c r="I361" i="2"/>
  <c r="H361" i="2"/>
  <c r="G361" i="2"/>
  <c r="F361" i="2"/>
  <c r="E361" i="2"/>
  <c r="D361" i="2"/>
  <c r="C361" i="2"/>
  <c r="B361" i="2"/>
  <c r="A361" i="2"/>
  <c r="J360" i="2"/>
  <c r="I360" i="2"/>
  <c r="H360" i="2"/>
  <c r="G360" i="2"/>
  <c r="F360" i="2"/>
  <c r="E360" i="2"/>
  <c r="D360" i="2"/>
  <c r="C360" i="2"/>
  <c r="B360" i="2"/>
  <c r="A360" i="2"/>
  <c r="J359" i="2"/>
  <c r="I359" i="2"/>
  <c r="H359" i="2"/>
  <c r="G359" i="2"/>
  <c r="F359" i="2"/>
  <c r="E359" i="2"/>
  <c r="D359" i="2"/>
  <c r="C359" i="2"/>
  <c r="B359" i="2"/>
  <c r="A359" i="2"/>
  <c r="J358" i="2"/>
  <c r="I358" i="2"/>
  <c r="H358" i="2"/>
  <c r="G358" i="2"/>
  <c r="F358" i="2"/>
  <c r="E358" i="2"/>
  <c r="D358" i="2"/>
  <c r="C358" i="2"/>
  <c r="B358" i="2"/>
  <c r="A358" i="2"/>
  <c r="J357" i="2"/>
  <c r="I357" i="2"/>
  <c r="H357" i="2"/>
  <c r="G357" i="2"/>
  <c r="F357" i="2"/>
  <c r="E357" i="2"/>
  <c r="D357" i="2"/>
  <c r="C357" i="2"/>
  <c r="B357" i="2"/>
  <c r="A357" i="2"/>
  <c r="J356" i="2"/>
  <c r="I356" i="2"/>
  <c r="H356" i="2"/>
  <c r="G356" i="2"/>
  <c r="F356" i="2"/>
  <c r="E356" i="2"/>
  <c r="D356" i="2"/>
  <c r="C356" i="2"/>
  <c r="B356" i="2"/>
  <c r="A356" i="2"/>
  <c r="J355" i="2"/>
  <c r="I355" i="2"/>
  <c r="H355" i="2"/>
  <c r="G355" i="2"/>
  <c r="F355" i="2"/>
  <c r="E355" i="2"/>
  <c r="D355" i="2"/>
  <c r="C355" i="2"/>
  <c r="B355" i="2"/>
  <c r="A355" i="2"/>
  <c r="J354" i="2"/>
  <c r="I354" i="2"/>
  <c r="H354" i="2"/>
  <c r="G354" i="2"/>
  <c r="F354" i="2"/>
  <c r="E354" i="2"/>
  <c r="D354" i="2"/>
  <c r="C354" i="2"/>
  <c r="B354" i="2"/>
  <c r="A354" i="2"/>
  <c r="J353" i="2"/>
  <c r="I353" i="2"/>
  <c r="H353" i="2"/>
  <c r="G353" i="2"/>
  <c r="F353" i="2"/>
  <c r="E353" i="2"/>
  <c r="D353" i="2"/>
  <c r="C353" i="2"/>
  <c r="B353" i="2"/>
  <c r="A353" i="2"/>
  <c r="J352" i="2"/>
  <c r="I352" i="2"/>
  <c r="H352" i="2"/>
  <c r="G352" i="2"/>
  <c r="F352" i="2"/>
  <c r="E352" i="2"/>
  <c r="D352" i="2"/>
  <c r="C352" i="2"/>
  <c r="B352" i="2"/>
  <c r="A352" i="2"/>
  <c r="J351" i="2"/>
  <c r="I351" i="2"/>
  <c r="H351" i="2"/>
  <c r="G351" i="2"/>
  <c r="F351" i="2"/>
  <c r="E351" i="2"/>
  <c r="D351" i="2"/>
  <c r="C351" i="2"/>
  <c r="B351" i="2"/>
  <c r="A351" i="2"/>
  <c r="J350" i="2"/>
  <c r="I350" i="2"/>
  <c r="H350" i="2"/>
  <c r="G350" i="2"/>
  <c r="F350" i="2"/>
  <c r="E350" i="2"/>
  <c r="D350" i="2"/>
  <c r="C350" i="2"/>
  <c r="B350" i="2"/>
  <c r="A350" i="2"/>
  <c r="J349" i="2"/>
  <c r="I349" i="2"/>
  <c r="H349" i="2"/>
  <c r="G349" i="2"/>
  <c r="F349" i="2"/>
  <c r="E349" i="2"/>
  <c r="D349" i="2"/>
  <c r="C349" i="2"/>
  <c r="B349" i="2"/>
  <c r="A349" i="2"/>
  <c r="J348" i="2"/>
  <c r="I348" i="2"/>
  <c r="H348" i="2"/>
  <c r="G348" i="2"/>
  <c r="F348" i="2"/>
  <c r="E348" i="2"/>
  <c r="D348" i="2"/>
  <c r="C348" i="2"/>
  <c r="B348" i="2"/>
  <c r="A348" i="2"/>
  <c r="J347" i="2"/>
  <c r="I347" i="2"/>
  <c r="H347" i="2"/>
  <c r="G347" i="2"/>
  <c r="F347" i="2"/>
  <c r="E347" i="2"/>
  <c r="D347" i="2"/>
  <c r="C347" i="2"/>
  <c r="B347" i="2"/>
  <c r="A347" i="2"/>
  <c r="J346" i="2"/>
  <c r="I346" i="2"/>
  <c r="H346" i="2"/>
  <c r="G346" i="2"/>
  <c r="F346" i="2"/>
  <c r="E346" i="2"/>
  <c r="D346" i="2"/>
  <c r="C346" i="2"/>
  <c r="B346" i="2"/>
  <c r="A346" i="2"/>
  <c r="J345" i="2"/>
  <c r="I345" i="2"/>
  <c r="H345" i="2"/>
  <c r="G345" i="2"/>
  <c r="F345" i="2"/>
  <c r="E345" i="2"/>
  <c r="D345" i="2"/>
  <c r="C345" i="2"/>
  <c r="B345" i="2"/>
  <c r="A345" i="2"/>
  <c r="J344" i="2"/>
  <c r="I344" i="2"/>
  <c r="H344" i="2"/>
  <c r="G344" i="2"/>
  <c r="F344" i="2"/>
  <c r="E344" i="2"/>
  <c r="D344" i="2"/>
  <c r="C344" i="2"/>
  <c r="B344" i="2"/>
  <c r="A344" i="2"/>
  <c r="J343" i="2"/>
  <c r="I343" i="2"/>
  <c r="H343" i="2"/>
  <c r="G343" i="2"/>
  <c r="F343" i="2"/>
  <c r="E343" i="2"/>
  <c r="D343" i="2"/>
  <c r="C343" i="2"/>
  <c r="B343" i="2"/>
  <c r="A343" i="2"/>
  <c r="J342" i="2"/>
  <c r="I342" i="2"/>
  <c r="H342" i="2"/>
  <c r="G342" i="2"/>
  <c r="F342" i="2"/>
  <c r="E342" i="2"/>
  <c r="D342" i="2"/>
  <c r="C342" i="2"/>
  <c r="B342" i="2"/>
  <c r="A342" i="2"/>
  <c r="J341" i="2"/>
  <c r="I341" i="2"/>
  <c r="H341" i="2"/>
  <c r="G341" i="2"/>
  <c r="F341" i="2"/>
  <c r="E341" i="2"/>
  <c r="D341" i="2"/>
  <c r="C341" i="2"/>
  <c r="B341" i="2"/>
  <c r="A341" i="2"/>
  <c r="J340" i="2"/>
  <c r="I340" i="2"/>
  <c r="H340" i="2"/>
  <c r="G340" i="2"/>
  <c r="F340" i="2"/>
  <c r="E340" i="2"/>
  <c r="D340" i="2"/>
  <c r="C340" i="2"/>
  <c r="B340" i="2"/>
  <c r="A340" i="2"/>
  <c r="J339" i="2"/>
  <c r="I339" i="2"/>
  <c r="H339" i="2"/>
  <c r="G339" i="2"/>
  <c r="F339" i="2"/>
  <c r="E339" i="2"/>
  <c r="D339" i="2"/>
  <c r="C339" i="2"/>
  <c r="B339" i="2"/>
  <c r="A339" i="2"/>
  <c r="J338" i="2"/>
  <c r="I338" i="2"/>
  <c r="H338" i="2"/>
  <c r="G338" i="2"/>
  <c r="F338" i="2"/>
  <c r="E338" i="2"/>
  <c r="D338" i="2"/>
  <c r="C338" i="2"/>
  <c r="B338" i="2"/>
  <c r="A338" i="2"/>
  <c r="J337" i="2"/>
  <c r="I337" i="2"/>
  <c r="H337" i="2"/>
  <c r="G337" i="2"/>
  <c r="F337" i="2"/>
  <c r="E337" i="2"/>
  <c r="D337" i="2"/>
  <c r="C337" i="2"/>
  <c r="B337" i="2"/>
  <c r="A337" i="2"/>
  <c r="J336" i="2"/>
  <c r="I336" i="2"/>
  <c r="H336" i="2"/>
  <c r="G336" i="2"/>
  <c r="F336" i="2"/>
  <c r="E336" i="2"/>
  <c r="D336" i="2"/>
  <c r="C336" i="2"/>
  <c r="B336" i="2"/>
  <c r="A336" i="2"/>
  <c r="J335" i="2"/>
  <c r="I335" i="2"/>
  <c r="H335" i="2"/>
  <c r="G335" i="2"/>
  <c r="F335" i="2"/>
  <c r="E335" i="2"/>
  <c r="D335" i="2"/>
  <c r="C335" i="2"/>
  <c r="B335" i="2"/>
  <c r="A335" i="2"/>
  <c r="J334" i="2"/>
  <c r="I334" i="2"/>
  <c r="H334" i="2"/>
  <c r="G334" i="2"/>
  <c r="F334" i="2"/>
  <c r="E334" i="2"/>
  <c r="D334" i="2"/>
  <c r="C334" i="2"/>
  <c r="B334" i="2"/>
  <c r="A334" i="2"/>
  <c r="J333" i="2"/>
  <c r="I333" i="2"/>
  <c r="H333" i="2"/>
  <c r="G333" i="2"/>
  <c r="F333" i="2"/>
  <c r="E333" i="2"/>
  <c r="D333" i="2"/>
  <c r="C333" i="2"/>
  <c r="B333" i="2"/>
  <c r="A333" i="2"/>
  <c r="J332" i="2"/>
  <c r="I332" i="2"/>
  <c r="H332" i="2"/>
  <c r="G332" i="2"/>
  <c r="F332" i="2"/>
  <c r="E332" i="2"/>
  <c r="D332" i="2"/>
  <c r="C332" i="2"/>
  <c r="B332" i="2"/>
  <c r="A332" i="2"/>
  <c r="J331" i="2"/>
  <c r="I331" i="2"/>
  <c r="H331" i="2"/>
  <c r="G331" i="2"/>
  <c r="F331" i="2"/>
  <c r="E331" i="2"/>
  <c r="D331" i="2"/>
  <c r="C331" i="2"/>
  <c r="B331" i="2"/>
  <c r="A331" i="2"/>
  <c r="J330" i="2"/>
  <c r="I330" i="2"/>
  <c r="H330" i="2"/>
  <c r="G330" i="2"/>
  <c r="F330" i="2"/>
  <c r="E330" i="2"/>
  <c r="D330" i="2"/>
  <c r="C330" i="2"/>
  <c r="B330" i="2"/>
  <c r="A330" i="2"/>
  <c r="J329" i="2"/>
  <c r="I329" i="2"/>
  <c r="H329" i="2"/>
  <c r="G329" i="2"/>
  <c r="F329" i="2"/>
  <c r="E329" i="2"/>
  <c r="D329" i="2"/>
  <c r="C329" i="2"/>
  <c r="B329" i="2"/>
  <c r="A329" i="2"/>
  <c r="J328" i="2"/>
  <c r="I328" i="2"/>
  <c r="H328" i="2"/>
  <c r="G328" i="2"/>
  <c r="F328" i="2"/>
  <c r="E328" i="2"/>
  <c r="D328" i="2"/>
  <c r="C328" i="2"/>
  <c r="B328" i="2"/>
  <c r="A328" i="2"/>
  <c r="J327" i="2"/>
  <c r="I327" i="2"/>
  <c r="H327" i="2"/>
  <c r="G327" i="2"/>
  <c r="F327" i="2"/>
  <c r="E327" i="2"/>
  <c r="D327" i="2"/>
  <c r="C327" i="2"/>
  <c r="B327" i="2"/>
  <c r="A327" i="2"/>
  <c r="J326" i="2"/>
  <c r="I326" i="2"/>
  <c r="H326" i="2"/>
  <c r="G326" i="2"/>
  <c r="F326" i="2"/>
  <c r="E326" i="2"/>
  <c r="D326" i="2"/>
  <c r="C326" i="2"/>
  <c r="B326" i="2"/>
  <c r="A326" i="2"/>
  <c r="J325" i="2"/>
  <c r="I325" i="2"/>
  <c r="H325" i="2"/>
  <c r="G325" i="2"/>
  <c r="F325" i="2"/>
  <c r="E325" i="2"/>
  <c r="D325" i="2"/>
  <c r="C325" i="2"/>
  <c r="B325" i="2"/>
  <c r="A325" i="2"/>
  <c r="J324" i="2"/>
  <c r="I324" i="2"/>
  <c r="H324" i="2"/>
  <c r="G324" i="2"/>
  <c r="F324" i="2"/>
  <c r="E324" i="2"/>
  <c r="D324" i="2"/>
  <c r="C324" i="2"/>
  <c r="B324" i="2"/>
  <c r="A324" i="2"/>
  <c r="J323" i="2"/>
  <c r="I323" i="2"/>
  <c r="H323" i="2"/>
  <c r="G323" i="2"/>
  <c r="F323" i="2"/>
  <c r="E323" i="2"/>
  <c r="D323" i="2"/>
  <c r="C323" i="2"/>
  <c r="B323" i="2"/>
  <c r="A323" i="2"/>
  <c r="J322" i="2"/>
  <c r="I322" i="2"/>
  <c r="H322" i="2"/>
  <c r="G322" i="2"/>
  <c r="F322" i="2"/>
  <c r="E322" i="2"/>
  <c r="D322" i="2"/>
  <c r="C322" i="2"/>
  <c r="B322" i="2"/>
  <c r="A322" i="2"/>
  <c r="J321" i="2"/>
  <c r="I321" i="2"/>
  <c r="H321" i="2"/>
  <c r="G321" i="2"/>
  <c r="F321" i="2"/>
  <c r="E321" i="2"/>
  <c r="D321" i="2"/>
  <c r="C321" i="2"/>
  <c r="B321" i="2"/>
  <c r="A321" i="2"/>
  <c r="J320" i="2"/>
  <c r="I320" i="2"/>
  <c r="H320" i="2"/>
  <c r="G320" i="2"/>
  <c r="F320" i="2"/>
  <c r="E320" i="2"/>
  <c r="D320" i="2"/>
  <c r="C320" i="2"/>
  <c r="B320" i="2"/>
  <c r="A320" i="2"/>
  <c r="J319" i="2"/>
  <c r="I319" i="2"/>
  <c r="H319" i="2"/>
  <c r="G319" i="2"/>
  <c r="F319" i="2"/>
  <c r="E319" i="2"/>
  <c r="D319" i="2"/>
  <c r="C319" i="2"/>
  <c r="B319" i="2"/>
  <c r="A319" i="2"/>
  <c r="J318" i="2"/>
  <c r="I318" i="2"/>
  <c r="H318" i="2"/>
  <c r="G318" i="2"/>
  <c r="F318" i="2"/>
  <c r="E318" i="2"/>
  <c r="D318" i="2"/>
  <c r="C318" i="2"/>
  <c r="B318" i="2"/>
  <c r="A318" i="2"/>
  <c r="J317" i="2"/>
  <c r="I317" i="2"/>
  <c r="H317" i="2"/>
  <c r="G317" i="2"/>
  <c r="F317" i="2"/>
  <c r="E317" i="2"/>
  <c r="D317" i="2"/>
  <c r="C317" i="2"/>
  <c r="B317" i="2"/>
  <c r="A317" i="2"/>
  <c r="J316" i="2"/>
  <c r="I316" i="2"/>
  <c r="H316" i="2"/>
  <c r="G316" i="2"/>
  <c r="F316" i="2"/>
  <c r="E316" i="2"/>
  <c r="D316" i="2"/>
  <c r="C316" i="2"/>
  <c r="B316" i="2"/>
  <c r="A316" i="2"/>
  <c r="J315" i="2"/>
  <c r="I315" i="2"/>
  <c r="H315" i="2"/>
  <c r="G315" i="2"/>
  <c r="F315" i="2"/>
  <c r="E315" i="2"/>
  <c r="D315" i="2"/>
  <c r="C315" i="2"/>
  <c r="B315" i="2"/>
  <c r="A315" i="2"/>
  <c r="J314" i="2"/>
  <c r="I314" i="2"/>
  <c r="H314" i="2"/>
  <c r="G314" i="2"/>
  <c r="F314" i="2"/>
  <c r="E314" i="2"/>
  <c r="D314" i="2"/>
  <c r="C314" i="2"/>
  <c r="B314" i="2"/>
  <c r="A314" i="2"/>
  <c r="J313" i="2"/>
  <c r="I313" i="2"/>
  <c r="H313" i="2"/>
  <c r="G313" i="2"/>
  <c r="F313" i="2"/>
  <c r="E313" i="2"/>
  <c r="D313" i="2"/>
  <c r="C313" i="2"/>
  <c r="B313" i="2"/>
  <c r="A313" i="2"/>
  <c r="J312" i="2"/>
  <c r="I312" i="2"/>
  <c r="H312" i="2"/>
  <c r="G312" i="2"/>
  <c r="F312" i="2"/>
  <c r="E312" i="2"/>
  <c r="D312" i="2"/>
  <c r="C312" i="2"/>
  <c r="B312" i="2"/>
  <c r="A312" i="2"/>
  <c r="J311" i="2"/>
  <c r="I311" i="2"/>
  <c r="H311" i="2"/>
  <c r="G311" i="2"/>
  <c r="F311" i="2"/>
  <c r="E311" i="2"/>
  <c r="D311" i="2"/>
  <c r="C311" i="2"/>
  <c r="B311" i="2"/>
  <c r="A311" i="2"/>
  <c r="J310" i="2"/>
  <c r="I310" i="2"/>
  <c r="H310" i="2"/>
  <c r="G310" i="2"/>
  <c r="F310" i="2"/>
  <c r="E310" i="2"/>
  <c r="D310" i="2"/>
  <c r="C310" i="2"/>
  <c r="B310" i="2"/>
  <c r="A310" i="2"/>
  <c r="J309" i="2"/>
  <c r="I309" i="2"/>
  <c r="H309" i="2"/>
  <c r="G309" i="2"/>
  <c r="F309" i="2"/>
  <c r="E309" i="2"/>
  <c r="D309" i="2"/>
  <c r="C309" i="2"/>
  <c r="B309" i="2"/>
  <c r="A309" i="2"/>
  <c r="J308" i="2"/>
  <c r="I308" i="2"/>
  <c r="H308" i="2"/>
  <c r="G308" i="2"/>
  <c r="F308" i="2"/>
  <c r="E308" i="2"/>
  <c r="D308" i="2"/>
  <c r="C308" i="2"/>
  <c r="B308" i="2"/>
  <c r="A308" i="2"/>
  <c r="J307" i="2"/>
  <c r="I307" i="2"/>
  <c r="H307" i="2"/>
  <c r="G307" i="2"/>
  <c r="F307" i="2"/>
  <c r="E307" i="2"/>
  <c r="D307" i="2"/>
  <c r="C307" i="2"/>
  <c r="B307" i="2"/>
  <c r="A307" i="2"/>
  <c r="J306" i="2"/>
  <c r="I306" i="2"/>
  <c r="H306" i="2"/>
  <c r="G306" i="2"/>
  <c r="F306" i="2"/>
  <c r="E306" i="2"/>
  <c r="D306" i="2"/>
  <c r="C306" i="2"/>
  <c r="B306" i="2"/>
  <c r="A306" i="2"/>
  <c r="J305" i="2"/>
  <c r="I305" i="2"/>
  <c r="H305" i="2"/>
  <c r="G305" i="2"/>
  <c r="F305" i="2"/>
  <c r="E305" i="2"/>
  <c r="D305" i="2"/>
  <c r="C305" i="2"/>
  <c r="B305" i="2"/>
  <c r="A305" i="2"/>
  <c r="J304" i="2"/>
  <c r="I304" i="2"/>
  <c r="H304" i="2"/>
  <c r="G304" i="2"/>
  <c r="F304" i="2"/>
  <c r="E304" i="2"/>
  <c r="D304" i="2"/>
  <c r="C304" i="2"/>
  <c r="B304" i="2"/>
  <c r="A304" i="2"/>
  <c r="J303" i="2"/>
  <c r="I303" i="2"/>
  <c r="H303" i="2"/>
  <c r="G303" i="2"/>
  <c r="F303" i="2"/>
  <c r="E303" i="2"/>
  <c r="D303" i="2"/>
  <c r="C303" i="2"/>
  <c r="B303" i="2"/>
  <c r="A303" i="2"/>
  <c r="J302" i="2"/>
  <c r="I302" i="2"/>
  <c r="H302" i="2"/>
  <c r="G302" i="2"/>
  <c r="F302" i="2"/>
  <c r="E302" i="2"/>
  <c r="D302" i="2"/>
  <c r="C302" i="2"/>
  <c r="B302" i="2"/>
  <c r="A302" i="2"/>
  <c r="J301" i="2"/>
  <c r="I301" i="2"/>
  <c r="H301" i="2"/>
  <c r="G301" i="2"/>
  <c r="F301" i="2"/>
  <c r="E301" i="2"/>
  <c r="D301" i="2"/>
  <c r="C301" i="2"/>
  <c r="B301" i="2"/>
  <c r="A301" i="2"/>
  <c r="J300" i="2"/>
  <c r="I300" i="2"/>
  <c r="H300" i="2"/>
  <c r="G300" i="2"/>
  <c r="F300" i="2"/>
  <c r="E300" i="2"/>
  <c r="D300" i="2"/>
  <c r="C300" i="2"/>
  <c r="B300" i="2"/>
  <c r="A300" i="2"/>
  <c r="J299" i="2"/>
  <c r="I299" i="2"/>
  <c r="H299" i="2"/>
  <c r="G299" i="2"/>
  <c r="F299" i="2"/>
  <c r="E299" i="2"/>
  <c r="D299" i="2"/>
  <c r="C299" i="2"/>
  <c r="B299" i="2"/>
  <c r="A299" i="2"/>
  <c r="J298" i="2"/>
  <c r="I298" i="2"/>
  <c r="H298" i="2"/>
  <c r="G298" i="2"/>
  <c r="F298" i="2"/>
  <c r="E298" i="2"/>
  <c r="D298" i="2"/>
  <c r="C298" i="2"/>
  <c r="B298" i="2"/>
  <c r="A298" i="2"/>
  <c r="J297" i="2"/>
  <c r="I297" i="2"/>
  <c r="H297" i="2"/>
  <c r="G297" i="2"/>
  <c r="F297" i="2"/>
  <c r="E297" i="2"/>
  <c r="D297" i="2"/>
  <c r="C297" i="2"/>
  <c r="B297" i="2"/>
  <c r="A297" i="2"/>
  <c r="J296" i="2"/>
  <c r="I296" i="2"/>
  <c r="H296" i="2"/>
  <c r="G296" i="2"/>
  <c r="F296" i="2"/>
  <c r="E296" i="2"/>
  <c r="D296" i="2"/>
  <c r="C296" i="2"/>
  <c r="B296" i="2"/>
  <c r="A296" i="2"/>
  <c r="J295" i="2"/>
  <c r="I295" i="2"/>
  <c r="H295" i="2"/>
  <c r="G295" i="2"/>
  <c r="F295" i="2"/>
  <c r="E295" i="2"/>
  <c r="D295" i="2"/>
  <c r="C295" i="2"/>
  <c r="B295" i="2"/>
  <c r="A295" i="2"/>
  <c r="J294" i="2"/>
  <c r="I294" i="2"/>
  <c r="H294" i="2"/>
  <c r="G294" i="2"/>
  <c r="F294" i="2"/>
  <c r="E294" i="2"/>
  <c r="D294" i="2"/>
  <c r="C294" i="2"/>
  <c r="B294" i="2"/>
  <c r="A294" i="2"/>
  <c r="J293" i="2"/>
  <c r="I293" i="2"/>
  <c r="H293" i="2"/>
  <c r="G293" i="2"/>
  <c r="F293" i="2"/>
  <c r="E293" i="2"/>
  <c r="D293" i="2"/>
  <c r="C293" i="2"/>
  <c r="B293" i="2"/>
  <c r="A293" i="2"/>
  <c r="J292" i="2"/>
  <c r="I292" i="2"/>
  <c r="H292" i="2"/>
  <c r="G292" i="2"/>
  <c r="F292" i="2"/>
  <c r="E292" i="2"/>
  <c r="D292" i="2"/>
  <c r="C292" i="2"/>
  <c r="B292" i="2"/>
  <c r="A292" i="2"/>
  <c r="J291" i="2"/>
  <c r="I291" i="2"/>
  <c r="H291" i="2"/>
  <c r="G291" i="2"/>
  <c r="F291" i="2"/>
  <c r="E291" i="2"/>
  <c r="D291" i="2"/>
  <c r="C291" i="2"/>
  <c r="B291" i="2"/>
  <c r="A291" i="2"/>
  <c r="J290" i="2"/>
  <c r="I290" i="2"/>
  <c r="H290" i="2"/>
  <c r="G290" i="2"/>
  <c r="F290" i="2"/>
  <c r="E290" i="2"/>
  <c r="D290" i="2"/>
  <c r="C290" i="2"/>
  <c r="B290" i="2"/>
  <c r="A290" i="2"/>
  <c r="J289" i="2"/>
  <c r="I289" i="2"/>
  <c r="H289" i="2"/>
  <c r="G289" i="2"/>
  <c r="F289" i="2"/>
  <c r="E289" i="2"/>
  <c r="D289" i="2"/>
  <c r="C289" i="2"/>
  <c r="B289" i="2"/>
  <c r="A289" i="2"/>
  <c r="J288" i="2"/>
  <c r="I288" i="2"/>
  <c r="H288" i="2"/>
  <c r="G288" i="2"/>
  <c r="F288" i="2"/>
  <c r="E288" i="2"/>
  <c r="D288" i="2"/>
  <c r="C288" i="2"/>
  <c r="B288" i="2"/>
  <c r="A288" i="2"/>
  <c r="J287" i="2"/>
  <c r="I287" i="2"/>
  <c r="H287" i="2"/>
  <c r="G287" i="2"/>
  <c r="F287" i="2"/>
  <c r="E287" i="2"/>
  <c r="D287" i="2"/>
  <c r="C287" i="2"/>
  <c r="B287" i="2"/>
  <c r="A287" i="2"/>
  <c r="J286" i="2"/>
  <c r="I286" i="2"/>
  <c r="H286" i="2"/>
  <c r="G286" i="2"/>
  <c r="F286" i="2"/>
  <c r="E286" i="2"/>
  <c r="D286" i="2"/>
  <c r="C286" i="2"/>
  <c r="B286" i="2"/>
  <c r="A286" i="2"/>
  <c r="J285" i="2"/>
  <c r="I285" i="2"/>
  <c r="H285" i="2"/>
  <c r="G285" i="2"/>
  <c r="F285" i="2"/>
  <c r="E285" i="2"/>
  <c r="D285" i="2"/>
  <c r="C285" i="2"/>
  <c r="B285" i="2"/>
  <c r="A285" i="2"/>
  <c r="J284" i="2"/>
  <c r="I284" i="2"/>
  <c r="H284" i="2"/>
  <c r="G284" i="2"/>
  <c r="F284" i="2"/>
  <c r="E284" i="2"/>
  <c r="D284" i="2"/>
  <c r="C284" i="2"/>
  <c r="B284" i="2"/>
  <c r="A284" i="2"/>
  <c r="J283" i="2"/>
  <c r="I283" i="2"/>
  <c r="H283" i="2"/>
  <c r="G283" i="2"/>
  <c r="F283" i="2"/>
  <c r="E283" i="2"/>
  <c r="D283" i="2"/>
  <c r="C283" i="2"/>
  <c r="B283" i="2"/>
  <c r="A283" i="2"/>
  <c r="J282" i="2"/>
  <c r="I282" i="2"/>
  <c r="H282" i="2"/>
  <c r="G282" i="2"/>
  <c r="F282" i="2"/>
  <c r="E282" i="2"/>
  <c r="D282" i="2"/>
  <c r="C282" i="2"/>
  <c r="B282" i="2"/>
  <c r="A282" i="2"/>
  <c r="J281" i="2"/>
  <c r="I281" i="2"/>
  <c r="H281" i="2"/>
  <c r="G281" i="2"/>
  <c r="F281" i="2"/>
  <c r="E281" i="2"/>
  <c r="D281" i="2"/>
  <c r="C281" i="2"/>
  <c r="B281" i="2"/>
  <c r="A281" i="2"/>
  <c r="J280" i="2"/>
  <c r="I280" i="2"/>
  <c r="H280" i="2"/>
  <c r="G280" i="2"/>
  <c r="F280" i="2"/>
  <c r="E280" i="2"/>
  <c r="D280" i="2"/>
  <c r="C280" i="2"/>
  <c r="B280" i="2"/>
  <c r="A280" i="2"/>
  <c r="J279" i="2"/>
  <c r="I279" i="2"/>
  <c r="H279" i="2"/>
  <c r="G279" i="2"/>
  <c r="F279" i="2"/>
  <c r="E279" i="2"/>
  <c r="D279" i="2"/>
  <c r="C279" i="2"/>
  <c r="B279" i="2"/>
  <c r="A279" i="2"/>
  <c r="J278" i="2"/>
  <c r="I278" i="2"/>
  <c r="H278" i="2"/>
  <c r="G278" i="2"/>
  <c r="F278" i="2"/>
  <c r="E278" i="2"/>
  <c r="D278" i="2"/>
  <c r="C278" i="2"/>
  <c r="B278" i="2"/>
  <c r="A278" i="2"/>
  <c r="J277" i="2"/>
  <c r="I277" i="2"/>
  <c r="H277" i="2"/>
  <c r="G277" i="2"/>
  <c r="F277" i="2"/>
  <c r="E277" i="2"/>
  <c r="D277" i="2"/>
  <c r="C277" i="2"/>
  <c r="B277" i="2"/>
  <c r="A277" i="2"/>
  <c r="J276" i="2"/>
  <c r="I276" i="2"/>
  <c r="H276" i="2"/>
  <c r="G276" i="2"/>
  <c r="F276" i="2"/>
  <c r="E276" i="2"/>
  <c r="D276" i="2"/>
  <c r="C276" i="2"/>
  <c r="B276" i="2"/>
  <c r="A276" i="2"/>
  <c r="J275" i="2"/>
  <c r="I275" i="2"/>
  <c r="H275" i="2"/>
  <c r="G275" i="2"/>
  <c r="F275" i="2"/>
  <c r="E275" i="2"/>
  <c r="D275" i="2"/>
  <c r="C275" i="2"/>
  <c r="B275" i="2"/>
  <c r="A275" i="2"/>
  <c r="J274" i="2"/>
  <c r="I274" i="2"/>
  <c r="H274" i="2"/>
  <c r="G274" i="2"/>
  <c r="F274" i="2"/>
  <c r="E274" i="2"/>
  <c r="D274" i="2"/>
  <c r="C274" i="2"/>
  <c r="B274" i="2"/>
  <c r="A274" i="2"/>
  <c r="J273" i="2"/>
  <c r="I273" i="2"/>
  <c r="H273" i="2"/>
  <c r="G273" i="2"/>
  <c r="F273" i="2"/>
  <c r="E273" i="2"/>
  <c r="D273" i="2"/>
  <c r="C273" i="2"/>
  <c r="B273" i="2"/>
  <c r="A273" i="2"/>
  <c r="J272" i="2"/>
  <c r="I272" i="2"/>
  <c r="H272" i="2"/>
  <c r="G272" i="2"/>
  <c r="F272" i="2"/>
  <c r="E272" i="2"/>
  <c r="D272" i="2"/>
  <c r="C272" i="2"/>
  <c r="B272" i="2"/>
  <c r="A272" i="2"/>
  <c r="J271" i="2"/>
  <c r="I271" i="2"/>
  <c r="H271" i="2"/>
  <c r="G271" i="2"/>
  <c r="F271" i="2"/>
  <c r="E271" i="2"/>
  <c r="D271" i="2"/>
  <c r="C271" i="2"/>
  <c r="B271" i="2"/>
  <c r="A271" i="2"/>
  <c r="J270" i="2"/>
  <c r="I270" i="2"/>
  <c r="H270" i="2"/>
  <c r="G270" i="2"/>
  <c r="F270" i="2"/>
  <c r="E270" i="2"/>
  <c r="D270" i="2"/>
  <c r="C270" i="2"/>
  <c r="B270" i="2"/>
  <c r="A270" i="2"/>
  <c r="J269" i="2"/>
  <c r="I269" i="2"/>
  <c r="H269" i="2"/>
  <c r="G269" i="2"/>
  <c r="F269" i="2"/>
  <c r="E269" i="2"/>
  <c r="D269" i="2"/>
  <c r="C269" i="2"/>
  <c r="B269" i="2"/>
  <c r="A269" i="2"/>
  <c r="J268" i="2"/>
  <c r="I268" i="2"/>
  <c r="H268" i="2"/>
  <c r="G268" i="2"/>
  <c r="F268" i="2"/>
  <c r="E268" i="2"/>
  <c r="D268" i="2"/>
  <c r="C268" i="2"/>
  <c r="B268" i="2"/>
  <c r="A268" i="2"/>
  <c r="J267" i="2"/>
  <c r="I267" i="2"/>
  <c r="H267" i="2"/>
  <c r="G267" i="2"/>
  <c r="F267" i="2"/>
  <c r="E267" i="2"/>
  <c r="D267" i="2"/>
  <c r="C267" i="2"/>
  <c r="B267" i="2"/>
  <c r="A267" i="2"/>
  <c r="J266" i="2"/>
  <c r="I266" i="2"/>
  <c r="H266" i="2"/>
  <c r="G266" i="2"/>
  <c r="F266" i="2"/>
  <c r="E266" i="2"/>
  <c r="D266" i="2"/>
  <c r="C266" i="2"/>
  <c r="B266" i="2"/>
  <c r="A266" i="2"/>
  <c r="J265" i="2"/>
  <c r="I265" i="2"/>
  <c r="H265" i="2"/>
  <c r="G265" i="2"/>
  <c r="F265" i="2"/>
  <c r="E265" i="2"/>
  <c r="D265" i="2"/>
  <c r="C265" i="2"/>
  <c r="B265" i="2"/>
  <c r="A265" i="2"/>
  <c r="J264" i="2"/>
  <c r="I264" i="2"/>
  <c r="H264" i="2"/>
  <c r="G264" i="2"/>
  <c r="F264" i="2"/>
  <c r="E264" i="2"/>
  <c r="D264" i="2"/>
  <c r="C264" i="2"/>
  <c r="B264" i="2"/>
  <c r="A264" i="2"/>
  <c r="J263" i="2"/>
  <c r="I263" i="2"/>
  <c r="H263" i="2"/>
  <c r="G263" i="2"/>
  <c r="F263" i="2"/>
  <c r="E263" i="2"/>
  <c r="D263" i="2"/>
  <c r="C263" i="2"/>
  <c r="B263" i="2"/>
  <c r="A263" i="2"/>
  <c r="J262" i="2"/>
  <c r="I262" i="2"/>
  <c r="H262" i="2"/>
  <c r="G262" i="2"/>
  <c r="F262" i="2"/>
  <c r="E262" i="2"/>
  <c r="D262" i="2"/>
  <c r="C262" i="2"/>
  <c r="B262" i="2"/>
  <c r="A262" i="2"/>
  <c r="J261" i="2"/>
  <c r="I261" i="2"/>
  <c r="H261" i="2"/>
  <c r="G261" i="2"/>
  <c r="F261" i="2"/>
  <c r="E261" i="2"/>
  <c r="D261" i="2"/>
  <c r="C261" i="2"/>
  <c r="B261" i="2"/>
  <c r="A261" i="2"/>
  <c r="J260" i="2"/>
  <c r="I260" i="2"/>
  <c r="H260" i="2"/>
  <c r="G260" i="2"/>
  <c r="F260" i="2"/>
  <c r="E260" i="2"/>
  <c r="D260" i="2"/>
  <c r="C260" i="2"/>
  <c r="B260" i="2"/>
  <c r="A260" i="2"/>
  <c r="J259" i="2"/>
  <c r="I259" i="2"/>
  <c r="H259" i="2"/>
  <c r="G259" i="2"/>
  <c r="F259" i="2"/>
  <c r="E259" i="2"/>
  <c r="D259" i="2"/>
  <c r="C259" i="2"/>
  <c r="B259" i="2"/>
  <c r="A259" i="2"/>
  <c r="J258" i="2"/>
  <c r="I258" i="2"/>
  <c r="H258" i="2"/>
  <c r="G258" i="2"/>
  <c r="F258" i="2"/>
  <c r="E258" i="2"/>
  <c r="D258" i="2"/>
  <c r="C258" i="2"/>
  <c r="B258" i="2"/>
  <c r="A258" i="2"/>
  <c r="J257" i="2"/>
  <c r="I257" i="2"/>
  <c r="H257" i="2"/>
  <c r="G257" i="2"/>
  <c r="F257" i="2"/>
  <c r="E257" i="2"/>
  <c r="D257" i="2"/>
  <c r="C257" i="2"/>
  <c r="B257" i="2"/>
  <c r="A257" i="2"/>
  <c r="J256" i="2"/>
  <c r="I256" i="2"/>
  <c r="H256" i="2"/>
  <c r="G256" i="2"/>
  <c r="F256" i="2"/>
  <c r="E256" i="2"/>
  <c r="D256" i="2"/>
  <c r="C256" i="2"/>
  <c r="B256" i="2"/>
  <c r="A256" i="2"/>
  <c r="J255" i="2"/>
  <c r="I255" i="2"/>
  <c r="H255" i="2"/>
  <c r="G255" i="2"/>
  <c r="F255" i="2"/>
  <c r="E255" i="2"/>
  <c r="D255" i="2"/>
  <c r="C255" i="2"/>
  <c r="B255" i="2"/>
  <c r="A255" i="2"/>
  <c r="J254" i="2"/>
  <c r="I254" i="2"/>
  <c r="H254" i="2"/>
  <c r="G254" i="2"/>
  <c r="F254" i="2"/>
  <c r="E254" i="2"/>
  <c r="D254" i="2"/>
  <c r="C254" i="2"/>
  <c r="B254" i="2"/>
  <c r="A254" i="2"/>
  <c r="J253" i="2"/>
  <c r="I253" i="2"/>
  <c r="H253" i="2"/>
  <c r="G253" i="2"/>
  <c r="F253" i="2"/>
  <c r="E253" i="2"/>
  <c r="D253" i="2"/>
  <c r="C253" i="2"/>
  <c r="B253" i="2"/>
  <c r="A253" i="2"/>
  <c r="J252" i="2"/>
  <c r="I252" i="2"/>
  <c r="H252" i="2"/>
  <c r="G252" i="2"/>
  <c r="F252" i="2"/>
  <c r="E252" i="2"/>
  <c r="D252" i="2"/>
  <c r="C252" i="2"/>
  <c r="B252" i="2"/>
  <c r="A252" i="2"/>
  <c r="J251" i="2"/>
  <c r="I251" i="2"/>
  <c r="H251" i="2"/>
  <c r="G251" i="2"/>
  <c r="F251" i="2"/>
  <c r="E251" i="2"/>
  <c r="D251" i="2"/>
  <c r="C251" i="2"/>
  <c r="B251" i="2"/>
  <c r="A251" i="2"/>
  <c r="J250" i="2"/>
  <c r="I250" i="2"/>
  <c r="H250" i="2"/>
  <c r="G250" i="2"/>
  <c r="F250" i="2"/>
  <c r="E250" i="2"/>
  <c r="D250" i="2"/>
  <c r="C250" i="2"/>
  <c r="B250" i="2"/>
  <c r="A250" i="2"/>
  <c r="J249" i="2"/>
  <c r="I249" i="2"/>
  <c r="H249" i="2"/>
  <c r="G249" i="2"/>
  <c r="F249" i="2"/>
  <c r="E249" i="2"/>
  <c r="D249" i="2"/>
  <c r="C249" i="2"/>
  <c r="B249" i="2"/>
  <c r="A249" i="2"/>
  <c r="J248" i="2"/>
  <c r="I248" i="2"/>
  <c r="H248" i="2"/>
  <c r="G248" i="2"/>
  <c r="F248" i="2"/>
  <c r="E248" i="2"/>
  <c r="D248" i="2"/>
  <c r="C248" i="2"/>
  <c r="B248" i="2"/>
  <c r="A248" i="2"/>
  <c r="J247" i="2"/>
  <c r="I247" i="2"/>
  <c r="H247" i="2"/>
  <c r="G247" i="2"/>
  <c r="F247" i="2"/>
  <c r="E247" i="2"/>
  <c r="D247" i="2"/>
  <c r="C247" i="2"/>
  <c r="B247" i="2"/>
  <c r="A247" i="2"/>
  <c r="J246" i="2"/>
  <c r="I246" i="2"/>
  <c r="H246" i="2"/>
  <c r="G246" i="2"/>
  <c r="F246" i="2"/>
  <c r="E246" i="2"/>
  <c r="D246" i="2"/>
  <c r="C246" i="2"/>
  <c r="B246" i="2"/>
  <c r="A246" i="2"/>
  <c r="J245" i="2"/>
  <c r="I245" i="2"/>
  <c r="H245" i="2"/>
  <c r="G245" i="2"/>
  <c r="F245" i="2"/>
  <c r="E245" i="2"/>
  <c r="D245" i="2"/>
  <c r="C245" i="2"/>
  <c r="B245" i="2"/>
  <c r="A245" i="2"/>
  <c r="J244" i="2"/>
  <c r="I244" i="2"/>
  <c r="H244" i="2"/>
  <c r="G244" i="2"/>
  <c r="F244" i="2"/>
  <c r="E244" i="2"/>
  <c r="D244" i="2"/>
  <c r="C244" i="2"/>
  <c r="B244" i="2"/>
  <c r="A244" i="2"/>
  <c r="J243" i="2"/>
  <c r="I243" i="2"/>
  <c r="H243" i="2"/>
  <c r="G243" i="2"/>
  <c r="F243" i="2"/>
  <c r="E243" i="2"/>
  <c r="D243" i="2"/>
  <c r="C243" i="2"/>
  <c r="B243" i="2"/>
  <c r="A243" i="2"/>
  <c r="J242" i="2"/>
  <c r="I242" i="2"/>
  <c r="H242" i="2"/>
  <c r="G242" i="2"/>
  <c r="F242" i="2"/>
  <c r="E242" i="2"/>
  <c r="D242" i="2"/>
  <c r="C242" i="2"/>
  <c r="B242" i="2"/>
  <c r="A242" i="2"/>
  <c r="J241" i="2"/>
  <c r="I241" i="2"/>
  <c r="H241" i="2"/>
  <c r="G241" i="2"/>
  <c r="F241" i="2"/>
  <c r="E241" i="2"/>
  <c r="D241" i="2"/>
  <c r="C241" i="2"/>
  <c r="B241" i="2"/>
  <c r="A241" i="2"/>
  <c r="J240" i="2"/>
  <c r="I240" i="2"/>
  <c r="H240" i="2"/>
  <c r="G240" i="2"/>
  <c r="F240" i="2"/>
  <c r="E240" i="2"/>
  <c r="D240" i="2"/>
  <c r="C240" i="2"/>
  <c r="B240" i="2"/>
  <c r="A240" i="2"/>
  <c r="J239" i="2"/>
  <c r="I239" i="2"/>
  <c r="H239" i="2"/>
  <c r="G239" i="2"/>
  <c r="F239" i="2"/>
  <c r="E239" i="2"/>
  <c r="D239" i="2"/>
  <c r="C239" i="2"/>
  <c r="B239" i="2"/>
  <c r="A239" i="2"/>
  <c r="J238" i="2"/>
  <c r="I238" i="2"/>
  <c r="H238" i="2"/>
  <c r="G238" i="2"/>
  <c r="F238" i="2"/>
  <c r="E238" i="2"/>
  <c r="D238" i="2"/>
  <c r="C238" i="2"/>
  <c r="B238" i="2"/>
  <c r="A238" i="2"/>
  <c r="J237" i="2"/>
  <c r="I237" i="2"/>
  <c r="H237" i="2"/>
  <c r="G237" i="2"/>
  <c r="F237" i="2"/>
  <c r="E237" i="2"/>
  <c r="D237" i="2"/>
  <c r="C237" i="2"/>
  <c r="B237" i="2"/>
  <c r="A237" i="2"/>
  <c r="J236" i="2"/>
  <c r="I236" i="2"/>
  <c r="H236" i="2"/>
  <c r="G236" i="2"/>
  <c r="F236" i="2"/>
  <c r="E236" i="2"/>
  <c r="D236" i="2"/>
  <c r="C236" i="2"/>
  <c r="B236" i="2"/>
  <c r="A236" i="2"/>
  <c r="J235" i="2"/>
  <c r="I235" i="2"/>
  <c r="H235" i="2"/>
  <c r="G235" i="2"/>
  <c r="F235" i="2"/>
  <c r="E235" i="2"/>
  <c r="D235" i="2"/>
  <c r="C235" i="2"/>
  <c r="B235" i="2"/>
  <c r="A235" i="2"/>
  <c r="J234" i="2"/>
  <c r="I234" i="2"/>
  <c r="H234" i="2"/>
  <c r="G234" i="2"/>
  <c r="F234" i="2"/>
  <c r="E234" i="2"/>
  <c r="D234" i="2"/>
  <c r="C234" i="2"/>
  <c r="B234" i="2"/>
  <c r="A234" i="2"/>
  <c r="J233" i="2"/>
  <c r="I233" i="2"/>
  <c r="H233" i="2"/>
  <c r="G233" i="2"/>
  <c r="F233" i="2"/>
  <c r="E233" i="2"/>
  <c r="D233" i="2"/>
  <c r="C233" i="2"/>
  <c r="B233" i="2"/>
  <c r="A233" i="2"/>
  <c r="J232" i="2"/>
  <c r="I232" i="2"/>
  <c r="H232" i="2"/>
  <c r="G232" i="2"/>
  <c r="F232" i="2"/>
  <c r="E232" i="2"/>
  <c r="D232" i="2"/>
  <c r="C232" i="2"/>
  <c r="B232" i="2"/>
  <c r="A232" i="2"/>
  <c r="J231" i="2"/>
  <c r="I231" i="2"/>
  <c r="H231" i="2"/>
  <c r="G231" i="2"/>
  <c r="F231" i="2"/>
  <c r="E231" i="2"/>
  <c r="D231" i="2"/>
  <c r="C231" i="2"/>
  <c r="B231" i="2"/>
  <c r="A231" i="2"/>
  <c r="J230" i="2"/>
  <c r="I230" i="2"/>
  <c r="H230" i="2"/>
  <c r="G230" i="2"/>
  <c r="F230" i="2"/>
  <c r="E230" i="2"/>
  <c r="D230" i="2"/>
  <c r="C230" i="2"/>
  <c r="B230" i="2"/>
  <c r="A230" i="2"/>
  <c r="J229" i="2"/>
  <c r="I229" i="2"/>
  <c r="H229" i="2"/>
  <c r="G229" i="2"/>
  <c r="F229" i="2"/>
  <c r="E229" i="2"/>
  <c r="D229" i="2"/>
  <c r="C229" i="2"/>
  <c r="B229" i="2"/>
  <c r="A229" i="2"/>
  <c r="J228" i="2"/>
  <c r="I228" i="2"/>
  <c r="H228" i="2"/>
  <c r="G228" i="2"/>
  <c r="F228" i="2"/>
  <c r="E228" i="2"/>
  <c r="D228" i="2"/>
  <c r="C228" i="2"/>
  <c r="B228" i="2"/>
  <c r="A228" i="2"/>
  <c r="J227" i="2"/>
  <c r="I227" i="2"/>
  <c r="H227" i="2"/>
  <c r="G227" i="2"/>
  <c r="F227" i="2"/>
  <c r="E227" i="2"/>
  <c r="D227" i="2"/>
  <c r="C227" i="2"/>
  <c r="B227" i="2"/>
  <c r="A227" i="2"/>
  <c r="J226" i="2"/>
  <c r="I226" i="2"/>
  <c r="H226" i="2"/>
  <c r="G226" i="2"/>
  <c r="F226" i="2"/>
  <c r="E226" i="2"/>
  <c r="D226" i="2"/>
  <c r="C226" i="2"/>
  <c r="B226" i="2"/>
  <c r="A226" i="2"/>
  <c r="J225" i="2"/>
  <c r="I225" i="2"/>
  <c r="H225" i="2"/>
  <c r="G225" i="2"/>
  <c r="F225" i="2"/>
  <c r="E225" i="2"/>
  <c r="D225" i="2"/>
  <c r="C225" i="2"/>
  <c r="B225" i="2"/>
  <c r="A225" i="2"/>
  <c r="J224" i="2"/>
  <c r="I224" i="2"/>
  <c r="H224" i="2"/>
  <c r="G224" i="2"/>
  <c r="F224" i="2"/>
  <c r="E224" i="2"/>
  <c r="D224" i="2"/>
  <c r="C224" i="2"/>
  <c r="B224" i="2"/>
  <c r="A224" i="2"/>
  <c r="J223" i="2"/>
  <c r="I223" i="2"/>
  <c r="H223" i="2"/>
  <c r="G223" i="2"/>
  <c r="F223" i="2"/>
  <c r="E223" i="2"/>
  <c r="D223" i="2"/>
  <c r="C223" i="2"/>
  <c r="B223" i="2"/>
  <c r="A223" i="2"/>
  <c r="J222" i="2"/>
  <c r="I222" i="2"/>
  <c r="H222" i="2"/>
  <c r="G222" i="2"/>
  <c r="F222" i="2"/>
  <c r="E222" i="2"/>
  <c r="D222" i="2"/>
  <c r="C222" i="2"/>
  <c r="B222" i="2"/>
  <c r="A222" i="2"/>
  <c r="J221" i="2"/>
  <c r="I221" i="2"/>
  <c r="H221" i="2"/>
  <c r="G221" i="2"/>
  <c r="F221" i="2"/>
  <c r="E221" i="2"/>
  <c r="D221" i="2"/>
  <c r="C221" i="2"/>
  <c r="B221" i="2"/>
  <c r="A221" i="2"/>
  <c r="J220" i="2"/>
  <c r="I220" i="2"/>
  <c r="H220" i="2"/>
  <c r="G220" i="2"/>
  <c r="F220" i="2"/>
  <c r="E220" i="2"/>
  <c r="D220" i="2"/>
  <c r="C220" i="2"/>
  <c r="B220" i="2"/>
  <c r="A220" i="2"/>
  <c r="J219" i="2"/>
  <c r="I219" i="2"/>
  <c r="H219" i="2"/>
  <c r="G219" i="2"/>
  <c r="F219" i="2"/>
  <c r="E219" i="2"/>
  <c r="D219" i="2"/>
  <c r="C219" i="2"/>
  <c r="B219" i="2"/>
  <c r="A219" i="2"/>
  <c r="J218" i="2"/>
  <c r="I218" i="2"/>
  <c r="H218" i="2"/>
  <c r="G218" i="2"/>
  <c r="F218" i="2"/>
  <c r="E218" i="2"/>
  <c r="D218" i="2"/>
  <c r="C218" i="2"/>
  <c r="B218" i="2"/>
  <c r="A218" i="2"/>
  <c r="J217" i="2"/>
  <c r="I217" i="2"/>
  <c r="H217" i="2"/>
  <c r="G217" i="2"/>
  <c r="F217" i="2"/>
  <c r="E217" i="2"/>
  <c r="D217" i="2"/>
  <c r="C217" i="2"/>
  <c r="B217" i="2"/>
  <c r="A217" i="2"/>
  <c r="J216" i="2"/>
  <c r="I216" i="2"/>
  <c r="H216" i="2"/>
  <c r="G216" i="2"/>
  <c r="F216" i="2"/>
  <c r="E216" i="2"/>
  <c r="D216" i="2"/>
  <c r="C216" i="2"/>
  <c r="B216" i="2"/>
  <c r="A216" i="2"/>
  <c r="J215" i="2"/>
  <c r="I215" i="2"/>
  <c r="H215" i="2"/>
  <c r="G215" i="2"/>
  <c r="F215" i="2"/>
  <c r="E215" i="2"/>
  <c r="D215" i="2"/>
  <c r="C215" i="2"/>
  <c r="B215" i="2"/>
  <c r="A215" i="2"/>
  <c r="J214" i="2"/>
  <c r="I214" i="2"/>
  <c r="H214" i="2"/>
  <c r="G214" i="2"/>
  <c r="F214" i="2"/>
  <c r="E214" i="2"/>
  <c r="D214" i="2"/>
  <c r="C214" i="2"/>
  <c r="B214" i="2"/>
  <c r="A214" i="2"/>
  <c r="J213" i="2"/>
  <c r="I213" i="2"/>
  <c r="H213" i="2"/>
  <c r="G213" i="2"/>
  <c r="F213" i="2"/>
  <c r="E213" i="2"/>
  <c r="D213" i="2"/>
  <c r="C213" i="2"/>
  <c r="B213" i="2"/>
  <c r="A213" i="2"/>
  <c r="J212" i="2"/>
  <c r="I212" i="2"/>
  <c r="H212" i="2"/>
  <c r="G212" i="2"/>
  <c r="F212" i="2"/>
  <c r="E212" i="2"/>
  <c r="D212" i="2"/>
  <c r="C212" i="2"/>
  <c r="B212" i="2"/>
  <c r="A212" i="2"/>
  <c r="J211" i="2"/>
  <c r="I211" i="2"/>
  <c r="H211" i="2"/>
  <c r="G211" i="2"/>
  <c r="F211" i="2"/>
  <c r="E211" i="2"/>
  <c r="D211" i="2"/>
  <c r="C211" i="2"/>
  <c r="B211" i="2"/>
  <c r="A211" i="2"/>
  <c r="J210" i="2"/>
  <c r="I210" i="2"/>
  <c r="H210" i="2"/>
  <c r="G210" i="2"/>
  <c r="F210" i="2"/>
  <c r="E210" i="2"/>
  <c r="D210" i="2"/>
  <c r="C210" i="2"/>
  <c r="B210" i="2"/>
  <c r="A210" i="2"/>
  <c r="J209" i="2"/>
  <c r="I209" i="2"/>
  <c r="H209" i="2"/>
  <c r="G209" i="2"/>
  <c r="F209" i="2"/>
  <c r="E209" i="2"/>
  <c r="D209" i="2"/>
  <c r="C209" i="2"/>
  <c r="B209" i="2"/>
  <c r="A209" i="2"/>
  <c r="J208" i="2"/>
  <c r="I208" i="2"/>
  <c r="H208" i="2"/>
  <c r="G208" i="2"/>
  <c r="F208" i="2"/>
  <c r="E208" i="2"/>
  <c r="D208" i="2"/>
  <c r="C208" i="2"/>
  <c r="B208" i="2"/>
  <c r="A208" i="2"/>
  <c r="J207" i="2"/>
  <c r="I207" i="2"/>
  <c r="H207" i="2"/>
  <c r="G207" i="2"/>
  <c r="F207" i="2"/>
  <c r="E207" i="2"/>
  <c r="D207" i="2"/>
  <c r="C207" i="2"/>
  <c r="B207" i="2"/>
  <c r="A207" i="2"/>
  <c r="J206" i="2"/>
  <c r="I206" i="2"/>
  <c r="H206" i="2"/>
  <c r="G206" i="2"/>
  <c r="F206" i="2"/>
  <c r="E206" i="2"/>
  <c r="D206" i="2"/>
  <c r="C206" i="2"/>
  <c r="B206" i="2"/>
  <c r="A206" i="2"/>
  <c r="J205" i="2"/>
  <c r="I205" i="2"/>
  <c r="H205" i="2"/>
  <c r="G205" i="2"/>
  <c r="F205" i="2"/>
  <c r="E205" i="2"/>
  <c r="D205" i="2"/>
  <c r="C205" i="2"/>
  <c r="B205" i="2"/>
  <c r="A205" i="2"/>
  <c r="J204" i="2"/>
  <c r="I204" i="2"/>
  <c r="H204" i="2"/>
  <c r="G204" i="2"/>
  <c r="F204" i="2"/>
  <c r="E204" i="2"/>
  <c r="D204" i="2"/>
  <c r="C204" i="2"/>
  <c r="B204" i="2"/>
  <c r="A204" i="2"/>
  <c r="J203" i="2"/>
  <c r="I203" i="2"/>
  <c r="H203" i="2"/>
  <c r="G203" i="2"/>
  <c r="F203" i="2"/>
  <c r="E203" i="2"/>
  <c r="D203" i="2"/>
  <c r="C203" i="2"/>
  <c r="B203" i="2"/>
  <c r="A203" i="2"/>
  <c r="J202" i="2"/>
  <c r="I202" i="2"/>
  <c r="H202" i="2"/>
  <c r="G202" i="2"/>
  <c r="F202" i="2"/>
  <c r="E202" i="2"/>
  <c r="D202" i="2"/>
  <c r="C202" i="2"/>
  <c r="B202" i="2"/>
  <c r="A202" i="2"/>
  <c r="J201" i="2"/>
  <c r="I201" i="2"/>
  <c r="H201" i="2"/>
  <c r="G201" i="2"/>
  <c r="F201" i="2"/>
  <c r="E201" i="2"/>
  <c r="D201" i="2"/>
  <c r="C201" i="2"/>
  <c r="B201" i="2"/>
  <c r="A201" i="2"/>
  <c r="J200" i="2"/>
  <c r="I200" i="2"/>
  <c r="H200" i="2"/>
  <c r="G200" i="2"/>
  <c r="F200" i="2"/>
  <c r="E200" i="2"/>
  <c r="D200" i="2"/>
  <c r="C200" i="2"/>
  <c r="B200" i="2"/>
  <c r="A200" i="2"/>
  <c r="J199" i="2"/>
  <c r="I199" i="2"/>
  <c r="H199" i="2"/>
  <c r="G199" i="2"/>
  <c r="F199" i="2"/>
  <c r="E199" i="2"/>
  <c r="D199" i="2"/>
  <c r="C199" i="2"/>
  <c r="B199" i="2"/>
  <c r="A199" i="2"/>
  <c r="J198" i="2"/>
  <c r="I198" i="2"/>
  <c r="H198" i="2"/>
  <c r="G198" i="2"/>
  <c r="F198" i="2"/>
  <c r="E198" i="2"/>
  <c r="D198" i="2"/>
  <c r="C198" i="2"/>
  <c r="B198" i="2"/>
  <c r="A198" i="2"/>
  <c r="J197" i="2"/>
  <c r="I197" i="2"/>
  <c r="H197" i="2"/>
  <c r="G197" i="2"/>
  <c r="F197" i="2"/>
  <c r="E197" i="2"/>
  <c r="D197" i="2"/>
  <c r="C197" i="2"/>
  <c r="B197" i="2"/>
  <c r="A197" i="2"/>
  <c r="J196" i="2"/>
  <c r="I196" i="2"/>
  <c r="H196" i="2"/>
  <c r="G196" i="2"/>
  <c r="F196" i="2"/>
  <c r="E196" i="2"/>
  <c r="D196" i="2"/>
  <c r="C196" i="2"/>
  <c r="B196" i="2"/>
  <c r="A196" i="2"/>
  <c r="J195" i="2"/>
  <c r="I195" i="2"/>
  <c r="H195" i="2"/>
  <c r="G195" i="2"/>
  <c r="F195" i="2"/>
  <c r="E195" i="2"/>
  <c r="D195" i="2"/>
  <c r="C195" i="2"/>
  <c r="B195" i="2"/>
  <c r="A195" i="2"/>
  <c r="J194" i="2"/>
  <c r="I194" i="2"/>
  <c r="H194" i="2"/>
  <c r="G194" i="2"/>
  <c r="F194" i="2"/>
  <c r="E194" i="2"/>
  <c r="D194" i="2"/>
  <c r="C194" i="2"/>
  <c r="B194" i="2"/>
  <c r="A194" i="2"/>
  <c r="J193" i="2"/>
  <c r="I193" i="2"/>
  <c r="H193" i="2"/>
  <c r="G193" i="2"/>
  <c r="F193" i="2"/>
  <c r="E193" i="2"/>
  <c r="D193" i="2"/>
  <c r="C193" i="2"/>
  <c r="B193" i="2"/>
  <c r="A193" i="2"/>
  <c r="J192" i="2"/>
  <c r="I192" i="2"/>
  <c r="H192" i="2"/>
  <c r="G192" i="2"/>
  <c r="F192" i="2"/>
  <c r="E192" i="2"/>
  <c r="D192" i="2"/>
  <c r="C192" i="2"/>
  <c r="B192" i="2"/>
  <c r="A192" i="2"/>
  <c r="J191" i="2"/>
  <c r="I191" i="2"/>
  <c r="H191" i="2"/>
  <c r="G191" i="2"/>
  <c r="F191" i="2"/>
  <c r="E191" i="2"/>
  <c r="D191" i="2"/>
  <c r="C191" i="2"/>
  <c r="B191" i="2"/>
  <c r="A191" i="2"/>
  <c r="J190" i="2"/>
  <c r="I190" i="2"/>
  <c r="H190" i="2"/>
  <c r="G190" i="2"/>
  <c r="F190" i="2"/>
  <c r="E190" i="2"/>
  <c r="D190" i="2"/>
  <c r="C190" i="2"/>
  <c r="B190" i="2"/>
  <c r="A190" i="2"/>
  <c r="J189" i="2"/>
  <c r="I189" i="2"/>
  <c r="H189" i="2"/>
  <c r="G189" i="2"/>
  <c r="F189" i="2"/>
  <c r="E189" i="2"/>
  <c r="D189" i="2"/>
  <c r="C189" i="2"/>
  <c r="B189" i="2"/>
  <c r="A189" i="2"/>
  <c r="J188" i="2"/>
  <c r="I188" i="2"/>
  <c r="H188" i="2"/>
  <c r="G188" i="2"/>
  <c r="F188" i="2"/>
  <c r="E188" i="2"/>
  <c r="D188" i="2"/>
  <c r="C188" i="2"/>
  <c r="B188" i="2"/>
  <c r="A188" i="2"/>
  <c r="J187" i="2"/>
  <c r="I187" i="2"/>
  <c r="H187" i="2"/>
  <c r="G187" i="2"/>
  <c r="F187" i="2"/>
  <c r="E187" i="2"/>
  <c r="D187" i="2"/>
  <c r="C187" i="2"/>
  <c r="B187" i="2"/>
  <c r="A187" i="2"/>
  <c r="J186" i="2"/>
  <c r="I186" i="2"/>
  <c r="H186" i="2"/>
  <c r="G186" i="2"/>
  <c r="F186" i="2"/>
  <c r="E186" i="2"/>
  <c r="D186" i="2"/>
  <c r="C186" i="2"/>
  <c r="B186" i="2"/>
  <c r="A186" i="2"/>
  <c r="J185" i="2"/>
  <c r="I185" i="2"/>
  <c r="H185" i="2"/>
  <c r="G185" i="2"/>
  <c r="F185" i="2"/>
  <c r="E185" i="2"/>
  <c r="D185" i="2"/>
  <c r="C185" i="2"/>
  <c r="B185" i="2"/>
  <c r="A185" i="2"/>
  <c r="J184" i="2"/>
  <c r="I184" i="2"/>
  <c r="H184" i="2"/>
  <c r="G184" i="2"/>
  <c r="F184" i="2"/>
  <c r="E184" i="2"/>
  <c r="D184" i="2"/>
  <c r="C184" i="2"/>
  <c r="B184" i="2"/>
  <c r="A184" i="2"/>
  <c r="J183" i="2"/>
  <c r="I183" i="2"/>
  <c r="H183" i="2"/>
  <c r="G183" i="2"/>
  <c r="F183" i="2"/>
  <c r="E183" i="2"/>
  <c r="D183" i="2"/>
  <c r="C183" i="2"/>
  <c r="B183" i="2"/>
  <c r="A183" i="2"/>
  <c r="J182" i="2"/>
  <c r="I182" i="2"/>
  <c r="H182" i="2"/>
  <c r="G182" i="2"/>
  <c r="F182" i="2"/>
  <c r="E182" i="2"/>
  <c r="D182" i="2"/>
  <c r="C182" i="2"/>
  <c r="B182" i="2"/>
  <c r="A182" i="2"/>
  <c r="J181" i="2"/>
  <c r="I181" i="2"/>
  <c r="H181" i="2"/>
  <c r="G181" i="2"/>
  <c r="F181" i="2"/>
  <c r="E181" i="2"/>
  <c r="D181" i="2"/>
  <c r="C181" i="2"/>
  <c r="B181" i="2"/>
  <c r="A181" i="2"/>
  <c r="J180" i="2"/>
  <c r="I180" i="2"/>
  <c r="H180" i="2"/>
  <c r="G180" i="2"/>
  <c r="F180" i="2"/>
  <c r="E180" i="2"/>
  <c r="D180" i="2"/>
  <c r="C180" i="2"/>
  <c r="B180" i="2"/>
  <c r="A180" i="2"/>
  <c r="J179" i="2"/>
  <c r="I179" i="2"/>
  <c r="H179" i="2"/>
  <c r="G179" i="2"/>
  <c r="F179" i="2"/>
  <c r="E179" i="2"/>
  <c r="D179" i="2"/>
  <c r="C179" i="2"/>
  <c r="B179" i="2"/>
  <c r="A179" i="2"/>
  <c r="J178" i="2"/>
  <c r="I178" i="2"/>
  <c r="H178" i="2"/>
  <c r="G178" i="2"/>
  <c r="F178" i="2"/>
  <c r="E178" i="2"/>
  <c r="D178" i="2"/>
  <c r="C178" i="2"/>
  <c r="B178" i="2"/>
  <c r="A178" i="2"/>
  <c r="J177" i="2"/>
  <c r="I177" i="2"/>
  <c r="H177" i="2"/>
  <c r="G177" i="2"/>
  <c r="F177" i="2"/>
  <c r="E177" i="2"/>
  <c r="D177" i="2"/>
  <c r="C177" i="2"/>
  <c r="B177" i="2"/>
  <c r="A177" i="2"/>
  <c r="J176" i="2"/>
  <c r="I176" i="2"/>
  <c r="H176" i="2"/>
  <c r="G176" i="2"/>
  <c r="F176" i="2"/>
  <c r="E176" i="2"/>
  <c r="D176" i="2"/>
  <c r="C176" i="2"/>
  <c r="B176" i="2"/>
  <c r="A176" i="2"/>
  <c r="J175" i="2"/>
  <c r="I175" i="2"/>
  <c r="H175" i="2"/>
  <c r="G175" i="2"/>
  <c r="F175" i="2"/>
  <c r="E175" i="2"/>
  <c r="D175" i="2"/>
  <c r="C175" i="2"/>
  <c r="B175" i="2"/>
  <c r="A175" i="2"/>
  <c r="J174" i="2"/>
  <c r="I174" i="2"/>
  <c r="H174" i="2"/>
  <c r="G174" i="2"/>
  <c r="F174" i="2"/>
  <c r="E174" i="2"/>
  <c r="D174" i="2"/>
  <c r="C174" i="2"/>
  <c r="B174" i="2"/>
  <c r="A174" i="2"/>
  <c r="J173" i="2"/>
  <c r="I173" i="2"/>
  <c r="H173" i="2"/>
  <c r="G173" i="2"/>
  <c r="F173" i="2"/>
  <c r="E173" i="2"/>
  <c r="D173" i="2"/>
  <c r="C173" i="2"/>
  <c r="B173" i="2"/>
  <c r="A173" i="2"/>
  <c r="J172" i="2"/>
  <c r="I172" i="2"/>
  <c r="H172" i="2"/>
  <c r="G172" i="2"/>
  <c r="F172" i="2"/>
  <c r="E172" i="2"/>
  <c r="D172" i="2"/>
  <c r="C172" i="2"/>
  <c r="B172" i="2"/>
  <c r="A172" i="2"/>
  <c r="J171" i="2"/>
  <c r="I171" i="2"/>
  <c r="H171" i="2"/>
  <c r="G171" i="2"/>
  <c r="F171" i="2"/>
  <c r="E171" i="2"/>
  <c r="D171" i="2"/>
  <c r="C171" i="2"/>
  <c r="B171" i="2"/>
  <c r="A171" i="2"/>
  <c r="J170" i="2"/>
  <c r="I170" i="2"/>
  <c r="H170" i="2"/>
  <c r="G170" i="2"/>
  <c r="F170" i="2"/>
  <c r="E170" i="2"/>
  <c r="D170" i="2"/>
  <c r="C170" i="2"/>
  <c r="B170" i="2"/>
  <c r="A170" i="2"/>
  <c r="J169" i="2"/>
  <c r="I169" i="2"/>
  <c r="H169" i="2"/>
  <c r="G169" i="2"/>
  <c r="F169" i="2"/>
  <c r="E169" i="2"/>
  <c r="D169" i="2"/>
  <c r="C169" i="2"/>
  <c r="B169" i="2"/>
  <c r="A169" i="2"/>
  <c r="J168" i="2"/>
  <c r="I168" i="2"/>
  <c r="H168" i="2"/>
  <c r="G168" i="2"/>
  <c r="F168" i="2"/>
  <c r="E168" i="2"/>
  <c r="D168" i="2"/>
  <c r="C168" i="2"/>
  <c r="B168" i="2"/>
  <c r="A168" i="2"/>
  <c r="J167" i="2"/>
  <c r="I167" i="2"/>
  <c r="H167" i="2"/>
  <c r="G167" i="2"/>
  <c r="F167" i="2"/>
  <c r="E167" i="2"/>
  <c r="D167" i="2"/>
  <c r="C167" i="2"/>
  <c r="B167" i="2"/>
  <c r="A167" i="2"/>
  <c r="J166" i="2"/>
  <c r="I166" i="2"/>
  <c r="H166" i="2"/>
  <c r="G166" i="2"/>
  <c r="F166" i="2"/>
  <c r="E166" i="2"/>
  <c r="D166" i="2"/>
  <c r="C166" i="2"/>
  <c r="B166" i="2"/>
  <c r="A166" i="2"/>
  <c r="J165" i="2"/>
  <c r="I165" i="2"/>
  <c r="H165" i="2"/>
  <c r="G165" i="2"/>
  <c r="F165" i="2"/>
  <c r="E165" i="2"/>
  <c r="D165" i="2"/>
  <c r="C165" i="2"/>
  <c r="B165" i="2"/>
  <c r="A165" i="2"/>
  <c r="J164" i="2"/>
  <c r="I164" i="2"/>
  <c r="H164" i="2"/>
  <c r="G164" i="2"/>
  <c r="F164" i="2"/>
  <c r="E164" i="2"/>
  <c r="D164" i="2"/>
  <c r="C164" i="2"/>
  <c r="B164" i="2"/>
  <c r="A164" i="2"/>
  <c r="J163" i="2"/>
  <c r="I163" i="2"/>
  <c r="H163" i="2"/>
  <c r="G163" i="2"/>
  <c r="F163" i="2"/>
  <c r="E163" i="2"/>
  <c r="D163" i="2"/>
  <c r="C163" i="2"/>
  <c r="B163" i="2"/>
  <c r="A163" i="2"/>
  <c r="J162" i="2"/>
  <c r="I162" i="2"/>
  <c r="H162" i="2"/>
  <c r="G162" i="2"/>
  <c r="F162" i="2"/>
  <c r="E162" i="2"/>
  <c r="D162" i="2"/>
  <c r="C162" i="2"/>
  <c r="B162" i="2"/>
  <c r="A162" i="2"/>
  <c r="J161" i="2"/>
  <c r="I161" i="2"/>
  <c r="H161" i="2"/>
  <c r="G161" i="2"/>
  <c r="F161" i="2"/>
  <c r="E161" i="2"/>
  <c r="D161" i="2"/>
  <c r="C161" i="2"/>
  <c r="B161" i="2"/>
  <c r="A161" i="2"/>
  <c r="J160" i="2"/>
  <c r="I160" i="2"/>
  <c r="H160" i="2"/>
  <c r="G160" i="2"/>
  <c r="F160" i="2"/>
  <c r="E160" i="2"/>
  <c r="D160" i="2"/>
  <c r="C160" i="2"/>
  <c r="B160" i="2"/>
  <c r="A160" i="2"/>
  <c r="J159" i="2"/>
  <c r="I159" i="2"/>
  <c r="H159" i="2"/>
  <c r="G159" i="2"/>
  <c r="F159" i="2"/>
  <c r="E159" i="2"/>
  <c r="D159" i="2"/>
  <c r="C159" i="2"/>
  <c r="B159" i="2"/>
  <c r="A159" i="2"/>
  <c r="J158" i="2"/>
  <c r="I158" i="2"/>
  <c r="H158" i="2"/>
  <c r="G158" i="2"/>
  <c r="F158" i="2"/>
  <c r="E158" i="2"/>
  <c r="D158" i="2"/>
  <c r="C158" i="2"/>
  <c r="B158" i="2"/>
  <c r="A158" i="2"/>
  <c r="J157" i="2"/>
  <c r="I157" i="2"/>
  <c r="H157" i="2"/>
  <c r="G157" i="2"/>
  <c r="F157" i="2"/>
  <c r="E157" i="2"/>
  <c r="D157" i="2"/>
  <c r="C157" i="2"/>
  <c r="B157" i="2"/>
  <c r="A157" i="2"/>
  <c r="J156" i="2"/>
  <c r="I156" i="2"/>
  <c r="H156" i="2"/>
  <c r="G156" i="2"/>
  <c r="F156" i="2"/>
  <c r="E156" i="2"/>
  <c r="D156" i="2"/>
  <c r="C156" i="2"/>
  <c r="B156" i="2"/>
  <c r="A156" i="2"/>
  <c r="J155" i="2"/>
  <c r="I155" i="2"/>
  <c r="H155" i="2"/>
  <c r="G155" i="2"/>
  <c r="F155" i="2"/>
  <c r="E155" i="2"/>
  <c r="D155" i="2"/>
  <c r="C155" i="2"/>
  <c r="B155" i="2"/>
  <c r="A155" i="2"/>
  <c r="J154" i="2"/>
  <c r="I154" i="2"/>
  <c r="H154" i="2"/>
  <c r="G154" i="2"/>
  <c r="F154" i="2"/>
  <c r="E154" i="2"/>
  <c r="D154" i="2"/>
  <c r="C154" i="2"/>
  <c r="B154" i="2"/>
  <c r="A154" i="2"/>
  <c r="J153" i="2"/>
  <c r="I153" i="2"/>
  <c r="H153" i="2"/>
  <c r="G153" i="2"/>
  <c r="F153" i="2"/>
  <c r="E153" i="2"/>
  <c r="D153" i="2"/>
  <c r="C153" i="2"/>
  <c r="B153" i="2"/>
  <c r="A153" i="2"/>
  <c r="J152" i="2"/>
  <c r="I152" i="2"/>
  <c r="H152" i="2"/>
  <c r="G152" i="2"/>
  <c r="F152" i="2"/>
  <c r="E152" i="2"/>
  <c r="D152" i="2"/>
  <c r="C152" i="2"/>
  <c r="B152" i="2"/>
  <c r="A152" i="2"/>
  <c r="J151" i="2"/>
  <c r="I151" i="2"/>
  <c r="H151" i="2"/>
  <c r="G151" i="2"/>
  <c r="F151" i="2"/>
  <c r="E151" i="2"/>
  <c r="D151" i="2"/>
  <c r="C151" i="2"/>
  <c r="B151" i="2"/>
  <c r="A151" i="2"/>
  <c r="J150" i="2"/>
  <c r="I150" i="2"/>
  <c r="H150" i="2"/>
  <c r="G150" i="2"/>
  <c r="F150" i="2"/>
  <c r="E150" i="2"/>
  <c r="D150" i="2"/>
  <c r="C150" i="2"/>
  <c r="B150" i="2"/>
  <c r="A150" i="2"/>
  <c r="J149" i="2"/>
  <c r="I149" i="2"/>
  <c r="H149" i="2"/>
  <c r="G149" i="2"/>
  <c r="F149" i="2"/>
  <c r="E149" i="2"/>
  <c r="D149" i="2"/>
  <c r="C149" i="2"/>
  <c r="B149" i="2"/>
  <c r="A149" i="2"/>
  <c r="J148" i="2"/>
  <c r="I148" i="2"/>
  <c r="H148" i="2"/>
  <c r="G148" i="2"/>
  <c r="F148" i="2"/>
  <c r="E148" i="2"/>
  <c r="D148" i="2"/>
  <c r="C148" i="2"/>
  <c r="B148" i="2"/>
  <c r="A148" i="2"/>
  <c r="J147" i="2"/>
  <c r="I147" i="2"/>
  <c r="H147" i="2"/>
  <c r="G147" i="2"/>
  <c r="F147" i="2"/>
  <c r="E147" i="2"/>
  <c r="D147" i="2"/>
  <c r="C147" i="2"/>
  <c r="B147" i="2"/>
  <c r="A147" i="2"/>
  <c r="J146" i="2"/>
  <c r="I146" i="2"/>
  <c r="H146" i="2"/>
  <c r="G146" i="2"/>
  <c r="F146" i="2"/>
  <c r="E146" i="2"/>
  <c r="D146" i="2"/>
  <c r="C146" i="2"/>
  <c r="B146" i="2"/>
  <c r="A146" i="2"/>
  <c r="J145" i="2"/>
  <c r="I145" i="2"/>
  <c r="H145" i="2"/>
  <c r="G145" i="2"/>
  <c r="F145" i="2"/>
  <c r="E145" i="2"/>
  <c r="D145" i="2"/>
  <c r="C145" i="2"/>
  <c r="B145" i="2"/>
  <c r="A145" i="2"/>
  <c r="J144" i="2"/>
  <c r="I144" i="2"/>
  <c r="H144" i="2"/>
  <c r="G144" i="2"/>
  <c r="F144" i="2"/>
  <c r="E144" i="2"/>
  <c r="D144" i="2"/>
  <c r="C144" i="2"/>
  <c r="B144" i="2"/>
  <c r="A144" i="2"/>
  <c r="J143" i="2"/>
  <c r="I143" i="2"/>
  <c r="H143" i="2"/>
  <c r="G143" i="2"/>
  <c r="F143" i="2"/>
  <c r="E143" i="2"/>
  <c r="D143" i="2"/>
  <c r="C143" i="2"/>
  <c r="B143" i="2"/>
  <c r="A143" i="2"/>
  <c r="J142" i="2"/>
  <c r="I142" i="2"/>
  <c r="H142" i="2"/>
  <c r="G142" i="2"/>
  <c r="F142" i="2"/>
  <c r="E142" i="2"/>
  <c r="D142" i="2"/>
  <c r="C142" i="2"/>
  <c r="B142" i="2"/>
  <c r="A142" i="2"/>
  <c r="J141" i="2"/>
  <c r="I141" i="2"/>
  <c r="H141" i="2"/>
  <c r="G141" i="2"/>
  <c r="F141" i="2"/>
  <c r="E141" i="2"/>
  <c r="D141" i="2"/>
  <c r="C141" i="2"/>
  <c r="B141" i="2"/>
  <c r="A141" i="2"/>
  <c r="J140" i="2"/>
  <c r="I140" i="2"/>
  <c r="H140" i="2"/>
  <c r="G140" i="2"/>
  <c r="F140" i="2"/>
  <c r="E140" i="2"/>
  <c r="D140" i="2"/>
  <c r="C140" i="2"/>
  <c r="B140" i="2"/>
  <c r="A140" i="2"/>
  <c r="J139" i="2"/>
  <c r="I139" i="2"/>
  <c r="H139" i="2"/>
  <c r="G139" i="2"/>
  <c r="F139" i="2"/>
  <c r="E139" i="2"/>
  <c r="D139" i="2"/>
  <c r="C139" i="2"/>
  <c r="B139" i="2"/>
  <c r="A139" i="2"/>
  <c r="J138" i="2"/>
  <c r="I138" i="2"/>
  <c r="H138" i="2"/>
  <c r="G138" i="2"/>
  <c r="F138" i="2"/>
  <c r="E138" i="2"/>
  <c r="D138" i="2"/>
  <c r="C138" i="2"/>
  <c r="B138" i="2"/>
  <c r="A138" i="2"/>
  <c r="J137" i="2"/>
  <c r="I137" i="2"/>
  <c r="H137" i="2"/>
  <c r="G137" i="2"/>
  <c r="F137" i="2"/>
  <c r="E137" i="2"/>
  <c r="D137" i="2"/>
  <c r="C137" i="2"/>
  <c r="B137" i="2"/>
  <c r="A137" i="2"/>
  <c r="J136" i="2"/>
  <c r="I136" i="2"/>
  <c r="H136" i="2"/>
  <c r="G136" i="2"/>
  <c r="F136" i="2"/>
  <c r="E136" i="2"/>
  <c r="D136" i="2"/>
  <c r="C136" i="2"/>
  <c r="B136" i="2"/>
  <c r="A136" i="2"/>
  <c r="J135" i="2"/>
  <c r="I135" i="2"/>
  <c r="H135" i="2"/>
  <c r="G135" i="2"/>
  <c r="F135" i="2"/>
  <c r="E135" i="2"/>
  <c r="D135" i="2"/>
  <c r="C135" i="2"/>
  <c r="B135" i="2"/>
  <c r="A135" i="2"/>
  <c r="J134" i="2"/>
  <c r="I134" i="2"/>
  <c r="H134" i="2"/>
  <c r="G134" i="2"/>
  <c r="F134" i="2"/>
  <c r="E134" i="2"/>
  <c r="D134" i="2"/>
  <c r="C134" i="2"/>
  <c r="B134" i="2"/>
  <c r="A134" i="2"/>
  <c r="J133" i="2"/>
  <c r="I133" i="2"/>
  <c r="H133" i="2"/>
  <c r="G133" i="2"/>
  <c r="F133" i="2"/>
  <c r="E133" i="2"/>
  <c r="D133" i="2"/>
  <c r="C133" i="2"/>
  <c r="B133" i="2"/>
  <c r="A133" i="2"/>
  <c r="J132" i="2"/>
  <c r="I132" i="2"/>
  <c r="H132" i="2"/>
  <c r="G132" i="2"/>
  <c r="F132" i="2"/>
  <c r="E132" i="2"/>
  <c r="D132" i="2"/>
  <c r="C132" i="2"/>
  <c r="B132" i="2"/>
  <c r="A132" i="2"/>
  <c r="J131" i="2"/>
  <c r="I131" i="2"/>
  <c r="H131" i="2"/>
  <c r="G131" i="2"/>
  <c r="F131" i="2"/>
  <c r="E131" i="2"/>
  <c r="D131" i="2"/>
  <c r="C131" i="2"/>
  <c r="B131" i="2"/>
  <c r="A131" i="2"/>
  <c r="J130" i="2"/>
  <c r="I130" i="2"/>
  <c r="H130" i="2"/>
  <c r="G130" i="2"/>
  <c r="F130" i="2"/>
  <c r="E130" i="2"/>
  <c r="D130" i="2"/>
  <c r="C130" i="2"/>
  <c r="B130" i="2"/>
  <c r="A130" i="2"/>
  <c r="J129" i="2"/>
  <c r="I129" i="2"/>
  <c r="H129" i="2"/>
  <c r="G129" i="2"/>
  <c r="F129" i="2"/>
  <c r="E129" i="2"/>
  <c r="D129" i="2"/>
  <c r="C129" i="2"/>
  <c r="B129" i="2"/>
  <c r="A129" i="2"/>
  <c r="J128" i="2"/>
  <c r="I128" i="2"/>
  <c r="H128" i="2"/>
  <c r="G128" i="2"/>
  <c r="F128" i="2"/>
  <c r="E128" i="2"/>
  <c r="D128" i="2"/>
  <c r="C128" i="2"/>
  <c r="B128" i="2"/>
  <c r="A128" i="2"/>
  <c r="J127" i="2"/>
  <c r="I127" i="2"/>
  <c r="H127" i="2"/>
  <c r="G127" i="2"/>
  <c r="F127" i="2"/>
  <c r="E127" i="2"/>
  <c r="D127" i="2"/>
  <c r="C127" i="2"/>
  <c r="B127" i="2"/>
  <c r="A127" i="2"/>
  <c r="J126" i="2"/>
  <c r="I126" i="2"/>
  <c r="H126" i="2"/>
  <c r="G126" i="2"/>
  <c r="F126" i="2"/>
  <c r="E126" i="2"/>
  <c r="D126" i="2"/>
  <c r="C126" i="2"/>
  <c r="B126" i="2"/>
  <c r="A126" i="2"/>
  <c r="J125" i="2"/>
  <c r="I125" i="2"/>
  <c r="H125" i="2"/>
  <c r="G125" i="2"/>
  <c r="F125" i="2"/>
  <c r="E125" i="2"/>
  <c r="D125" i="2"/>
  <c r="C125" i="2"/>
  <c r="B125" i="2"/>
  <c r="A125" i="2"/>
  <c r="J124" i="2"/>
  <c r="I124" i="2"/>
  <c r="H124" i="2"/>
  <c r="G124" i="2"/>
  <c r="F124" i="2"/>
  <c r="E124" i="2"/>
  <c r="D124" i="2"/>
  <c r="C124" i="2"/>
  <c r="B124" i="2"/>
  <c r="A124" i="2"/>
  <c r="J123" i="2"/>
  <c r="I123" i="2"/>
  <c r="H123" i="2"/>
  <c r="G123" i="2"/>
  <c r="F123" i="2"/>
  <c r="E123" i="2"/>
  <c r="D123" i="2"/>
  <c r="C123" i="2"/>
  <c r="B123" i="2"/>
  <c r="A123" i="2"/>
  <c r="J122" i="2"/>
  <c r="I122" i="2"/>
  <c r="H122" i="2"/>
  <c r="G122" i="2"/>
  <c r="F122" i="2"/>
  <c r="E122" i="2"/>
  <c r="D122" i="2"/>
  <c r="C122" i="2"/>
  <c r="B122" i="2"/>
  <c r="A122" i="2"/>
  <c r="J121" i="2"/>
  <c r="I121" i="2"/>
  <c r="H121" i="2"/>
  <c r="G121" i="2"/>
  <c r="F121" i="2"/>
  <c r="E121" i="2"/>
  <c r="D121" i="2"/>
  <c r="C121" i="2"/>
  <c r="B121" i="2"/>
  <c r="A121" i="2"/>
  <c r="J120" i="2"/>
  <c r="I120" i="2"/>
  <c r="H120" i="2"/>
  <c r="G120" i="2"/>
  <c r="F120" i="2"/>
  <c r="E120" i="2"/>
  <c r="D120" i="2"/>
  <c r="C120" i="2"/>
  <c r="B120" i="2"/>
  <c r="A120" i="2"/>
  <c r="J119" i="2"/>
  <c r="I119" i="2"/>
  <c r="H119" i="2"/>
  <c r="G119" i="2"/>
  <c r="F119" i="2"/>
  <c r="E119" i="2"/>
  <c r="D119" i="2"/>
  <c r="C119" i="2"/>
  <c r="B119" i="2"/>
  <c r="A119" i="2"/>
  <c r="J118" i="2"/>
  <c r="I118" i="2"/>
  <c r="H118" i="2"/>
  <c r="G118" i="2"/>
  <c r="F118" i="2"/>
  <c r="E118" i="2"/>
  <c r="D118" i="2"/>
  <c r="C118" i="2"/>
  <c r="B118" i="2"/>
  <c r="A118" i="2"/>
  <c r="J117" i="2"/>
  <c r="I117" i="2"/>
  <c r="H117" i="2"/>
  <c r="G117" i="2"/>
  <c r="F117" i="2"/>
  <c r="E117" i="2"/>
  <c r="D117" i="2"/>
  <c r="C117" i="2"/>
  <c r="B117" i="2"/>
  <c r="A117" i="2"/>
  <c r="J116" i="2"/>
  <c r="I116" i="2"/>
  <c r="H116" i="2"/>
  <c r="G116" i="2"/>
  <c r="F116" i="2"/>
  <c r="E116" i="2"/>
  <c r="D116" i="2"/>
  <c r="C116" i="2"/>
  <c r="B116" i="2"/>
  <c r="A116" i="2"/>
  <c r="J115" i="2"/>
  <c r="I115" i="2"/>
  <c r="H115" i="2"/>
  <c r="G115" i="2"/>
  <c r="F115" i="2"/>
  <c r="E115" i="2"/>
  <c r="D115" i="2"/>
  <c r="C115" i="2"/>
  <c r="B115" i="2"/>
  <c r="A115" i="2"/>
  <c r="J114" i="2"/>
  <c r="I114" i="2"/>
  <c r="H114" i="2"/>
  <c r="G114" i="2"/>
  <c r="F114" i="2"/>
  <c r="E114" i="2"/>
  <c r="D114" i="2"/>
  <c r="C114" i="2"/>
  <c r="B114" i="2"/>
  <c r="A114" i="2"/>
  <c r="J113" i="2"/>
  <c r="I113" i="2"/>
  <c r="H113" i="2"/>
  <c r="G113" i="2"/>
  <c r="F113" i="2"/>
  <c r="E113" i="2"/>
  <c r="D113" i="2"/>
  <c r="C113" i="2"/>
  <c r="B113" i="2"/>
  <c r="A113" i="2"/>
  <c r="J112" i="2"/>
  <c r="I112" i="2"/>
  <c r="H112" i="2"/>
  <c r="G112" i="2"/>
  <c r="F112" i="2"/>
  <c r="E112" i="2"/>
  <c r="D112" i="2"/>
  <c r="C112" i="2"/>
  <c r="B112" i="2"/>
  <c r="A112" i="2"/>
  <c r="J111" i="2"/>
  <c r="I111" i="2"/>
  <c r="H111" i="2"/>
  <c r="G111" i="2"/>
  <c r="F111" i="2"/>
  <c r="E111" i="2"/>
  <c r="D111" i="2"/>
  <c r="C111" i="2"/>
  <c r="B111" i="2"/>
  <c r="A111" i="2"/>
  <c r="J110" i="2"/>
  <c r="I110" i="2"/>
  <c r="H110" i="2"/>
  <c r="G110" i="2"/>
  <c r="F110" i="2"/>
  <c r="E110" i="2"/>
  <c r="D110" i="2"/>
  <c r="C110" i="2"/>
  <c r="B110" i="2"/>
  <c r="A110" i="2"/>
  <c r="J109" i="2"/>
  <c r="I109" i="2"/>
  <c r="H109" i="2"/>
  <c r="G109" i="2"/>
  <c r="F109" i="2"/>
  <c r="E109" i="2"/>
  <c r="D109" i="2"/>
  <c r="C109" i="2"/>
  <c r="B109" i="2"/>
  <c r="A109" i="2"/>
  <c r="J108" i="2"/>
  <c r="I108" i="2"/>
  <c r="H108" i="2"/>
  <c r="G108" i="2"/>
  <c r="F108" i="2"/>
  <c r="E108" i="2"/>
  <c r="D108" i="2"/>
  <c r="C108" i="2"/>
  <c r="B108" i="2"/>
  <c r="A108" i="2"/>
  <c r="J107" i="2"/>
  <c r="I107" i="2"/>
  <c r="H107" i="2"/>
  <c r="G107" i="2"/>
  <c r="F107" i="2"/>
  <c r="E107" i="2"/>
  <c r="D107" i="2"/>
  <c r="C107" i="2"/>
  <c r="B107" i="2"/>
  <c r="A107" i="2"/>
  <c r="J106" i="2"/>
  <c r="I106" i="2"/>
  <c r="H106" i="2"/>
  <c r="G106" i="2"/>
  <c r="F106" i="2"/>
  <c r="E106" i="2"/>
  <c r="D106" i="2"/>
  <c r="C106" i="2"/>
  <c r="B106" i="2"/>
  <c r="A106" i="2"/>
  <c r="J105" i="2"/>
  <c r="I105" i="2"/>
  <c r="H105" i="2"/>
  <c r="G105" i="2"/>
  <c r="F105" i="2"/>
  <c r="E105" i="2"/>
  <c r="D105" i="2"/>
  <c r="C105" i="2"/>
  <c r="B105" i="2"/>
  <c r="A105" i="2"/>
  <c r="J104" i="2"/>
  <c r="I104" i="2"/>
  <c r="H104" i="2"/>
  <c r="G104" i="2"/>
  <c r="F104" i="2"/>
  <c r="E104" i="2"/>
  <c r="D104" i="2"/>
  <c r="C104" i="2"/>
  <c r="B104" i="2"/>
  <c r="A104" i="2"/>
  <c r="J103" i="2"/>
  <c r="I103" i="2"/>
  <c r="H103" i="2"/>
  <c r="G103" i="2"/>
  <c r="F103" i="2"/>
  <c r="E103" i="2"/>
  <c r="D103" i="2"/>
  <c r="C103" i="2"/>
  <c r="B103" i="2"/>
  <c r="A103" i="2"/>
  <c r="J102" i="2"/>
  <c r="I102" i="2"/>
  <c r="H102" i="2"/>
  <c r="G102" i="2"/>
  <c r="F102" i="2"/>
  <c r="E102" i="2"/>
  <c r="D102" i="2"/>
  <c r="C102" i="2"/>
  <c r="B102" i="2"/>
  <c r="A102" i="2"/>
  <c r="J101" i="2"/>
  <c r="I101" i="2"/>
  <c r="H101" i="2"/>
  <c r="G101" i="2"/>
  <c r="F101" i="2"/>
  <c r="E101" i="2"/>
  <c r="D101" i="2"/>
  <c r="C101" i="2"/>
  <c r="B101" i="2"/>
  <c r="A101" i="2"/>
  <c r="J100" i="2"/>
  <c r="I100" i="2"/>
  <c r="H100" i="2"/>
  <c r="G100" i="2"/>
  <c r="F100" i="2"/>
  <c r="E100" i="2"/>
  <c r="D100" i="2"/>
  <c r="C100" i="2"/>
  <c r="B100" i="2"/>
  <c r="A100" i="2"/>
  <c r="J99" i="2"/>
  <c r="I99" i="2"/>
  <c r="H99" i="2"/>
  <c r="G99" i="2"/>
  <c r="F99" i="2"/>
  <c r="E99" i="2"/>
  <c r="D99" i="2"/>
  <c r="C99" i="2"/>
  <c r="B99" i="2"/>
  <c r="A99" i="2"/>
  <c r="J98" i="2"/>
  <c r="I98" i="2"/>
  <c r="H98" i="2"/>
  <c r="G98" i="2"/>
  <c r="F98" i="2"/>
  <c r="E98" i="2"/>
  <c r="D98" i="2"/>
  <c r="C98" i="2"/>
  <c r="B98" i="2"/>
  <c r="A98" i="2"/>
  <c r="J97" i="2"/>
  <c r="I97" i="2"/>
  <c r="H97" i="2"/>
  <c r="G97" i="2"/>
  <c r="F97" i="2"/>
  <c r="E97" i="2"/>
  <c r="D97" i="2"/>
  <c r="C97" i="2"/>
  <c r="B97" i="2"/>
  <c r="A97" i="2"/>
  <c r="J96" i="2"/>
  <c r="I96" i="2"/>
  <c r="H96" i="2"/>
  <c r="G96" i="2"/>
  <c r="F96" i="2"/>
  <c r="E96" i="2"/>
  <c r="D96" i="2"/>
  <c r="C96" i="2"/>
  <c r="B96" i="2"/>
  <c r="A96" i="2"/>
  <c r="J95" i="2"/>
  <c r="I95" i="2"/>
  <c r="H95" i="2"/>
  <c r="G95" i="2"/>
  <c r="F95" i="2"/>
  <c r="E95" i="2"/>
  <c r="D95" i="2"/>
  <c r="C95" i="2"/>
  <c r="B95" i="2"/>
  <c r="A95" i="2"/>
  <c r="J94" i="2"/>
  <c r="I94" i="2"/>
  <c r="H94" i="2"/>
  <c r="G94" i="2"/>
  <c r="F94" i="2"/>
  <c r="E94" i="2"/>
  <c r="D94" i="2"/>
  <c r="C94" i="2"/>
  <c r="B94" i="2"/>
  <c r="A94" i="2"/>
  <c r="J93" i="2"/>
  <c r="I93" i="2"/>
  <c r="H93" i="2"/>
  <c r="G93" i="2"/>
  <c r="F93" i="2"/>
  <c r="E93" i="2"/>
  <c r="D93" i="2"/>
  <c r="C93" i="2"/>
  <c r="B93" i="2"/>
  <c r="A93" i="2"/>
  <c r="J92" i="2"/>
  <c r="I92" i="2"/>
  <c r="H92" i="2"/>
  <c r="G92" i="2"/>
  <c r="F92" i="2"/>
  <c r="E92" i="2"/>
  <c r="D92" i="2"/>
  <c r="C92" i="2"/>
  <c r="B92" i="2"/>
  <c r="A92" i="2"/>
  <c r="J91" i="2"/>
  <c r="I91" i="2"/>
  <c r="H91" i="2"/>
  <c r="G91" i="2"/>
  <c r="F91" i="2"/>
  <c r="E91" i="2"/>
  <c r="D91" i="2"/>
  <c r="C91" i="2"/>
  <c r="B91" i="2"/>
  <c r="A91" i="2"/>
  <c r="J90" i="2"/>
  <c r="I90" i="2"/>
  <c r="H90" i="2"/>
  <c r="G90" i="2"/>
  <c r="F90" i="2"/>
  <c r="E90" i="2"/>
  <c r="D90" i="2"/>
  <c r="C90" i="2"/>
  <c r="B90" i="2"/>
  <c r="A90" i="2"/>
  <c r="J89" i="2"/>
  <c r="I89" i="2"/>
  <c r="H89" i="2"/>
  <c r="G89" i="2"/>
  <c r="F89" i="2"/>
  <c r="E89" i="2"/>
  <c r="D89" i="2"/>
  <c r="C89" i="2"/>
  <c r="B89" i="2"/>
  <c r="A89" i="2"/>
  <c r="J88" i="2"/>
  <c r="I88" i="2"/>
  <c r="H88" i="2"/>
  <c r="G88" i="2"/>
  <c r="F88" i="2"/>
  <c r="E88" i="2"/>
  <c r="D88" i="2"/>
  <c r="C88" i="2"/>
  <c r="B88" i="2"/>
  <c r="A88" i="2"/>
  <c r="J87" i="2"/>
  <c r="I87" i="2"/>
  <c r="H87" i="2"/>
  <c r="G87" i="2"/>
  <c r="F87" i="2"/>
  <c r="E87" i="2"/>
  <c r="D87" i="2"/>
  <c r="C87" i="2"/>
  <c r="B87" i="2"/>
  <c r="A87" i="2"/>
  <c r="J86" i="2"/>
  <c r="I86" i="2"/>
  <c r="H86" i="2"/>
  <c r="G86" i="2"/>
  <c r="F86" i="2"/>
  <c r="E86" i="2"/>
  <c r="D86" i="2"/>
  <c r="C86" i="2"/>
  <c r="B86" i="2"/>
  <c r="A86" i="2"/>
  <c r="J85" i="2"/>
  <c r="I85" i="2"/>
  <c r="H85" i="2"/>
  <c r="G85" i="2"/>
  <c r="F85" i="2"/>
  <c r="E85" i="2"/>
  <c r="D85" i="2"/>
  <c r="C85" i="2"/>
  <c r="B85" i="2"/>
  <c r="A85" i="2"/>
  <c r="J84" i="2"/>
  <c r="I84" i="2"/>
  <c r="H84" i="2"/>
  <c r="G84" i="2"/>
  <c r="F84" i="2"/>
  <c r="E84" i="2"/>
  <c r="D84" i="2"/>
  <c r="C84" i="2"/>
  <c r="B84" i="2"/>
  <c r="A84" i="2"/>
  <c r="J83" i="2"/>
  <c r="I83" i="2"/>
  <c r="H83" i="2"/>
  <c r="G83" i="2"/>
  <c r="F83" i="2"/>
  <c r="E83" i="2"/>
  <c r="D83" i="2"/>
  <c r="C83" i="2"/>
  <c r="B83" i="2"/>
  <c r="A83" i="2"/>
  <c r="J82" i="2"/>
  <c r="I82" i="2"/>
  <c r="H82" i="2"/>
  <c r="G82" i="2"/>
  <c r="F82" i="2"/>
  <c r="E82" i="2"/>
  <c r="D82" i="2"/>
  <c r="C82" i="2"/>
  <c r="B82" i="2"/>
  <c r="A82" i="2"/>
  <c r="J81" i="2"/>
  <c r="I81" i="2"/>
  <c r="H81" i="2"/>
  <c r="G81" i="2"/>
  <c r="F81" i="2"/>
  <c r="E81" i="2"/>
  <c r="D81" i="2"/>
  <c r="C81" i="2"/>
  <c r="B81" i="2"/>
  <c r="A81" i="2"/>
  <c r="J80" i="2"/>
  <c r="I80" i="2"/>
  <c r="H80" i="2"/>
  <c r="G80" i="2"/>
  <c r="F80" i="2"/>
  <c r="E80" i="2"/>
  <c r="D80" i="2"/>
  <c r="C80" i="2"/>
  <c r="B80" i="2"/>
  <c r="A80" i="2"/>
  <c r="J79" i="2"/>
  <c r="I79" i="2"/>
  <c r="H79" i="2"/>
  <c r="G79" i="2"/>
  <c r="F79" i="2"/>
  <c r="E79" i="2"/>
  <c r="D79" i="2"/>
  <c r="C79" i="2"/>
  <c r="B79" i="2"/>
  <c r="A79" i="2"/>
  <c r="J78" i="2"/>
  <c r="I78" i="2"/>
  <c r="H78" i="2"/>
  <c r="G78" i="2"/>
  <c r="F78" i="2"/>
  <c r="E78" i="2"/>
  <c r="D78" i="2"/>
  <c r="C78" i="2"/>
  <c r="B78" i="2"/>
  <c r="A78" i="2"/>
  <c r="J77" i="2"/>
  <c r="I77" i="2"/>
  <c r="H77" i="2"/>
  <c r="G77" i="2"/>
  <c r="F77" i="2"/>
  <c r="E77" i="2"/>
  <c r="D77" i="2"/>
  <c r="C77" i="2"/>
  <c r="B77" i="2"/>
  <c r="A77" i="2"/>
  <c r="J76" i="2"/>
  <c r="I76" i="2"/>
  <c r="H76" i="2"/>
  <c r="G76" i="2"/>
  <c r="F76" i="2"/>
  <c r="E76" i="2"/>
  <c r="D76" i="2"/>
  <c r="C76" i="2"/>
  <c r="B76" i="2"/>
  <c r="A76" i="2"/>
  <c r="J75" i="2"/>
  <c r="I75" i="2"/>
  <c r="H75" i="2"/>
  <c r="G75" i="2"/>
  <c r="F75" i="2"/>
  <c r="E75" i="2"/>
  <c r="D75" i="2"/>
  <c r="C75" i="2"/>
  <c r="B75" i="2"/>
  <c r="A75" i="2"/>
  <c r="J74" i="2"/>
  <c r="I74" i="2"/>
  <c r="H74" i="2"/>
  <c r="G74" i="2"/>
  <c r="F74" i="2"/>
  <c r="E74" i="2"/>
  <c r="D74" i="2"/>
  <c r="C74" i="2"/>
  <c r="B74" i="2"/>
  <c r="A74" i="2"/>
  <c r="J73" i="2"/>
  <c r="I73" i="2"/>
  <c r="H73" i="2"/>
  <c r="G73" i="2"/>
  <c r="F73" i="2"/>
  <c r="E73" i="2"/>
  <c r="D73" i="2"/>
  <c r="C73" i="2"/>
  <c r="B73" i="2"/>
  <c r="A73" i="2"/>
  <c r="J72" i="2"/>
  <c r="I72" i="2"/>
  <c r="H72" i="2"/>
  <c r="G72" i="2"/>
  <c r="F72" i="2"/>
  <c r="E72" i="2"/>
  <c r="D72" i="2"/>
  <c r="C72" i="2"/>
  <c r="B72" i="2"/>
  <c r="A72" i="2"/>
  <c r="J71" i="2"/>
  <c r="I71" i="2"/>
  <c r="H71" i="2"/>
  <c r="G71" i="2"/>
  <c r="F71" i="2"/>
  <c r="E71" i="2"/>
  <c r="D71" i="2"/>
  <c r="C71" i="2"/>
  <c r="B71" i="2"/>
  <c r="A71" i="2"/>
  <c r="J70" i="2"/>
  <c r="I70" i="2"/>
  <c r="H70" i="2"/>
  <c r="G70" i="2"/>
  <c r="F70" i="2"/>
  <c r="E70" i="2"/>
  <c r="D70" i="2"/>
  <c r="C70" i="2"/>
  <c r="B70" i="2"/>
  <c r="A70" i="2"/>
  <c r="J69" i="2"/>
  <c r="I69" i="2"/>
  <c r="H69" i="2"/>
  <c r="G69" i="2"/>
  <c r="F69" i="2"/>
  <c r="E69" i="2"/>
  <c r="D69" i="2"/>
  <c r="C69" i="2"/>
  <c r="B69" i="2"/>
  <c r="A69" i="2"/>
  <c r="J68" i="2"/>
  <c r="I68" i="2"/>
  <c r="H68" i="2"/>
  <c r="G68" i="2"/>
  <c r="F68" i="2"/>
  <c r="E68" i="2"/>
  <c r="D68" i="2"/>
  <c r="C68" i="2"/>
  <c r="B68" i="2"/>
  <c r="A68" i="2"/>
  <c r="J67" i="2"/>
  <c r="I67" i="2"/>
  <c r="H67" i="2"/>
  <c r="G67" i="2"/>
  <c r="F67" i="2"/>
  <c r="E67" i="2"/>
  <c r="D67" i="2"/>
  <c r="C67" i="2"/>
  <c r="B67" i="2"/>
  <c r="A67" i="2"/>
  <c r="J66" i="2"/>
  <c r="I66" i="2"/>
  <c r="H66" i="2"/>
  <c r="G66" i="2"/>
  <c r="F66" i="2"/>
  <c r="E66" i="2"/>
  <c r="D66" i="2"/>
  <c r="C66" i="2"/>
  <c r="B66" i="2"/>
  <c r="A66" i="2"/>
  <c r="J65" i="2"/>
  <c r="I65" i="2"/>
  <c r="H65" i="2"/>
  <c r="G65" i="2"/>
  <c r="F65" i="2"/>
  <c r="E65" i="2"/>
  <c r="D65" i="2"/>
  <c r="C65" i="2"/>
  <c r="B65" i="2"/>
  <c r="A65" i="2"/>
  <c r="J64" i="2"/>
  <c r="I64" i="2"/>
  <c r="H64" i="2"/>
  <c r="G64" i="2"/>
  <c r="F64" i="2"/>
  <c r="E64" i="2"/>
  <c r="D64" i="2"/>
  <c r="C64" i="2"/>
  <c r="B64" i="2"/>
  <c r="A64" i="2"/>
  <c r="J63" i="2"/>
  <c r="I63" i="2"/>
  <c r="H63" i="2"/>
  <c r="G63" i="2"/>
  <c r="F63" i="2"/>
  <c r="E63" i="2"/>
  <c r="D63" i="2"/>
  <c r="C63" i="2"/>
  <c r="B63" i="2"/>
  <c r="A63" i="2"/>
  <c r="J62" i="2"/>
  <c r="I62" i="2"/>
  <c r="H62" i="2"/>
  <c r="G62" i="2"/>
  <c r="F62" i="2"/>
  <c r="E62" i="2"/>
  <c r="D62" i="2"/>
  <c r="C62" i="2"/>
  <c r="B62" i="2"/>
  <c r="A62" i="2"/>
  <c r="J61" i="2"/>
  <c r="I61" i="2"/>
  <c r="H61" i="2"/>
  <c r="G61" i="2"/>
  <c r="F61" i="2"/>
  <c r="E61" i="2"/>
  <c r="D61" i="2"/>
  <c r="C61" i="2"/>
  <c r="B61" i="2"/>
  <c r="A61" i="2"/>
  <c r="J60" i="2"/>
  <c r="I60" i="2"/>
  <c r="H60" i="2"/>
  <c r="G60" i="2"/>
  <c r="F60" i="2"/>
  <c r="E60" i="2"/>
  <c r="D60" i="2"/>
  <c r="C60" i="2"/>
  <c r="B60" i="2"/>
  <c r="A60" i="2"/>
  <c r="J59" i="2"/>
  <c r="I59" i="2"/>
  <c r="H59" i="2"/>
  <c r="G59" i="2"/>
  <c r="F59" i="2"/>
  <c r="E59" i="2"/>
  <c r="D59" i="2"/>
  <c r="C59" i="2"/>
  <c r="B59" i="2"/>
  <c r="A59" i="2"/>
  <c r="J58" i="2"/>
  <c r="I58" i="2"/>
  <c r="H58" i="2"/>
  <c r="G58" i="2"/>
  <c r="F58" i="2"/>
  <c r="E58" i="2"/>
  <c r="D58" i="2"/>
  <c r="C58" i="2"/>
  <c r="B58" i="2"/>
  <c r="A58" i="2"/>
  <c r="J57" i="2"/>
  <c r="I57" i="2"/>
  <c r="H57" i="2"/>
  <c r="G57" i="2"/>
  <c r="F57" i="2"/>
  <c r="E57" i="2"/>
  <c r="D57" i="2"/>
  <c r="C57" i="2"/>
  <c r="B57" i="2"/>
  <c r="A57" i="2"/>
  <c r="J56" i="2"/>
  <c r="I56" i="2"/>
  <c r="H56" i="2"/>
  <c r="G56" i="2"/>
  <c r="F56" i="2"/>
  <c r="E56" i="2"/>
  <c r="D56" i="2"/>
  <c r="C56" i="2"/>
  <c r="B56" i="2"/>
  <c r="A56" i="2"/>
  <c r="J55" i="2"/>
  <c r="I55" i="2"/>
  <c r="H55" i="2"/>
  <c r="G55" i="2"/>
  <c r="F55" i="2"/>
  <c r="E55" i="2"/>
  <c r="D55" i="2"/>
  <c r="C55" i="2"/>
  <c r="B55" i="2"/>
  <c r="A55" i="2"/>
  <c r="J54" i="2"/>
  <c r="I54" i="2"/>
  <c r="H54" i="2"/>
  <c r="G54" i="2"/>
  <c r="F54" i="2"/>
  <c r="E54" i="2"/>
  <c r="D54" i="2"/>
  <c r="C54" i="2"/>
  <c r="B54" i="2"/>
  <c r="A54" i="2"/>
  <c r="J53" i="2"/>
  <c r="I53" i="2"/>
  <c r="H53" i="2"/>
  <c r="G53" i="2"/>
  <c r="F53" i="2"/>
  <c r="E53" i="2"/>
  <c r="D53" i="2"/>
  <c r="C53" i="2"/>
  <c r="B53" i="2"/>
  <c r="A53" i="2"/>
  <c r="J52" i="2"/>
  <c r="I52" i="2"/>
  <c r="H52" i="2"/>
  <c r="G52" i="2"/>
  <c r="F52" i="2"/>
  <c r="E52" i="2"/>
  <c r="D52" i="2"/>
  <c r="C52" i="2"/>
  <c r="B52" i="2"/>
  <c r="A52" i="2"/>
  <c r="J51" i="2"/>
  <c r="I51" i="2"/>
  <c r="H51" i="2"/>
  <c r="G51" i="2"/>
  <c r="F51" i="2"/>
  <c r="E51" i="2"/>
  <c r="D51" i="2"/>
  <c r="C51" i="2"/>
  <c r="B51" i="2"/>
  <c r="A51" i="2"/>
  <c r="J50" i="2"/>
  <c r="I50" i="2"/>
  <c r="H50" i="2"/>
  <c r="G50" i="2"/>
  <c r="F50" i="2"/>
  <c r="E50" i="2"/>
  <c r="D50" i="2"/>
  <c r="C50" i="2"/>
  <c r="B50" i="2"/>
  <c r="A50" i="2"/>
  <c r="J49" i="2"/>
  <c r="I49" i="2"/>
  <c r="H49" i="2"/>
  <c r="G49" i="2"/>
  <c r="F49" i="2"/>
  <c r="E49" i="2"/>
  <c r="D49" i="2"/>
  <c r="C49" i="2"/>
  <c r="B49" i="2"/>
  <c r="A49" i="2"/>
  <c r="J48" i="2"/>
  <c r="I48" i="2"/>
  <c r="H48" i="2"/>
  <c r="G48" i="2"/>
  <c r="F48" i="2"/>
  <c r="E48" i="2"/>
  <c r="D48" i="2"/>
  <c r="C48" i="2"/>
  <c r="B48" i="2"/>
  <c r="A48" i="2"/>
  <c r="J47" i="2"/>
  <c r="I47" i="2"/>
  <c r="H47" i="2"/>
  <c r="G47" i="2"/>
  <c r="F47" i="2"/>
  <c r="E47" i="2"/>
  <c r="D47" i="2"/>
  <c r="C47" i="2"/>
  <c r="B47" i="2"/>
  <c r="A47" i="2"/>
  <c r="J46" i="2"/>
  <c r="I46" i="2"/>
  <c r="H46" i="2"/>
  <c r="G46" i="2"/>
  <c r="F46" i="2"/>
  <c r="E46" i="2"/>
  <c r="D46" i="2"/>
  <c r="C46" i="2"/>
  <c r="B46" i="2"/>
  <c r="A46" i="2"/>
  <c r="J45" i="2"/>
  <c r="I45" i="2"/>
  <c r="H45" i="2"/>
  <c r="G45" i="2"/>
  <c r="F45" i="2"/>
  <c r="E45" i="2"/>
  <c r="D45" i="2"/>
  <c r="C45" i="2"/>
  <c r="B45" i="2"/>
  <c r="A45" i="2"/>
  <c r="J44" i="2"/>
  <c r="I44" i="2"/>
  <c r="H44" i="2"/>
  <c r="G44" i="2"/>
  <c r="F44" i="2"/>
  <c r="E44" i="2"/>
  <c r="D44" i="2"/>
  <c r="C44" i="2"/>
  <c r="B44" i="2"/>
  <c r="A44" i="2"/>
  <c r="J43" i="2"/>
  <c r="I43" i="2"/>
  <c r="H43" i="2"/>
  <c r="G43" i="2"/>
  <c r="F43" i="2"/>
  <c r="E43" i="2"/>
  <c r="D43" i="2"/>
  <c r="C43" i="2"/>
  <c r="B43" i="2"/>
  <c r="A43" i="2"/>
  <c r="J42" i="2"/>
  <c r="I42" i="2"/>
  <c r="H42" i="2"/>
  <c r="G42" i="2"/>
  <c r="F42" i="2"/>
  <c r="E42" i="2"/>
  <c r="D42" i="2"/>
  <c r="C42" i="2"/>
  <c r="B42" i="2"/>
  <c r="A42" i="2"/>
  <c r="J41" i="2"/>
  <c r="I41" i="2"/>
  <c r="H41" i="2"/>
  <c r="G41" i="2"/>
  <c r="F41" i="2"/>
  <c r="E41" i="2"/>
  <c r="D41" i="2"/>
  <c r="C41" i="2"/>
  <c r="B41" i="2"/>
  <c r="A41" i="2"/>
  <c r="J40" i="2"/>
  <c r="I40" i="2"/>
  <c r="H40" i="2"/>
  <c r="G40" i="2"/>
  <c r="F40" i="2"/>
  <c r="E40" i="2"/>
  <c r="D40" i="2"/>
  <c r="C40" i="2"/>
  <c r="B40" i="2"/>
  <c r="A40" i="2"/>
  <c r="J39" i="2"/>
  <c r="I39" i="2"/>
  <c r="H39" i="2"/>
  <c r="G39" i="2"/>
  <c r="F39" i="2"/>
  <c r="E39" i="2"/>
  <c r="D39" i="2"/>
  <c r="C39" i="2"/>
  <c r="B39" i="2"/>
  <c r="A39" i="2"/>
  <c r="J38" i="2"/>
  <c r="I38" i="2"/>
  <c r="H38" i="2"/>
  <c r="G38" i="2"/>
  <c r="F38" i="2"/>
  <c r="E38" i="2"/>
  <c r="D38" i="2"/>
  <c r="C38" i="2"/>
  <c r="B38" i="2"/>
  <c r="A38" i="2"/>
  <c r="J37" i="2"/>
  <c r="I37" i="2"/>
  <c r="H37" i="2"/>
  <c r="G37" i="2"/>
  <c r="F37" i="2"/>
  <c r="E37" i="2"/>
  <c r="D37" i="2"/>
  <c r="C37" i="2"/>
  <c r="B37" i="2"/>
  <c r="A37" i="2"/>
  <c r="J36" i="2"/>
  <c r="I36" i="2"/>
  <c r="H36" i="2"/>
  <c r="G36" i="2"/>
  <c r="F36" i="2"/>
  <c r="E36" i="2"/>
  <c r="D36" i="2"/>
  <c r="C36" i="2"/>
  <c r="B36" i="2"/>
  <c r="A36" i="2"/>
  <c r="J35" i="2"/>
  <c r="I35" i="2"/>
  <c r="H35" i="2"/>
  <c r="G35" i="2"/>
  <c r="F35" i="2"/>
  <c r="E35" i="2"/>
  <c r="D35" i="2"/>
  <c r="C35" i="2"/>
  <c r="B35" i="2"/>
  <c r="A35" i="2"/>
  <c r="J34" i="2"/>
  <c r="I34" i="2"/>
  <c r="H34" i="2"/>
  <c r="G34" i="2"/>
  <c r="F34" i="2"/>
  <c r="E34" i="2"/>
  <c r="D34" i="2"/>
  <c r="C34" i="2"/>
  <c r="B34" i="2"/>
  <c r="A34" i="2"/>
  <c r="J33" i="2"/>
  <c r="I33" i="2"/>
  <c r="H33" i="2"/>
  <c r="G33" i="2"/>
  <c r="F33" i="2"/>
  <c r="E33" i="2"/>
  <c r="D33" i="2"/>
  <c r="C33" i="2"/>
  <c r="B33" i="2"/>
  <c r="A33" i="2"/>
  <c r="J32" i="2"/>
  <c r="I32" i="2"/>
  <c r="H32" i="2"/>
  <c r="G32" i="2"/>
  <c r="F32" i="2"/>
  <c r="E32" i="2"/>
  <c r="D32" i="2"/>
  <c r="C32" i="2"/>
  <c r="B32" i="2"/>
  <c r="A32" i="2"/>
  <c r="J31" i="2"/>
  <c r="I31" i="2"/>
  <c r="H31" i="2"/>
  <c r="G31" i="2"/>
  <c r="F31" i="2"/>
  <c r="E31" i="2"/>
  <c r="D31" i="2"/>
  <c r="C31" i="2"/>
  <c r="B31" i="2"/>
  <c r="A31" i="2"/>
  <c r="J30" i="2"/>
  <c r="I30" i="2"/>
  <c r="H30" i="2"/>
  <c r="G30" i="2"/>
  <c r="F30" i="2"/>
  <c r="E30" i="2"/>
  <c r="D30" i="2"/>
  <c r="C30" i="2"/>
  <c r="B30" i="2"/>
  <c r="A30" i="2"/>
  <c r="J29" i="2"/>
  <c r="I29" i="2"/>
  <c r="H29" i="2"/>
  <c r="G29" i="2"/>
  <c r="F29" i="2"/>
  <c r="E29" i="2"/>
  <c r="D29" i="2"/>
  <c r="C29" i="2"/>
  <c r="B29" i="2"/>
  <c r="A29" i="2"/>
  <c r="J28" i="2"/>
  <c r="I28" i="2"/>
  <c r="H28" i="2"/>
  <c r="G28" i="2"/>
  <c r="F28" i="2"/>
  <c r="E28" i="2"/>
  <c r="D28" i="2"/>
  <c r="C28" i="2"/>
  <c r="B28" i="2"/>
  <c r="A28" i="2"/>
  <c r="J27" i="2"/>
  <c r="I27" i="2"/>
  <c r="H27" i="2"/>
  <c r="G27" i="2"/>
  <c r="F27" i="2"/>
  <c r="E27" i="2"/>
  <c r="D27" i="2"/>
  <c r="C27" i="2"/>
  <c r="B27" i="2"/>
  <c r="A27" i="2"/>
  <c r="J26" i="2"/>
  <c r="I26" i="2"/>
  <c r="H26" i="2"/>
  <c r="G26" i="2"/>
  <c r="F26" i="2"/>
  <c r="E26" i="2"/>
  <c r="D26" i="2"/>
  <c r="C26" i="2"/>
  <c r="B26" i="2"/>
  <c r="A26" i="2"/>
  <c r="J25" i="2"/>
  <c r="I25" i="2"/>
  <c r="H25" i="2"/>
  <c r="G25" i="2"/>
  <c r="F25" i="2"/>
  <c r="E25" i="2"/>
  <c r="D25" i="2"/>
  <c r="C25" i="2"/>
  <c r="B25" i="2"/>
  <c r="A25" i="2"/>
  <c r="J24" i="2"/>
  <c r="I24" i="2"/>
  <c r="H24" i="2"/>
  <c r="G24" i="2"/>
  <c r="F24" i="2"/>
  <c r="E24" i="2"/>
  <c r="D24" i="2"/>
  <c r="C24" i="2"/>
  <c r="B24" i="2"/>
  <c r="A24" i="2"/>
  <c r="J23" i="2"/>
  <c r="I23" i="2"/>
  <c r="H23" i="2"/>
  <c r="G23" i="2"/>
  <c r="F23" i="2"/>
  <c r="E23" i="2"/>
  <c r="D23" i="2"/>
  <c r="C23" i="2"/>
  <c r="B23" i="2"/>
  <c r="A23" i="2"/>
  <c r="J22" i="2"/>
  <c r="I22" i="2"/>
  <c r="H22" i="2"/>
  <c r="G22" i="2"/>
  <c r="F22" i="2"/>
  <c r="E22" i="2"/>
  <c r="D22" i="2"/>
  <c r="C22" i="2"/>
  <c r="B22" i="2"/>
  <c r="A22" i="2"/>
  <c r="J21" i="2"/>
  <c r="I21" i="2"/>
  <c r="H21" i="2"/>
  <c r="G21" i="2"/>
  <c r="F21" i="2"/>
  <c r="E21" i="2"/>
  <c r="D21" i="2"/>
  <c r="C21" i="2"/>
  <c r="B21" i="2"/>
  <c r="A21" i="2"/>
  <c r="J20" i="2"/>
  <c r="I20" i="2"/>
  <c r="H20" i="2"/>
  <c r="G20" i="2"/>
  <c r="F20" i="2"/>
  <c r="E20" i="2"/>
  <c r="D20" i="2"/>
  <c r="C20" i="2"/>
  <c r="B20" i="2"/>
  <c r="A20" i="2"/>
  <c r="J19" i="2"/>
  <c r="I19" i="2"/>
  <c r="H19" i="2"/>
  <c r="G19" i="2"/>
  <c r="F19" i="2"/>
  <c r="E19" i="2"/>
  <c r="D19" i="2"/>
  <c r="C19" i="2"/>
  <c r="B19" i="2"/>
  <c r="A19" i="2"/>
  <c r="J18" i="2"/>
  <c r="I18" i="2"/>
  <c r="H18" i="2"/>
  <c r="G18" i="2"/>
  <c r="F18" i="2"/>
  <c r="E18" i="2"/>
  <c r="D18" i="2"/>
  <c r="C18" i="2"/>
  <c r="B18" i="2"/>
  <c r="A18" i="2"/>
  <c r="J17" i="2"/>
  <c r="I17" i="2"/>
  <c r="H17" i="2"/>
  <c r="G17" i="2"/>
  <c r="F17" i="2"/>
  <c r="E17" i="2"/>
  <c r="D17" i="2"/>
  <c r="C17" i="2"/>
  <c r="B17" i="2"/>
  <c r="A17" i="2"/>
  <c r="J16" i="2"/>
  <c r="I16" i="2"/>
  <c r="H16" i="2"/>
  <c r="G16" i="2"/>
  <c r="F16" i="2"/>
  <c r="E16" i="2"/>
  <c r="D16" i="2"/>
  <c r="C16" i="2"/>
  <c r="B16" i="2"/>
  <c r="A16" i="2"/>
  <c r="J15" i="2"/>
  <c r="I15" i="2"/>
  <c r="H15" i="2"/>
  <c r="G15" i="2"/>
  <c r="F15" i="2"/>
  <c r="E15" i="2"/>
  <c r="D15" i="2"/>
  <c r="C15" i="2"/>
  <c r="B15" i="2"/>
  <c r="A15" i="2"/>
  <c r="J14" i="2"/>
  <c r="I14" i="2"/>
  <c r="H14" i="2"/>
  <c r="G14" i="2"/>
  <c r="F14" i="2"/>
  <c r="E14" i="2"/>
  <c r="D14" i="2"/>
  <c r="C14" i="2"/>
  <c r="B14" i="2"/>
  <c r="A14" i="2"/>
  <c r="J13" i="2"/>
  <c r="I13" i="2"/>
  <c r="H13" i="2"/>
  <c r="G13" i="2"/>
  <c r="F13" i="2"/>
  <c r="E13" i="2"/>
  <c r="D13" i="2"/>
  <c r="C13" i="2"/>
  <c r="B13" i="2"/>
  <c r="A13" i="2"/>
  <c r="J12" i="2"/>
  <c r="I12" i="2"/>
  <c r="H12" i="2"/>
  <c r="G12" i="2"/>
  <c r="F12" i="2"/>
  <c r="E12" i="2"/>
  <c r="D12" i="2"/>
  <c r="C12" i="2"/>
  <c r="B12" i="2"/>
  <c r="A12" i="2"/>
  <c r="J11" i="2"/>
  <c r="I11" i="2"/>
  <c r="H11" i="2"/>
  <c r="G11" i="2"/>
  <c r="F11" i="2"/>
  <c r="E11" i="2"/>
  <c r="D11" i="2"/>
  <c r="C11" i="2"/>
  <c r="B11" i="2"/>
  <c r="A11" i="2"/>
  <c r="J10" i="2"/>
  <c r="I10" i="2"/>
  <c r="H10" i="2"/>
  <c r="G10" i="2"/>
  <c r="F10" i="2"/>
  <c r="E10" i="2"/>
  <c r="D10" i="2"/>
  <c r="C10" i="2"/>
  <c r="B10" i="2"/>
  <c r="A10" i="2"/>
  <c r="J9" i="2"/>
  <c r="I9" i="2"/>
  <c r="H9" i="2"/>
  <c r="G9" i="2"/>
  <c r="F9" i="2"/>
  <c r="E9" i="2"/>
  <c r="D9" i="2"/>
  <c r="C9" i="2"/>
  <c r="B9" i="2"/>
  <c r="A9" i="2"/>
  <c r="J8" i="2"/>
  <c r="I8" i="2"/>
  <c r="H8" i="2"/>
  <c r="G8" i="2"/>
  <c r="F8" i="2"/>
  <c r="E8" i="2"/>
  <c r="D8" i="2"/>
  <c r="C8" i="2"/>
  <c r="B8" i="2"/>
  <c r="A8" i="2"/>
  <c r="J7" i="2"/>
  <c r="I7" i="2"/>
  <c r="H7" i="2"/>
  <c r="G7" i="2"/>
  <c r="F7" i="2"/>
  <c r="E7" i="2"/>
  <c r="D7" i="2"/>
  <c r="C7" i="2"/>
  <c r="B7" i="2"/>
  <c r="A7" i="2"/>
  <c r="J6" i="2"/>
  <c r="I6" i="2"/>
  <c r="H6" i="2"/>
  <c r="G6" i="2"/>
  <c r="F6" i="2"/>
  <c r="E6" i="2"/>
  <c r="D6" i="2"/>
  <c r="C6" i="2"/>
  <c r="B6" i="2"/>
  <c r="A6" i="2"/>
  <c r="J5" i="2"/>
  <c r="I5" i="2"/>
  <c r="H5" i="2"/>
  <c r="G5" i="2"/>
  <c r="F5" i="2"/>
  <c r="E5" i="2"/>
  <c r="D5" i="2"/>
  <c r="C5" i="2"/>
  <c r="B5" i="2"/>
  <c r="A5" i="2"/>
  <c r="J4" i="2"/>
  <c r="I4" i="2"/>
  <c r="H4" i="2"/>
  <c r="G4" i="2"/>
  <c r="F4" i="2"/>
  <c r="E4" i="2"/>
  <c r="D4" i="2"/>
  <c r="C4" i="2"/>
  <c r="B4" i="2"/>
  <c r="A4" i="2"/>
  <c r="J3" i="2"/>
  <c r="I3" i="2"/>
  <c r="H3" i="2"/>
  <c r="G3" i="2"/>
  <c r="F3" i="2"/>
  <c r="E3" i="2"/>
  <c r="D3" i="2"/>
  <c r="C3" i="2"/>
  <c r="B3" i="2"/>
  <c r="A3" i="2"/>
  <c r="J2" i="2"/>
  <c r="I2" i="2"/>
  <c r="H2" i="2"/>
  <c r="G2" i="2"/>
  <c r="F2" i="2"/>
  <c r="E2" i="2"/>
  <c r="D2" i="2"/>
  <c r="C2" i="2"/>
  <c r="B2" i="2"/>
  <c r="A2" i="2"/>
  <c r="E5" i="3" l="1"/>
  <c r="E6" i="3"/>
</calcChain>
</file>

<file path=xl/sharedStrings.xml><?xml version="1.0" encoding="utf-8"?>
<sst xmlns="http://schemas.openxmlformats.org/spreadsheetml/2006/main" count="19497" uniqueCount="5753">
  <si>
    <t>Serial</t>
  </si>
  <si>
    <t>File_Number</t>
  </si>
  <si>
    <t>Name</t>
  </si>
  <si>
    <t>Sex</t>
  </si>
  <si>
    <t>Name_of_the_Father</t>
  </si>
  <si>
    <t>Name_of_the_Mother</t>
  </si>
  <si>
    <t>When_and_where_born</t>
  </si>
  <si>
    <t>Description_and_residence_of_informant</t>
  </si>
  <si>
    <t>Registration_date</t>
  </si>
  <si>
    <t>MHA_File_And_date</t>
  </si>
  <si>
    <t>STATUS</t>
  </si>
  <si>
    <t>Date_Printed</t>
  </si>
  <si>
    <t>Signing_Authority_Name</t>
  </si>
  <si>
    <t>Date_Issued</t>
  </si>
  <si>
    <t>03/03/2026</t>
  </si>
  <si>
    <t>MANISH KATARIA, VICE CONSUL</t>
  </si>
  <si>
    <t>26/02/2026</t>
  </si>
  <si>
    <t>TEJ KRISHAN, HOC AND CONSUL</t>
  </si>
  <si>
    <t>S No.</t>
  </si>
  <si>
    <t>Date of birth</t>
  </si>
  <si>
    <t>Place of birth</t>
  </si>
  <si>
    <t>File No</t>
  </si>
  <si>
    <t>Name of Father</t>
  </si>
  <si>
    <t>Name of Mother</t>
  </si>
  <si>
    <t>Registration date</t>
  </si>
  <si>
    <t>ADD 1</t>
  </si>
  <si>
    <t>ADD 2</t>
  </si>
  <si>
    <t>ADD 3</t>
  </si>
  <si>
    <t>MHA_File_No</t>
  </si>
  <si>
    <t>MHA_Date</t>
  </si>
  <si>
    <t>ALYA RAO</t>
  </si>
  <si>
    <t>PENRITH</t>
  </si>
  <si>
    <t>IND/MEL/00001</t>
  </si>
  <si>
    <t>F</t>
  </si>
  <si>
    <t>Neil Rao</t>
  </si>
  <si>
    <t>Mira Rao</t>
  </si>
  <si>
    <t>159 Birchwood Lane</t>
  </si>
  <si>
    <t>Emerald Road</t>
  </si>
  <si>
    <t>PIN:895389 PENRITH</t>
  </si>
  <si>
    <t>MHA/IND/00001</t>
  </si>
  <si>
    <t>DIYA KALEON</t>
  </si>
  <si>
    <t>WODONGA</t>
  </si>
  <si>
    <t>IND/MEL/00002</t>
  </si>
  <si>
    <t>Ishan Kaleon</t>
  </si>
  <si>
    <t>Alya Kaleon</t>
  </si>
  <si>
    <t>21 Birchwood Lane</t>
  </si>
  <si>
    <t>PIN:899035 WODONGA</t>
  </si>
  <si>
    <t>MHA/IND/00002</t>
  </si>
  <si>
    <t>ANYA RAO</t>
  </si>
  <si>
    <t>IPSWICH</t>
  </si>
  <si>
    <t>IND/MEL/00003</t>
  </si>
  <si>
    <t>Diya Rao</t>
  </si>
  <si>
    <t>125 Birchwood Lane</t>
  </si>
  <si>
    <t>PIN:344922 IPSWICH</t>
  </si>
  <si>
    <t>MHA/IND/00003</t>
  </si>
  <si>
    <t>NINA KALEON</t>
  </si>
  <si>
    <t>BERWICK</t>
  </si>
  <si>
    <t>IND/MEL/00004</t>
  </si>
  <si>
    <t>Arjun Kaleon</t>
  </si>
  <si>
    <t>Anya Kaleon</t>
  </si>
  <si>
    <t>68 Birchwood Lane</t>
  </si>
  <si>
    <t>PIN:360661 BERWICK</t>
  </si>
  <si>
    <t>MHA/IND/00004</t>
  </si>
  <si>
    <t>ANYA MYRTHOS</t>
  </si>
  <si>
    <t>CANBERRA</t>
  </si>
  <si>
    <t>IND/MEL/00005</t>
  </si>
  <si>
    <t>Arjun Myrthos</t>
  </si>
  <si>
    <t>Nina Myrthos</t>
  </si>
  <si>
    <t>196 Birchwood Lane</t>
  </si>
  <si>
    <t>PIN:308984 CANBERRA</t>
  </si>
  <si>
    <t>MHA/IND/00005</t>
  </si>
  <si>
    <t>ANYA KALEON</t>
  </si>
  <si>
    <t>CLAYTON</t>
  </si>
  <si>
    <t>IND/MEL/00006</t>
  </si>
  <si>
    <t>Aren Kaleon</t>
  </si>
  <si>
    <t>37 Birchwood Lane</t>
  </si>
  <si>
    <t>PIN:907143 CLAYTON</t>
  </si>
  <si>
    <t>MHA/IND/00006</t>
  </si>
  <si>
    <t>RIYA MYRTHOS</t>
  </si>
  <si>
    <t>BRISBANE</t>
  </si>
  <si>
    <t>IND/MEL/00007</t>
  </si>
  <si>
    <t>Aren Myrthos</t>
  </si>
  <si>
    <t>Sara Myrthos</t>
  </si>
  <si>
    <t>78 Birchwood Lane</t>
  </si>
  <si>
    <t>PIN:350260 BRISBANE</t>
  </si>
  <si>
    <t>MHA/IND/00007</t>
  </si>
  <si>
    <t>NEIL KALEON</t>
  </si>
  <si>
    <t>KINGSWOOD</t>
  </si>
  <si>
    <t>IND/MEL/00008</t>
  </si>
  <si>
    <t>M</t>
  </si>
  <si>
    <t>Kiran Kaleon</t>
  </si>
  <si>
    <t>Diya Kaleon</t>
  </si>
  <si>
    <t>112 Birchwood Lane</t>
  </si>
  <si>
    <t>PIN:337234 KINGSWOOD</t>
  </si>
  <si>
    <t>MHA/IND/00008</t>
  </si>
  <si>
    <t>KABIR SHARMA</t>
  </si>
  <si>
    <t>CAMPBELLTOWN</t>
  </si>
  <si>
    <t>IND/MEL/00009</t>
  </si>
  <si>
    <t>Arjun Sharma</t>
  </si>
  <si>
    <t>Mira Sharma</t>
  </si>
  <si>
    <t>84 Birchwood Lane</t>
  </si>
  <si>
    <t>PIN:403707 CAMPBELLTOWN</t>
  </si>
  <si>
    <t>MHA/IND/00009</t>
  </si>
  <si>
    <t>ANYA RISHKAN</t>
  </si>
  <si>
    <t>IND/MEL/00010</t>
  </si>
  <si>
    <t>Arjun Rishkan</t>
  </si>
  <si>
    <t>Mira Rishkan</t>
  </si>
  <si>
    <t>61 Birchwood Lane</t>
  </si>
  <si>
    <t>PIN:379882 BERWICK</t>
  </si>
  <si>
    <t>MHA/IND/00010</t>
  </si>
  <si>
    <t>ISHAN RAO</t>
  </si>
  <si>
    <t>PERTH</t>
  </si>
  <si>
    <t>IND/MEL/00011</t>
  </si>
  <si>
    <t>Arjun Rao</t>
  </si>
  <si>
    <t>15 Birchwood Lane</t>
  </si>
  <si>
    <t>PIN:909065 PERTH</t>
  </si>
  <si>
    <t>MHA/IND/00011</t>
  </si>
  <si>
    <t>DIYA SHARMA</t>
  </si>
  <si>
    <t>TRARALGON</t>
  </si>
  <si>
    <t>IND/MEL/00012</t>
  </si>
  <si>
    <t>Rohit Sharma</t>
  </si>
  <si>
    <t>Anya Sharma</t>
  </si>
  <si>
    <t>105 Birchwood Lane</t>
  </si>
  <si>
    <t>PIN:749689 TRARALGON</t>
  </si>
  <si>
    <t>MHA/IND/00012</t>
  </si>
  <si>
    <t>SARA KALEON</t>
  </si>
  <si>
    <t>IND/MEL/00013</t>
  </si>
  <si>
    <t>Nina Kaleon</t>
  </si>
  <si>
    <t>151 Birchwood Lane</t>
  </si>
  <si>
    <t>PIN:690803 BRISBANE</t>
  </si>
  <si>
    <t>MHA/IND/00013</t>
  </si>
  <si>
    <t>KABIR RAO</t>
  </si>
  <si>
    <t>GEELONG</t>
  </si>
  <si>
    <t>IND/MEL/00014</t>
  </si>
  <si>
    <t>Riya Rao</t>
  </si>
  <si>
    <t>28 Birchwood Lane</t>
  </si>
  <si>
    <t>PIN:862049 GEELONG</t>
  </si>
  <si>
    <t>MHA/IND/00014</t>
  </si>
  <si>
    <t>NEIL SHARMA</t>
  </si>
  <si>
    <t>WONTHAGGI</t>
  </si>
  <si>
    <t>IND/MEL/00015</t>
  </si>
  <si>
    <t>Aren Sharma</t>
  </si>
  <si>
    <t>Tara Sharma</t>
  </si>
  <si>
    <t>49 Birchwood Lane</t>
  </si>
  <si>
    <t>PIN:481640 WONTHAGGI</t>
  </si>
  <si>
    <t>MHA/IND/00015</t>
  </si>
  <si>
    <t>NINA RAO</t>
  </si>
  <si>
    <t>BELCONNEN</t>
  </si>
  <si>
    <t>IND/MEL/00016</t>
  </si>
  <si>
    <t>Anya Rao</t>
  </si>
  <si>
    <t>139 Birchwood Lane</t>
  </si>
  <si>
    <t>PIN:562907 BELCONNEN</t>
  </si>
  <si>
    <t>MHA/IND/00016</t>
  </si>
  <si>
    <t>ANYA VALZARI</t>
  </si>
  <si>
    <t>ST ALBANS</t>
  </si>
  <si>
    <t>IND/MEL/00017</t>
  </si>
  <si>
    <t>Dev Valzari</t>
  </si>
  <si>
    <t>Tara Valzari</t>
  </si>
  <si>
    <t>121 Birchwood Lane</t>
  </si>
  <si>
    <t>PIN:447933 ST ALBANS</t>
  </si>
  <si>
    <t>MHA/IND/00017</t>
  </si>
  <si>
    <t>NINA RISHKAN</t>
  </si>
  <si>
    <t>TOWNSVILLE</t>
  </si>
  <si>
    <t>IND/MEL/00018</t>
  </si>
  <si>
    <t>Rohit Rishkan</t>
  </si>
  <si>
    <t>Diya Rishkan</t>
  </si>
  <si>
    <t>13 Birchwood Lane</t>
  </si>
  <si>
    <t>PIN:803740 TOWNSVILLE</t>
  </si>
  <si>
    <t>MHA/IND/00018</t>
  </si>
  <si>
    <t>MIRA KALEON</t>
  </si>
  <si>
    <t>WOLLONGONG</t>
  </si>
  <si>
    <t>IND/MEL/00019</t>
  </si>
  <si>
    <t>Kabir Kaleon</t>
  </si>
  <si>
    <t>Riya Kaleon</t>
  </si>
  <si>
    <t>31 Birchwood Lane</t>
  </si>
  <si>
    <t>PIN:595547 WOLLONGONG</t>
  </si>
  <si>
    <t>MHA/IND/00019</t>
  </si>
  <si>
    <t>ROHIT MYRTHOS</t>
  </si>
  <si>
    <t>IND/MEL/00020</t>
  </si>
  <si>
    <t>Rohit Myrthos</t>
  </si>
  <si>
    <t>Alya Myrthos</t>
  </si>
  <si>
    <t>59 Birchwood Lane</t>
  </si>
  <si>
    <t>PIN:475285 CAMPBELLTOWN</t>
  </si>
  <si>
    <t>MHA/IND/00020</t>
  </si>
  <si>
    <t>ISHAN SHARMA</t>
  </si>
  <si>
    <t>LENAH VALLEY</t>
  </si>
  <si>
    <t>IND/MEL/00021</t>
  </si>
  <si>
    <t>Dev Sharma</t>
  </si>
  <si>
    <t>Riya Sharma</t>
  </si>
  <si>
    <t>55 Birchwood Lane</t>
  </si>
  <si>
    <t>PIN:883192 LENAH VALLEY</t>
  </si>
  <si>
    <t>MHA/IND/00021</t>
  </si>
  <si>
    <t>DEV VALZARI</t>
  </si>
  <si>
    <t>PARRAMATTA</t>
  </si>
  <si>
    <t>IND/MEL/00022</t>
  </si>
  <si>
    <t>Kabir Valzari</t>
  </si>
  <si>
    <t>Anya Valzari</t>
  </si>
  <si>
    <t>18 Birchwood Lane</t>
  </si>
  <si>
    <t>PIN:623840 PARRAMATTA</t>
  </si>
  <si>
    <t>MHA/IND/00022</t>
  </si>
  <si>
    <t>IND/MEL/00023</t>
  </si>
  <si>
    <t>Rohit Rao</t>
  </si>
  <si>
    <t>Alya Rao</t>
  </si>
  <si>
    <t>PIN:153426 GEELONG</t>
  </si>
  <si>
    <t>MHA/IND/00023</t>
  </si>
  <si>
    <t>ROHIT VALZARI</t>
  </si>
  <si>
    <t>PALMERSTON</t>
  </si>
  <si>
    <t>IND/MEL/00024</t>
  </si>
  <si>
    <t>Aren Valzari</t>
  </si>
  <si>
    <t>20 Birchwood Lane</t>
  </si>
  <si>
    <t>PIN:548726 PALMERSTON</t>
  </si>
  <si>
    <t>MHA/IND/00024</t>
  </si>
  <si>
    <t>ARJUN KALEON</t>
  </si>
  <si>
    <t>IND/MEL/00025</t>
  </si>
  <si>
    <t>163 Birchwood Lane</t>
  </si>
  <si>
    <t>PIN:398774 LENAH VALLEY</t>
  </si>
  <si>
    <t>MHA/IND/00025</t>
  </si>
  <si>
    <t>AREN MYRTHOS</t>
  </si>
  <si>
    <t>MIDLAND</t>
  </si>
  <si>
    <t>IND/MEL/00026</t>
  </si>
  <si>
    <t>Kabir Myrthos</t>
  </si>
  <si>
    <t>179 Birchwood Lane</t>
  </si>
  <si>
    <t>PIN:688803 MIDLAND</t>
  </si>
  <si>
    <t>MHA/IND/00026</t>
  </si>
  <si>
    <t>MIRA SINDALE</t>
  </si>
  <si>
    <t>ROCKHAMPTON</t>
  </si>
  <si>
    <t>IND/MEL/00027</t>
  </si>
  <si>
    <t>Ishan Sindale</t>
  </si>
  <si>
    <t>Anya Sindale</t>
  </si>
  <si>
    <t>11 Birchwood Lane</t>
  </si>
  <si>
    <t>PIN:572879 ROCKHAMPTON</t>
  </si>
  <si>
    <t>MHA/IND/00027</t>
  </si>
  <si>
    <t>ALYA VALZARI</t>
  </si>
  <si>
    <t>MANDURAH</t>
  </si>
  <si>
    <t>IND/MEL/00028</t>
  </si>
  <si>
    <t>Alya Valzari</t>
  </si>
  <si>
    <t>69 Birchwood Lane</t>
  </si>
  <si>
    <t>PIN:775685 MANDURAH</t>
  </si>
  <si>
    <t>MHA/IND/00028</t>
  </si>
  <si>
    <t>ARJUN RISHKAN</t>
  </si>
  <si>
    <t>DALBY</t>
  </si>
  <si>
    <t>IND/MEL/00029</t>
  </si>
  <si>
    <t>Riya Rishkan</t>
  </si>
  <si>
    <t>16 Birchwood Lane</t>
  </si>
  <si>
    <t>PIN:294333 DALBY</t>
  </si>
  <si>
    <t>MHA/IND/00029</t>
  </si>
  <si>
    <t>PARKVILLE</t>
  </si>
  <si>
    <t>IND/MEL/00030</t>
  </si>
  <si>
    <t>Ishan Rao</t>
  </si>
  <si>
    <t>89 Birchwood Lane</t>
  </si>
  <si>
    <t>PIN:778480 PARKVILLE</t>
  </si>
  <si>
    <t>MHA/IND/00030</t>
  </si>
  <si>
    <t>TARA RISHKAN</t>
  </si>
  <si>
    <t>ADELAIDE</t>
  </si>
  <si>
    <t>IND/MEL/00031</t>
  </si>
  <si>
    <t>Kabir Rishkan</t>
  </si>
  <si>
    <t>Sara Rishkan</t>
  </si>
  <si>
    <t>77 Birchwood Lane</t>
  </si>
  <si>
    <t>PIN:952963 ADELAIDE</t>
  </si>
  <si>
    <t>MHA/IND/00031</t>
  </si>
  <si>
    <t>LOGAN</t>
  </si>
  <si>
    <t>IND/MEL/00032</t>
  </si>
  <si>
    <t>Nina Rao</t>
  </si>
  <si>
    <t>190 Birchwood Lane</t>
  </si>
  <si>
    <t>PIN:921501 LOGAN</t>
  </si>
  <si>
    <t>MHA/IND/00032</t>
  </si>
  <si>
    <t>NEIL RISHKAN</t>
  </si>
  <si>
    <t>FRANKSTON</t>
  </si>
  <si>
    <t>IND/MEL/00033</t>
  </si>
  <si>
    <t>Neil Rishkan</t>
  </si>
  <si>
    <t>Tara Rishkan</t>
  </si>
  <si>
    <t>135 Birchwood Lane</t>
  </si>
  <si>
    <t>PIN:461997 FRANKSTON</t>
  </si>
  <si>
    <t>MHA/IND/00033</t>
  </si>
  <si>
    <t>KIRAN MYRTHOS</t>
  </si>
  <si>
    <t>IND/MEL/00034</t>
  </si>
  <si>
    <t>118 Birchwood Lane</t>
  </si>
  <si>
    <t>PIN:541304 ST ALBANS</t>
  </si>
  <si>
    <t>MHA/IND/00034</t>
  </si>
  <si>
    <t>DEV RISHKAN</t>
  </si>
  <si>
    <t>IND/MEL/00035</t>
  </si>
  <si>
    <t>10 Birchwood Lane</t>
  </si>
  <si>
    <t>PIN:613365 MANDURAH</t>
  </si>
  <si>
    <t>MHA/IND/00035</t>
  </si>
  <si>
    <t>SARA VALZARI</t>
  </si>
  <si>
    <t>BEDFORD PARK</t>
  </si>
  <si>
    <t>IND/MEL/00036</t>
  </si>
  <si>
    <t>Arjun Valzari</t>
  </si>
  <si>
    <t>Diya Valzari</t>
  </si>
  <si>
    <t>184 Birchwood Lane</t>
  </si>
  <si>
    <t>PIN:462170 BEDFORD PARK</t>
  </si>
  <si>
    <t>MHA/IND/00036</t>
  </si>
  <si>
    <t>WERRIBEE</t>
  </si>
  <si>
    <t>IND/MEL/00037</t>
  </si>
  <si>
    <t>35 Birchwood Lane</t>
  </si>
  <si>
    <t>PIN:345085 WERRIBEE</t>
  </si>
  <si>
    <t>MHA/IND/00037</t>
  </si>
  <si>
    <t>BUNDABERG</t>
  </si>
  <si>
    <t>IND/MEL/00038</t>
  </si>
  <si>
    <t>Sara Rao</t>
  </si>
  <si>
    <t>131 Birchwood Lane</t>
  </si>
  <si>
    <t>PIN:834366 BUNDABERG</t>
  </si>
  <si>
    <t>MHA/IND/00038</t>
  </si>
  <si>
    <t>DIYA RAO</t>
  </si>
  <si>
    <t>IND/MEL/00039</t>
  </si>
  <si>
    <t>32 Birchwood Lane</t>
  </si>
  <si>
    <t>PIN:127602 PERTH</t>
  </si>
  <si>
    <t>MHA/IND/00039</t>
  </si>
  <si>
    <t>NEWCASTLE</t>
  </si>
  <si>
    <t>IND/MEL/00040</t>
  </si>
  <si>
    <t>Ishan Myrthos</t>
  </si>
  <si>
    <t>Anya Myrthos</t>
  </si>
  <si>
    <t>PIN:884260 NEWCASTLE</t>
  </si>
  <si>
    <t>MHA/IND/00040</t>
  </si>
  <si>
    <t>NEIL SINDALE</t>
  </si>
  <si>
    <t>IND/MEL/00041</t>
  </si>
  <si>
    <t>Kabir Sindale</t>
  </si>
  <si>
    <t>Sara Sindale</t>
  </si>
  <si>
    <t>164 Birchwood Lane</t>
  </si>
  <si>
    <t>PIN:603548 PARKVILLE</t>
  </si>
  <si>
    <t>MHA/IND/00041</t>
  </si>
  <si>
    <t>IND/MEL/00042</t>
  </si>
  <si>
    <t>115 Birchwood Lane</t>
  </si>
  <si>
    <t>PIN:420167 CLAYTON</t>
  </si>
  <si>
    <t>MHA/IND/00042</t>
  </si>
  <si>
    <t>ISHAN MYRTHOS</t>
  </si>
  <si>
    <t>SYDNEY</t>
  </si>
  <si>
    <t>IND/MEL/00043</t>
  </si>
  <si>
    <t>87 Birchwood Lane</t>
  </si>
  <si>
    <t>PIN:467770 SYDNEY</t>
  </si>
  <si>
    <t>MHA/IND/00043</t>
  </si>
  <si>
    <t>ROHIT KALEON</t>
  </si>
  <si>
    <t>SHEPPARTON</t>
  </si>
  <si>
    <t>IND/MEL/00044</t>
  </si>
  <si>
    <t>PIN:757926 SHEPPARTON</t>
  </si>
  <si>
    <t>MHA/IND/00044</t>
  </si>
  <si>
    <t>IND/MEL/00045</t>
  </si>
  <si>
    <t>Rohit Kaleon</t>
  </si>
  <si>
    <t>PIN:445229 WERRIBEE</t>
  </si>
  <si>
    <t>MHA/IND/00045</t>
  </si>
  <si>
    <t>MOUNT WAVERLEY</t>
  </si>
  <si>
    <t>IND/MEL/00046</t>
  </si>
  <si>
    <t>97 Birchwood Lane</t>
  </si>
  <si>
    <t>PIN:563405 MOUNT WAVERLEY</t>
  </si>
  <si>
    <t>MHA/IND/00046</t>
  </si>
  <si>
    <t>IND/MEL/00047</t>
  </si>
  <si>
    <t>Dev Kaleon</t>
  </si>
  <si>
    <t>27 Birchwood Lane</t>
  </si>
  <si>
    <t>PIN:220650 BRISBANE</t>
  </si>
  <si>
    <t>MHA/IND/00047</t>
  </si>
  <si>
    <t>KABIR MYRTHOS</t>
  </si>
  <si>
    <t>MILDURA</t>
  </si>
  <si>
    <t>IND/MEL/00048</t>
  </si>
  <si>
    <t>Kiran Myrthos</t>
  </si>
  <si>
    <t>198 Birchwood Lane</t>
  </si>
  <si>
    <t>PIN:462004 MILDURA</t>
  </si>
  <si>
    <t>MHA/IND/00048</t>
  </si>
  <si>
    <t>ROHIT RISHKAN</t>
  </si>
  <si>
    <t>IND/MEL/00049</t>
  </si>
  <si>
    <t>Anya Rishkan</t>
  </si>
  <si>
    <t>83 Birchwood Lane</t>
  </si>
  <si>
    <t>PIN:270087 KINGSWOOD</t>
  </si>
  <si>
    <t>MHA/IND/00049</t>
  </si>
  <si>
    <t>TUGGERANONG</t>
  </si>
  <si>
    <t>IND/MEL/00050</t>
  </si>
  <si>
    <t>Neil Myrthos</t>
  </si>
  <si>
    <t>Riya Myrthos</t>
  </si>
  <si>
    <t>PIN:639992 TUGGERANONG</t>
  </si>
  <si>
    <t>MHA/IND/00050</t>
  </si>
  <si>
    <t>HEIDELBERG</t>
  </si>
  <si>
    <t>IND/MEL/00051</t>
  </si>
  <si>
    <t>140 Birchwood Lane</t>
  </si>
  <si>
    <t>PIN:499471 HEIDELBERG</t>
  </si>
  <si>
    <t>MHA/IND/00051</t>
  </si>
  <si>
    <t>BALLARAT CENTRAL</t>
  </si>
  <si>
    <t>IND/MEL/00052</t>
  </si>
  <si>
    <t>Nina Rishkan</t>
  </si>
  <si>
    <t>80 Birchwood Lane</t>
  </si>
  <si>
    <t>PIN:295625 BALLARAT CENTRAL</t>
  </si>
  <si>
    <t>MHA/IND/00052</t>
  </si>
  <si>
    <t>RIYA SHARMA</t>
  </si>
  <si>
    <t>IND/MEL/00053</t>
  </si>
  <si>
    <t>Kabir Sharma</t>
  </si>
  <si>
    <t>Alya Sharma</t>
  </si>
  <si>
    <t>PIN:842372 BUNDABERG</t>
  </si>
  <si>
    <t>MHA/IND/00053</t>
  </si>
  <si>
    <t>ALYA SHARMA</t>
  </si>
  <si>
    <t>LAUNCESTON</t>
  </si>
  <si>
    <t>IND/MEL/00054</t>
  </si>
  <si>
    <t>PIN:931268 LAUNCESTON</t>
  </si>
  <si>
    <t>MHA/IND/00054</t>
  </si>
  <si>
    <t>BUNDOORA</t>
  </si>
  <si>
    <t>IND/MEL/00055</t>
  </si>
  <si>
    <t>Mira Kaleon</t>
  </si>
  <si>
    <t>100 Birchwood Lane</t>
  </si>
  <si>
    <t>PIN:115514 BUNDOORA</t>
  </si>
  <si>
    <t>MHA/IND/00055</t>
  </si>
  <si>
    <t>ARJUN VALZARI</t>
  </si>
  <si>
    <t>IND/MEL/00056</t>
  </si>
  <si>
    <t>PIN:979619 ST ALBANS</t>
  </si>
  <si>
    <t>MHA/IND/00056</t>
  </si>
  <si>
    <t>NEIL VALZARI</t>
  </si>
  <si>
    <t>BLACKTOWN</t>
  </si>
  <si>
    <t>IND/MEL/00057</t>
  </si>
  <si>
    <t>Ishan Valzari</t>
  </si>
  <si>
    <t>Sara Valzari</t>
  </si>
  <si>
    <t>PIN:338900 BLACKTOWN</t>
  </si>
  <si>
    <t>MHA/IND/00057</t>
  </si>
  <si>
    <t>DARWIN</t>
  </si>
  <si>
    <t>IND/MEL/00058</t>
  </si>
  <si>
    <t>PIN:311709 DARWIN</t>
  </si>
  <si>
    <t>MHA/IND/00058</t>
  </si>
  <si>
    <t>RIYA VALZARI</t>
  </si>
  <si>
    <t>IND/MEL/00059</t>
  </si>
  <si>
    <t>Kiran Valzari</t>
  </si>
  <si>
    <t>Riya Valzari</t>
  </si>
  <si>
    <t>66 Birchwood Lane</t>
  </si>
  <si>
    <t>PIN:614427 TOWNSVILLE</t>
  </si>
  <si>
    <t>MHA/IND/00059</t>
  </si>
  <si>
    <t>NINA MYRTHOS</t>
  </si>
  <si>
    <t>IND/MEL/00060</t>
  </si>
  <si>
    <t>Mira Myrthos</t>
  </si>
  <si>
    <t>141 Birchwood Lane</t>
  </si>
  <si>
    <t>PIN:221704 MANDURAH</t>
  </si>
  <si>
    <t>MHA/IND/00060</t>
  </si>
  <si>
    <t>KABIR KALEON</t>
  </si>
  <si>
    <t>IND/MEL/00061</t>
  </si>
  <si>
    <t>Tara Kaleon</t>
  </si>
  <si>
    <t>185 Birchwood Lane</t>
  </si>
  <si>
    <t>PIN:746995 CLAYTON</t>
  </si>
  <si>
    <t>MHA/IND/00061</t>
  </si>
  <si>
    <t>MIRA MYRTHOS</t>
  </si>
  <si>
    <t>WAGGA WAGGA</t>
  </si>
  <si>
    <t>IND/MEL/00062</t>
  </si>
  <si>
    <t>91 Birchwood Lane</t>
  </si>
  <si>
    <t>PIN:224333 WAGGA WAGGA</t>
  </si>
  <si>
    <t>MHA/IND/00062</t>
  </si>
  <si>
    <t>KIRAN SHARMA</t>
  </si>
  <si>
    <t>BOX HILL</t>
  </si>
  <si>
    <t>IND/MEL/00063</t>
  </si>
  <si>
    <t>177 Birchwood Lane</t>
  </si>
  <si>
    <t>PIN:240679 BOX HILL</t>
  </si>
  <si>
    <t>MHA/IND/00063</t>
  </si>
  <si>
    <t>KIRAN KALEON</t>
  </si>
  <si>
    <t>ARMADALE</t>
  </si>
  <si>
    <t>IND/MEL/00064</t>
  </si>
  <si>
    <t>Neil Kaleon</t>
  </si>
  <si>
    <t>129 Birchwood Lane</t>
  </si>
  <si>
    <t>PIN:586924 ARMADALE</t>
  </si>
  <si>
    <t>MHA/IND/00064</t>
  </si>
  <si>
    <t>TARA SINDALE</t>
  </si>
  <si>
    <t>IND/MEL/00065</t>
  </si>
  <si>
    <t>Kiran Sindale</t>
  </si>
  <si>
    <t>Riya Sindale</t>
  </si>
  <si>
    <t>PIN:282096 BUNDABERG</t>
  </si>
  <si>
    <t>MHA/IND/00065</t>
  </si>
  <si>
    <t>DEV RAO</t>
  </si>
  <si>
    <t>IND/MEL/00066</t>
  </si>
  <si>
    <t>41 Birchwood Lane</t>
  </si>
  <si>
    <t>PIN:342753 CANBERRA</t>
  </si>
  <si>
    <t>MHA/IND/00066</t>
  </si>
  <si>
    <t>ISHAN RISHKAN</t>
  </si>
  <si>
    <t>IND/MEL/00067</t>
  </si>
  <si>
    <t>153 Birchwood Lane</t>
  </si>
  <si>
    <t>PIN:321233 DALBY</t>
  </si>
  <si>
    <t>MHA/IND/00067</t>
  </si>
  <si>
    <t>KABIR SINDALE</t>
  </si>
  <si>
    <t>FREMANTLE</t>
  </si>
  <si>
    <t>IND/MEL/00068</t>
  </si>
  <si>
    <t>Dev Sindale</t>
  </si>
  <si>
    <t>Mira Sindale</t>
  </si>
  <si>
    <t>85 Birchwood Lane</t>
  </si>
  <si>
    <t>PIN:895271 FREMANTLE</t>
  </si>
  <si>
    <t>MHA/IND/00068</t>
  </si>
  <si>
    <t>IND/MEL/00069</t>
  </si>
  <si>
    <t>Rohit Sindale</t>
  </si>
  <si>
    <t>79 Birchwood Lane</t>
  </si>
  <si>
    <t>PIN:922144 MILDURA</t>
  </si>
  <si>
    <t>MHA/IND/00069</t>
  </si>
  <si>
    <t>AREN RAO</t>
  </si>
  <si>
    <t>BENDIGO</t>
  </si>
  <si>
    <t>IND/MEL/00070</t>
  </si>
  <si>
    <t>PIN:670585 BENDIGO</t>
  </si>
  <si>
    <t>MHA/IND/00070</t>
  </si>
  <si>
    <t>ELIZABETH VALE</t>
  </si>
  <si>
    <t>IND/MEL/00071</t>
  </si>
  <si>
    <t>PIN:270043 ELIZABETH VALE</t>
  </si>
  <si>
    <t>MHA/IND/00071</t>
  </si>
  <si>
    <t>TARA SHARMA</t>
  </si>
  <si>
    <t>IND/MEL/00072</t>
  </si>
  <si>
    <t>Ishan Sharma</t>
  </si>
  <si>
    <t>PIN:303591 ROCKHAMPTON</t>
  </si>
  <si>
    <t>MHA/IND/00072</t>
  </si>
  <si>
    <t>IND/MEL/00073</t>
  </si>
  <si>
    <t>PIN:224030 PENRITH</t>
  </si>
  <si>
    <t>MHA/IND/00073</t>
  </si>
  <si>
    <t>IND/MEL/00074</t>
  </si>
  <si>
    <t>Kiran Sharma</t>
  </si>
  <si>
    <t>PIN:482859 SHEPPARTON</t>
  </si>
  <si>
    <t>MHA/IND/00074</t>
  </si>
  <si>
    <t>IND/MEL/00075</t>
  </si>
  <si>
    <t>PIN:924013 CANBERRA</t>
  </si>
  <si>
    <t>MHA/IND/00075</t>
  </si>
  <si>
    <t>SARA SINDALE</t>
  </si>
  <si>
    <t>IND/MEL/00076</t>
  </si>
  <si>
    <t>PIN:781777 KINGSWOOD</t>
  </si>
  <si>
    <t>MHA/IND/00076</t>
  </si>
  <si>
    <t>IND/MEL/00077</t>
  </si>
  <si>
    <t>Ishan Rishkan</t>
  </si>
  <si>
    <t>PIN:787279 LOGAN</t>
  </si>
  <si>
    <t>MHA/IND/00077</t>
  </si>
  <si>
    <t>ISHAN VALZARI</t>
  </si>
  <si>
    <t>IND/MEL/00078</t>
  </si>
  <si>
    <t>Rohit Valzari</t>
  </si>
  <si>
    <t>PIN:587534 WOLLONGONG</t>
  </si>
  <si>
    <t>MHA/IND/00078</t>
  </si>
  <si>
    <t>ANYA SHARMA</t>
  </si>
  <si>
    <t>IND/MEL/00079</t>
  </si>
  <si>
    <t>173 Birchwood Lane</t>
  </si>
  <si>
    <t>PIN:603275 LENAH VALLEY</t>
  </si>
  <si>
    <t>MHA/IND/00079</t>
  </si>
  <si>
    <t>AREN SHARMA</t>
  </si>
  <si>
    <t>IND/MEL/00080</t>
  </si>
  <si>
    <t>Sara Sharma</t>
  </si>
  <si>
    <t>PIN:267223 ST ALBANS</t>
  </si>
  <si>
    <t>MHA/IND/00080</t>
  </si>
  <si>
    <t>KIRAN RAO</t>
  </si>
  <si>
    <t>MOUNT BARKER</t>
  </si>
  <si>
    <t>IND/MEL/00081</t>
  </si>
  <si>
    <t>34 Birchwood Lane</t>
  </si>
  <si>
    <t>PIN:714417 MOUNT BARKER</t>
  </si>
  <si>
    <t>MHA/IND/00081</t>
  </si>
  <si>
    <t>DIYA MYRTHOS</t>
  </si>
  <si>
    <t>IND/MEL/00082</t>
  </si>
  <si>
    <t>Dev Myrthos</t>
  </si>
  <si>
    <t>180 Birchwood Lane</t>
  </si>
  <si>
    <t>PIN:547163 WAGGA WAGGA</t>
  </si>
  <si>
    <t>MHA/IND/00082</t>
  </si>
  <si>
    <t>RIYA KALEON</t>
  </si>
  <si>
    <t>IND/MEL/00083</t>
  </si>
  <si>
    <t>175 Birchwood Lane</t>
  </si>
  <si>
    <t>PIN:580720 MANDURAH</t>
  </si>
  <si>
    <t>MHA/IND/00083</t>
  </si>
  <si>
    <t>AREN VALZARI</t>
  </si>
  <si>
    <t>IND/MEL/00084</t>
  </si>
  <si>
    <t>172 Birchwood Lane</t>
  </si>
  <si>
    <t>PIN:562388 BERWICK</t>
  </si>
  <si>
    <t>MHA/IND/00084</t>
  </si>
  <si>
    <t>IND/MEL/00085</t>
  </si>
  <si>
    <t>82 Birchwood Lane</t>
  </si>
  <si>
    <t>PIN:894635 BERWICK</t>
  </si>
  <si>
    <t>MHA/IND/00085</t>
  </si>
  <si>
    <t>LIVERPOOL</t>
  </si>
  <si>
    <t>IND/MEL/00086</t>
  </si>
  <si>
    <t>PIN:165275 LIVERPOOL</t>
  </si>
  <si>
    <t>MHA/IND/00086</t>
  </si>
  <si>
    <t>IND/MEL/00087</t>
  </si>
  <si>
    <t>Diya Sharma</t>
  </si>
  <si>
    <t>PIN:313133 NEWCASTLE</t>
  </si>
  <si>
    <t>MHA/IND/00087</t>
  </si>
  <si>
    <t>IND/MEL/00088</t>
  </si>
  <si>
    <t>Aren Sindale</t>
  </si>
  <si>
    <t>29 Birchwood Lane</t>
  </si>
  <si>
    <t>PIN:978049 LIVERPOOL</t>
  </si>
  <si>
    <t>MHA/IND/00088</t>
  </si>
  <si>
    <t>IND/MEL/00089</t>
  </si>
  <si>
    <t>62 Birchwood Lane</t>
  </si>
  <si>
    <t>PIN:759250 NEWCASTLE</t>
  </si>
  <si>
    <t>MHA/IND/00089</t>
  </si>
  <si>
    <t>DEV SHARMA</t>
  </si>
  <si>
    <t>IND/MEL/00090</t>
  </si>
  <si>
    <t>136 Birchwood Lane</t>
  </si>
  <si>
    <t>PIN:265684 LIVERPOOL</t>
  </si>
  <si>
    <t>MHA/IND/00090</t>
  </si>
  <si>
    <t>IND/MEL/00091</t>
  </si>
  <si>
    <t>70 Birchwood Lane</t>
  </si>
  <si>
    <t>PIN:669525 BENDIGO</t>
  </si>
  <si>
    <t>MHA/IND/00091</t>
  </si>
  <si>
    <t>ALYA SINDALE</t>
  </si>
  <si>
    <t>IND/MEL/00092</t>
  </si>
  <si>
    <t>Nina Sindale</t>
  </si>
  <si>
    <t>71 Birchwood Lane</t>
  </si>
  <si>
    <t>PIN:806096 WOLLONGONG</t>
  </si>
  <si>
    <t>MHA/IND/00092</t>
  </si>
  <si>
    <t>IND/MEL/00093</t>
  </si>
  <si>
    <t>123 Birchwood Lane</t>
  </si>
  <si>
    <t>PIN:836079 DALBY</t>
  </si>
  <si>
    <t>MHA/IND/00093</t>
  </si>
  <si>
    <t>IND/MEL/00094</t>
  </si>
  <si>
    <t>106 Birchwood Lane</t>
  </si>
  <si>
    <t>PIN:528267 CLAYTON</t>
  </si>
  <si>
    <t>MHA/IND/00094</t>
  </si>
  <si>
    <t>IND/MEL/00095</t>
  </si>
  <si>
    <t>PIN:587920 MANDURAH</t>
  </si>
  <si>
    <t>MHA/IND/00095</t>
  </si>
  <si>
    <t>IND/MEL/00096</t>
  </si>
  <si>
    <t>Kiran Rao</t>
  </si>
  <si>
    <t>Tara Rao</t>
  </si>
  <si>
    <t>166 Birchwood Lane</t>
  </si>
  <si>
    <t>PIN:443245 BUNDOORA</t>
  </si>
  <si>
    <t>MHA/IND/00096</t>
  </si>
  <si>
    <t>IND/MEL/00097</t>
  </si>
  <si>
    <t>130 Birchwood Lane</t>
  </si>
  <si>
    <t>PIN:854044 BRISBANE</t>
  </si>
  <si>
    <t>MHA/IND/00097</t>
  </si>
  <si>
    <t>IND/MEL/00098</t>
  </si>
  <si>
    <t>Neil Sindale</t>
  </si>
  <si>
    <t>90 Birchwood Lane</t>
  </si>
  <si>
    <t>PIN:146112 BERWICK</t>
  </si>
  <si>
    <t>MHA/IND/00098</t>
  </si>
  <si>
    <t>MIRA SHARMA</t>
  </si>
  <si>
    <t>GOSFORD</t>
  </si>
  <si>
    <t>IND/MEL/00099</t>
  </si>
  <si>
    <t>187 Birchwood Lane</t>
  </si>
  <si>
    <t>PIN:116116 GOSFORD</t>
  </si>
  <si>
    <t>MHA/IND/00099</t>
  </si>
  <si>
    <t>IND/MEL/00100</t>
  </si>
  <si>
    <t>146 Birchwood Lane</t>
  </si>
  <si>
    <t>PIN:698609 ARMADALE</t>
  </si>
  <si>
    <t>MHA/IND/00100</t>
  </si>
  <si>
    <t>ALYA KALEON</t>
  </si>
  <si>
    <t>IND/MEL/00101</t>
  </si>
  <si>
    <t>94 Birchwood Lane</t>
  </si>
  <si>
    <t>PIN:243403 PARKVILLE</t>
  </si>
  <si>
    <t>MHA/IND/00101</t>
  </si>
  <si>
    <t>IND/MEL/00102</t>
  </si>
  <si>
    <t>PIN:333036 LIVERPOOL</t>
  </si>
  <si>
    <t>MHA/IND/00102</t>
  </si>
  <si>
    <t>IND/MEL/00103</t>
  </si>
  <si>
    <t>PIN:974106 BEDFORD PARK</t>
  </si>
  <si>
    <t>MHA/IND/00103</t>
  </si>
  <si>
    <t>KIRAN VALZARI</t>
  </si>
  <si>
    <t>IND/MEL/00104</t>
  </si>
  <si>
    <t>PIN:903256 WODONGA</t>
  </si>
  <si>
    <t>MHA/IND/00104</t>
  </si>
  <si>
    <t>DEV SINDALE</t>
  </si>
  <si>
    <t>IND/MEL/00105</t>
  </si>
  <si>
    <t>161 Birchwood Lane</t>
  </si>
  <si>
    <t>PIN:724180 FRANKSTON</t>
  </si>
  <si>
    <t>MHA/IND/00105</t>
  </si>
  <si>
    <t>IND/MEL/00106</t>
  </si>
  <si>
    <t>Nina Sharma</t>
  </si>
  <si>
    <t>PIN:696956 TUGGERANONG</t>
  </si>
  <si>
    <t>MHA/IND/00106</t>
  </si>
  <si>
    <t>IND/MEL/00107</t>
  </si>
  <si>
    <t>193 Birchwood Lane</t>
  </si>
  <si>
    <t>PIN:866652 LAUNCESTON</t>
  </si>
  <si>
    <t>MHA/IND/00107</t>
  </si>
  <si>
    <t>NORTH ADELAIDE</t>
  </si>
  <si>
    <t>IND/MEL/00108</t>
  </si>
  <si>
    <t>PIN:277862 NORTH ADELAIDE</t>
  </si>
  <si>
    <t>MHA/IND/00108</t>
  </si>
  <si>
    <t>RIYA RISHKAN</t>
  </si>
  <si>
    <t>IND/MEL/00109</t>
  </si>
  <si>
    <t>Alya Rishkan</t>
  </si>
  <si>
    <t>57 Birchwood Lane</t>
  </si>
  <si>
    <t>PIN:771839 TUGGERANONG</t>
  </si>
  <si>
    <t>MHA/IND/00109</t>
  </si>
  <si>
    <t>IND/MEL/00110</t>
  </si>
  <si>
    <t>65 Birchwood Lane</t>
  </si>
  <si>
    <t>PIN:587081 LIVERPOOL</t>
  </si>
  <si>
    <t>MHA/IND/00110</t>
  </si>
  <si>
    <t>IND/MEL/00111</t>
  </si>
  <si>
    <t>74 Birchwood Lane</t>
  </si>
  <si>
    <t>PIN:832571 BALLARAT CENTRAL</t>
  </si>
  <si>
    <t>MHA/IND/00111</t>
  </si>
  <si>
    <t>ARJUN SINDALE</t>
  </si>
  <si>
    <t>IND/MEL/00112</t>
  </si>
  <si>
    <t>26 Birchwood Lane</t>
  </si>
  <si>
    <t>PIN:919321 FREMANTLE</t>
  </si>
  <si>
    <t>MHA/IND/00112</t>
  </si>
  <si>
    <t>TARA KALEON</t>
  </si>
  <si>
    <t>IND/MEL/00113</t>
  </si>
  <si>
    <t>109 Birchwood Lane</t>
  </si>
  <si>
    <t>PIN:713260 IPSWICH</t>
  </si>
  <si>
    <t>MHA/IND/00113</t>
  </si>
  <si>
    <t>IND/MEL/00114</t>
  </si>
  <si>
    <t>PIN:384008 MILDURA</t>
  </si>
  <si>
    <t>MHA/IND/00114</t>
  </si>
  <si>
    <t>IND/MEL/00115</t>
  </si>
  <si>
    <t>PIN:435572 ST ALBANS</t>
  </si>
  <si>
    <t>MHA/IND/00115</t>
  </si>
  <si>
    <t>IND/MEL/00116</t>
  </si>
  <si>
    <t>157 Birchwood Lane</t>
  </si>
  <si>
    <t>PIN:557614 BENDIGO</t>
  </si>
  <si>
    <t>MHA/IND/00116</t>
  </si>
  <si>
    <t>DIYA RISHKAN</t>
  </si>
  <si>
    <t>IND/MEL/00117</t>
  </si>
  <si>
    <t>PIN:990720 WOLLONGONG</t>
  </si>
  <si>
    <t>MHA/IND/00117</t>
  </si>
  <si>
    <t>IND/MEL/00118</t>
  </si>
  <si>
    <t>Neil Valzari</t>
  </si>
  <si>
    <t>PIN:686666 WERRIBEE</t>
  </si>
  <si>
    <t>MHA/IND/00118</t>
  </si>
  <si>
    <t>DEV MYRTHOS</t>
  </si>
  <si>
    <t>IND/MEL/00119</t>
  </si>
  <si>
    <t>PIN:921614 MIDLAND</t>
  </si>
  <si>
    <t>MHA/IND/00119</t>
  </si>
  <si>
    <t>IND/MEL/00120</t>
  </si>
  <si>
    <t>191 Birchwood Lane</t>
  </si>
  <si>
    <t>PIN:383372 BUNDOORA</t>
  </si>
  <si>
    <t>MHA/IND/00120</t>
  </si>
  <si>
    <t>IND/MEL/00121</t>
  </si>
  <si>
    <t>Alya Sindale</t>
  </si>
  <si>
    <t>PIN:703922 ADELAIDE</t>
  </si>
  <si>
    <t>MHA/IND/00121</t>
  </si>
  <si>
    <t>TOOWOOMBA</t>
  </si>
  <si>
    <t>IND/MEL/00122</t>
  </si>
  <si>
    <t>PIN:926264 TOOWOOMBA</t>
  </si>
  <si>
    <t>MHA/IND/00122</t>
  </si>
  <si>
    <t>ISHAN SINDALE</t>
  </si>
  <si>
    <t>IND/MEL/00123</t>
  </si>
  <si>
    <t>Arjun Sindale</t>
  </si>
  <si>
    <t>PIN:836568 PERTH</t>
  </si>
  <si>
    <t>MHA/IND/00123</t>
  </si>
  <si>
    <t>IND/MEL/00124</t>
  </si>
  <si>
    <t>PIN:596001 NEWCASTLE</t>
  </si>
  <si>
    <t>MHA/IND/00124</t>
  </si>
  <si>
    <t>IND/MEL/00125</t>
  </si>
  <si>
    <t>Tara Sindale</t>
  </si>
  <si>
    <t>189 Birchwood Lane</t>
  </si>
  <si>
    <t>PIN:454480 SHEPPARTON</t>
  </si>
  <si>
    <t>MHA/IND/00125</t>
  </si>
  <si>
    <t>ISHAN KALEON</t>
  </si>
  <si>
    <t>IND/MEL/00126</t>
  </si>
  <si>
    <t>137 Birchwood Lane</t>
  </si>
  <si>
    <t>PIN:600100 MOUNT WAVERLEY</t>
  </si>
  <si>
    <t>MHA/IND/00126</t>
  </si>
  <si>
    <t>DEVONPORT</t>
  </si>
  <si>
    <t>IND/MEL/00127</t>
  </si>
  <si>
    <t>PIN:206474 DEVONPORT</t>
  </si>
  <si>
    <t>MHA/IND/00127</t>
  </si>
  <si>
    <t>IND/MEL/00128</t>
  </si>
  <si>
    <t>PIN:734089 BENDIGO</t>
  </si>
  <si>
    <t>MHA/IND/00128</t>
  </si>
  <si>
    <t>AREN SINDALE</t>
  </si>
  <si>
    <t>IND/MEL/00129</t>
  </si>
  <si>
    <t>PIN:334715 SHEPPARTON</t>
  </si>
  <si>
    <t>MHA/IND/00129</t>
  </si>
  <si>
    <t>ARJUN SHARMA</t>
  </si>
  <si>
    <t>IND/MEL/00130</t>
  </si>
  <si>
    <t>93 Birchwood Lane</t>
  </si>
  <si>
    <t>PIN:490957 WODONGA</t>
  </si>
  <si>
    <t>MHA/IND/00130</t>
  </si>
  <si>
    <t>IND/MEL/00131</t>
  </si>
  <si>
    <t>MHA/IND/00131</t>
  </si>
  <si>
    <t>IND/MEL/00132</t>
  </si>
  <si>
    <t>MHA/IND/00132</t>
  </si>
  <si>
    <t>IND/MEL/00133</t>
  </si>
  <si>
    <t>MHA/IND/00133</t>
  </si>
  <si>
    <t>IND/MEL/00134</t>
  </si>
  <si>
    <t>MHA/IND/00134</t>
  </si>
  <si>
    <t>IND/MEL/00135</t>
  </si>
  <si>
    <t>MHA/IND/00135</t>
  </si>
  <si>
    <t>IND/MEL/00136</t>
  </si>
  <si>
    <t>MHA/IND/00136</t>
  </si>
  <si>
    <t>IND/MEL/00137</t>
  </si>
  <si>
    <t>MHA/IND/00137</t>
  </si>
  <si>
    <t>IND/MEL/00138</t>
  </si>
  <si>
    <t>MHA/IND/00138</t>
  </si>
  <si>
    <t>IND/MEL/00139</t>
  </si>
  <si>
    <t>MHA/IND/00139</t>
  </si>
  <si>
    <t>IND/MEL/00140</t>
  </si>
  <si>
    <t>MHA/IND/00140</t>
  </si>
  <si>
    <t>IND/MEL/00141</t>
  </si>
  <si>
    <t>MHA/IND/00141</t>
  </si>
  <si>
    <t>IND/MEL/00142</t>
  </si>
  <si>
    <t>MHA/IND/00142</t>
  </si>
  <si>
    <t>IND/MEL/00143</t>
  </si>
  <si>
    <t>MHA/IND/00143</t>
  </si>
  <si>
    <t>IND/MEL/00144</t>
  </si>
  <si>
    <t>MHA/IND/00144</t>
  </si>
  <si>
    <t>IND/MEL/00145</t>
  </si>
  <si>
    <t>MHA/IND/00145</t>
  </si>
  <si>
    <t>IND/MEL/00146</t>
  </si>
  <si>
    <t>MHA/IND/00146</t>
  </si>
  <si>
    <t>IND/MEL/00147</t>
  </si>
  <si>
    <t>MHA/IND/00147</t>
  </si>
  <si>
    <t>IND/MEL/00148</t>
  </si>
  <si>
    <t>MHA/IND/00148</t>
  </si>
  <si>
    <t>IND/MEL/00149</t>
  </si>
  <si>
    <t>MHA/IND/00149</t>
  </si>
  <si>
    <t>IND/MEL/00150</t>
  </si>
  <si>
    <t>MHA/IND/00150</t>
  </si>
  <si>
    <t>IND/MEL/00151</t>
  </si>
  <si>
    <t>MHA/IND/00151</t>
  </si>
  <si>
    <t>IND/MEL/00152</t>
  </si>
  <si>
    <t>MHA/IND/00152</t>
  </si>
  <si>
    <t>IND/MEL/00153</t>
  </si>
  <si>
    <t>MHA/IND/00153</t>
  </si>
  <si>
    <t>IND/MEL/00154</t>
  </si>
  <si>
    <t>MHA/IND/00154</t>
  </si>
  <si>
    <t>IND/MEL/00155</t>
  </si>
  <si>
    <t>MHA/IND/00155</t>
  </si>
  <si>
    <t>IND/MEL/00156</t>
  </si>
  <si>
    <t>MHA/IND/00156</t>
  </si>
  <si>
    <t>IND/MEL/00157</t>
  </si>
  <si>
    <t>MHA/IND/00157</t>
  </si>
  <si>
    <t>IND/MEL/00158</t>
  </si>
  <si>
    <t>MHA/IND/00158</t>
  </si>
  <si>
    <t>IND/MEL/00159</t>
  </si>
  <si>
    <t>MHA/IND/00159</t>
  </si>
  <si>
    <t>IND/MEL/00160</t>
  </si>
  <si>
    <t>MHA/IND/00160</t>
  </si>
  <si>
    <t>IND/MEL/00161</t>
  </si>
  <si>
    <t>MHA/IND/00161</t>
  </si>
  <si>
    <t>IND/MEL/00162</t>
  </si>
  <si>
    <t>MHA/IND/00162</t>
  </si>
  <si>
    <t>IND/MEL/00163</t>
  </si>
  <si>
    <t>MHA/IND/00163</t>
  </si>
  <si>
    <t>IND/MEL/00164</t>
  </si>
  <si>
    <t>MHA/IND/00164</t>
  </si>
  <si>
    <t>IND/MEL/00165</t>
  </si>
  <si>
    <t>MHA/IND/00165</t>
  </si>
  <si>
    <t>IND/MEL/00166</t>
  </si>
  <si>
    <t>MHA/IND/00166</t>
  </si>
  <si>
    <t>IND/MEL/00167</t>
  </si>
  <si>
    <t>MHA/IND/00167</t>
  </si>
  <si>
    <t>IND/MEL/00168</t>
  </si>
  <si>
    <t>MHA/IND/00168</t>
  </si>
  <si>
    <t>IND/MEL/00169</t>
  </si>
  <si>
    <t>MHA/IND/00169</t>
  </si>
  <si>
    <t>IND/MEL/00170</t>
  </si>
  <si>
    <t>MHA/IND/00170</t>
  </si>
  <si>
    <t>IND/MEL/00171</t>
  </si>
  <si>
    <t>MHA/IND/00171</t>
  </si>
  <si>
    <t>IND/MEL/00172</t>
  </si>
  <si>
    <t>MHA/IND/00172</t>
  </si>
  <si>
    <t>IND/MEL/00173</t>
  </si>
  <si>
    <t>MHA/IND/00173</t>
  </si>
  <si>
    <t>IND/MEL/00174</t>
  </si>
  <si>
    <t>MHA/IND/00174</t>
  </si>
  <si>
    <t>IND/MEL/00175</t>
  </si>
  <si>
    <t>MHA/IND/00175</t>
  </si>
  <si>
    <t>IND/MEL/00176</t>
  </si>
  <si>
    <t>MHA/IND/00176</t>
  </si>
  <si>
    <t>IND/MEL/00177</t>
  </si>
  <si>
    <t>MHA/IND/00177</t>
  </si>
  <si>
    <t>IND/MEL/00178</t>
  </si>
  <si>
    <t>MHA/IND/00178</t>
  </si>
  <si>
    <t>IND/MEL/00179</t>
  </si>
  <si>
    <t>MHA/IND/00179</t>
  </si>
  <si>
    <t>IND/MEL/00180</t>
  </si>
  <si>
    <t>MHA/IND/00180</t>
  </si>
  <si>
    <t>IND/MEL/00181</t>
  </si>
  <si>
    <t>MHA/IND/00181</t>
  </si>
  <si>
    <t>IND/MEL/00182</t>
  </si>
  <si>
    <t>MHA/IND/00182</t>
  </si>
  <si>
    <t>IND/MEL/00183</t>
  </si>
  <si>
    <t>MHA/IND/00183</t>
  </si>
  <si>
    <t>IND/MEL/00184</t>
  </si>
  <si>
    <t>MHA/IND/00184</t>
  </si>
  <si>
    <t>IND/MEL/00185</t>
  </si>
  <si>
    <t>MHA/IND/00185</t>
  </si>
  <si>
    <t>IND/MEL/00186</t>
  </si>
  <si>
    <t>MHA/IND/00186</t>
  </si>
  <si>
    <t>IND/MEL/00187</t>
  </si>
  <si>
    <t>MHA/IND/00187</t>
  </si>
  <si>
    <t>IND/MEL/00188</t>
  </si>
  <si>
    <t>MHA/IND/00188</t>
  </si>
  <si>
    <t>IND/MEL/00189</t>
  </si>
  <si>
    <t>MHA/IND/00189</t>
  </si>
  <si>
    <t>IND/MEL/00190</t>
  </si>
  <si>
    <t>MHA/IND/00190</t>
  </si>
  <si>
    <t>IND/MEL/00191</t>
  </si>
  <si>
    <t>MHA/IND/00191</t>
  </si>
  <si>
    <t>IND/MEL/00192</t>
  </si>
  <si>
    <t>MHA/IND/00192</t>
  </si>
  <si>
    <t>IND/MEL/00193</t>
  </si>
  <si>
    <t>MHA/IND/00193</t>
  </si>
  <si>
    <t>IND/MEL/00194</t>
  </si>
  <si>
    <t>MHA/IND/00194</t>
  </si>
  <si>
    <t>IND/MEL/00195</t>
  </si>
  <si>
    <t>MHA/IND/00195</t>
  </si>
  <si>
    <t>IND/MEL/00196</t>
  </si>
  <si>
    <t>MHA/IND/00196</t>
  </si>
  <si>
    <t>IND/MEL/00197</t>
  </si>
  <si>
    <t>MHA/IND/00197</t>
  </si>
  <si>
    <t>IND/MEL/00198</t>
  </si>
  <si>
    <t>MHA/IND/00198</t>
  </si>
  <si>
    <t>IND/MEL/00199</t>
  </si>
  <si>
    <t>MHA/IND/00199</t>
  </si>
  <si>
    <t>IND/MEL/00200</t>
  </si>
  <si>
    <t>MHA/IND/00200</t>
  </si>
  <si>
    <t>IND/MEL/00201</t>
  </si>
  <si>
    <t>MHA/IND/00201</t>
  </si>
  <si>
    <t>IND/MEL/00202</t>
  </si>
  <si>
    <t>MHA/IND/00202</t>
  </si>
  <si>
    <t>IND/MEL/00203</t>
  </si>
  <si>
    <t>MHA/IND/00203</t>
  </si>
  <si>
    <t>IND/MEL/00204</t>
  </si>
  <si>
    <t>MHA/IND/00204</t>
  </si>
  <si>
    <t>IND/MEL/00205</t>
  </si>
  <si>
    <t>MHA/IND/00205</t>
  </si>
  <si>
    <t>IND/MEL/00206</t>
  </si>
  <si>
    <t>MHA/IND/00206</t>
  </si>
  <si>
    <t>IND/MEL/00207</t>
  </si>
  <si>
    <t>MHA/IND/00207</t>
  </si>
  <si>
    <t>IND/MEL/00208</t>
  </si>
  <si>
    <t>MHA/IND/00208</t>
  </si>
  <si>
    <t>IND/MEL/00209</t>
  </si>
  <si>
    <t>MHA/IND/00209</t>
  </si>
  <si>
    <t>IND/MEL/00210</t>
  </si>
  <si>
    <t>MHA/IND/00210</t>
  </si>
  <si>
    <t>IND/MEL/00211</t>
  </si>
  <si>
    <t>MHA/IND/00211</t>
  </si>
  <si>
    <t>IND/MEL/00212</t>
  </si>
  <si>
    <t>MHA/IND/00212</t>
  </si>
  <si>
    <t>IND/MEL/00213</t>
  </si>
  <si>
    <t>MHA/IND/00213</t>
  </si>
  <si>
    <t>IND/MEL/00214</t>
  </si>
  <si>
    <t>MHA/IND/00214</t>
  </si>
  <si>
    <t>IND/MEL/00215</t>
  </si>
  <si>
    <t>MHA/IND/00215</t>
  </si>
  <si>
    <t>IND/MEL/00216</t>
  </si>
  <si>
    <t>MHA/IND/00216</t>
  </si>
  <si>
    <t>IND/MEL/00217</t>
  </si>
  <si>
    <t>MHA/IND/00217</t>
  </si>
  <si>
    <t>IND/MEL/00218</t>
  </si>
  <si>
    <t>MHA/IND/00218</t>
  </si>
  <si>
    <t>IND/MEL/00219</t>
  </si>
  <si>
    <t>MHA/IND/00219</t>
  </si>
  <si>
    <t>IND/MEL/00220</t>
  </si>
  <si>
    <t>MHA/IND/00220</t>
  </si>
  <si>
    <t>IND/MEL/00221</t>
  </si>
  <si>
    <t>MHA/IND/00221</t>
  </si>
  <si>
    <t>IND/MEL/00222</t>
  </si>
  <si>
    <t>MHA/IND/00222</t>
  </si>
  <si>
    <t>IND/MEL/00223</t>
  </si>
  <si>
    <t>MHA/IND/00223</t>
  </si>
  <si>
    <t>IND/MEL/00224</t>
  </si>
  <si>
    <t>MHA/IND/00224</t>
  </si>
  <si>
    <t>IND/MEL/00225</t>
  </si>
  <si>
    <t>MHA/IND/00225</t>
  </si>
  <si>
    <t>IND/MEL/00226</t>
  </si>
  <si>
    <t>MHA/IND/00226</t>
  </si>
  <si>
    <t>IND/MEL/00227</t>
  </si>
  <si>
    <t>MHA/IND/00227</t>
  </si>
  <si>
    <t>IND/MEL/00228</t>
  </si>
  <si>
    <t>MHA/IND/00228</t>
  </si>
  <si>
    <t>IND/MEL/00229</t>
  </si>
  <si>
    <t>MHA/IND/00229</t>
  </si>
  <si>
    <t>IND/MEL/00230</t>
  </si>
  <si>
    <t>MHA/IND/00230</t>
  </si>
  <si>
    <t>IND/MEL/00231</t>
  </si>
  <si>
    <t>MHA/IND/00231</t>
  </si>
  <si>
    <t>IND/MEL/00232</t>
  </si>
  <si>
    <t>MHA/IND/00232</t>
  </si>
  <si>
    <t>IND/MEL/00233</t>
  </si>
  <si>
    <t>MHA/IND/00233</t>
  </si>
  <si>
    <t>IND/MEL/00234</t>
  </si>
  <si>
    <t>MHA/IND/00234</t>
  </si>
  <si>
    <t>IND/MEL/00235</t>
  </si>
  <si>
    <t>MHA/IND/00235</t>
  </si>
  <si>
    <t>IND/MEL/00236</t>
  </si>
  <si>
    <t>MHA/IND/00236</t>
  </si>
  <si>
    <t>IND/MEL/00237</t>
  </si>
  <si>
    <t>MHA/IND/00237</t>
  </si>
  <si>
    <t>IND/MEL/00238</t>
  </si>
  <si>
    <t>MHA/IND/00238</t>
  </si>
  <si>
    <t>IND/MEL/00239</t>
  </si>
  <si>
    <t>MHA/IND/00239</t>
  </si>
  <si>
    <t>IND/MEL/00240</t>
  </si>
  <si>
    <t>MHA/IND/00240</t>
  </si>
  <si>
    <t>IND/MEL/00241</t>
  </si>
  <si>
    <t>MHA/IND/00241</t>
  </si>
  <si>
    <t>IND/MEL/00242</t>
  </si>
  <si>
    <t>MHA/IND/00242</t>
  </si>
  <si>
    <t>IND/MEL/00243</t>
  </si>
  <si>
    <t>MHA/IND/00243</t>
  </si>
  <si>
    <t>IND/MEL/00244</t>
  </si>
  <si>
    <t>MHA/IND/00244</t>
  </si>
  <si>
    <t>IND/MEL/00245</t>
  </si>
  <si>
    <t>MHA/IND/00245</t>
  </si>
  <si>
    <t>IND/MEL/00246</t>
  </si>
  <si>
    <t>MHA/IND/00246</t>
  </si>
  <si>
    <t>IND/MEL/00247</t>
  </si>
  <si>
    <t>MHA/IND/00247</t>
  </si>
  <si>
    <t>IND/MEL/00248</t>
  </si>
  <si>
    <t>MHA/IND/00248</t>
  </si>
  <si>
    <t>IND/MEL/00249</t>
  </si>
  <si>
    <t>MHA/IND/00249</t>
  </si>
  <si>
    <t>IND/MEL/00250</t>
  </si>
  <si>
    <t>MHA/IND/00250</t>
  </si>
  <si>
    <t>IND/MEL/00251</t>
  </si>
  <si>
    <t>MHA/IND/00251</t>
  </si>
  <si>
    <t>IND/MEL/00252</t>
  </si>
  <si>
    <t>MHA/IND/00252</t>
  </si>
  <si>
    <t>IND/MEL/00253</t>
  </si>
  <si>
    <t>MHA/IND/00253</t>
  </si>
  <si>
    <t>IND/MEL/00254</t>
  </si>
  <si>
    <t>MHA/IND/00254</t>
  </si>
  <si>
    <t>IND/MEL/00255</t>
  </si>
  <si>
    <t>MHA/IND/00255</t>
  </si>
  <si>
    <t>IND/MEL/00256</t>
  </si>
  <si>
    <t>MHA/IND/00256</t>
  </si>
  <si>
    <t>IND/MEL/00257</t>
  </si>
  <si>
    <t>MHA/IND/00257</t>
  </si>
  <si>
    <t>IND/MEL/00258</t>
  </si>
  <si>
    <t>MHA/IND/00258</t>
  </si>
  <si>
    <t>IND/MEL/00259</t>
  </si>
  <si>
    <t>MHA/IND/00259</t>
  </si>
  <si>
    <t>IND/MEL/00260</t>
  </si>
  <si>
    <t>MHA/IND/00260</t>
  </si>
  <si>
    <t>IND/MEL/00261</t>
  </si>
  <si>
    <t>MHA/IND/00261</t>
  </si>
  <si>
    <t>IND/MEL/00262</t>
  </si>
  <si>
    <t>MHA/IND/00262</t>
  </si>
  <si>
    <t>IND/MEL/00263</t>
  </si>
  <si>
    <t>MHA/IND/00263</t>
  </si>
  <si>
    <t>IND/MEL/00264</t>
  </si>
  <si>
    <t>MHA/IND/00264</t>
  </si>
  <si>
    <t>IND/MEL/00265</t>
  </si>
  <si>
    <t>MHA/IND/00265</t>
  </si>
  <si>
    <t>IND/MEL/00266</t>
  </si>
  <si>
    <t>MHA/IND/00266</t>
  </si>
  <si>
    <t>IND/MEL/00267</t>
  </si>
  <si>
    <t>MHA/IND/00267</t>
  </si>
  <si>
    <t>IND/MEL/00268</t>
  </si>
  <si>
    <t>MHA/IND/00268</t>
  </si>
  <si>
    <t>IND/MEL/00269</t>
  </si>
  <si>
    <t>MHA/IND/00269</t>
  </si>
  <si>
    <t>IND/MEL/00270</t>
  </si>
  <si>
    <t>MHA/IND/00270</t>
  </si>
  <si>
    <t>IND/MEL/00271</t>
  </si>
  <si>
    <t>MHA/IND/00271</t>
  </si>
  <si>
    <t>IND/MEL/00272</t>
  </si>
  <si>
    <t>MHA/IND/00272</t>
  </si>
  <si>
    <t>IND/MEL/00273</t>
  </si>
  <si>
    <t>MHA/IND/00273</t>
  </si>
  <si>
    <t>IND/MEL/00274</t>
  </si>
  <si>
    <t>MHA/IND/00274</t>
  </si>
  <si>
    <t>IND/MEL/00275</t>
  </si>
  <si>
    <t>MHA/IND/00275</t>
  </si>
  <si>
    <t>IND/MEL/00276</t>
  </si>
  <si>
    <t>MHA/IND/00276</t>
  </si>
  <si>
    <t>IND/MEL/00277</t>
  </si>
  <si>
    <t>MHA/IND/00277</t>
  </si>
  <si>
    <t>IND/MEL/00278</t>
  </si>
  <si>
    <t>MHA/IND/00278</t>
  </si>
  <si>
    <t>IND/MEL/00279</t>
  </si>
  <si>
    <t>MHA/IND/00279</t>
  </si>
  <si>
    <t>IND/MEL/00280</t>
  </si>
  <si>
    <t>MHA/IND/00280</t>
  </si>
  <si>
    <t>IND/MEL/00281</t>
  </si>
  <si>
    <t>MHA/IND/00281</t>
  </si>
  <si>
    <t>IND/MEL/00282</t>
  </si>
  <si>
    <t>MHA/IND/00282</t>
  </si>
  <si>
    <t>IND/MEL/00283</t>
  </si>
  <si>
    <t>MHA/IND/00283</t>
  </si>
  <si>
    <t>IND/MEL/00284</t>
  </si>
  <si>
    <t>MHA/IND/00284</t>
  </si>
  <si>
    <t>IND/MEL/00285</t>
  </si>
  <si>
    <t>MHA/IND/00285</t>
  </si>
  <si>
    <t>IND/MEL/00286</t>
  </si>
  <si>
    <t>MHA/IND/00286</t>
  </si>
  <si>
    <t>IND/MEL/00287</t>
  </si>
  <si>
    <t>MHA/IND/00287</t>
  </si>
  <si>
    <t>IND/MEL/00288</t>
  </si>
  <si>
    <t>MHA/IND/00288</t>
  </si>
  <si>
    <t>IND/MEL/00289</t>
  </si>
  <si>
    <t>MHA/IND/00289</t>
  </si>
  <si>
    <t>IND/MEL/00290</t>
  </si>
  <si>
    <t>MHA/IND/00290</t>
  </si>
  <si>
    <t>IND/MEL/00291</t>
  </si>
  <si>
    <t>MHA/IND/00291</t>
  </si>
  <si>
    <t>IND/MEL/00292</t>
  </si>
  <si>
    <t>MHA/IND/00292</t>
  </si>
  <si>
    <t>IND/MEL/00293</t>
  </si>
  <si>
    <t>MHA/IND/00293</t>
  </si>
  <si>
    <t>IND/MEL/00294</t>
  </si>
  <si>
    <t>MHA/IND/00294</t>
  </si>
  <si>
    <t>IND/MEL/00295</t>
  </si>
  <si>
    <t>MHA/IND/00295</t>
  </si>
  <si>
    <t>IND/MEL/00296</t>
  </si>
  <si>
    <t>MHA/IND/00296</t>
  </si>
  <si>
    <t>IND/MEL/00297</t>
  </si>
  <si>
    <t>MHA/IND/00297</t>
  </si>
  <si>
    <t>IND/MEL/00298</t>
  </si>
  <si>
    <t>MHA/IND/00298</t>
  </si>
  <si>
    <t>IND/MEL/00299</t>
  </si>
  <si>
    <t>MHA/IND/00299</t>
  </si>
  <si>
    <t>IND/MEL/00300</t>
  </si>
  <si>
    <t>MHA/IND/00300</t>
  </si>
  <si>
    <t>IND/MEL/00301</t>
  </si>
  <si>
    <t>MHA/IND/00301</t>
  </si>
  <si>
    <t>IND/MEL/00302</t>
  </si>
  <si>
    <t>MHA/IND/00302</t>
  </si>
  <si>
    <t>IND/MEL/00303</t>
  </si>
  <si>
    <t>MHA/IND/00303</t>
  </si>
  <si>
    <t>IND/MEL/00304</t>
  </si>
  <si>
    <t>MHA/IND/00304</t>
  </si>
  <si>
    <t>IND/MEL/00305</t>
  </si>
  <si>
    <t>MHA/IND/00305</t>
  </si>
  <si>
    <t>IND/MEL/00306</t>
  </si>
  <si>
    <t>MHA/IND/00306</t>
  </si>
  <si>
    <t>IND/MEL/00307</t>
  </si>
  <si>
    <t>MHA/IND/00307</t>
  </si>
  <si>
    <t>IND/MEL/00308</t>
  </si>
  <si>
    <t>MHA/IND/00308</t>
  </si>
  <si>
    <t>IND/MEL/00309</t>
  </si>
  <si>
    <t>MHA/IND/00309</t>
  </si>
  <si>
    <t>IND/MEL/00310</t>
  </si>
  <si>
    <t>MHA/IND/00310</t>
  </si>
  <si>
    <t>IND/MEL/00311</t>
  </si>
  <si>
    <t>MHA/IND/00311</t>
  </si>
  <si>
    <t>IND/MEL/00312</t>
  </si>
  <si>
    <t>MHA/IND/00312</t>
  </si>
  <si>
    <t>IND/MEL/00313</t>
  </si>
  <si>
    <t>MHA/IND/00313</t>
  </si>
  <si>
    <t>IND/MEL/00314</t>
  </si>
  <si>
    <t>MHA/IND/00314</t>
  </si>
  <si>
    <t>IND/MEL/00315</t>
  </si>
  <si>
    <t>MHA/IND/00315</t>
  </si>
  <si>
    <t>IND/MEL/00316</t>
  </si>
  <si>
    <t>MHA/IND/00316</t>
  </si>
  <si>
    <t>IND/MEL/00317</t>
  </si>
  <si>
    <t>MHA/IND/00317</t>
  </si>
  <si>
    <t>IND/MEL/00318</t>
  </si>
  <si>
    <t>MHA/IND/00318</t>
  </si>
  <si>
    <t>IND/MEL/00319</t>
  </si>
  <si>
    <t>MHA/IND/00319</t>
  </si>
  <si>
    <t>IND/MEL/00320</t>
  </si>
  <si>
    <t>MHA/IND/00320</t>
  </si>
  <si>
    <t>IND/MEL/00321</t>
  </si>
  <si>
    <t>MHA/IND/00321</t>
  </si>
  <si>
    <t>IND/MEL/00322</t>
  </si>
  <si>
    <t>MHA/IND/00322</t>
  </si>
  <si>
    <t>IND/MEL/00323</t>
  </si>
  <si>
    <t>MHA/IND/00323</t>
  </si>
  <si>
    <t>IND/MEL/00324</t>
  </si>
  <si>
    <t>MHA/IND/00324</t>
  </si>
  <si>
    <t>IND/MEL/00325</t>
  </si>
  <si>
    <t>MHA/IND/00325</t>
  </si>
  <si>
    <t>IND/MEL/00326</t>
  </si>
  <si>
    <t>MHA/IND/00326</t>
  </si>
  <si>
    <t>IND/MEL/00327</t>
  </si>
  <si>
    <t>MHA/IND/00327</t>
  </si>
  <si>
    <t>IND/MEL/00328</t>
  </si>
  <si>
    <t>MHA/IND/00328</t>
  </si>
  <si>
    <t>IND/MEL/00329</t>
  </si>
  <si>
    <t>MHA/IND/00329</t>
  </si>
  <si>
    <t>IND/MEL/00330</t>
  </si>
  <si>
    <t>MHA/IND/00330</t>
  </si>
  <si>
    <t>IND/MEL/00331</t>
  </si>
  <si>
    <t>MHA/IND/00331</t>
  </si>
  <si>
    <t>IND/MEL/00332</t>
  </si>
  <si>
    <t>MHA/IND/00332</t>
  </si>
  <si>
    <t>IND/MEL/00333</t>
  </si>
  <si>
    <t>MHA/IND/00333</t>
  </si>
  <si>
    <t>IND/MEL/00334</t>
  </si>
  <si>
    <t>MHA/IND/00334</t>
  </si>
  <si>
    <t>IND/MEL/00335</t>
  </si>
  <si>
    <t>MHA/IND/00335</t>
  </si>
  <si>
    <t>IND/MEL/00336</t>
  </si>
  <si>
    <t>MHA/IND/00336</t>
  </si>
  <si>
    <t>IND/MEL/00337</t>
  </si>
  <si>
    <t>MHA/IND/00337</t>
  </si>
  <si>
    <t>IND/MEL/00338</t>
  </si>
  <si>
    <t>MHA/IND/00338</t>
  </si>
  <si>
    <t>IND/MEL/00339</t>
  </si>
  <si>
    <t>MHA/IND/00339</t>
  </si>
  <si>
    <t>IND/MEL/00340</t>
  </si>
  <si>
    <t>MHA/IND/00340</t>
  </si>
  <si>
    <t>IND/MEL/00341</t>
  </si>
  <si>
    <t>MHA/IND/00341</t>
  </si>
  <si>
    <t>IND/MEL/00342</t>
  </si>
  <si>
    <t>MHA/IND/00342</t>
  </si>
  <si>
    <t>IND/MEL/00343</t>
  </si>
  <si>
    <t>MHA/IND/00343</t>
  </si>
  <si>
    <t>IND/MEL/00344</t>
  </si>
  <si>
    <t>MHA/IND/00344</t>
  </si>
  <si>
    <t>IND/MEL/00345</t>
  </si>
  <si>
    <t>MHA/IND/00345</t>
  </si>
  <si>
    <t>IND/MEL/00346</t>
  </si>
  <si>
    <t>MHA/IND/00346</t>
  </si>
  <si>
    <t>IND/MEL/00347</t>
  </si>
  <si>
    <t>MHA/IND/00347</t>
  </si>
  <si>
    <t>IND/MEL/00348</t>
  </si>
  <si>
    <t>MHA/IND/00348</t>
  </si>
  <si>
    <t>IND/MEL/00349</t>
  </si>
  <si>
    <t>MHA/IND/00349</t>
  </si>
  <si>
    <t>IND/MEL/00350</t>
  </si>
  <si>
    <t>MHA/IND/00350</t>
  </si>
  <si>
    <t>IND/MEL/00351</t>
  </si>
  <si>
    <t>MHA/IND/00351</t>
  </si>
  <si>
    <t>IND/MEL/00352</t>
  </si>
  <si>
    <t>MHA/IND/00352</t>
  </si>
  <si>
    <t>IND/MEL/00353</t>
  </si>
  <si>
    <t>MHA/IND/00353</t>
  </si>
  <si>
    <t>IND/MEL/00354</t>
  </si>
  <si>
    <t>MHA/IND/00354</t>
  </si>
  <si>
    <t>IND/MEL/00355</t>
  </si>
  <si>
    <t>MHA/IND/00355</t>
  </si>
  <si>
    <t>IND/MEL/00356</t>
  </si>
  <si>
    <t>MHA/IND/00356</t>
  </si>
  <si>
    <t>IND/MEL/00357</t>
  </si>
  <si>
    <t>MHA/IND/00357</t>
  </si>
  <si>
    <t>IND/MEL/00358</t>
  </si>
  <si>
    <t>MHA/IND/00358</t>
  </si>
  <si>
    <t>IND/MEL/00359</t>
  </si>
  <si>
    <t>MHA/IND/00359</t>
  </si>
  <si>
    <t>IND/MEL/00360</t>
  </si>
  <si>
    <t>MHA/IND/00360</t>
  </si>
  <si>
    <t>IND/MEL/00361</t>
  </si>
  <si>
    <t>MHA/IND/00361</t>
  </si>
  <si>
    <t>IND/MEL/00362</t>
  </si>
  <si>
    <t>MHA/IND/00362</t>
  </si>
  <si>
    <t>IND/MEL/00363</t>
  </si>
  <si>
    <t>MHA/IND/00363</t>
  </si>
  <si>
    <t>IND/MEL/00364</t>
  </si>
  <si>
    <t>MHA/IND/00364</t>
  </si>
  <si>
    <t>IND/MEL/00365</t>
  </si>
  <si>
    <t>MHA/IND/00365</t>
  </si>
  <si>
    <t>IND/MEL/00366</t>
  </si>
  <si>
    <t>MHA/IND/00366</t>
  </si>
  <si>
    <t>IND/MEL/00367</t>
  </si>
  <si>
    <t>MHA/IND/00367</t>
  </si>
  <si>
    <t>IND/MEL/00368</t>
  </si>
  <si>
    <t>MHA/IND/00368</t>
  </si>
  <si>
    <t>IND/MEL/00369</t>
  </si>
  <si>
    <t>MHA/IND/00369</t>
  </si>
  <si>
    <t>IND/MEL/00370</t>
  </si>
  <si>
    <t>MHA/IND/00370</t>
  </si>
  <si>
    <t>IND/MEL/00371</t>
  </si>
  <si>
    <t>MHA/IND/00371</t>
  </si>
  <si>
    <t>IND/MEL/00372</t>
  </si>
  <si>
    <t>MHA/IND/00372</t>
  </si>
  <si>
    <t>IND/MEL/00373</t>
  </si>
  <si>
    <t>MHA/IND/00373</t>
  </si>
  <si>
    <t>IND/MEL/00374</t>
  </si>
  <si>
    <t>MHA/IND/00374</t>
  </si>
  <si>
    <t>IND/MEL/00375</t>
  </si>
  <si>
    <t>MHA/IND/00375</t>
  </si>
  <si>
    <t>IND/MEL/00376</t>
  </si>
  <si>
    <t>MHA/IND/00376</t>
  </si>
  <si>
    <t>IND/MEL/00377</t>
  </si>
  <si>
    <t>MHA/IND/00377</t>
  </si>
  <si>
    <t>IND/MEL/00378</t>
  </si>
  <si>
    <t>MHA/IND/00378</t>
  </si>
  <si>
    <t>IND/MEL/00379</t>
  </si>
  <si>
    <t>MHA/IND/00379</t>
  </si>
  <si>
    <t>IND/MEL/00380</t>
  </si>
  <si>
    <t>MHA/IND/00380</t>
  </si>
  <si>
    <t>IND/MEL/00381</t>
  </si>
  <si>
    <t>MHA/IND/00381</t>
  </si>
  <si>
    <t>IND/MEL/00382</t>
  </si>
  <si>
    <t>MHA/IND/00382</t>
  </si>
  <si>
    <t>IND/MEL/00383</t>
  </si>
  <si>
    <t>MHA/IND/00383</t>
  </si>
  <si>
    <t>IND/MEL/00384</t>
  </si>
  <si>
    <t>MHA/IND/00384</t>
  </si>
  <si>
    <t>IND/MEL/00385</t>
  </si>
  <si>
    <t>MHA/IND/00385</t>
  </si>
  <si>
    <t>IND/MEL/00386</t>
  </si>
  <si>
    <t>MHA/IND/00386</t>
  </si>
  <si>
    <t>IND/MEL/00387</t>
  </si>
  <si>
    <t>MHA/IND/00387</t>
  </si>
  <si>
    <t>IND/MEL/00388</t>
  </si>
  <si>
    <t>MHA/IND/00388</t>
  </si>
  <si>
    <t>IND/MEL/00389</t>
  </si>
  <si>
    <t>MHA/IND/00389</t>
  </si>
  <si>
    <t>IND/MEL/00390</t>
  </si>
  <si>
    <t>MHA/IND/00390</t>
  </si>
  <si>
    <t>IND/MEL/00391</t>
  </si>
  <si>
    <t>MHA/IND/00391</t>
  </si>
  <si>
    <t>IND/MEL/00392</t>
  </si>
  <si>
    <t>MHA/IND/00392</t>
  </si>
  <si>
    <t>IND/MEL/00393</t>
  </si>
  <si>
    <t>MHA/IND/00393</t>
  </si>
  <si>
    <t>IND/MEL/00394</t>
  </si>
  <si>
    <t>MHA/IND/00394</t>
  </si>
  <si>
    <t>IND/MEL/00395</t>
  </si>
  <si>
    <t>MHA/IND/00395</t>
  </si>
  <si>
    <t>IND/MEL/00396</t>
  </si>
  <si>
    <t>MHA/IND/00396</t>
  </si>
  <si>
    <t>IND/MEL/00397</t>
  </si>
  <si>
    <t>MHA/IND/00397</t>
  </si>
  <si>
    <t>IND/MEL/00398</t>
  </si>
  <si>
    <t>MHA/IND/00398</t>
  </si>
  <si>
    <t>IND/MEL/00399</t>
  </si>
  <si>
    <t>MHA/IND/00399</t>
  </si>
  <si>
    <t>IND/MEL/00400</t>
  </si>
  <si>
    <t>MHA/IND/00400</t>
  </si>
  <si>
    <t>IND/MEL/00401</t>
  </si>
  <si>
    <t>MHA/IND/00401</t>
  </si>
  <si>
    <t>IND/MEL/00402</t>
  </si>
  <si>
    <t>MHA/IND/00402</t>
  </si>
  <si>
    <t>IND/MEL/00403</t>
  </si>
  <si>
    <t>MHA/IND/00403</t>
  </si>
  <si>
    <t>IND/MEL/00404</t>
  </si>
  <si>
    <t>MHA/IND/00404</t>
  </si>
  <si>
    <t>IND/MEL/00405</t>
  </si>
  <si>
    <t>MHA/IND/00405</t>
  </si>
  <si>
    <t>IND/MEL/00406</t>
  </si>
  <si>
    <t>MHA/IND/00406</t>
  </si>
  <si>
    <t>IND/MEL/00407</t>
  </si>
  <si>
    <t>MHA/IND/00407</t>
  </si>
  <si>
    <t>IND/MEL/00408</t>
  </si>
  <si>
    <t>MHA/IND/00408</t>
  </si>
  <si>
    <t>IND/MEL/00409</t>
  </si>
  <si>
    <t>MHA/IND/00409</t>
  </si>
  <si>
    <t>IND/MEL/00410</t>
  </si>
  <si>
    <t>MHA/IND/00410</t>
  </si>
  <si>
    <t>IND/MEL/00411</t>
  </si>
  <si>
    <t>MHA/IND/00411</t>
  </si>
  <si>
    <t>IND/MEL/00412</t>
  </si>
  <si>
    <t>MHA/IND/00412</t>
  </si>
  <si>
    <t>IND/MEL/00413</t>
  </si>
  <si>
    <t>MHA/IND/00413</t>
  </si>
  <si>
    <t>IND/MEL/00414</t>
  </si>
  <si>
    <t>MHA/IND/00414</t>
  </si>
  <si>
    <t>IND/MEL/00415</t>
  </si>
  <si>
    <t>MHA/IND/00415</t>
  </si>
  <si>
    <t>IND/MEL/00416</t>
  </si>
  <si>
    <t>MHA/IND/00416</t>
  </si>
  <si>
    <t>IND/MEL/00417</t>
  </si>
  <si>
    <t>MHA/IND/00417</t>
  </si>
  <si>
    <t>IND/MEL/00418</t>
  </si>
  <si>
    <t>MHA/IND/00418</t>
  </si>
  <si>
    <t>IND/MEL/00419</t>
  </si>
  <si>
    <t>MHA/IND/00419</t>
  </si>
  <si>
    <t>IND/MEL/00420</t>
  </si>
  <si>
    <t>MHA/IND/00420</t>
  </si>
  <si>
    <t>IND/MEL/00421</t>
  </si>
  <si>
    <t>MHA/IND/00421</t>
  </si>
  <si>
    <t>IND/MEL/00422</t>
  </si>
  <si>
    <t>MHA/IND/00422</t>
  </si>
  <si>
    <t>IND/MEL/00423</t>
  </si>
  <si>
    <t>MHA/IND/00423</t>
  </si>
  <si>
    <t>IND/MEL/00424</t>
  </si>
  <si>
    <t>MHA/IND/00424</t>
  </si>
  <si>
    <t>IND/MEL/00425</t>
  </si>
  <si>
    <t>MHA/IND/00425</t>
  </si>
  <si>
    <t>IND/MEL/00426</t>
  </si>
  <si>
    <t>MHA/IND/00426</t>
  </si>
  <si>
    <t>IND/MEL/00427</t>
  </si>
  <si>
    <t>MHA/IND/00427</t>
  </si>
  <si>
    <t>IND/MEL/00428</t>
  </si>
  <si>
    <t>MHA/IND/00428</t>
  </si>
  <si>
    <t>IND/MEL/00429</t>
  </si>
  <si>
    <t>MHA/IND/00429</t>
  </si>
  <si>
    <t>IND/MEL/00430</t>
  </si>
  <si>
    <t>MHA/IND/00430</t>
  </si>
  <si>
    <t>IND/MEL/00431</t>
  </si>
  <si>
    <t>MHA/IND/00431</t>
  </si>
  <si>
    <t>IND/MEL/00432</t>
  </si>
  <si>
    <t>MHA/IND/00432</t>
  </si>
  <si>
    <t>IND/MEL/00433</t>
  </si>
  <si>
    <t>MHA/IND/00433</t>
  </si>
  <si>
    <t>IND/MEL/00434</t>
  </si>
  <si>
    <t>MHA/IND/00434</t>
  </si>
  <si>
    <t>IND/MEL/00435</t>
  </si>
  <si>
    <t>MHA/IND/00435</t>
  </si>
  <si>
    <t>IND/MEL/00436</t>
  </si>
  <si>
    <t>MHA/IND/00436</t>
  </si>
  <si>
    <t>IND/MEL/00437</t>
  </si>
  <si>
    <t>MHA/IND/00437</t>
  </si>
  <si>
    <t>IND/MEL/00438</t>
  </si>
  <si>
    <t>MHA/IND/00438</t>
  </si>
  <si>
    <t>IND/MEL/00439</t>
  </si>
  <si>
    <t>MHA/IND/00439</t>
  </si>
  <si>
    <t>IND/MEL/00440</t>
  </si>
  <si>
    <t>MHA/IND/00440</t>
  </si>
  <si>
    <t>IND/MEL/00441</t>
  </si>
  <si>
    <t>MHA/IND/00441</t>
  </si>
  <si>
    <t>IND/MEL/00442</t>
  </si>
  <si>
    <t>MHA/IND/00442</t>
  </si>
  <si>
    <t>IND/MEL/00443</t>
  </si>
  <si>
    <t>MHA/IND/00443</t>
  </si>
  <si>
    <t>IND/MEL/00444</t>
  </si>
  <si>
    <t>MHA/IND/00444</t>
  </si>
  <si>
    <t>IND/MEL/00445</t>
  </si>
  <si>
    <t>MHA/IND/00445</t>
  </si>
  <si>
    <t>IND/MEL/00446</t>
  </si>
  <si>
    <t>MHA/IND/00446</t>
  </si>
  <si>
    <t>IND/MEL/00447</t>
  </si>
  <si>
    <t>MHA/IND/00447</t>
  </si>
  <si>
    <t>IND/MEL/00448</t>
  </si>
  <si>
    <t>MHA/IND/00448</t>
  </si>
  <si>
    <t>IND/MEL/00449</t>
  </si>
  <si>
    <t>MHA/IND/00449</t>
  </si>
  <si>
    <t>IND/MEL/00450</t>
  </si>
  <si>
    <t>MHA/IND/00450</t>
  </si>
  <si>
    <t>IND/MEL/00451</t>
  </si>
  <si>
    <t>MHA/IND/00451</t>
  </si>
  <si>
    <t>IND/MEL/00452</t>
  </si>
  <si>
    <t>MHA/IND/00452</t>
  </si>
  <si>
    <t>IND/MEL/00453</t>
  </si>
  <si>
    <t>MHA/IND/00453</t>
  </si>
  <si>
    <t>IND/MEL/00454</t>
  </si>
  <si>
    <t>MHA/IND/00454</t>
  </si>
  <si>
    <t>IND/MEL/00455</t>
  </si>
  <si>
    <t>MHA/IND/00455</t>
  </si>
  <si>
    <t>IND/MEL/00456</t>
  </si>
  <si>
    <t>MHA/IND/00456</t>
  </si>
  <si>
    <t>IND/MEL/00457</t>
  </si>
  <si>
    <t>MHA/IND/00457</t>
  </si>
  <si>
    <t>IND/MEL/00458</t>
  </si>
  <si>
    <t>MHA/IND/00458</t>
  </si>
  <si>
    <t>IND/MEL/00459</t>
  </si>
  <si>
    <t>MHA/IND/00459</t>
  </si>
  <si>
    <t>IND/MEL/00460</t>
  </si>
  <si>
    <t>MHA/IND/00460</t>
  </si>
  <si>
    <t>IND/MEL/00461</t>
  </si>
  <si>
    <t>MHA/IND/00461</t>
  </si>
  <si>
    <t>IND/MEL/00462</t>
  </si>
  <si>
    <t>MHA/IND/00462</t>
  </si>
  <si>
    <t>IND/MEL/00463</t>
  </si>
  <si>
    <t>MHA/IND/00463</t>
  </si>
  <si>
    <t>IND/MEL/00464</t>
  </si>
  <si>
    <t>MHA/IND/00464</t>
  </si>
  <si>
    <t>IND/MEL/00465</t>
  </si>
  <si>
    <t>MHA/IND/00465</t>
  </si>
  <si>
    <t>IND/MEL/00466</t>
  </si>
  <si>
    <t>MHA/IND/00466</t>
  </si>
  <si>
    <t>IND/MEL/00467</t>
  </si>
  <si>
    <t>MHA/IND/00467</t>
  </si>
  <si>
    <t>IND/MEL/00468</t>
  </si>
  <si>
    <t>MHA/IND/00468</t>
  </si>
  <si>
    <t>IND/MEL/00469</t>
  </si>
  <si>
    <t>MHA/IND/00469</t>
  </si>
  <si>
    <t>IND/MEL/00470</t>
  </si>
  <si>
    <t>MHA/IND/00470</t>
  </si>
  <si>
    <t>IND/MEL/00471</t>
  </si>
  <si>
    <t>MHA/IND/00471</t>
  </si>
  <si>
    <t>IND/MEL/00472</t>
  </si>
  <si>
    <t>MHA/IND/00472</t>
  </si>
  <si>
    <t>IND/MEL/00473</t>
  </si>
  <si>
    <t>MHA/IND/00473</t>
  </si>
  <si>
    <t>IND/MEL/00474</t>
  </si>
  <si>
    <t>MHA/IND/00474</t>
  </si>
  <si>
    <t>IND/MEL/00475</t>
  </si>
  <si>
    <t>MHA/IND/00475</t>
  </si>
  <si>
    <t>IND/MEL/00476</t>
  </si>
  <si>
    <t>MHA/IND/00476</t>
  </si>
  <si>
    <t>IND/MEL/00477</t>
  </si>
  <si>
    <t>MHA/IND/00477</t>
  </si>
  <si>
    <t>IND/MEL/00478</t>
  </si>
  <si>
    <t>MHA/IND/00478</t>
  </si>
  <si>
    <t>IND/MEL/00479</t>
  </si>
  <si>
    <t>MHA/IND/00479</t>
  </si>
  <si>
    <t>IND/MEL/00480</t>
  </si>
  <si>
    <t>MHA/IND/00480</t>
  </si>
  <si>
    <t>IND/MEL/00481</t>
  </si>
  <si>
    <t>MHA/IND/00481</t>
  </si>
  <si>
    <t>IND/MEL/00482</t>
  </si>
  <si>
    <t>MHA/IND/00482</t>
  </si>
  <si>
    <t>IND/MEL/00483</t>
  </si>
  <si>
    <t>MHA/IND/00483</t>
  </si>
  <si>
    <t>IND/MEL/00484</t>
  </si>
  <si>
    <t>MHA/IND/00484</t>
  </si>
  <si>
    <t>IND/MEL/00485</t>
  </si>
  <si>
    <t>MHA/IND/00485</t>
  </si>
  <si>
    <t>IND/MEL/00486</t>
  </si>
  <si>
    <t>MHA/IND/00486</t>
  </si>
  <si>
    <t>IND/MEL/00487</t>
  </si>
  <si>
    <t>MHA/IND/00487</t>
  </si>
  <si>
    <t>IND/MEL/00488</t>
  </si>
  <si>
    <t>MHA/IND/00488</t>
  </si>
  <si>
    <t>IND/MEL/00489</t>
  </si>
  <si>
    <t>MHA/IND/00489</t>
  </si>
  <si>
    <t>IND/MEL/00490</t>
  </si>
  <si>
    <t>MHA/IND/00490</t>
  </si>
  <si>
    <t>IND/MEL/00491</t>
  </si>
  <si>
    <t>MHA/IND/00491</t>
  </si>
  <si>
    <t>IND/MEL/00492</t>
  </si>
  <si>
    <t>MHA/IND/00492</t>
  </si>
  <si>
    <t>IND/MEL/00493</t>
  </si>
  <si>
    <t>MHA/IND/00493</t>
  </si>
  <si>
    <t>IND/MEL/00494</t>
  </si>
  <si>
    <t>MHA/IND/00494</t>
  </si>
  <si>
    <t>IND/MEL/00495</t>
  </si>
  <si>
    <t>MHA/IND/00495</t>
  </si>
  <si>
    <t>IND/MEL/00496</t>
  </si>
  <si>
    <t>MHA/IND/00496</t>
  </si>
  <si>
    <t>IND/MEL/00497</t>
  </si>
  <si>
    <t>MHA/IND/00497</t>
  </si>
  <si>
    <t>IND/MEL/00498</t>
  </si>
  <si>
    <t>MHA/IND/00498</t>
  </si>
  <si>
    <t>IND/MEL/00499</t>
  </si>
  <si>
    <t>MHA/IND/00499</t>
  </si>
  <si>
    <t>IND/MEL/00500</t>
  </si>
  <si>
    <t>MHA/IND/00500</t>
  </si>
  <si>
    <t>IND/MEL/00501</t>
  </si>
  <si>
    <t>MHA/IND/00501</t>
  </si>
  <si>
    <t>IND/MEL/00502</t>
  </si>
  <si>
    <t>MHA/IND/00502</t>
  </si>
  <si>
    <t>IND/MEL/00503</t>
  </si>
  <si>
    <t>MHA/IND/00503</t>
  </si>
  <si>
    <t>IND/MEL/00504</t>
  </si>
  <si>
    <t>MHA/IND/00504</t>
  </si>
  <si>
    <t>IND/MEL/00505</t>
  </si>
  <si>
    <t>MHA/IND/00505</t>
  </si>
  <si>
    <t>IND/MEL/00506</t>
  </si>
  <si>
    <t>MHA/IND/00506</t>
  </si>
  <si>
    <t>IND/MEL/00507</t>
  </si>
  <si>
    <t>MHA/IND/00507</t>
  </si>
  <si>
    <t>IND/MEL/00508</t>
  </si>
  <si>
    <t>MHA/IND/00508</t>
  </si>
  <si>
    <t>IND/MEL/00509</t>
  </si>
  <si>
    <t>MHA/IND/00509</t>
  </si>
  <si>
    <t>IND/MEL/00510</t>
  </si>
  <si>
    <t>MHA/IND/00510</t>
  </si>
  <si>
    <t>IND/MEL/00511</t>
  </si>
  <si>
    <t>MHA/IND/00511</t>
  </si>
  <si>
    <t>IND/MEL/00512</t>
  </si>
  <si>
    <t>MHA/IND/00512</t>
  </si>
  <si>
    <t>IND/MEL/00513</t>
  </si>
  <si>
    <t>MHA/IND/00513</t>
  </si>
  <si>
    <t>IND/MEL/00514</t>
  </si>
  <si>
    <t>MHA/IND/00514</t>
  </si>
  <si>
    <t>IND/MEL/00515</t>
  </si>
  <si>
    <t>MHA/IND/00515</t>
  </si>
  <si>
    <t>IND/MEL/00516</t>
  </si>
  <si>
    <t>MHA/IND/00516</t>
  </si>
  <si>
    <t>IND/MEL/00517</t>
  </si>
  <si>
    <t>MHA/IND/00517</t>
  </si>
  <si>
    <t>IND/MEL/00518</t>
  </si>
  <si>
    <t>MHA/IND/00518</t>
  </si>
  <si>
    <t>IND/MEL/00519</t>
  </si>
  <si>
    <t>MHA/IND/00519</t>
  </si>
  <si>
    <t>IND/MEL/00520</t>
  </si>
  <si>
    <t>MHA/IND/00520</t>
  </si>
  <si>
    <t>IND/MEL/00521</t>
  </si>
  <si>
    <t>MHA/IND/00521</t>
  </si>
  <si>
    <t>IND/MEL/00522</t>
  </si>
  <si>
    <t>MHA/IND/00522</t>
  </si>
  <si>
    <t>IND/MEL/00523</t>
  </si>
  <si>
    <t>MHA/IND/00523</t>
  </si>
  <si>
    <t>IND/MEL/00524</t>
  </si>
  <si>
    <t>MHA/IND/00524</t>
  </si>
  <si>
    <t>IND/MEL/00525</t>
  </si>
  <si>
    <t>MHA/IND/00525</t>
  </si>
  <si>
    <t>IND/MEL/00526</t>
  </si>
  <si>
    <t>MHA/IND/00526</t>
  </si>
  <si>
    <t>IND/MEL/00527</t>
  </si>
  <si>
    <t>MHA/IND/00527</t>
  </si>
  <si>
    <t>IND/MEL/00528</t>
  </si>
  <si>
    <t>MHA/IND/00528</t>
  </si>
  <si>
    <t>IND/MEL/00529</t>
  </si>
  <si>
    <t>MHA/IND/00529</t>
  </si>
  <si>
    <t>IND/MEL/00530</t>
  </si>
  <si>
    <t>MHA/IND/00530</t>
  </si>
  <si>
    <t>IND/MEL/00531</t>
  </si>
  <si>
    <t>MHA/IND/00531</t>
  </si>
  <si>
    <t>IND/MEL/00532</t>
  </si>
  <si>
    <t>MHA/IND/00532</t>
  </si>
  <si>
    <t>IND/MEL/00533</t>
  </si>
  <si>
    <t>MHA/IND/00533</t>
  </si>
  <si>
    <t>IND/MEL/00534</t>
  </si>
  <si>
    <t>MHA/IND/00534</t>
  </si>
  <si>
    <t>IND/MEL/00535</t>
  </si>
  <si>
    <t>MHA/IND/00535</t>
  </si>
  <si>
    <t>IND/MEL/00536</t>
  </si>
  <si>
    <t>MHA/IND/00536</t>
  </si>
  <si>
    <t>IND/MEL/00537</t>
  </si>
  <si>
    <t>MHA/IND/00537</t>
  </si>
  <si>
    <t>IND/MEL/00538</t>
  </si>
  <si>
    <t>MHA/IND/00538</t>
  </si>
  <si>
    <t>IND/MEL/00539</t>
  </si>
  <si>
    <t>MHA/IND/00539</t>
  </si>
  <si>
    <t>IND/MEL/00540</t>
  </si>
  <si>
    <t>MHA/IND/00540</t>
  </si>
  <si>
    <t>IND/MEL/00541</t>
  </si>
  <si>
    <t>MHA/IND/00541</t>
  </si>
  <si>
    <t>IND/MEL/00542</t>
  </si>
  <si>
    <t>MHA/IND/00542</t>
  </si>
  <si>
    <t>IND/MEL/00543</t>
  </si>
  <si>
    <t>MHA/IND/00543</t>
  </si>
  <si>
    <t>IND/MEL/00544</t>
  </si>
  <si>
    <t>MHA/IND/00544</t>
  </si>
  <si>
    <t>IND/MEL/00545</t>
  </si>
  <si>
    <t>MHA/IND/00545</t>
  </si>
  <si>
    <t>IND/MEL/00546</t>
  </si>
  <si>
    <t>MHA/IND/00546</t>
  </si>
  <si>
    <t>IND/MEL/00547</t>
  </si>
  <si>
    <t>MHA/IND/00547</t>
  </si>
  <si>
    <t>IND/MEL/00548</t>
  </si>
  <si>
    <t>MHA/IND/00548</t>
  </si>
  <si>
    <t>IND/MEL/00549</t>
  </si>
  <si>
    <t>MHA/IND/00549</t>
  </si>
  <si>
    <t>IND/MEL/00550</t>
  </si>
  <si>
    <t>MHA/IND/00550</t>
  </si>
  <si>
    <t>IND/MEL/00551</t>
  </si>
  <si>
    <t>MHA/IND/00551</t>
  </si>
  <si>
    <t>IND/MEL/00552</t>
  </si>
  <si>
    <t>MHA/IND/00552</t>
  </si>
  <si>
    <t>IND/MEL/00553</t>
  </si>
  <si>
    <t>MHA/IND/00553</t>
  </si>
  <si>
    <t>IND/MEL/00554</t>
  </si>
  <si>
    <t>MHA/IND/00554</t>
  </si>
  <si>
    <t>IND/MEL/00555</t>
  </si>
  <si>
    <t>MHA/IND/00555</t>
  </si>
  <si>
    <t>IND/MEL/00556</t>
  </si>
  <si>
    <t>MHA/IND/00556</t>
  </si>
  <si>
    <t>IND/MEL/00557</t>
  </si>
  <si>
    <t>MHA/IND/00557</t>
  </si>
  <si>
    <t>IND/MEL/00558</t>
  </si>
  <si>
    <t>MHA/IND/00558</t>
  </si>
  <si>
    <t>IND/MEL/00559</t>
  </si>
  <si>
    <t>MHA/IND/00559</t>
  </si>
  <si>
    <t>IND/MEL/00560</t>
  </si>
  <si>
    <t>MHA/IND/00560</t>
  </si>
  <si>
    <t>IND/MEL/00561</t>
  </si>
  <si>
    <t>MHA/IND/00561</t>
  </si>
  <si>
    <t>IND/MEL/00562</t>
  </si>
  <si>
    <t>MHA/IND/00562</t>
  </si>
  <si>
    <t>IND/MEL/00563</t>
  </si>
  <si>
    <t>MHA/IND/00563</t>
  </si>
  <si>
    <t>IND/MEL/00564</t>
  </si>
  <si>
    <t>MHA/IND/00564</t>
  </si>
  <si>
    <t>IND/MEL/00565</t>
  </si>
  <si>
    <t>MHA/IND/00565</t>
  </si>
  <si>
    <t>IND/MEL/00566</t>
  </si>
  <si>
    <t>MHA/IND/00566</t>
  </si>
  <si>
    <t>IND/MEL/00567</t>
  </si>
  <si>
    <t>MHA/IND/00567</t>
  </si>
  <si>
    <t>IND/MEL/00568</t>
  </si>
  <si>
    <t>MHA/IND/00568</t>
  </si>
  <si>
    <t>IND/MEL/00569</t>
  </si>
  <si>
    <t>MHA/IND/00569</t>
  </si>
  <si>
    <t>IND/MEL/00570</t>
  </si>
  <si>
    <t>MHA/IND/00570</t>
  </si>
  <si>
    <t>IND/MEL/00571</t>
  </si>
  <si>
    <t>MHA/IND/00571</t>
  </si>
  <si>
    <t>IND/MEL/00572</t>
  </si>
  <si>
    <t>MHA/IND/00572</t>
  </si>
  <si>
    <t>IND/MEL/00573</t>
  </si>
  <si>
    <t>MHA/IND/00573</t>
  </si>
  <si>
    <t>IND/MEL/00574</t>
  </si>
  <si>
    <t>MHA/IND/00574</t>
  </si>
  <si>
    <t>IND/MEL/00575</t>
  </si>
  <si>
    <t>MHA/IND/00575</t>
  </si>
  <si>
    <t>IND/MEL/00576</t>
  </si>
  <si>
    <t>MHA/IND/00576</t>
  </si>
  <si>
    <t>IND/MEL/00577</t>
  </si>
  <si>
    <t>MHA/IND/00577</t>
  </si>
  <si>
    <t>IND/MEL/00578</t>
  </si>
  <si>
    <t>MHA/IND/00578</t>
  </si>
  <si>
    <t>IND/MEL/00579</t>
  </si>
  <si>
    <t>MHA/IND/00579</t>
  </si>
  <si>
    <t>IND/MEL/00580</t>
  </si>
  <si>
    <t>MHA/IND/00580</t>
  </si>
  <si>
    <t>IND/MEL/00581</t>
  </si>
  <si>
    <t>MHA/IND/00581</t>
  </si>
  <si>
    <t>IND/MEL/00582</t>
  </si>
  <si>
    <t>MHA/IND/00582</t>
  </si>
  <si>
    <t>IND/MEL/00583</t>
  </si>
  <si>
    <t>MHA/IND/00583</t>
  </si>
  <si>
    <t>IND/MEL/00584</t>
  </si>
  <si>
    <t>MHA/IND/00584</t>
  </si>
  <si>
    <t>IND/MEL/00585</t>
  </si>
  <si>
    <t>MHA/IND/00585</t>
  </si>
  <si>
    <t>IND/MEL/00586</t>
  </si>
  <si>
    <t>MHA/IND/00586</t>
  </si>
  <si>
    <t>IND/MEL/00587</t>
  </si>
  <si>
    <t>MHA/IND/00587</t>
  </si>
  <si>
    <t>IND/MEL/00588</t>
  </si>
  <si>
    <t>MHA/IND/00588</t>
  </si>
  <si>
    <t>IND/MEL/00589</t>
  </si>
  <si>
    <t>MHA/IND/00589</t>
  </si>
  <si>
    <t>IND/MEL/00590</t>
  </si>
  <si>
    <t>MHA/IND/00590</t>
  </si>
  <si>
    <t>IND/MEL/00591</t>
  </si>
  <si>
    <t>MHA/IND/00591</t>
  </si>
  <si>
    <t>IND/MEL/00592</t>
  </si>
  <si>
    <t>MHA/IND/00592</t>
  </si>
  <si>
    <t>IND/MEL/00593</t>
  </si>
  <si>
    <t>MHA/IND/00593</t>
  </si>
  <si>
    <t>IND/MEL/00594</t>
  </si>
  <si>
    <t>MHA/IND/00594</t>
  </si>
  <si>
    <t>IND/MEL/00595</t>
  </si>
  <si>
    <t>MHA/IND/00595</t>
  </si>
  <si>
    <t>IND/MEL/00596</t>
  </si>
  <si>
    <t>MHA/IND/00596</t>
  </si>
  <si>
    <t>IND/MEL/00597</t>
  </si>
  <si>
    <t>MHA/IND/00597</t>
  </si>
  <si>
    <t>IND/MEL/00598</t>
  </si>
  <si>
    <t>MHA/IND/00598</t>
  </si>
  <si>
    <t>IND/MEL/00599</t>
  </si>
  <si>
    <t>MHA/IND/00599</t>
  </si>
  <si>
    <t>IND/MEL/00600</t>
  </si>
  <si>
    <t>MHA/IND/00600</t>
  </si>
  <si>
    <t>IND/MEL/00601</t>
  </si>
  <si>
    <t>MHA/IND/00601</t>
  </si>
  <si>
    <t>IND/MEL/00602</t>
  </si>
  <si>
    <t>MHA/IND/00602</t>
  </si>
  <si>
    <t>IND/MEL/00603</t>
  </si>
  <si>
    <t>MHA/IND/00603</t>
  </si>
  <si>
    <t>IND/MEL/00604</t>
  </si>
  <si>
    <t>MHA/IND/00604</t>
  </si>
  <si>
    <t>IND/MEL/00605</t>
  </si>
  <si>
    <t>MHA/IND/00605</t>
  </si>
  <si>
    <t>IND/MEL/00606</t>
  </si>
  <si>
    <t>MHA/IND/00606</t>
  </si>
  <si>
    <t>IND/MEL/00607</t>
  </si>
  <si>
    <t>MHA/IND/00607</t>
  </si>
  <si>
    <t>IND/MEL/00608</t>
  </si>
  <si>
    <t>MHA/IND/00608</t>
  </si>
  <si>
    <t>IND/MEL/00609</t>
  </si>
  <si>
    <t>MHA/IND/00609</t>
  </si>
  <si>
    <t>IND/MEL/00610</t>
  </si>
  <si>
    <t>MHA/IND/00610</t>
  </si>
  <si>
    <t>IND/MEL/00611</t>
  </si>
  <si>
    <t>MHA/IND/00611</t>
  </si>
  <si>
    <t>IND/MEL/00612</t>
  </si>
  <si>
    <t>MHA/IND/00612</t>
  </si>
  <si>
    <t>IND/MEL/00613</t>
  </si>
  <si>
    <t>MHA/IND/00613</t>
  </si>
  <si>
    <t>IND/MEL/00614</t>
  </si>
  <si>
    <t>MHA/IND/00614</t>
  </si>
  <si>
    <t>IND/MEL/00615</t>
  </si>
  <si>
    <t>MHA/IND/00615</t>
  </si>
  <si>
    <t>IND/MEL/00616</t>
  </si>
  <si>
    <t>MHA/IND/00616</t>
  </si>
  <si>
    <t>IND/MEL/00617</t>
  </si>
  <si>
    <t>MHA/IND/00617</t>
  </si>
  <si>
    <t>IND/MEL/00618</t>
  </si>
  <si>
    <t>MHA/IND/00618</t>
  </si>
  <si>
    <t>IND/MEL/00619</t>
  </si>
  <si>
    <t>MHA/IND/00619</t>
  </si>
  <si>
    <t>IND/MEL/00620</t>
  </si>
  <si>
    <t>MHA/IND/00620</t>
  </si>
  <si>
    <t>IND/MEL/00621</t>
  </si>
  <si>
    <t>MHA/IND/00621</t>
  </si>
  <si>
    <t>IND/MEL/00622</t>
  </si>
  <si>
    <t>MHA/IND/00622</t>
  </si>
  <si>
    <t>IND/MEL/00623</t>
  </si>
  <si>
    <t>MHA/IND/00623</t>
  </si>
  <si>
    <t>IND/MEL/00624</t>
  </si>
  <si>
    <t>MHA/IND/00624</t>
  </si>
  <si>
    <t>IND/MEL/00625</t>
  </si>
  <si>
    <t>MHA/IND/00625</t>
  </si>
  <si>
    <t>IND/MEL/00626</t>
  </si>
  <si>
    <t>MHA/IND/00626</t>
  </si>
  <si>
    <t>IND/MEL/00627</t>
  </si>
  <si>
    <t>MHA/IND/00627</t>
  </si>
  <si>
    <t>IND/MEL/00628</t>
  </si>
  <si>
    <t>MHA/IND/00628</t>
  </si>
  <si>
    <t>IND/MEL/00629</t>
  </si>
  <si>
    <t>MHA/IND/00629</t>
  </si>
  <si>
    <t>IND/MEL/00630</t>
  </si>
  <si>
    <t>MHA/IND/00630</t>
  </si>
  <si>
    <t>IND/MEL/00631</t>
  </si>
  <si>
    <t>MHA/IND/00631</t>
  </si>
  <si>
    <t>IND/MEL/00632</t>
  </si>
  <si>
    <t>MHA/IND/00632</t>
  </si>
  <si>
    <t>IND/MEL/00633</t>
  </si>
  <si>
    <t>MHA/IND/00637</t>
  </si>
  <si>
    <t>IND/MEL/00634</t>
  </si>
  <si>
    <t>MHA/IND/00638</t>
  </si>
  <si>
    <t>IND/MEL/00635</t>
  </si>
  <si>
    <t>MHA/IND/00639</t>
  </si>
  <si>
    <t>IND/MEL/00636</t>
  </si>
  <si>
    <t>MHA/IND/00640</t>
  </si>
  <si>
    <t>IND/MEL/00637</t>
  </si>
  <si>
    <t>MHA/IND/00641</t>
  </si>
  <si>
    <t>IND/MEL/00638</t>
  </si>
  <si>
    <t>MHA/IND/00642</t>
  </si>
  <si>
    <t>IND/MEL/00639</t>
  </si>
  <si>
    <t>MHA/IND/00643</t>
  </si>
  <si>
    <t>IND/MEL/00640</t>
  </si>
  <si>
    <t>MHA/IND/00644</t>
  </si>
  <si>
    <t>IND/MEL/00641</t>
  </si>
  <si>
    <t>MHA/IND/00645</t>
  </si>
  <si>
    <t>IND/MEL/00642</t>
  </si>
  <si>
    <t>MHA/IND/00646</t>
  </si>
  <si>
    <t>IND/MEL/00643</t>
  </si>
  <si>
    <t>MHA/IND/00647</t>
  </si>
  <si>
    <t>IND/MEL/00644</t>
  </si>
  <si>
    <t>MHA/IND/00648</t>
  </si>
  <si>
    <t>IND/MEL/00645</t>
  </si>
  <si>
    <t>MHA/IND/00649</t>
  </si>
  <si>
    <t>IND/MEL/00646</t>
  </si>
  <si>
    <t>MHA/IND/00650</t>
  </si>
  <si>
    <t>IND/MEL/00647</t>
  </si>
  <si>
    <t>MHA/IND/00651</t>
  </si>
  <si>
    <t>IND/MEL/00648</t>
  </si>
  <si>
    <t>MHA/IND/00652</t>
  </si>
  <si>
    <t>IND/MEL/00649</t>
  </si>
  <si>
    <t>MHA/IND/00653</t>
  </si>
  <si>
    <t>IND/MEL/00650</t>
  </si>
  <si>
    <t>MHA/IND/00654</t>
  </si>
  <si>
    <t>IND/MEL/00651</t>
  </si>
  <si>
    <t>MHA/IND/00655</t>
  </si>
  <si>
    <t>IND/MEL/00652</t>
  </si>
  <si>
    <t>MHA/IND/00656</t>
  </si>
  <si>
    <t>IND/MEL/00653</t>
  </si>
  <si>
    <t>MHA/IND/00657</t>
  </si>
  <si>
    <t>IND/MEL/00654</t>
  </si>
  <si>
    <t>MHA/IND/00658</t>
  </si>
  <si>
    <t>IND/MEL/00655</t>
  </si>
  <si>
    <t>MHA/IND/00659</t>
  </si>
  <si>
    <t>IND/MEL/00656</t>
  </si>
  <si>
    <t>MHA/IND/00660</t>
  </si>
  <si>
    <t>IND/MEL/00657</t>
  </si>
  <si>
    <t>MHA/IND/00661</t>
  </si>
  <si>
    <t>IND/MEL/00658</t>
  </si>
  <si>
    <t>MHA/IND/00662</t>
  </si>
  <si>
    <t>IND/MEL/00659</t>
  </si>
  <si>
    <t>MHA/IND/00663</t>
  </si>
  <si>
    <t>IND/MEL/00660</t>
  </si>
  <si>
    <t>MHA/IND/00664</t>
  </si>
  <si>
    <t>IND/MEL/00661</t>
  </si>
  <si>
    <t>MHA/IND/00665</t>
  </si>
  <si>
    <t>IND/MEL/00662</t>
  </si>
  <si>
    <t>MHA/IND/00666</t>
  </si>
  <si>
    <t>IND/MEL/00663</t>
  </si>
  <si>
    <t>MHA/IND/00667</t>
  </si>
  <si>
    <t>IND/MEL/00664</t>
  </si>
  <si>
    <t>MHA/IND/00668</t>
  </si>
  <si>
    <t>IND/MEL/00665</t>
  </si>
  <si>
    <t>MHA/IND/00669</t>
  </si>
  <si>
    <t>IND/MEL/00666</t>
  </si>
  <si>
    <t>MHA/IND/00670</t>
  </si>
  <si>
    <t>IND/MEL/00667</t>
  </si>
  <si>
    <t>MHA/IND/00671</t>
  </si>
  <si>
    <t>IND/MEL/00668</t>
  </si>
  <si>
    <t>MHA/IND/00672</t>
  </si>
  <si>
    <t>IND/MEL/00669</t>
  </si>
  <si>
    <t>MHA/IND/00673</t>
  </si>
  <si>
    <t>IND/MEL/00670</t>
  </si>
  <si>
    <t>MHA/IND/00674</t>
  </si>
  <si>
    <t>IND/MEL/00671</t>
  </si>
  <si>
    <t>MHA/IND/00675</t>
  </si>
  <si>
    <t>IND/MEL/00672</t>
  </si>
  <si>
    <t>MHA/IND/00676</t>
  </si>
  <si>
    <t>IND/MEL/00673</t>
  </si>
  <si>
    <t>MHA/IND/00677</t>
  </si>
  <si>
    <t>IND/MEL/00674</t>
  </si>
  <si>
    <t>MHA/IND/00678</t>
  </si>
  <si>
    <t>IND/MEL/00675</t>
  </si>
  <si>
    <t>MHA/IND/00679</t>
  </si>
  <si>
    <t>IND/MEL/00676</t>
  </si>
  <si>
    <t>MHA/IND/00680</t>
  </si>
  <si>
    <t>IND/MEL/00677</t>
  </si>
  <si>
    <t>MHA/IND/00681</t>
  </si>
  <si>
    <t>IND/MEL/00678</t>
  </si>
  <si>
    <t>MHA/IND/00682</t>
  </si>
  <si>
    <t>IND/MEL/00679</t>
  </si>
  <si>
    <t>MHA/IND/00683</t>
  </si>
  <si>
    <t>IND/MEL/00680</t>
  </si>
  <si>
    <t>MHA/IND/00684</t>
  </si>
  <si>
    <t>IND/MEL/00681</t>
  </si>
  <si>
    <t>MHA/IND/00685</t>
  </si>
  <si>
    <t>IND/MEL/00682</t>
  </si>
  <si>
    <t>MHA/IND/00686</t>
  </si>
  <si>
    <t>IND/MEL/00683</t>
  </si>
  <si>
    <t>MHA/IND/00687</t>
  </si>
  <si>
    <t>IND/MEL/00684</t>
  </si>
  <si>
    <t>MHA/IND/00688</t>
  </si>
  <si>
    <t>IND/MEL/00685</t>
  </si>
  <si>
    <t>MHA/IND/00689</t>
  </si>
  <si>
    <t>IND/MEL/00686</t>
  </si>
  <si>
    <t>MHA/IND/00690</t>
  </si>
  <si>
    <t>IND/MEL/00687</t>
  </si>
  <si>
    <t>MHA/IND/00691</t>
  </si>
  <si>
    <t>IND/MEL/00688</t>
  </si>
  <si>
    <t>MHA/IND/00692</t>
  </si>
  <si>
    <t>IND/MEL/00689</t>
  </si>
  <si>
    <t>MHA/IND/00693</t>
  </si>
  <si>
    <t>IND/MEL/00690</t>
  </si>
  <si>
    <t>MHA/IND/00694</t>
  </si>
  <si>
    <t>IND/MEL/00691</t>
  </si>
  <si>
    <t>MHA/IND/00695</t>
  </si>
  <si>
    <t>IND/MEL/00692</t>
  </si>
  <si>
    <t>MHA/IND/00696</t>
  </si>
  <si>
    <t>IND/MEL/00693</t>
  </si>
  <si>
    <t>MHA/IND/00697</t>
  </si>
  <si>
    <t>IND/MEL/00694</t>
  </si>
  <si>
    <t>MHA/IND/00698</t>
  </si>
  <si>
    <t>IND/MEL/00695</t>
  </si>
  <si>
    <t>MHA/IND/00699</t>
  </si>
  <si>
    <t>IND/MEL/00696</t>
  </si>
  <si>
    <t>MHA/IND/00700</t>
  </si>
  <si>
    <t>IND/MEL/00697</t>
  </si>
  <si>
    <t>MHA/IND/00701</t>
  </si>
  <si>
    <t>IND/MEL/00698</t>
  </si>
  <si>
    <t>MHA/IND/00702</t>
  </si>
  <si>
    <t>IND/MEL/00699</t>
  </si>
  <si>
    <t>MHA/IND/00703</t>
  </si>
  <si>
    <t>IND/MEL/00700</t>
  </si>
  <si>
    <t>MHA/IND/00704</t>
  </si>
  <si>
    <t>IND/MEL/00701</t>
  </si>
  <si>
    <t>MHA/IND/00705</t>
  </si>
  <si>
    <t>IND/MEL/00702</t>
  </si>
  <si>
    <t>MHA/IND/00706</t>
  </si>
  <si>
    <t>IND/MEL/00703</t>
  </si>
  <si>
    <t>MHA/IND/00707</t>
  </si>
  <si>
    <t>IND/MEL/00704</t>
  </si>
  <si>
    <t>MHA/IND/00708</t>
  </si>
  <si>
    <t>IND/MEL/00705</t>
  </si>
  <si>
    <t>MHA/IND/00709</t>
  </si>
  <si>
    <t>IND/MEL/00706</t>
  </si>
  <si>
    <t>MHA/IND/00710</t>
  </si>
  <si>
    <t>IND/MEL/00707</t>
  </si>
  <si>
    <t>MHA/IND/00711</t>
  </si>
  <si>
    <t>IND/MEL/00708</t>
  </si>
  <si>
    <t>MHA/IND/00712</t>
  </si>
  <si>
    <t>IND/MEL/00709</t>
  </si>
  <si>
    <t>MHA/IND/00713</t>
  </si>
  <si>
    <t>IND/MEL/00710</t>
  </si>
  <si>
    <t>MHA/IND/00714</t>
  </si>
  <si>
    <t>IND/MEL/00711</t>
  </si>
  <si>
    <t>MHA/IND/00715</t>
  </si>
  <si>
    <t>IND/MEL/00712</t>
  </si>
  <si>
    <t>MHA/IND/00716</t>
  </si>
  <si>
    <t>IND/MEL/00713</t>
  </si>
  <si>
    <t>MHA/IND/00717</t>
  </si>
  <si>
    <t>IND/MEL/00714</t>
  </si>
  <si>
    <t>MHA/IND/00718</t>
  </si>
  <si>
    <t>IND/MEL/00715</t>
  </si>
  <si>
    <t>MHA/IND/00719</t>
  </si>
  <si>
    <t>IND/MEL/00716</t>
  </si>
  <si>
    <t>MHA/IND/00720</t>
  </si>
  <si>
    <t>IND/MEL/00717</t>
  </si>
  <si>
    <t>MHA/IND/00721</t>
  </si>
  <si>
    <t>IND/MEL/00718</t>
  </si>
  <si>
    <t>MHA/IND/00722</t>
  </si>
  <si>
    <t>IND/MEL/00719</t>
  </si>
  <si>
    <t>MHA/IND/00723</t>
  </si>
  <si>
    <t>IND/MEL/00720</t>
  </si>
  <si>
    <t>MHA/IND/00724</t>
  </si>
  <si>
    <t>IND/MEL/00721</t>
  </si>
  <si>
    <t>MHA/IND/00725</t>
  </si>
  <si>
    <t>IND/MEL/00722</t>
  </si>
  <si>
    <t>MHA/IND/00726</t>
  </si>
  <si>
    <t>IND/MEL/00723</t>
  </si>
  <si>
    <t>MHA/IND/00727</t>
  </si>
  <si>
    <t>IND/MEL/00724</t>
  </si>
  <si>
    <t>MHA/IND/00728</t>
  </si>
  <si>
    <t>IND/MEL/00725</t>
  </si>
  <si>
    <t>MHA/IND/00729</t>
  </si>
  <si>
    <t>IND/MEL/00726</t>
  </si>
  <si>
    <t>MHA/IND/00730</t>
  </si>
  <si>
    <t>IND/MEL/00727</t>
  </si>
  <si>
    <t>MHA/IND/00731</t>
  </si>
  <si>
    <t>IND/MEL/00728</t>
  </si>
  <si>
    <t>MHA/IND/00732</t>
  </si>
  <si>
    <t>IND/MEL/00729</t>
  </si>
  <si>
    <t>MHA/IND/00733</t>
  </si>
  <si>
    <t>IND/MEL/00730</t>
  </si>
  <si>
    <t>MHA/IND/00734</t>
  </si>
  <si>
    <t>IND/MEL/00731</t>
  </si>
  <si>
    <t>MHA/IND/00735</t>
  </si>
  <si>
    <t>IND/MEL/00732</t>
  </si>
  <si>
    <t>MHA/IND/00736</t>
  </si>
  <si>
    <t>IND/MEL/00733</t>
  </si>
  <si>
    <t>MHA/IND/00737</t>
  </si>
  <si>
    <t>IND/MEL/00734</t>
  </si>
  <si>
    <t>MHA/IND/00738</t>
  </si>
  <si>
    <t>IND/MEL/00735</t>
  </si>
  <si>
    <t>MHA/IND/00739</t>
  </si>
  <si>
    <t>IND/MEL/00736</t>
  </si>
  <si>
    <t>MHA/IND/00740</t>
  </si>
  <si>
    <t>IND/MEL/00737</t>
  </si>
  <si>
    <t>MHA/IND/00741</t>
  </si>
  <si>
    <t>IND/MEL/00738</t>
  </si>
  <si>
    <t>MHA/IND/00742</t>
  </si>
  <si>
    <t>IND/MEL/00739</t>
  </si>
  <si>
    <t>MHA/IND/00743</t>
  </si>
  <si>
    <t>IND/MEL/00740</t>
  </si>
  <si>
    <t>MHA/IND/00744</t>
  </si>
  <si>
    <t>IND/MEL/00741</t>
  </si>
  <si>
    <t>MHA/IND/00745</t>
  </si>
  <si>
    <t>IND/MEL/00742</t>
  </si>
  <si>
    <t>MHA/IND/00746</t>
  </si>
  <si>
    <t>IND/MEL/00743</t>
  </si>
  <si>
    <t>MHA/IND/00747</t>
  </si>
  <si>
    <t>IND/MEL/00744</t>
  </si>
  <si>
    <t>MHA/IND/00748</t>
  </si>
  <si>
    <t>IND/MEL/00745</t>
  </si>
  <si>
    <t>MHA/IND/00749</t>
  </si>
  <si>
    <t>IND/MEL/00746</t>
  </si>
  <si>
    <t>MHA/IND/00750</t>
  </si>
  <si>
    <t>IND/MEL/00747</t>
  </si>
  <si>
    <t>MHA/IND/00751</t>
  </si>
  <si>
    <t>IND/MEL/00748</t>
  </si>
  <si>
    <t>MHA/IND/00752</t>
  </si>
  <si>
    <t>IND/MEL/00749</t>
  </si>
  <si>
    <t>MHA/IND/00753</t>
  </si>
  <si>
    <t>IND/MEL/00750</t>
  </si>
  <si>
    <t>MHA/IND/00754</t>
  </si>
  <si>
    <t>IND/MEL/00751</t>
  </si>
  <si>
    <t>MHA/IND/00755</t>
  </si>
  <si>
    <t>IND/MEL/00752</t>
  </si>
  <si>
    <t>MHA/IND/00756</t>
  </si>
  <si>
    <t>IND/MEL/00753</t>
  </si>
  <si>
    <t>MHA/IND/00757</t>
  </si>
  <si>
    <t>IND/MEL/00754</t>
  </si>
  <si>
    <t>MHA/IND/00758</t>
  </si>
  <si>
    <t>IND/MEL/00755</t>
  </si>
  <si>
    <t>MHA/IND/00759</t>
  </si>
  <si>
    <t>IND/MEL/00756</t>
  </si>
  <si>
    <t>MHA/IND/00760</t>
  </si>
  <si>
    <t>IND/MEL/00757</t>
  </si>
  <si>
    <t>MHA/IND/00761</t>
  </si>
  <si>
    <t>IND/MEL/00758</t>
  </si>
  <si>
    <t>MHA/IND/00762</t>
  </si>
  <si>
    <t>IND/MEL/00759</t>
  </si>
  <si>
    <t>MHA/IND/00763</t>
  </si>
  <si>
    <t>IND/MEL/00760</t>
  </si>
  <si>
    <t>MHA/IND/00764</t>
  </si>
  <si>
    <t>IND/MEL/00761</t>
  </si>
  <si>
    <t>MHA/IND/00765</t>
  </si>
  <si>
    <t>IND/MEL/00762</t>
  </si>
  <si>
    <t>MHA/IND/00766</t>
  </si>
  <si>
    <t>IND/MEL/00763</t>
  </si>
  <si>
    <t>MHA/IND/00767</t>
  </si>
  <si>
    <t>IND/MEL/00764</t>
  </si>
  <si>
    <t>MHA/IND/00768</t>
  </si>
  <si>
    <t>IND/MEL/00765</t>
  </si>
  <si>
    <t>MHA/IND/00769</t>
  </si>
  <si>
    <t>IND/MEL/00766</t>
  </si>
  <si>
    <t>MHA/IND/00770</t>
  </si>
  <si>
    <t>IND/MEL/00767</t>
  </si>
  <si>
    <t>MHA/IND/00771</t>
  </si>
  <si>
    <t>IND/MEL/00768</t>
  </si>
  <si>
    <t>MHA/IND/00772</t>
  </si>
  <si>
    <t>IND/MEL/00769</t>
  </si>
  <si>
    <t>MHA/IND/00773</t>
  </si>
  <si>
    <t>IND/MEL/00770</t>
  </si>
  <si>
    <t>MHA/IND/00774</t>
  </si>
  <si>
    <t>IND/MEL/00771</t>
  </si>
  <si>
    <t>MHA/IND/00775</t>
  </si>
  <si>
    <t>IND/MEL/00772</t>
  </si>
  <si>
    <t>MHA/IND/00776</t>
  </si>
  <si>
    <t>IND/MEL/00773</t>
  </si>
  <si>
    <t>MHA/IND/00777</t>
  </si>
  <si>
    <t>IND/MEL/00774</t>
  </si>
  <si>
    <t>MHA/IND/00778</t>
  </si>
  <si>
    <t>IND/MEL/00775</t>
  </si>
  <si>
    <t>MHA/IND/00779</t>
  </si>
  <si>
    <t>IND/MEL/00776</t>
  </si>
  <si>
    <t>MHA/IND/00780</t>
  </si>
  <si>
    <t>IND/MEL/00777</t>
  </si>
  <si>
    <t>MHA/IND/00781</t>
  </si>
  <si>
    <t>IND/MEL/00778</t>
  </si>
  <si>
    <t>MHA/IND/00782</t>
  </si>
  <si>
    <t>IND/MEL/00779</t>
  </si>
  <si>
    <t>MHA/IND/00783</t>
  </si>
  <si>
    <t>IND/MEL/00780</t>
  </si>
  <si>
    <t>MHA/IND/00784</t>
  </si>
  <si>
    <t>IND/MEL/00781</t>
  </si>
  <si>
    <t>MHA/IND/00785</t>
  </si>
  <si>
    <t>IND/MEL/00782</t>
  </si>
  <si>
    <t>MHA/IND/00786</t>
  </si>
  <si>
    <t>IND/MEL/00783</t>
  </si>
  <si>
    <t>MHA/IND/00787</t>
  </si>
  <si>
    <t>IND/MEL/00784</t>
  </si>
  <si>
    <t>MHA/IND/00788</t>
  </si>
  <si>
    <t>IND/MEL/00785</t>
  </si>
  <si>
    <t>MHA/IND/00789</t>
  </si>
  <si>
    <t>IND/MEL/00786</t>
  </si>
  <si>
    <t>MHA/IND/00790</t>
  </si>
  <si>
    <t>IND/MEL/00787</t>
  </si>
  <si>
    <t>MHA/IND/00791</t>
  </si>
  <si>
    <t>IND/MEL/00788</t>
  </si>
  <si>
    <t>MHA/IND/00792</t>
  </si>
  <si>
    <t>IND/MEL/00789</t>
  </si>
  <si>
    <t>MHA/IND/00793</t>
  </si>
  <si>
    <t>IND/MEL/00790</t>
  </si>
  <si>
    <t>MHA/IND/00794</t>
  </si>
  <si>
    <t>IND/MEL/00791</t>
  </si>
  <si>
    <t>MHA/IND/00795</t>
  </si>
  <si>
    <t>IND/MEL/00792</t>
  </si>
  <si>
    <t>MHA/IND/00796</t>
  </si>
  <si>
    <t>IND/MEL/00793</t>
  </si>
  <si>
    <t>MHA/IND/00797</t>
  </si>
  <si>
    <t>IND/MEL/00794</t>
  </si>
  <si>
    <t>MHA/IND/00798</t>
  </si>
  <si>
    <t>IND/MEL/00795</t>
  </si>
  <si>
    <t>MHA/IND/00799</t>
  </si>
  <si>
    <t>IND/MEL/00796</t>
  </si>
  <si>
    <t>MHA/IND/00800</t>
  </si>
  <si>
    <t>IND/MEL/00797</t>
  </si>
  <si>
    <t>MHA/IND/00801</t>
  </si>
  <si>
    <t>IND/MEL/00798</t>
  </si>
  <si>
    <t>MHA/IND/00802</t>
  </si>
  <si>
    <t>IND/MEL/00799</t>
  </si>
  <si>
    <t>MHA/IND/00803</t>
  </si>
  <si>
    <t>IND/MEL/00800</t>
  </si>
  <si>
    <t>MHA/IND/00804</t>
  </si>
  <si>
    <t>IND/MEL/00801</t>
  </si>
  <si>
    <t>MHA/IND/00805</t>
  </si>
  <si>
    <t>IND/MEL/00802</t>
  </si>
  <si>
    <t>MHA/IND/00806</t>
  </si>
  <si>
    <t>IND/MEL/00803</t>
  </si>
  <si>
    <t>MHA/IND/00807</t>
  </si>
  <si>
    <t>IND/MEL/00804</t>
  </si>
  <si>
    <t>MHA/IND/00808</t>
  </si>
  <si>
    <t>IND/MEL/00805</t>
  </si>
  <si>
    <t>MHA/IND/00809</t>
  </si>
  <si>
    <t>IND/MEL/00806</t>
  </si>
  <si>
    <t>MHA/IND/00810</t>
  </si>
  <si>
    <t>IND/MEL/00807</t>
  </si>
  <si>
    <t>MHA/IND/00811</t>
  </si>
  <si>
    <t>IND/MEL/00808</t>
  </si>
  <si>
    <t>MHA/IND/00812</t>
  </si>
  <si>
    <t>IND/MEL/00809</t>
  </si>
  <si>
    <t>MHA/IND/00813</t>
  </si>
  <si>
    <t>IND/MEL/00810</t>
  </si>
  <si>
    <t>MHA/IND/00814</t>
  </si>
  <si>
    <t>IND/MEL/00811</t>
  </si>
  <si>
    <t>MHA/IND/00815</t>
  </si>
  <si>
    <t>IND/MEL/00812</t>
  </si>
  <si>
    <t>MHA/IND/00816</t>
  </si>
  <si>
    <t>IND/MEL/00813</t>
  </si>
  <si>
    <t>MHA/IND/00817</t>
  </si>
  <si>
    <t>IND/MEL/00814</t>
  </si>
  <si>
    <t>MHA/IND/00818</t>
  </si>
  <si>
    <t>IND/MEL/00815</t>
  </si>
  <si>
    <t>MHA/IND/00819</t>
  </si>
  <si>
    <t>IND/MEL/00816</t>
  </si>
  <si>
    <t>MHA/IND/00820</t>
  </si>
  <si>
    <t>IND/MEL/00817</t>
  </si>
  <si>
    <t>MHA/IND/00821</t>
  </si>
  <si>
    <t>IND/MEL/00818</t>
  </si>
  <si>
    <t>MHA/IND/00822</t>
  </si>
  <si>
    <t>IND/MEL/00819</t>
  </si>
  <si>
    <t>MHA/IND/00823</t>
  </si>
  <si>
    <t>IND/MEL/00820</t>
  </si>
  <si>
    <t>MHA/IND/00824</t>
  </si>
  <si>
    <t>IND/MEL/00821</t>
  </si>
  <si>
    <t>MHA/IND/00825</t>
  </si>
  <si>
    <t>IND/MEL/00822</t>
  </si>
  <si>
    <t>MHA/IND/00826</t>
  </si>
  <si>
    <t>IND/MEL/00823</t>
  </si>
  <si>
    <t>MHA/IND/00827</t>
  </si>
  <si>
    <t>IND/MEL/00824</t>
  </si>
  <si>
    <t>MHA/IND/00828</t>
  </si>
  <si>
    <t>IND/MEL/00825</t>
  </si>
  <si>
    <t>MHA/IND/00829</t>
  </si>
  <si>
    <t>IND/MEL/00826</t>
  </si>
  <si>
    <t>MHA/IND/00830</t>
  </si>
  <si>
    <t>IND/MEL/00827</t>
  </si>
  <si>
    <t>MHA/IND/00831</t>
  </si>
  <si>
    <t>IND/MEL/00828</t>
  </si>
  <si>
    <t>MHA/IND/00832</t>
  </si>
  <si>
    <t>IND/MEL/00829</t>
  </si>
  <si>
    <t>MHA/IND/00833</t>
  </si>
  <si>
    <t>IND/MEL/00830</t>
  </si>
  <si>
    <t>MHA/IND/00834</t>
  </si>
  <si>
    <t>IND/MEL/00831</t>
  </si>
  <si>
    <t>MHA/IND/00835</t>
  </si>
  <si>
    <t>IND/MEL/00832</t>
  </si>
  <si>
    <t>MHA/IND/00836</t>
  </si>
  <si>
    <t>IND/MEL/00833</t>
  </si>
  <si>
    <t>MHA/IND/00837</t>
  </si>
  <si>
    <t>IND/MEL/00834</t>
  </si>
  <si>
    <t>MHA/IND/00838</t>
  </si>
  <si>
    <t>IND/MEL/00835</t>
  </si>
  <si>
    <t>MHA/IND/00839</t>
  </si>
  <si>
    <t>IND/MEL/00836</t>
  </si>
  <si>
    <t>MHA/IND/00840</t>
  </si>
  <si>
    <t>IND/MEL/00837</t>
  </si>
  <si>
    <t>MHA/IND/00841</t>
  </si>
  <si>
    <t>IND/MEL/00838</t>
  </si>
  <si>
    <t>MHA/IND/00842</t>
  </si>
  <si>
    <t>IND/MEL/00839</t>
  </si>
  <si>
    <t>MHA/IND/00843</t>
  </si>
  <si>
    <t>IND/MEL/00840</t>
  </si>
  <si>
    <t>MHA/IND/00844</t>
  </si>
  <si>
    <t>IND/MEL/00841</t>
  </si>
  <si>
    <t>MHA/IND/00845</t>
  </si>
  <si>
    <t>IND/MEL/00842</t>
  </si>
  <si>
    <t>MHA/IND/00846</t>
  </si>
  <si>
    <t>IND/MEL/00843</t>
  </si>
  <si>
    <t>MHA/IND/00847</t>
  </si>
  <si>
    <t>IND/MEL/00844</t>
  </si>
  <si>
    <t>MHA/IND/00848</t>
  </si>
  <si>
    <t>IND/MEL/00845</t>
  </si>
  <si>
    <t>MHA/IND/00849</t>
  </si>
  <si>
    <t>IND/MEL/00846</t>
  </si>
  <si>
    <t>MHA/IND/00850</t>
  </si>
  <si>
    <t>IND/MEL/00847</t>
  </si>
  <si>
    <t>MHA/IND/00851</t>
  </si>
  <si>
    <t>IND/MEL/00848</t>
  </si>
  <si>
    <t>MHA/IND/00852</t>
  </si>
  <si>
    <t>IND/MEL/00849</t>
  </si>
  <si>
    <t>MHA/IND/00853</t>
  </si>
  <si>
    <t>IND/MEL/00850</t>
  </si>
  <si>
    <t>MHA/IND/00854</t>
  </si>
  <si>
    <t>IND/MEL/00851</t>
  </si>
  <si>
    <t>MHA/IND/00855</t>
  </si>
  <si>
    <t>IND/MEL/00852</t>
  </si>
  <si>
    <t>MHA/IND/00856</t>
  </si>
  <si>
    <t>IND/MEL/00853</t>
  </si>
  <si>
    <t>MHA/IND/00857</t>
  </si>
  <si>
    <t>IND/MEL/00854</t>
  </si>
  <si>
    <t>MHA/IND/00858</t>
  </si>
  <si>
    <t>IND/MEL/00855</t>
  </si>
  <si>
    <t>MHA/IND/00859</t>
  </si>
  <si>
    <t>IND/MEL/00856</t>
  </si>
  <si>
    <t>MHA/IND/00860</t>
  </si>
  <si>
    <t>IND/MEL/00857</t>
  </si>
  <si>
    <t>MHA/IND/00861</t>
  </si>
  <si>
    <t>IND/MEL/00858</t>
  </si>
  <si>
    <t>MHA/IND/00862</t>
  </si>
  <si>
    <t>IND/MEL/00859</t>
  </si>
  <si>
    <t>MHA/IND/00863</t>
  </si>
  <si>
    <t>IND/MEL/00860</t>
  </si>
  <si>
    <t>MHA/IND/00864</t>
  </si>
  <si>
    <t>IND/MEL/00861</t>
  </si>
  <si>
    <t>MHA/IND/00865</t>
  </si>
  <si>
    <t>IND/MEL/00862</t>
  </si>
  <si>
    <t>MHA/IND/00866</t>
  </si>
  <si>
    <t>IND/MEL/00863</t>
  </si>
  <si>
    <t>MHA/IND/00867</t>
  </si>
  <si>
    <t>IND/MEL/00864</t>
  </si>
  <si>
    <t>MHA/IND/00868</t>
  </si>
  <si>
    <t>IND/MEL/00865</t>
  </si>
  <si>
    <t>MHA/IND/00869</t>
  </si>
  <si>
    <t>IND/MEL/00866</t>
  </si>
  <si>
    <t>MHA/IND/00870</t>
  </si>
  <si>
    <t>IND/MEL/00867</t>
  </si>
  <si>
    <t>MHA/IND/00871</t>
  </si>
  <si>
    <t>IND/MEL/00868</t>
  </si>
  <si>
    <t>MHA/IND/00872</t>
  </si>
  <si>
    <t>IND/MEL/00869</t>
  </si>
  <si>
    <t>MHA/IND/00873</t>
  </si>
  <si>
    <t>IND/MEL/00870</t>
  </si>
  <si>
    <t>MHA/IND/00874</t>
  </si>
  <si>
    <t>IND/MEL/00871</t>
  </si>
  <si>
    <t>MHA/IND/00875</t>
  </si>
  <si>
    <t>IND/MEL/00872</t>
  </si>
  <si>
    <t>MHA/IND/00876</t>
  </si>
  <si>
    <t>IND/MEL/00873</t>
  </si>
  <si>
    <t>MHA/IND/00877</t>
  </si>
  <si>
    <t>IND/MEL/00874</t>
  </si>
  <si>
    <t>MHA/IND/00878</t>
  </si>
  <si>
    <t>IND/MEL/00875</t>
  </si>
  <si>
    <t>MHA/IND/00879</t>
  </si>
  <si>
    <t>IND/MEL/00876</t>
  </si>
  <si>
    <t>MHA/IND/00880</t>
  </si>
  <si>
    <t>IND/MEL/00877</t>
  </si>
  <si>
    <t>MHA/IND/00881</t>
  </si>
  <si>
    <t>IND/MEL/00878</t>
  </si>
  <si>
    <t>MHA/IND/00882</t>
  </si>
  <si>
    <t>IND/MEL/00879</t>
  </si>
  <si>
    <t>MHA/IND/00883</t>
  </si>
  <si>
    <t>IND/MEL/00880</t>
  </si>
  <si>
    <t>MHA/IND/00884</t>
  </si>
  <si>
    <t>IND/MEL/00881</t>
  </si>
  <si>
    <t>MHA/IND/00885</t>
  </si>
  <si>
    <t>IND/MEL/00882</t>
  </si>
  <si>
    <t>MHA/IND/00886</t>
  </si>
  <si>
    <t>IND/MEL/00883</t>
  </si>
  <si>
    <t>MHA/IND/00887</t>
  </si>
  <si>
    <t>IND/MEL/00884</t>
  </si>
  <si>
    <t>MHA/IND/00888</t>
  </si>
  <si>
    <t>IND/MEL/00885</t>
  </si>
  <si>
    <t>MHA/IND/00889</t>
  </si>
  <si>
    <t>IND/MEL/00886</t>
  </si>
  <si>
    <t>MHA/IND/00890</t>
  </si>
  <si>
    <t>IND/MEL/00887</t>
  </si>
  <si>
    <t>MHA/IND/00891</t>
  </si>
  <si>
    <t>IND/MEL/00888</t>
  </si>
  <si>
    <t>MHA/IND/00892</t>
  </si>
  <si>
    <t>IND/MEL/00889</t>
  </si>
  <si>
    <t>MHA/IND/00893</t>
  </si>
  <si>
    <t>IND/MEL/00890</t>
  </si>
  <si>
    <t>MHA/IND/00894</t>
  </si>
  <si>
    <t>IND/MEL/00891</t>
  </si>
  <si>
    <t>MHA/IND/00895</t>
  </si>
  <si>
    <t>IND/MEL/00892</t>
  </si>
  <si>
    <t>MHA/IND/00896</t>
  </si>
  <si>
    <t>IND/MEL/00893</t>
  </si>
  <si>
    <t>MHA/IND/00897</t>
  </si>
  <si>
    <t>IND/MEL/00894</t>
  </si>
  <si>
    <t>MHA/IND/00898</t>
  </si>
  <si>
    <t>IND/MEL/00895</t>
  </si>
  <si>
    <t>MHA/IND/00899</t>
  </si>
  <si>
    <t>IND/MEL/00896</t>
  </si>
  <si>
    <t>MHA/IND/00900</t>
  </si>
  <si>
    <t>IND/MEL/00897</t>
  </si>
  <si>
    <t>MHA/IND/00901</t>
  </si>
  <si>
    <t>IND/MEL/00898</t>
  </si>
  <si>
    <t>MHA/IND/00902</t>
  </si>
  <si>
    <t>IND/MEL/00899</t>
  </si>
  <si>
    <t>MHA/IND/00903</t>
  </si>
  <si>
    <t>IND/MEL/00900</t>
  </si>
  <si>
    <t>MHA/IND/00904</t>
  </si>
  <si>
    <t>IND/MEL/00901</t>
  </si>
  <si>
    <t>MHA/IND/00905</t>
  </si>
  <si>
    <t>IND/MEL/00902</t>
  </si>
  <si>
    <t>MHA/IND/00906</t>
  </si>
  <si>
    <t>IND/MEL/00903</t>
  </si>
  <si>
    <t>MHA/IND/00907</t>
  </si>
  <si>
    <t>IND/MEL/00904</t>
  </si>
  <si>
    <t>MHA/IND/00908</t>
  </si>
  <si>
    <t>IND/MEL/00905</t>
  </si>
  <si>
    <t>MHA/IND/00909</t>
  </si>
  <si>
    <t>IND/MEL/00906</t>
  </si>
  <si>
    <t>MHA/IND/00910</t>
  </si>
  <si>
    <t>IND/MEL/00907</t>
  </si>
  <si>
    <t>MHA/IND/00911</t>
  </si>
  <si>
    <t>IND/MEL/00908</t>
  </si>
  <si>
    <t>MHA/IND/00976</t>
  </si>
  <si>
    <t>IND/MEL/00909</t>
  </si>
  <si>
    <t>MHA/IND/01001</t>
  </si>
  <si>
    <t>IND/MEL/00910</t>
  </si>
  <si>
    <t>MHA/IND/01002</t>
  </si>
  <si>
    <t>IND/MEL/00911</t>
  </si>
  <si>
    <t>MHA/IND/01003</t>
  </si>
  <si>
    <t>IND/MEL/00912</t>
  </si>
  <si>
    <t>MHA/IND/01004</t>
  </si>
  <si>
    <t>IND/MEL/00913</t>
  </si>
  <si>
    <t>MHA/IND/01005</t>
  </si>
  <si>
    <t>IND/MEL/00914</t>
  </si>
  <si>
    <t>MHA/IND/01006</t>
  </si>
  <si>
    <t>IND/MEL/00915</t>
  </si>
  <si>
    <t>MHA/IND/01007</t>
  </si>
  <si>
    <t>IND/MEL/00916</t>
  </si>
  <si>
    <t>MHA/IND/01008</t>
  </si>
  <si>
    <t>IND/MEL/00917</t>
  </si>
  <si>
    <t>MHA/IND/01009</t>
  </si>
  <si>
    <t>IND/MEL/00918</t>
  </si>
  <si>
    <t>MHA/IND/01010</t>
  </si>
  <si>
    <t>IND/MEL/00919</t>
  </si>
  <si>
    <t>MHA/IND/01011</t>
  </si>
  <si>
    <t>IND/MEL/00920</t>
  </si>
  <si>
    <t>MHA/IND/01012</t>
  </si>
  <si>
    <t>IND/MEL/00921</t>
  </si>
  <si>
    <t>MHA/IND/01013</t>
  </si>
  <si>
    <t>IND/MEL/00922</t>
  </si>
  <si>
    <t>MHA/IND/01014</t>
  </si>
  <si>
    <t>IND/MEL/00923</t>
  </si>
  <si>
    <t>MHA/IND/01015</t>
  </si>
  <si>
    <t>IND/MEL/00924</t>
  </si>
  <si>
    <t>MHA/IND/01016</t>
  </si>
  <si>
    <t>IND/MEL/00925</t>
  </si>
  <si>
    <t>MHA/IND/01017</t>
  </si>
  <si>
    <t>IND/MEL/00926</t>
  </si>
  <si>
    <t>MHA/IND/01018</t>
  </si>
  <si>
    <t>IND/MEL/00927</t>
  </si>
  <si>
    <t>MHA/IND/01019</t>
  </si>
  <si>
    <t>IND/MEL/00928</t>
  </si>
  <si>
    <t>MHA/IND/01020</t>
  </si>
  <si>
    <t>IND/MEL/00929</t>
  </si>
  <si>
    <t>MHA/IND/01021</t>
  </si>
  <si>
    <t>IND/MEL/00930</t>
  </si>
  <si>
    <t>MHA/IND/01022</t>
  </si>
  <si>
    <t>IND/MEL/00931</t>
  </si>
  <si>
    <t>MHA/IND/01023</t>
  </si>
  <si>
    <t>IND/MEL/00932</t>
  </si>
  <si>
    <t>MHA/IND/01024</t>
  </si>
  <si>
    <t>IND/MEL/00933</t>
  </si>
  <si>
    <t>MHA/IND/01025</t>
  </si>
  <si>
    <t>IND/MEL/00934</t>
  </si>
  <si>
    <t>MHA/IND/01026</t>
  </si>
  <si>
    <t>IND/MEL/00935</t>
  </si>
  <si>
    <t>MHA/IND/01027</t>
  </si>
  <si>
    <t>IND/MEL/00936</t>
  </si>
  <si>
    <t>MHA/IND/01028</t>
  </si>
  <si>
    <t>IND/MEL/00937</t>
  </si>
  <si>
    <t>MHA/IND/01029</t>
  </si>
  <si>
    <t>IND/MEL/00938</t>
  </si>
  <si>
    <t>MHA/IND/01030</t>
  </si>
  <si>
    <t>IND/MEL/00939</t>
  </si>
  <si>
    <t>MHA/IND/01031</t>
  </si>
  <si>
    <t>IND/MEL/00940</t>
  </si>
  <si>
    <t>MHA/IND/01032</t>
  </si>
  <si>
    <t>IND/MEL/00941</t>
  </si>
  <si>
    <t>MHA/IND/01033</t>
  </si>
  <si>
    <t>IND/MEL/00942</t>
  </si>
  <si>
    <t>MHA/IND/01034</t>
  </si>
  <si>
    <t>IND/MEL/00943</t>
  </si>
  <si>
    <t>MHA/IND/01035</t>
  </si>
  <si>
    <t>IND/MEL/00944</t>
  </si>
  <si>
    <t>MHA/IND/01036</t>
  </si>
  <si>
    <t>IND/MEL/00945</t>
  </si>
  <si>
    <t>MHA/IND/01037</t>
  </si>
  <si>
    <t>IND/MEL/00946</t>
  </si>
  <si>
    <t>MHA/IND/01038</t>
  </si>
  <si>
    <t>IND/MEL/00947</t>
  </si>
  <si>
    <t>MHA/IND/01039</t>
  </si>
  <si>
    <t>IND/MEL/00948</t>
  </si>
  <si>
    <t>MHA/IND/01040</t>
  </si>
  <si>
    <t>IND/MEL/00949</t>
  </si>
  <si>
    <t>MHA/IND/01041</t>
  </si>
  <si>
    <t>IND/MEL/00950</t>
  </si>
  <si>
    <t>MHA/IND/01042</t>
  </si>
  <si>
    <t>IND/MEL/00951</t>
  </si>
  <si>
    <t>MHA/IND/01043</t>
  </si>
  <si>
    <t>IND/MEL/00952</t>
  </si>
  <si>
    <t>MHA/IND/01044</t>
  </si>
  <si>
    <t>IND/MEL/00953</t>
  </si>
  <si>
    <t>MHA/IND/01045</t>
  </si>
  <si>
    <t>IND/MEL/00954</t>
  </si>
  <si>
    <t>MHA/IND/01046</t>
  </si>
  <si>
    <t>IND/MEL/00955</t>
  </si>
  <si>
    <t>MHA/IND/01047</t>
  </si>
  <si>
    <t>IND/MEL/00956</t>
  </si>
  <si>
    <t>MHA/IND/01048</t>
  </si>
  <si>
    <t>IND/MEL/00957</t>
  </si>
  <si>
    <t>MHA/IND/01049</t>
  </si>
  <si>
    <t>IND/MEL/00958</t>
  </si>
  <si>
    <t>MHA/IND/01050</t>
  </si>
  <si>
    <t>IND/MEL/00959</t>
  </si>
  <si>
    <t>MHA/IND/01051</t>
  </si>
  <si>
    <t>IND/MEL/00960</t>
  </si>
  <si>
    <t>MHA/IND/01052</t>
  </si>
  <si>
    <t>IND/MEL/00961</t>
  </si>
  <si>
    <t>MHA/IND/01053</t>
  </si>
  <si>
    <t>IND/MEL/00962</t>
  </si>
  <si>
    <t>MHA/IND/01054</t>
  </si>
  <si>
    <t>IND/MEL/00963</t>
  </si>
  <si>
    <t>MHA/IND/01055</t>
  </si>
  <si>
    <t>IND/MEL/00964</t>
  </si>
  <si>
    <t>MHA/IND/01056</t>
  </si>
  <si>
    <t>IND/MEL/00965</t>
  </si>
  <si>
    <t>MHA/IND/01057</t>
  </si>
  <si>
    <t>IND/MEL/00966</t>
  </si>
  <si>
    <t>MHA/IND/01058</t>
  </si>
  <si>
    <t>IND/MEL/00967</t>
  </si>
  <si>
    <t>MHA/IND/01059</t>
  </si>
  <si>
    <t>IND/MEL/00968</t>
  </si>
  <si>
    <t>MHA/IND/01060</t>
  </si>
  <si>
    <t>IND/MEL/00969</t>
  </si>
  <si>
    <t>MHA/IND/01061</t>
  </si>
  <si>
    <t>IND/MEL/00970</t>
  </si>
  <si>
    <t>MHA/IND/01062</t>
  </si>
  <si>
    <t>IND/MEL/00971</t>
  </si>
  <si>
    <t>MHA/IND/01063</t>
  </si>
  <si>
    <t>IND/MEL/00972</t>
  </si>
  <si>
    <t>MHA/IND/01064</t>
  </si>
  <si>
    <t>IND/MEL/00973</t>
  </si>
  <si>
    <t>MHA/IND/01065</t>
  </si>
  <si>
    <t>IND/MEL/00974</t>
  </si>
  <si>
    <t>MHA/IND/01066</t>
  </si>
  <si>
    <t>IND/MEL/00975</t>
  </si>
  <si>
    <t>MHA/IND/01067</t>
  </si>
  <si>
    <t>IND/MEL/00976</t>
  </si>
  <si>
    <t>MHA/IND/01068</t>
  </si>
  <si>
    <t>IND/MEL/00977</t>
  </si>
  <si>
    <t>MHA/IND/01069</t>
  </si>
  <si>
    <t>IND/MEL/00978</t>
  </si>
  <si>
    <t>MHA/IND/01070</t>
  </si>
  <si>
    <t>IND/MEL/00979</t>
  </si>
  <si>
    <t>MHA/IND/01071</t>
  </si>
  <si>
    <t>IND/MEL/00980</t>
  </si>
  <si>
    <t>MHA/IND/01072</t>
  </si>
  <si>
    <t>IND/MEL/00981</t>
  </si>
  <si>
    <t>MHA/IND/01073</t>
  </si>
  <si>
    <t>IND/MEL/00982</t>
  </si>
  <si>
    <t>MHA/IND/01074</t>
  </si>
  <si>
    <t>IND/MEL/00983</t>
  </si>
  <si>
    <t>MHA/IND/01075</t>
  </si>
  <si>
    <t>IND/MEL/00984</t>
  </si>
  <si>
    <t>MHA/IND/01076</t>
  </si>
  <si>
    <t>IND/MEL/00985</t>
  </si>
  <si>
    <t>MHA/IND/01077</t>
  </si>
  <si>
    <t>IND/MEL/00986</t>
  </si>
  <si>
    <t>MHA/IND/01078</t>
  </si>
  <si>
    <t>IND/MEL/00987</t>
  </si>
  <si>
    <t>MHA/IND/01079</t>
  </si>
  <si>
    <t>IND/MEL/00988</t>
  </si>
  <si>
    <t>MHA/IND/01080</t>
  </si>
  <si>
    <t>NORTH LEONARD</t>
  </si>
  <si>
    <t>IND/MEL/00989</t>
  </si>
  <si>
    <t>Cristian Duffy</t>
  </si>
  <si>
    <t>Sarah Weaver</t>
  </si>
  <si>
    <t>2679 Bender Stravenue</t>
  </si>
  <si>
    <t>Apt. 991</t>
  </si>
  <si>
    <t>PIN:36472 LAKE JAMES</t>
  </si>
  <si>
    <t>MHA/IND/01081</t>
  </si>
  <si>
    <t>IND/MEL/00990</t>
  </si>
  <si>
    <t>GAILBURGH</t>
  </si>
  <si>
    <t>IND/MEL/00991</t>
  </si>
  <si>
    <t>Richard White</t>
  </si>
  <si>
    <t>Jeanne Baker</t>
  </si>
  <si>
    <t>730 Patton Roads Suite 968</t>
  </si>
  <si>
    <t>Apt. 059</t>
  </si>
  <si>
    <t>PIN:12864 HOPKINSSTAD</t>
  </si>
  <si>
    <t>MHA/IND/01082</t>
  </si>
  <si>
    <t>IND/MEL/00992</t>
  </si>
  <si>
    <t>SOUTH BRIAN</t>
  </si>
  <si>
    <t>IND/MEL/00993</t>
  </si>
  <si>
    <t>Maurice Davis</t>
  </si>
  <si>
    <t>Angela Brown MD</t>
  </si>
  <si>
    <t>178 Gomez Brook</t>
  </si>
  <si>
    <t>Apt. 678</t>
  </si>
  <si>
    <t>PIN:37134 JORDANHAVEN</t>
  </si>
  <si>
    <t>MHA/IND/01083</t>
  </si>
  <si>
    <t>IND/MEL/00994</t>
  </si>
  <si>
    <t>SARAHBURY</t>
  </si>
  <si>
    <t>IND/MEL/00995</t>
  </si>
  <si>
    <t>Bryan Mayer</t>
  </si>
  <si>
    <t>Misty Jackson DDS</t>
  </si>
  <si>
    <t>68226 Hill Stravenue</t>
  </si>
  <si>
    <t>Apt. 954</t>
  </si>
  <si>
    <t>PIN:73369 AMYPORT</t>
  </si>
  <si>
    <t>MHA/IND/01084</t>
  </si>
  <si>
    <t>IND/MEL/00996</t>
  </si>
  <si>
    <t>PORT BETHANYVIEW</t>
  </si>
  <si>
    <t>IND/MEL/00997</t>
  </si>
  <si>
    <t>David Brandt</t>
  </si>
  <si>
    <t>Amanda Lawson</t>
  </si>
  <si>
    <t>12541 Casey Landing</t>
  </si>
  <si>
    <t>Suite 978</t>
  </si>
  <si>
    <t>PIN:86124 PORT WANDA</t>
  </si>
  <si>
    <t>MHA/IND/01085</t>
  </si>
  <si>
    <t>IND/MEL/00998</t>
  </si>
  <si>
    <t>HERRERABURGH</t>
  </si>
  <si>
    <t>IND/MEL/00999</t>
  </si>
  <si>
    <t>Christopher Brown</t>
  </si>
  <si>
    <t>Lisa Jones</t>
  </si>
  <si>
    <t>7447 Chad Estate</t>
  </si>
  <si>
    <t>Apt. 153</t>
  </si>
  <si>
    <t>PIN:74060 AMYSIDE</t>
  </si>
  <si>
    <t>MHA/IND/01086</t>
  </si>
  <si>
    <t>IND/MEL/01000</t>
  </si>
  <si>
    <t>KINGTOWN</t>
  </si>
  <si>
    <t>IND/MEL/01001</t>
  </si>
  <si>
    <t>Alex Ruiz</t>
  </si>
  <si>
    <t>Miss Teresa Hernandez</t>
  </si>
  <si>
    <t>2500 Alicia Squares Suite 319</t>
  </si>
  <si>
    <t>Apt. 911</t>
  </si>
  <si>
    <t>PIN:51258 GARYFORT</t>
  </si>
  <si>
    <t>MHA/IND/01087</t>
  </si>
  <si>
    <t>IND/MEL/01002</t>
  </si>
  <si>
    <t>BOYDVILLE</t>
  </si>
  <si>
    <t>IND/MEL/01003</t>
  </si>
  <si>
    <t>Frank Gonzalez</t>
  </si>
  <si>
    <t>Jennifer Powell</t>
  </si>
  <si>
    <t>967 Devin Rue Suite 129</t>
  </si>
  <si>
    <t>Apt. 860</t>
  </si>
  <si>
    <t>PIN:73321 PORT MICHAELTON</t>
  </si>
  <si>
    <t>MHA/IND/01088</t>
  </si>
  <si>
    <t>IND/MEL/01004</t>
  </si>
  <si>
    <t>LAKE ALEXISHAVEN</t>
  </si>
  <si>
    <t>IND/MEL/01005</t>
  </si>
  <si>
    <t>Ronald Mcdowell</t>
  </si>
  <si>
    <t>Lauren Howe</t>
  </si>
  <si>
    <t>07857 James Fork</t>
  </si>
  <si>
    <t>Apt. 135</t>
  </si>
  <si>
    <t>PIN:30488 HUGHESBOROUGH</t>
  </si>
  <si>
    <t>MHA/IND/01089</t>
  </si>
  <si>
    <t>IND/MEL/01006</t>
  </si>
  <si>
    <t>ROBERTMOUTH</t>
  </si>
  <si>
    <t>IND/MEL/01007</t>
  </si>
  <si>
    <t>Kenneth Turner</t>
  </si>
  <si>
    <t>Jessica Mcguire</t>
  </si>
  <si>
    <t>855 Timothy Stream Suite 051</t>
  </si>
  <si>
    <t>Suite 297</t>
  </si>
  <si>
    <t>PIN:78523 POTTERBURY</t>
  </si>
  <si>
    <t>MHA/IND/01090</t>
  </si>
  <si>
    <t>IND/MEL/01008</t>
  </si>
  <si>
    <t>EAST DEREK</t>
  </si>
  <si>
    <t>IND/MEL/01009</t>
  </si>
  <si>
    <t>Joshua Mccoy</t>
  </si>
  <si>
    <t>Kelly Cain</t>
  </si>
  <si>
    <t>205 Phillips Lane Suite 650</t>
  </si>
  <si>
    <t>Suite 714</t>
  </si>
  <si>
    <t>PIN:73709 EDWARDSIDE</t>
  </si>
  <si>
    <t>MHA/IND/01091</t>
  </si>
  <si>
    <t>IND/MEL/01010</t>
  </si>
  <si>
    <t>MASSEYFURT</t>
  </si>
  <si>
    <t>IND/MEL/01011</t>
  </si>
  <si>
    <t>Marvin Young</t>
  </si>
  <si>
    <t>Barbara White</t>
  </si>
  <si>
    <t>95822 Brown Springs Apt. 401</t>
  </si>
  <si>
    <t>Suite 076</t>
  </si>
  <si>
    <t>PIN:48135 MICHELELAND</t>
  </si>
  <si>
    <t>MHA/IND/01092</t>
  </si>
  <si>
    <t>IND/MEL/01012</t>
  </si>
  <si>
    <t>NEW PATRICIABURGH</t>
  </si>
  <si>
    <t>IND/MEL/01013</t>
  </si>
  <si>
    <t>Robert Kim</t>
  </si>
  <si>
    <t>Nicole Tucker</t>
  </si>
  <si>
    <t>1979 Woods Union</t>
  </si>
  <si>
    <t>Apt. 325</t>
  </si>
  <si>
    <t>PIN:84616 BOOKERBURY</t>
  </si>
  <si>
    <t>MHA/IND/01093</t>
  </si>
  <si>
    <t>IND/MEL/01014</t>
  </si>
  <si>
    <t>CHERYLTOWN</t>
  </si>
  <si>
    <t>IND/MEL/01015</t>
  </si>
  <si>
    <t>Jonathan Lewis</t>
  </si>
  <si>
    <t>Brittany West</t>
  </si>
  <si>
    <t>743 William Plains</t>
  </si>
  <si>
    <t>Apt. 288</t>
  </si>
  <si>
    <t>PIN:43918 SHAWSTAD</t>
  </si>
  <si>
    <t>MHA/IND/01094</t>
  </si>
  <si>
    <t>IND/MEL/01016</t>
  </si>
  <si>
    <t>KAUFMANTOWN</t>
  </si>
  <si>
    <t>IND/MEL/01017</t>
  </si>
  <si>
    <t>Brandon Johnson</t>
  </si>
  <si>
    <t>Laura Lopez</t>
  </si>
  <si>
    <t>9967 Joseph Mall Suite 809</t>
  </si>
  <si>
    <t>Apt. 401</t>
  </si>
  <si>
    <t>PIN:54981 HILLSIDE</t>
  </si>
  <si>
    <t>MHA/IND/01095</t>
  </si>
  <si>
    <t>IND/MEL/01018</t>
  </si>
  <si>
    <t>PORT NICHOLAS</t>
  </si>
  <si>
    <t>IND/MEL/01019</t>
  </si>
  <si>
    <t>Joel Rubio</t>
  </si>
  <si>
    <t>Melissa Anderson</t>
  </si>
  <si>
    <t>4137 Ricky Forest</t>
  </si>
  <si>
    <t>Suite 210</t>
  </si>
  <si>
    <t>PIN:48499 NEW ELIZABETH</t>
  </si>
  <si>
    <t>MHA/IND/01096</t>
  </si>
  <si>
    <t>IND/MEL/01020</t>
  </si>
  <si>
    <t>COLLEENMOUTH</t>
  </si>
  <si>
    <t>IND/MEL/01021</t>
  </si>
  <si>
    <t>Mark Mitchell</t>
  </si>
  <si>
    <t>Jamie Caldwell</t>
  </si>
  <si>
    <t>44946 Phillip Springs Apt. 733</t>
  </si>
  <si>
    <t>Apt. 493</t>
  </si>
  <si>
    <t>PIN:30508 REEDBERG</t>
  </si>
  <si>
    <t>MHA/IND/01097</t>
  </si>
  <si>
    <t>IND/MEL/01022</t>
  </si>
  <si>
    <t>DAVISHAVEN</t>
  </si>
  <si>
    <t>IND/MEL/01023</t>
  </si>
  <si>
    <t>Michael Horton</t>
  </si>
  <si>
    <t>Tammy Graves</t>
  </si>
  <si>
    <t>549 Stacy Plaza</t>
  </si>
  <si>
    <t>Suite 690</t>
  </si>
  <si>
    <t>PIN:15569 SOUTH EMILYBOROUGH</t>
  </si>
  <si>
    <t>MHA/IND/01098</t>
  </si>
  <si>
    <t>IND/MEL/01024</t>
  </si>
  <si>
    <t>WEST TERESA</t>
  </si>
  <si>
    <t>IND/MEL/01025</t>
  </si>
  <si>
    <t>Gregory Smith</t>
  </si>
  <si>
    <t>Melinda Lester</t>
  </si>
  <si>
    <t>94102 Lawrence Points</t>
  </si>
  <si>
    <t>Suite 024</t>
  </si>
  <si>
    <t>PIN:84426 KELLYBOROUGH</t>
  </si>
  <si>
    <t>MHA/IND/01099</t>
  </si>
  <si>
    <t>IND/MEL/01026</t>
  </si>
  <si>
    <t>SOUTH RACHELMOUTH</t>
  </si>
  <si>
    <t>IND/MEL/01027</t>
  </si>
  <si>
    <t>Michael Lee</t>
  </si>
  <si>
    <t>Donna Turner</t>
  </si>
  <si>
    <t>2187 Shah Wells Suite 729</t>
  </si>
  <si>
    <t>Suite 647</t>
  </si>
  <si>
    <t>PIN:40828 NORTH EMILY</t>
  </si>
  <si>
    <t>MHA/IND/01100</t>
  </si>
  <si>
    <t>IND/MEL/01028</t>
  </si>
  <si>
    <t>EAST JOSEPH</t>
  </si>
  <si>
    <t>IND/MEL/01029</t>
  </si>
  <si>
    <t>Christopher Mccullough</t>
  </si>
  <si>
    <t>Laura Bailey</t>
  </si>
  <si>
    <t>248 Hannah Flat</t>
  </si>
  <si>
    <t>Suite 858</t>
  </si>
  <si>
    <t>PIN:23218 BRIGGSSTAD</t>
  </si>
  <si>
    <t>MHA/IND/01101</t>
  </si>
  <si>
    <t>IND/MEL/01030</t>
  </si>
  <si>
    <t>VICTORIASIDE</t>
  </si>
  <si>
    <t>IND/MEL/01031</t>
  </si>
  <si>
    <t>Nathan Peterson</t>
  </si>
  <si>
    <t>Amber Young</t>
  </si>
  <si>
    <t>73050 Brian Village</t>
  </si>
  <si>
    <t>Apt. 784</t>
  </si>
  <si>
    <t>PIN:47650 WEST STANLEY</t>
  </si>
  <si>
    <t>MHA/IND/01102</t>
  </si>
  <si>
    <t>IND/MEL/01032</t>
  </si>
  <si>
    <t>THOMPSONTOWN</t>
  </si>
  <si>
    <t>IND/MEL/01033</t>
  </si>
  <si>
    <t>Charles Skinner</t>
  </si>
  <si>
    <t>Jessica Gutierrez</t>
  </si>
  <si>
    <t>47700 Cameron Islands Apt. 945</t>
  </si>
  <si>
    <t>Suite 157</t>
  </si>
  <si>
    <t>PIN:37858 NORTH RONNIE</t>
  </si>
  <si>
    <t>MHA/IND/01103</t>
  </si>
  <si>
    <t>IND/MEL/01034</t>
  </si>
  <si>
    <t>LAKE TREVORFORT</t>
  </si>
  <si>
    <t>IND/MEL/01035</t>
  </si>
  <si>
    <t>Nathan Gomez</t>
  </si>
  <si>
    <t>Amy Mora</t>
  </si>
  <si>
    <t>21161 Gibson Lodge</t>
  </si>
  <si>
    <t>Suite 667</t>
  </si>
  <si>
    <t>PIN:07129 SOUTH KRISTIN</t>
  </si>
  <si>
    <t>MHA/IND/01104</t>
  </si>
  <si>
    <t>IND/MEL/01036</t>
  </si>
  <si>
    <t>BROOKSBERG</t>
  </si>
  <si>
    <t>IND/MEL/01037</t>
  </si>
  <si>
    <t>Jeffrey Baker</t>
  </si>
  <si>
    <t>Elizabeth Kim</t>
  </si>
  <si>
    <t>068 Brent Summit Apt. 991</t>
  </si>
  <si>
    <t>Apt. 866</t>
  </si>
  <si>
    <t>PIN:87903 NEW KATELYN</t>
  </si>
  <si>
    <t>MHA/IND/01105</t>
  </si>
  <si>
    <t>IND/MEL/01038</t>
  </si>
  <si>
    <t>NEW EMILYTON</t>
  </si>
  <si>
    <t>IND/MEL/01039</t>
  </si>
  <si>
    <t>Brandon Smith</t>
  </si>
  <si>
    <t>Jody Brown</t>
  </si>
  <si>
    <t>2543 Bennett Well</t>
  </si>
  <si>
    <t>Apt. 675</t>
  </si>
  <si>
    <t>PIN:56240 DOUGLASMOUTH</t>
  </si>
  <si>
    <t>MHA/IND/01106</t>
  </si>
  <si>
    <t>IND/MEL/01040</t>
  </si>
  <si>
    <t>WALKERSHIRE</t>
  </si>
  <si>
    <t>IND/MEL/01041</t>
  </si>
  <si>
    <t>Edward Phillips</t>
  </si>
  <si>
    <t>Ashley Powell</t>
  </si>
  <si>
    <t>61754 Reilly Shores</t>
  </si>
  <si>
    <t>Suite 213</t>
  </si>
  <si>
    <t>PIN:03313 SOUTH KEVIN</t>
  </si>
  <si>
    <t>MHA/IND/01107</t>
  </si>
  <si>
    <t>IND/MEL/01042</t>
  </si>
  <si>
    <t>LOGANBERG</t>
  </si>
  <si>
    <t>IND/MEL/01043</t>
  </si>
  <si>
    <t>Christopher Suarez</t>
  </si>
  <si>
    <t>Jennifer Schneider</t>
  </si>
  <si>
    <t>322 Hartman Extensions Suite 854</t>
  </si>
  <si>
    <t>Apt. 763</t>
  </si>
  <si>
    <t>PIN:35770 NORTH DONNACHESTER</t>
  </si>
  <si>
    <t>MHA/IND/01108</t>
  </si>
  <si>
    <t>IND/MEL/01044</t>
  </si>
  <si>
    <t>WEST DALEFURT</t>
  </si>
  <si>
    <t>IND/MEL/01045</t>
  </si>
  <si>
    <t>Ricardo Black</t>
  </si>
  <si>
    <t>Nicole Hayes</t>
  </si>
  <si>
    <t>318 Willie Via</t>
  </si>
  <si>
    <t>Suite 613</t>
  </si>
  <si>
    <t>PIN:65403 COLLINSSHIRE</t>
  </si>
  <si>
    <t>MHA/IND/01109</t>
  </si>
  <si>
    <t>IND/MEL/01046</t>
  </si>
  <si>
    <t>PORT WILLIAMMOUTH</t>
  </si>
  <si>
    <t>IND/MEL/01047</t>
  </si>
  <si>
    <t>Bradley Castro</t>
  </si>
  <si>
    <t>Pamela Roberts</t>
  </si>
  <si>
    <t>7936 Lopez Club</t>
  </si>
  <si>
    <t>Apt. 337</t>
  </si>
  <si>
    <t>PIN:61936 MICHELEMOUTH</t>
  </si>
  <si>
    <t>MHA/IND/01110</t>
  </si>
  <si>
    <t>IND/MEL/01048</t>
  </si>
  <si>
    <t>ANGELAVILLE</t>
  </si>
  <si>
    <t>IND/MEL/01049</t>
  </si>
  <si>
    <t>David Myers</t>
  </si>
  <si>
    <t>Stephanie Ferguson</t>
  </si>
  <si>
    <t>4818 Kevin Crest</t>
  </si>
  <si>
    <t>Apt. 789</t>
  </si>
  <si>
    <t>PIN:83240 EAST WILLIAM</t>
  </si>
  <si>
    <t>MHA/IND/01111</t>
  </si>
  <si>
    <t>IND/MEL/01050</t>
  </si>
  <si>
    <t>PORT WENDY</t>
  </si>
  <si>
    <t>IND/MEL/01051</t>
  </si>
  <si>
    <t>John Oconnor</t>
  </si>
  <si>
    <t>Lauren Bullock</t>
  </si>
  <si>
    <t>50762 Duran Shoals Suite 408</t>
  </si>
  <si>
    <t>Apt. 399</t>
  </si>
  <si>
    <t>PIN:56202 TOWNSENDVILLE</t>
  </si>
  <si>
    <t>MHA/IND/01112</t>
  </si>
  <si>
    <t>IND/MEL/01052</t>
  </si>
  <si>
    <t>WEST JOSE</t>
  </si>
  <si>
    <t>IND/MEL/01053</t>
  </si>
  <si>
    <t>Evan Ramos</t>
  </si>
  <si>
    <t>Angela Kennedy</t>
  </si>
  <si>
    <t>5568 Bell Orchard</t>
  </si>
  <si>
    <t>Suite 592</t>
  </si>
  <si>
    <t>PIN:67840 JASMINEVIEW</t>
  </si>
  <si>
    <t>MHA/IND/01113</t>
  </si>
  <si>
    <t>IND/MEL/01054</t>
  </si>
  <si>
    <t>NEW ELIZABETH</t>
  </si>
  <si>
    <t>IND/MEL/01055</t>
  </si>
  <si>
    <t>Jacob Bates</t>
  </si>
  <si>
    <t>Jillian Williams</t>
  </si>
  <si>
    <t>27246 Anthony Ways Suite 909</t>
  </si>
  <si>
    <t>Suite 087</t>
  </si>
  <si>
    <t>PIN:12448 RYANFORT</t>
  </si>
  <si>
    <t>MHA/IND/01114</t>
  </si>
  <si>
    <t>IND/MEL/01056</t>
  </si>
  <si>
    <t>WEST ANTHONY</t>
  </si>
  <si>
    <t>IND/MEL/01057</t>
  </si>
  <si>
    <t>Corey Gill</t>
  </si>
  <si>
    <t>Ashley Kent</t>
  </si>
  <si>
    <t>836 Harris Harbors</t>
  </si>
  <si>
    <t>Suite 454</t>
  </si>
  <si>
    <t>PIN:20523 BRANDONFURT</t>
  </si>
  <si>
    <t>MHA/IND/01115</t>
  </si>
  <si>
    <t>IND/MEL/01058</t>
  </si>
  <si>
    <t>NEW GLORIABURY</t>
  </si>
  <si>
    <t>IND/MEL/01059</t>
  </si>
  <si>
    <t>Kristopher Burton</t>
  </si>
  <si>
    <t>Tasha Lawrence</t>
  </si>
  <si>
    <t>624 Adams Pike Apt. 094</t>
  </si>
  <si>
    <t>Suite 608</t>
  </si>
  <si>
    <t>PIN:43743 NORTH MELISSA</t>
  </si>
  <si>
    <t>MHA/IND/01116</t>
  </si>
  <si>
    <t>IND/MEL/01060</t>
  </si>
  <si>
    <t>PORT DOUGLAS</t>
  </si>
  <si>
    <t>IND/MEL/01061</t>
  </si>
  <si>
    <t>William Jackson</t>
  </si>
  <si>
    <t>Linda Beasley</t>
  </si>
  <si>
    <t>48743 Nichols Unions Apt. 060</t>
  </si>
  <si>
    <t>Suite 073</t>
  </si>
  <si>
    <t>PIN:91349 NORTH LAURA</t>
  </si>
  <si>
    <t>MHA/IND/01117</t>
  </si>
  <si>
    <t>IND/MEL/01062</t>
  </si>
  <si>
    <t>EAST COURTNEY</t>
  </si>
  <si>
    <t>IND/MEL/01063</t>
  </si>
  <si>
    <t>David Bowen</t>
  </si>
  <si>
    <t>Deanna Smith</t>
  </si>
  <si>
    <t>817 Sarah Islands Apt. 423</t>
  </si>
  <si>
    <t>Suite 566</t>
  </si>
  <si>
    <t>PIN:25841 LAKE KRISTEN</t>
  </si>
  <si>
    <t>MHA/IND/01118</t>
  </si>
  <si>
    <t>IND/MEL/01064</t>
  </si>
  <si>
    <t>TAMARASHIRE</t>
  </si>
  <si>
    <t>IND/MEL/01065</t>
  </si>
  <si>
    <t>Austin Edwards</t>
  </si>
  <si>
    <t>Kristen Griffin</t>
  </si>
  <si>
    <t>53414 Kim Avenue Suite 622</t>
  </si>
  <si>
    <t>Apt. 746</t>
  </si>
  <si>
    <t>PIN:36369 THOMASBURY</t>
  </si>
  <si>
    <t>MHA/IND/01119</t>
  </si>
  <si>
    <t>IND/MEL/01066</t>
  </si>
  <si>
    <t>LOGANMOUTH</t>
  </si>
  <si>
    <t>IND/MEL/01067</t>
  </si>
  <si>
    <t>Matthew Baker</t>
  </si>
  <si>
    <t>Angela Hamilton</t>
  </si>
  <si>
    <t>253 Donna Creek</t>
  </si>
  <si>
    <t>Suite 852</t>
  </si>
  <si>
    <t>PIN:96824 SOUTH LAURENBERG</t>
  </si>
  <si>
    <t>MHA/IND/01120</t>
  </si>
  <si>
    <t>IND/MEL/01068</t>
  </si>
  <si>
    <t>JASONMOUTH</t>
  </si>
  <si>
    <t>IND/MEL/01069</t>
  </si>
  <si>
    <t>Nicholas Lopez</t>
  </si>
  <si>
    <t>Bethany Romero</t>
  </si>
  <si>
    <t>8328 Bass Freeway Apt. 037</t>
  </si>
  <si>
    <t>Apt. 375</t>
  </si>
  <si>
    <t>PIN:42375 MARIATON</t>
  </si>
  <si>
    <t>MHA/IND/01121</t>
  </si>
  <si>
    <t>IND/MEL/01070</t>
  </si>
  <si>
    <t>NORTH DAVID</t>
  </si>
  <si>
    <t>IND/MEL/01071</t>
  </si>
  <si>
    <t>Matthew Taylor</t>
  </si>
  <si>
    <t>Megan Silva</t>
  </si>
  <si>
    <t>99130 Kathryn Brook Suite 994</t>
  </si>
  <si>
    <t>Apt. 872</t>
  </si>
  <si>
    <t>PIN:67258 LOPEZMOUTH</t>
  </si>
  <si>
    <t>MHA/IND/01122</t>
  </si>
  <si>
    <t>IND/MEL/01072</t>
  </si>
  <si>
    <t>LAKE DIANA</t>
  </si>
  <si>
    <t>IND/MEL/01073</t>
  </si>
  <si>
    <t>Steven Gomez</t>
  </si>
  <si>
    <t>Brandy Cabrera</t>
  </si>
  <si>
    <t>4204 Henderson Branch Suite 280</t>
  </si>
  <si>
    <t>Suite 269</t>
  </si>
  <si>
    <t>PIN:05616 WEST JULIELAND</t>
  </si>
  <si>
    <t>MHA/IND/01123</t>
  </si>
  <si>
    <t>IND/MEL/01074</t>
  </si>
  <si>
    <t>EAST CONNIE</t>
  </si>
  <si>
    <t>IND/MEL/01075</t>
  </si>
  <si>
    <t>Jose Peterson</t>
  </si>
  <si>
    <t>Deborah Brandt</t>
  </si>
  <si>
    <t>332 Erickson Ports Apt. 733</t>
  </si>
  <si>
    <t>Suite 554</t>
  </si>
  <si>
    <t>PIN:91952 PETERSENTOWN</t>
  </si>
  <si>
    <t>MHA/IND/01124</t>
  </si>
  <si>
    <t>IND/MEL/01076</t>
  </si>
  <si>
    <t>NORTH MEGANPORT</t>
  </si>
  <si>
    <t>IND/MEL/01077</t>
  </si>
  <si>
    <t>Ricky Brown</t>
  </si>
  <si>
    <t>Christine Anderson</t>
  </si>
  <si>
    <t>5163 Roberts Stream</t>
  </si>
  <si>
    <t>Apt. 078</t>
  </si>
  <si>
    <t>PIN:34147 NEW MEGANCHESTER</t>
  </si>
  <si>
    <t>MHA/IND/01125</t>
  </si>
  <si>
    <t>IND/MEL/01078</t>
  </si>
  <si>
    <t>NEW MARY</t>
  </si>
  <si>
    <t>IND/MEL/01079</t>
  </si>
  <si>
    <t>John Williams</t>
  </si>
  <si>
    <t>Robin Holmes</t>
  </si>
  <si>
    <t>608 Bell Freeway</t>
  </si>
  <si>
    <t>Suite 328</t>
  </si>
  <si>
    <t>PIN:87436 PORT KRISTINA</t>
  </si>
  <si>
    <t>MHA/IND/01126</t>
  </si>
  <si>
    <t>IND/MEL/01080</t>
  </si>
  <si>
    <t>CASSANDRA BRADY</t>
  </si>
  <si>
    <t>ASHLEYHAVEN</t>
  </si>
  <si>
    <t>IND/MEL/01081</t>
  </si>
  <si>
    <t>Michael Bryant</t>
  </si>
  <si>
    <t>Lindsay Campbell</t>
  </si>
  <si>
    <t>835 Whitney Club Suite 518</t>
  </si>
  <si>
    <t>Apt. 286</t>
  </si>
  <si>
    <t>PIN:38138 LARSONFURT</t>
  </si>
  <si>
    <t>MHA/IND/01127</t>
  </si>
  <si>
    <t>PAMELA JONES</t>
  </si>
  <si>
    <t>IND/MEL/01082</t>
  </si>
  <si>
    <t>DYLAN RICHMOND</t>
  </si>
  <si>
    <t>DAVISCHESTER</t>
  </si>
  <si>
    <t>IND/MEL/01083</t>
  </si>
  <si>
    <t>Caitlyn Lopez</t>
  </si>
  <si>
    <t>06236 Norris Keys</t>
  </si>
  <si>
    <t>Suite 685</t>
  </si>
  <si>
    <t>PIN:14411 LYNNMOUTH</t>
  </si>
  <si>
    <t>MHA/IND/01128</t>
  </si>
  <si>
    <t>CRYSTAL BROWN</t>
  </si>
  <si>
    <t>IND/MEL/01084</t>
  </si>
  <si>
    <t>REBECCA PRINCE</t>
  </si>
  <si>
    <t>NORTH LAURA</t>
  </si>
  <si>
    <t>IND/MEL/01085</t>
  </si>
  <si>
    <t>Paul Gonzales</t>
  </si>
  <si>
    <t>Erika Miller</t>
  </si>
  <si>
    <t>8805 Matthew Stream</t>
  </si>
  <si>
    <t>Suite 204</t>
  </si>
  <si>
    <t>PIN:91591 NEW MATTHEWTON</t>
  </si>
  <si>
    <t>MHA/IND/01129</t>
  </si>
  <si>
    <t>KRISTIN SCHWARTZ MD</t>
  </si>
  <si>
    <t>IND/MEL/01086</t>
  </si>
  <si>
    <t>JESSICA SANDERS</t>
  </si>
  <si>
    <t>KELLIVILLE</t>
  </si>
  <si>
    <t>IND/MEL/01087</t>
  </si>
  <si>
    <t>Jeremy White</t>
  </si>
  <si>
    <t>Tara Mccoy</t>
  </si>
  <si>
    <t>990 Jessica Crest</t>
  </si>
  <si>
    <t>Apt. 706</t>
  </si>
  <si>
    <t>PIN:05017 CHRISTIANVIEW</t>
  </si>
  <si>
    <t>MHA/IND/01130</t>
  </si>
  <si>
    <t>PATRICK JONES</t>
  </si>
  <si>
    <t>IND/MEL/01088</t>
  </si>
  <si>
    <t>TODD MILLER</t>
  </si>
  <si>
    <t>LAURENPORT</t>
  </si>
  <si>
    <t>IND/MEL/01089</t>
  </si>
  <si>
    <t>William Mccoy</t>
  </si>
  <si>
    <t>Lauren Gregory</t>
  </si>
  <si>
    <t>72700 Jennifer Parkways Suite 651</t>
  </si>
  <si>
    <t>Apt. 291</t>
  </si>
  <si>
    <t>PIN:34580 WRIGHTMOUTH</t>
  </si>
  <si>
    <t>MHA/IND/01131</t>
  </si>
  <si>
    <t>BRANDON SIMPSON</t>
  </si>
  <si>
    <t>IND/MEL/01090</t>
  </si>
  <si>
    <t>ANNA BOOKER</t>
  </si>
  <si>
    <t>ERICFORT</t>
  </si>
  <si>
    <t>IND/MEL/01091</t>
  </si>
  <si>
    <t>William Mckinney</t>
  </si>
  <si>
    <t>Sara Garcia</t>
  </si>
  <si>
    <t>358 Butler Summit</t>
  </si>
  <si>
    <t>Suite 682</t>
  </si>
  <si>
    <t>PIN:26130 NEW APRIL</t>
  </si>
  <si>
    <t>MHA/IND/01132</t>
  </si>
  <si>
    <t>GARY MASON</t>
  </si>
  <si>
    <t>IND/MEL/01092</t>
  </si>
  <si>
    <t>DAVID BLAIR</t>
  </si>
  <si>
    <t>NEW JARED</t>
  </si>
  <si>
    <t>IND/MEL/01093</t>
  </si>
  <si>
    <t>Martin Stewart</t>
  </si>
  <si>
    <t>Tammy Rodriguez</t>
  </si>
  <si>
    <t>712 Holder Knolls</t>
  </si>
  <si>
    <t>Suite 214</t>
  </si>
  <si>
    <t>PIN:46570 POWERSFORT</t>
  </si>
  <si>
    <t>MHA/IND/01133</t>
  </si>
  <si>
    <t>ZACHARY FISCHER</t>
  </si>
  <si>
    <t>IND/MEL/01094</t>
  </si>
  <si>
    <t>MARY PERRY</t>
  </si>
  <si>
    <t>LAKE DAVID</t>
  </si>
  <si>
    <t>IND/MEL/01095</t>
  </si>
  <si>
    <t>James Ball</t>
  </si>
  <si>
    <t>Jennifer Swanson</t>
  </si>
  <si>
    <t>095 Christina Trail</t>
  </si>
  <si>
    <t>Suite 143</t>
  </si>
  <si>
    <t>PIN:02209 NORTH THERESABURGH</t>
  </si>
  <si>
    <t>MHA/IND/01134</t>
  </si>
  <si>
    <t>ANDREW ANDRADE</t>
  </si>
  <si>
    <t>IND/MEL/01096</t>
  </si>
  <si>
    <t>TYLER MOORE</t>
  </si>
  <si>
    <t>NORTH DAVIDTOWN</t>
  </si>
  <si>
    <t>IND/MEL/01097</t>
  </si>
  <si>
    <t>John Ruiz</t>
  </si>
  <si>
    <t>Carla Kim</t>
  </si>
  <si>
    <t>94910 Thomas Turnpike Suite 782</t>
  </si>
  <si>
    <t>Apt. 633</t>
  </si>
  <si>
    <t>PIN:97120 NORTH CORYMOUTH</t>
  </si>
  <si>
    <t>MHA/IND/01135</t>
  </si>
  <si>
    <t>CONNIE MAXWELL</t>
  </si>
  <si>
    <t>IND/MEL/01098</t>
  </si>
  <si>
    <t>CHRISTOPHER ALI</t>
  </si>
  <si>
    <t>EAST LARRYBURGH</t>
  </si>
  <si>
    <t>IND/MEL/01099</t>
  </si>
  <si>
    <t>Alex Lopez</t>
  </si>
  <si>
    <t>Rachel Bradshaw</t>
  </si>
  <si>
    <t>91091 Hampton Highway Suite 967</t>
  </si>
  <si>
    <t>Suite 191</t>
  </si>
  <si>
    <t>PIN:50406 FERGUSONVILLE</t>
  </si>
  <si>
    <t>MHA/IND/01136</t>
  </si>
  <si>
    <t>ALEJANDRA BUTLER</t>
  </si>
  <si>
    <t>IND/MEL/01100</t>
  </si>
  <si>
    <t>RANDALL STONE</t>
  </si>
  <si>
    <t>JASONFURT</t>
  </si>
  <si>
    <t>IND/MEL/01101</t>
  </si>
  <si>
    <t>Ryan Buchanan</t>
  </si>
  <si>
    <t>Julie Crawford</t>
  </si>
  <si>
    <t>52457 Holland Islands Apt. 487</t>
  </si>
  <si>
    <t>Suite 180</t>
  </si>
  <si>
    <t>PIN:22260 WILLIAMBURGH</t>
  </si>
  <si>
    <t>MHA/IND/01137</t>
  </si>
  <si>
    <t>CAROL COOPER</t>
  </si>
  <si>
    <t>IND/MEL/01102</t>
  </si>
  <si>
    <t>KIMBERLY HARRISON</t>
  </si>
  <si>
    <t>WEST KRISTEN</t>
  </si>
  <si>
    <t>IND/MEL/01103</t>
  </si>
  <si>
    <t>John Ward</t>
  </si>
  <si>
    <t>Renee Fischer</t>
  </si>
  <si>
    <t>208 Kyle Estate</t>
  </si>
  <si>
    <t>Suite 899</t>
  </si>
  <si>
    <t>PIN:57455 SMITHFURT</t>
  </si>
  <si>
    <t>MHA/IND/01138</t>
  </si>
  <si>
    <t>ALAN KELLER</t>
  </si>
  <si>
    <t>IND/MEL/01104</t>
  </si>
  <si>
    <t>CATHY MOORE</t>
  </si>
  <si>
    <t>KENNETHTOWN</t>
  </si>
  <si>
    <t>IND/MEL/01105</t>
  </si>
  <si>
    <t>Andrew Levine</t>
  </si>
  <si>
    <t>Donna Hawkins</t>
  </si>
  <si>
    <t>1493 Ariel Brook</t>
  </si>
  <si>
    <t>Apt. 498</t>
  </si>
  <si>
    <t>PIN:10618 SOUTH PATRICKPORT</t>
  </si>
  <si>
    <t>MHA/IND/01139</t>
  </si>
  <si>
    <t>RANDY WILLIAMS</t>
  </si>
  <si>
    <t>IND/MEL/01106</t>
  </si>
  <si>
    <t>MELINDA JONES</t>
  </si>
  <si>
    <t>WARRENSTAD</t>
  </si>
  <si>
    <t>IND/MEL/01107</t>
  </si>
  <si>
    <t>Ryan Cole</t>
  </si>
  <si>
    <t>Kimberly Powell</t>
  </si>
  <si>
    <t>4960 Lorraine Creek</t>
  </si>
  <si>
    <t>Apt. 148</t>
  </si>
  <si>
    <t>PIN:22069 EAST ALEXANDRACHESTER</t>
  </si>
  <si>
    <t>MHA/IND/01140</t>
  </si>
  <si>
    <t>KATHLEEN YOUNG</t>
  </si>
  <si>
    <t>IND/MEL/01108</t>
  </si>
  <si>
    <t>KAREN LEE</t>
  </si>
  <si>
    <t>VINCENTBOROUGH</t>
  </si>
  <si>
    <t>IND/MEL/01109</t>
  </si>
  <si>
    <t>Craig Smith</t>
  </si>
  <si>
    <t>Taylor Lopez</t>
  </si>
  <si>
    <t>973 Macias Tunnel Apt. 004</t>
  </si>
  <si>
    <t>Suite 445</t>
  </si>
  <si>
    <t>PIN:41313 DAVIDBERG</t>
  </si>
  <si>
    <t>MHA/IND/01141</t>
  </si>
  <si>
    <t>TINA PEARSON</t>
  </si>
  <si>
    <t>IND/MEL/01110</t>
  </si>
  <si>
    <t>STACEY BAILEY</t>
  </si>
  <si>
    <t>NEW ROBERTFURT</t>
  </si>
  <si>
    <t>IND/MEL/01111</t>
  </si>
  <si>
    <t>Daniel Alvarez</t>
  </si>
  <si>
    <t>Mary Murphy</t>
  </si>
  <si>
    <t>9380 Jenna Mills Apt. 075</t>
  </si>
  <si>
    <t>Apt. 254</t>
  </si>
  <si>
    <t>PIN:61881 DAVILABURY</t>
  </si>
  <si>
    <t>MHA/IND/01142</t>
  </si>
  <si>
    <t>JUSTIN GUZMAN</t>
  </si>
  <si>
    <t>IND/MEL/01112</t>
  </si>
  <si>
    <t>BRYAN GARRETT</t>
  </si>
  <si>
    <t>GARYTOWN</t>
  </si>
  <si>
    <t>IND/MEL/01113</t>
  </si>
  <si>
    <t>Justin Nicholson</t>
  </si>
  <si>
    <t>Kristin Turner</t>
  </si>
  <si>
    <t>29433 Wright Wall Apt. 874</t>
  </si>
  <si>
    <t>Suite 888</t>
  </si>
  <si>
    <t>PIN:55344 PORT JENNIFERBURY</t>
  </si>
  <si>
    <t>MHA/IND/01143</t>
  </si>
  <si>
    <t>TONY CABRERA</t>
  </si>
  <si>
    <t>IND/MEL/01114</t>
  </si>
  <si>
    <t>DEVIN BAILEY</t>
  </si>
  <si>
    <t>KRISTENSHIRE</t>
  </si>
  <si>
    <t>IND/MEL/01115</t>
  </si>
  <si>
    <t>David Yu</t>
  </si>
  <si>
    <t>Jennifer Murphy</t>
  </si>
  <si>
    <t>02308 Ruiz Squares Apt. 083</t>
  </si>
  <si>
    <t>Apt. 225</t>
  </si>
  <si>
    <t>PIN:74968 POOLEFORT</t>
  </si>
  <si>
    <t>MHA/IND/01144</t>
  </si>
  <si>
    <t>CHRISTINA SMITH</t>
  </si>
  <si>
    <t>IND/MEL/01116</t>
  </si>
  <si>
    <t>ASHLEY HAWKINS</t>
  </si>
  <si>
    <t>NEW MELVINSIDE</t>
  </si>
  <si>
    <t>IND/MEL/01117</t>
  </si>
  <si>
    <t>Richard Hayes</t>
  </si>
  <si>
    <t>Deborah Gray</t>
  </si>
  <si>
    <t>114 Ingram River Suite 450</t>
  </si>
  <si>
    <t>Suite 572</t>
  </si>
  <si>
    <t>PIN:58440 ALEXISBERG</t>
  </si>
  <si>
    <t>MHA/IND/01145</t>
  </si>
  <si>
    <t>KIMBERLY HORTON</t>
  </si>
  <si>
    <t>IND/MEL/01118</t>
  </si>
  <si>
    <t>ROBERT REYES</t>
  </si>
  <si>
    <t>PORT THOMASBURY</t>
  </si>
  <si>
    <t>IND/MEL/01119</t>
  </si>
  <si>
    <t>Jared Evans</t>
  </si>
  <si>
    <t>Jennifer Medina</t>
  </si>
  <si>
    <t>7768 Anderson Drive</t>
  </si>
  <si>
    <t>Apt. 811</t>
  </si>
  <si>
    <t>PIN:36158 CODYSIDE</t>
  </si>
  <si>
    <t>MHA/IND/01146</t>
  </si>
  <si>
    <t>ROBERT COOKE</t>
  </si>
  <si>
    <t>IND/MEL/01120</t>
  </si>
  <si>
    <t>JOSEPH MOSES</t>
  </si>
  <si>
    <t>JEFFERSONBERG</t>
  </si>
  <si>
    <t>IND/MEL/01121</t>
  </si>
  <si>
    <t>Mr. Cory Matthews</t>
  </si>
  <si>
    <t>Judy Scott</t>
  </si>
  <si>
    <t>54256 Rhonda Fall</t>
  </si>
  <si>
    <t>Suite 778</t>
  </si>
  <si>
    <t>PIN:24510 CRYSTALFORT</t>
  </si>
  <si>
    <t>MHA/IND/01147</t>
  </si>
  <si>
    <t>MARY POOLE</t>
  </si>
  <si>
    <t>IND/MEL/01122</t>
  </si>
  <si>
    <t>ANNE JOHNSON</t>
  </si>
  <si>
    <t>SOUTH SARA</t>
  </si>
  <si>
    <t>IND/MEL/01123</t>
  </si>
  <si>
    <t>Ralph Wu</t>
  </si>
  <si>
    <t>Chelsea Hines</t>
  </si>
  <si>
    <t>817 Nancy Road Apt. 634</t>
  </si>
  <si>
    <t>Apt. 641</t>
  </si>
  <si>
    <t>PIN:24479 NEW RYANFORT</t>
  </si>
  <si>
    <t>MHA/IND/01148</t>
  </si>
  <si>
    <t>FREDERICK BROWN</t>
  </si>
  <si>
    <t>IND/MEL/01124</t>
  </si>
  <si>
    <t>SANDRA ANDERSON</t>
  </si>
  <si>
    <t>HALEFURT</t>
  </si>
  <si>
    <t>IND/MEL/01125</t>
  </si>
  <si>
    <t>Sean Martinez</t>
  </si>
  <si>
    <t>Jacqueline Snyder</t>
  </si>
  <si>
    <t>0375 Gerald Ferry Apt. 387</t>
  </si>
  <si>
    <t>Apt. 644</t>
  </si>
  <si>
    <t>PIN:71066 NORTH STEPHENFURT</t>
  </si>
  <si>
    <t>MHA/IND/01149</t>
  </si>
  <si>
    <t>ANGELA GUTIERREZ</t>
  </si>
  <si>
    <t>IND/MEL/01126</t>
  </si>
  <si>
    <t>CRAIG MARTIN</t>
  </si>
  <si>
    <t>EAST STEVENLAND</t>
  </si>
  <si>
    <t>IND/MEL/01127</t>
  </si>
  <si>
    <t>Todd Garcia</t>
  </si>
  <si>
    <t>Ruth Foley</t>
  </si>
  <si>
    <t>35061 Stephen Forges</t>
  </si>
  <si>
    <t>Suite 349</t>
  </si>
  <si>
    <t>PIN:94897 BALLTON</t>
  </si>
  <si>
    <t>MHA/IND/01150</t>
  </si>
  <si>
    <t>RACHEL CARTER</t>
  </si>
  <si>
    <t>IND/MEL/01128</t>
  </si>
  <si>
    <t>JACK SMITH</t>
  </si>
  <si>
    <t>HARRISMOUTH</t>
  </si>
  <si>
    <t>IND/MEL/01129</t>
  </si>
  <si>
    <t>Jesse Baldwin</t>
  </si>
  <si>
    <t>Anne Garcia</t>
  </si>
  <si>
    <t>6844 Dominguez Plains</t>
  </si>
  <si>
    <t>Suite 378</t>
  </si>
  <si>
    <t>PIN:72340 TINACHESTER</t>
  </si>
  <si>
    <t>MHA/IND/01151</t>
  </si>
  <si>
    <t>TINA LEWIS</t>
  </si>
  <si>
    <t>IND/MEL/01130</t>
  </si>
  <si>
    <t>MARY DAVIES</t>
  </si>
  <si>
    <t>PORT STACEY</t>
  </si>
  <si>
    <t>IND/MEL/01131</t>
  </si>
  <si>
    <t>Samuel Sanchez</t>
  </si>
  <si>
    <t>Margaret Thompson</t>
  </si>
  <si>
    <t>704 Harris Keys Apt. 873</t>
  </si>
  <si>
    <t>Suite 121</t>
  </si>
  <si>
    <t>PIN:14500 WEST SANDRA</t>
  </si>
  <si>
    <t>MHA/IND/01152</t>
  </si>
  <si>
    <t>TINA WILSON</t>
  </si>
  <si>
    <t>IND/MEL/01132</t>
  </si>
  <si>
    <t>MATTHEW MAXWELL</t>
  </si>
  <si>
    <t>LAKE JUDYPORT</t>
  </si>
  <si>
    <t>IND/MEL/01133</t>
  </si>
  <si>
    <t>Christopher Adams</t>
  </si>
  <si>
    <t>Anna Sullivan</t>
  </si>
  <si>
    <t>51551 Nathan Drive</t>
  </si>
  <si>
    <t>Apt. 102</t>
  </si>
  <si>
    <t>PIN:99274 HOWARDMOUTH</t>
  </si>
  <si>
    <t>MHA/IND/01153</t>
  </si>
  <si>
    <t>SHEILA CERVANTES</t>
  </si>
  <si>
    <t>IND/MEL/01134</t>
  </si>
  <si>
    <t>JOSEPH TAYLOR</t>
  </si>
  <si>
    <t>LAKE HEATHER</t>
  </si>
  <si>
    <t>IND/MEL/01135</t>
  </si>
  <si>
    <t>Kevin Wade</t>
  </si>
  <si>
    <t>Megan Soto</t>
  </si>
  <si>
    <t>0481 Ethan Junction</t>
  </si>
  <si>
    <t>Apt. 901</t>
  </si>
  <si>
    <t>PIN:73433 NEW JANET</t>
  </si>
  <si>
    <t>MHA/IND/01154</t>
  </si>
  <si>
    <t>CHRISTOPHER MURPHY</t>
  </si>
  <si>
    <t>IND/MEL/01136</t>
  </si>
  <si>
    <t>EMILY VAZQUEZ</t>
  </si>
  <si>
    <t>IND/MEL/01137</t>
  </si>
  <si>
    <t>Steven Manning</t>
  </si>
  <si>
    <t>Jennifer Grant</t>
  </si>
  <si>
    <t>9954 Jenkins Lodge</t>
  </si>
  <si>
    <t>Suite 171</t>
  </si>
  <si>
    <t>PIN:55435 WEST CHARLES</t>
  </si>
  <si>
    <t>MHA/IND/01155</t>
  </si>
  <si>
    <t>DOUGLAS CALDERON</t>
  </si>
  <si>
    <t>EAST ALLISON</t>
  </si>
  <si>
    <t>IND/MEL/01138</t>
  </si>
  <si>
    <t>Aaron Pierce</t>
  </si>
  <si>
    <t>Julie Keller</t>
  </si>
  <si>
    <t>463 Bryant Expressway Suite 544</t>
  </si>
  <si>
    <t>Suite 940</t>
  </si>
  <si>
    <t>PIN:30578 NEW BRITTANYFORT</t>
  </si>
  <si>
    <t>MHA/IND/01156</t>
  </si>
  <si>
    <t>MARCUS ROSE</t>
  </si>
  <si>
    <t>LAKE KELLY</t>
  </si>
  <si>
    <t>IND/MEL/01139</t>
  </si>
  <si>
    <t>Tony White</t>
  </si>
  <si>
    <t>Kim Holloway</t>
  </si>
  <si>
    <t>2000 Stark Groves</t>
  </si>
  <si>
    <t>PIN:79279 SOUTH BRENDA</t>
  </si>
  <si>
    <t>MHA/IND/01157</t>
  </si>
  <si>
    <t>STEVEN CASTILLO</t>
  </si>
  <si>
    <t>WEST SCOTTBOROUGH</t>
  </si>
  <si>
    <t>IND/MEL/01140</t>
  </si>
  <si>
    <t>Chad Adams</t>
  </si>
  <si>
    <t>Monica White</t>
  </si>
  <si>
    <t>32152 Sanders Green</t>
  </si>
  <si>
    <t>Suite 299</t>
  </si>
  <si>
    <t>PIN:99829 DAVISCHESTER</t>
  </si>
  <si>
    <t>MHA/IND/01158</t>
  </si>
  <si>
    <t>ROBIN KING</t>
  </si>
  <si>
    <t>LAKE ANNETOWN</t>
  </si>
  <si>
    <t>IND/MEL/01141</t>
  </si>
  <si>
    <t>Robert Rodgers</t>
  </si>
  <si>
    <t>Melissa Rogers</t>
  </si>
  <si>
    <t>33570 Sarah Lake Apt. 748</t>
  </si>
  <si>
    <t>Suite 327</t>
  </si>
  <si>
    <t>PIN:70772 CHRISTINAMOUTH</t>
  </si>
  <si>
    <t>MHA/IND/01159</t>
  </si>
  <si>
    <t>JUSTIN AVERY</t>
  </si>
  <si>
    <t>REBECCAMOUTH</t>
  </si>
  <si>
    <t>IND/MEL/01142</t>
  </si>
  <si>
    <t>Brian Bryant</t>
  </si>
  <si>
    <t>Janet Taylor</t>
  </si>
  <si>
    <t>32811 Taylor Pass</t>
  </si>
  <si>
    <t>Suite 179</t>
  </si>
  <si>
    <t>PIN:52458 NEW SAMUEL</t>
  </si>
  <si>
    <t>MHA/IND/01160</t>
  </si>
  <si>
    <t>SANDRA HENDRICKS</t>
  </si>
  <si>
    <t>COLLINSMOUTH</t>
  </si>
  <si>
    <t>IND/MEL/01143</t>
  </si>
  <si>
    <t>Brandon Rodriguez</t>
  </si>
  <si>
    <t>Julie Wiggins PhD</t>
  </si>
  <si>
    <t>625 Shane Valley Apt. 318</t>
  </si>
  <si>
    <t>Suite 217</t>
  </si>
  <si>
    <t>PIN:09976 JONATHANBURGH</t>
  </si>
  <si>
    <t>MHA/IND/01161</t>
  </si>
  <si>
    <t>CHRISTY COLEMAN</t>
  </si>
  <si>
    <t>NEW MARISSA</t>
  </si>
  <si>
    <t>IND/MEL/01144</t>
  </si>
  <si>
    <t>Jermaine Camacho</t>
  </si>
  <si>
    <t>Morgan Clark</t>
  </si>
  <si>
    <t>9035 John Cliffs Apt. 539</t>
  </si>
  <si>
    <t>Suite 000</t>
  </si>
  <si>
    <t>PIN:83992 LAKE GLORIA</t>
  </si>
  <si>
    <t>MHA/IND/01162</t>
  </si>
  <si>
    <t>DEREK JOHNSON</t>
  </si>
  <si>
    <t>PORT RENEE</t>
  </si>
  <si>
    <t>IND/MEL/01145</t>
  </si>
  <si>
    <t>Joseph Greer</t>
  </si>
  <si>
    <t>Rebecca Hicks</t>
  </si>
  <si>
    <t>74365 White Hill Suite 651</t>
  </si>
  <si>
    <t>Apt. 023</t>
  </si>
  <si>
    <t>PIN:32582 PORT ANNETTE</t>
  </si>
  <si>
    <t>MHA/IND/01163</t>
  </si>
  <si>
    <t>KENT ADKINS</t>
  </si>
  <si>
    <t>PORT MIRANDA</t>
  </si>
  <si>
    <t>IND/MEL/01146</t>
  </si>
  <si>
    <t>Matthew Mejia</t>
  </si>
  <si>
    <t>Denise Sullivan</t>
  </si>
  <si>
    <t>07672 Wilson Field</t>
  </si>
  <si>
    <t>Suite 663</t>
  </si>
  <si>
    <t>PIN:26413 POWELLSTAD</t>
  </si>
  <si>
    <t>MHA/IND/01164</t>
  </si>
  <si>
    <t>KEVIN ELLIS</t>
  </si>
  <si>
    <t>DAVIDFURT</t>
  </si>
  <si>
    <t>IND/MEL/01147</t>
  </si>
  <si>
    <t>Kevin Williams</t>
  </si>
  <si>
    <t>Victoria Payne</t>
  </si>
  <si>
    <t>664 Harrington Flats Apt. 645</t>
  </si>
  <si>
    <t>Suite 987</t>
  </si>
  <si>
    <t>PIN:00603 PORT JAMES</t>
  </si>
  <si>
    <t>MHA/IND/01165</t>
  </si>
  <si>
    <t>VALERIE PETERSEN</t>
  </si>
  <si>
    <t>CLAUDIALAND</t>
  </si>
  <si>
    <t>IND/MEL/01148</t>
  </si>
  <si>
    <t>Garrett Valdez</t>
  </si>
  <si>
    <t>Michele Raymond</t>
  </si>
  <si>
    <t>461 Kevin Motorway Suite 480</t>
  </si>
  <si>
    <t>Suite 226</t>
  </si>
  <si>
    <t>PIN:30979 PORT BRIAN</t>
  </si>
  <si>
    <t>MHA/IND/01166</t>
  </si>
  <si>
    <t>GEORGE WILLIAMS</t>
  </si>
  <si>
    <t>EAST SARAHMOUTH</t>
  </si>
  <si>
    <t>IND/MEL/01149</t>
  </si>
  <si>
    <t>Joshua Hall</t>
  </si>
  <si>
    <t>Sarah Mitchell</t>
  </si>
  <si>
    <t>84152 Jennifer Knoll</t>
  </si>
  <si>
    <t>Suite 361</t>
  </si>
  <si>
    <t>PIN:07234 SOUTH MATTHEW</t>
  </si>
  <si>
    <t>MHA/IND/01167</t>
  </si>
  <si>
    <t>MARY HOLMES</t>
  </si>
  <si>
    <t>EMILYBURGH</t>
  </si>
  <si>
    <t>IND/MEL/01150</t>
  </si>
  <si>
    <t>Michael Davidson</t>
  </si>
  <si>
    <t>Jessica Macias</t>
  </si>
  <si>
    <t>85321 Carmen Lock Apt. 781</t>
  </si>
  <si>
    <t>Apt. 982</t>
  </si>
  <si>
    <t>PIN:65492 PORT LISA</t>
  </si>
  <si>
    <t>MHA/IND/01168</t>
  </si>
  <si>
    <t>SETH HILL III</t>
  </si>
  <si>
    <t>LUISVILLE</t>
  </si>
  <si>
    <t>IND/MEL/01151</t>
  </si>
  <si>
    <t>Ronald Young</t>
  </si>
  <si>
    <t>Misty Orozco</t>
  </si>
  <si>
    <t>7361 Torres Lake Suite 301</t>
  </si>
  <si>
    <t>Suite 528</t>
  </si>
  <si>
    <t>PIN:53381 LAKE CLAYTON</t>
  </si>
  <si>
    <t>MHA/IND/01169</t>
  </si>
  <si>
    <t>MARIA MARTINEZ</t>
  </si>
  <si>
    <t>NEW OLIVIATON</t>
  </si>
  <si>
    <t>IND/MEL/01152</t>
  </si>
  <si>
    <t>James Dickerson</t>
  </si>
  <si>
    <t>Jill Moreno</t>
  </si>
  <si>
    <t>13410 Harris Extension Suite 173</t>
  </si>
  <si>
    <t>Apt. 506</t>
  </si>
  <si>
    <t>PIN:70355 EAST XAVIER</t>
  </si>
  <si>
    <t>MHA/IND/01170</t>
  </si>
  <si>
    <t>ANDREW FRENCH</t>
  </si>
  <si>
    <t>PORT HENRY</t>
  </si>
  <si>
    <t>IND/MEL/01153</t>
  </si>
  <si>
    <t>John Ortiz</t>
  </si>
  <si>
    <t>Sandra Boyd</t>
  </si>
  <si>
    <t>34002 Reynolds Haven Apt. 947</t>
  </si>
  <si>
    <t>Suite 018</t>
  </si>
  <si>
    <t>PIN:08745 WEBSTERBERG</t>
  </si>
  <si>
    <t>MHA/IND/01171</t>
  </si>
  <si>
    <t>ELIZABETH TODD</t>
  </si>
  <si>
    <t>HILLVIEW</t>
  </si>
  <si>
    <t>IND/MEL/01154</t>
  </si>
  <si>
    <t>Samuel Hicks</t>
  </si>
  <si>
    <t>Jamie Christensen</t>
  </si>
  <si>
    <t>86246 Velasquez Plaza</t>
  </si>
  <si>
    <t>Suite 029</t>
  </si>
  <si>
    <t>PIN:35176 STEPHENSIDE</t>
  </si>
  <si>
    <t>MHA/IND/01172</t>
  </si>
  <si>
    <t>JESSICA RAMSEY</t>
  </si>
  <si>
    <t>NEW SUSANSHIRE</t>
  </si>
  <si>
    <t>IND/MEL/01155</t>
  </si>
  <si>
    <t>Michael Smith</t>
  </si>
  <si>
    <t>Kiara Clay</t>
  </si>
  <si>
    <t>423 Anthony Ford Suite 751</t>
  </si>
  <si>
    <t>Apt. 139</t>
  </si>
  <si>
    <t>PIN:26887 NORTH KAREN</t>
  </si>
  <si>
    <t>MHA/IND/01173</t>
  </si>
  <si>
    <t>LAUREN TORRES</t>
  </si>
  <si>
    <t>CHRISTOPHERBOROUGH</t>
  </si>
  <si>
    <t>IND/MEL/01156</t>
  </si>
  <si>
    <t>Jacqueline Castillo</t>
  </si>
  <si>
    <t>87061 Ruiz Trafficway</t>
  </si>
  <si>
    <t>Suite 058</t>
  </si>
  <si>
    <t>PIN:81929 MARTINHAVEN</t>
  </si>
  <si>
    <t>MHA/IND/01174</t>
  </si>
  <si>
    <t>YVONNE KELLY</t>
  </si>
  <si>
    <t>NELSONBERG</t>
  </si>
  <si>
    <t>IND/MEL/01157</t>
  </si>
  <si>
    <t>Anthony Gonzalez</t>
  </si>
  <si>
    <t>Paula Watts</t>
  </si>
  <si>
    <t>61726 Nicholas Hollow</t>
  </si>
  <si>
    <t>Apt. 958</t>
  </si>
  <si>
    <t>PIN:50936 NORTH STEPHENMOUTH</t>
  </si>
  <si>
    <t>MHA/IND/01175</t>
  </si>
  <si>
    <t>MICHELLE PADILLA</t>
  </si>
  <si>
    <t>PORT PAUL</t>
  </si>
  <si>
    <t>IND/MEL/01158</t>
  </si>
  <si>
    <t>Eric Wells</t>
  </si>
  <si>
    <t>Carrie Ross</t>
  </si>
  <si>
    <t>65310 Deleon Stravenue</t>
  </si>
  <si>
    <t>Suite 277</t>
  </si>
  <si>
    <t>PIN:49488 GIBSONBOROUGH</t>
  </si>
  <si>
    <t>MHA/IND/01176</t>
  </si>
  <si>
    <t>MADISON WHITE</t>
  </si>
  <si>
    <t>TAMMYBOROUGH</t>
  </si>
  <si>
    <t>IND/MEL/01159</t>
  </si>
  <si>
    <t>Cristian Ball</t>
  </si>
  <si>
    <t>Sandy Wells</t>
  </si>
  <si>
    <t>0558 Sarah Throughway</t>
  </si>
  <si>
    <t>Suite 757</t>
  </si>
  <si>
    <t>PIN:73655 ROBERTSSTAD</t>
  </si>
  <si>
    <t>MHA/IND/01177</t>
  </si>
  <si>
    <t>ERIK BELL</t>
  </si>
  <si>
    <t>NORTH PAULBURY</t>
  </si>
  <si>
    <t>IND/MEL/01160</t>
  </si>
  <si>
    <t>Jeffrey Johnson</t>
  </si>
  <si>
    <t>Victoria Horton</t>
  </si>
  <si>
    <t>352 Nathaniel Vista Suite 101</t>
  </si>
  <si>
    <t>Apt. 201</t>
  </si>
  <si>
    <t>PIN:95198 WEST ANDREA</t>
  </si>
  <si>
    <t>MHA/IND/01178</t>
  </si>
  <si>
    <t>SETH ELLISON</t>
  </si>
  <si>
    <t>VAZQUEZMOUTH</t>
  </si>
  <si>
    <t>IND/MEL/01161</t>
  </si>
  <si>
    <t>Charles Mcgee</t>
  </si>
  <si>
    <t>Kim Walker</t>
  </si>
  <si>
    <t>520 Chase Passage</t>
  </si>
  <si>
    <t>Apt. 908</t>
  </si>
  <si>
    <t>PIN:43033 FLYNNHAVEN</t>
  </si>
  <si>
    <t>MHA/IND/01179</t>
  </si>
  <si>
    <t>LAUREN SERRANO</t>
  </si>
  <si>
    <t>PORT ALLISON</t>
  </si>
  <si>
    <t>IND/MEL/01162</t>
  </si>
  <si>
    <t>Wyatt Alvarez</t>
  </si>
  <si>
    <t>Anna Jones</t>
  </si>
  <si>
    <t>55468 Sherry Turnpike</t>
  </si>
  <si>
    <t>Suite 882</t>
  </si>
  <si>
    <t>PIN:51176 MARSHALLSTAD</t>
  </si>
  <si>
    <t>MHA/IND/01180</t>
  </si>
  <si>
    <t>DENNIS ANDERSON</t>
  </si>
  <si>
    <t>NORTH ASHLEY</t>
  </si>
  <si>
    <t>IND/MEL/01163</t>
  </si>
  <si>
    <t>Ryan Gutierrez</t>
  </si>
  <si>
    <t>Amanda Collins</t>
  </si>
  <si>
    <t>7007 Hall Via</t>
  </si>
  <si>
    <t>Apt. 407</t>
  </si>
  <si>
    <t>PIN:86210 FARLEYVILLE</t>
  </si>
  <si>
    <t>MHA/IND/01181</t>
  </si>
  <si>
    <t>KEVIN ALLEN</t>
  </si>
  <si>
    <t>RIVERAVIEW</t>
  </si>
  <si>
    <t>IND/MEL/01164</t>
  </si>
  <si>
    <t>William Wilson</t>
  </si>
  <si>
    <t>Amanda Atkins</t>
  </si>
  <si>
    <t>45119 Bowman Stream</t>
  </si>
  <si>
    <t>Suite 641</t>
  </si>
  <si>
    <t>PIN:26617 EAST DANIEL</t>
  </si>
  <si>
    <t>MHA/IND/01182</t>
  </si>
  <si>
    <t>BRIAN MAXWELL DVM</t>
  </si>
  <si>
    <t>WEST ROBERT</t>
  </si>
  <si>
    <t>IND/MEL/01165</t>
  </si>
  <si>
    <t>Leonard Mitchell</t>
  </si>
  <si>
    <t>Rebecca Ruiz</t>
  </si>
  <si>
    <t>53228 Mathews Ramp Apt. 814</t>
  </si>
  <si>
    <t>Apt. 670</t>
  </si>
  <si>
    <t>PIN:94535 HILLPORT</t>
  </si>
  <si>
    <t>MHA/IND/01183</t>
  </si>
  <si>
    <t>CASSIE KING</t>
  </si>
  <si>
    <t>HEATHERMOUTH</t>
  </si>
  <si>
    <t>IND/MEL/01166</t>
  </si>
  <si>
    <t>Paul Cantrell</t>
  </si>
  <si>
    <t>Brandi Cuevas</t>
  </si>
  <si>
    <t>43416 Jessica Ports</t>
  </si>
  <si>
    <t>Suite 146</t>
  </si>
  <si>
    <t>PIN:97917 SOUTH JESSE</t>
  </si>
  <si>
    <t>MHA/IND/01184</t>
  </si>
  <si>
    <t>WENDY MORGAN</t>
  </si>
  <si>
    <t>JOHNPORT</t>
  </si>
  <si>
    <t>IND/MEL/01167</t>
  </si>
  <si>
    <t>Keith Hawkins</t>
  </si>
  <si>
    <t>Gina Johnston</t>
  </si>
  <si>
    <t>0607 John Pines</t>
  </si>
  <si>
    <t>Apt. 438</t>
  </si>
  <si>
    <t>PIN:54934 STEELETON</t>
  </si>
  <si>
    <t>MHA/IND/01185</t>
  </si>
  <si>
    <t>LORI THOMPSON</t>
  </si>
  <si>
    <t>SOUTH JULIAHAVEN</t>
  </si>
  <si>
    <t>IND/MEL/01168</t>
  </si>
  <si>
    <t>John David</t>
  </si>
  <si>
    <t>Cheryl Gregory</t>
  </si>
  <si>
    <t>856 Ethan Green</t>
  </si>
  <si>
    <t>Suite 117</t>
  </si>
  <si>
    <t>PIN:92333 DOUGLASFURT</t>
  </si>
  <si>
    <t>MHA/IND/01186</t>
  </si>
  <si>
    <t>LARRY STEELE</t>
  </si>
  <si>
    <t>PORT KIMBERLY</t>
  </si>
  <si>
    <t>IND/MEL/01169</t>
  </si>
  <si>
    <t>John Mason</t>
  </si>
  <si>
    <t>Ashley Smith</t>
  </si>
  <si>
    <t>85057 Walker Rest</t>
  </si>
  <si>
    <t>Suite 162</t>
  </si>
  <si>
    <t>PIN:19752 JOSHUAFURT</t>
  </si>
  <si>
    <t>MHA/IND/01187</t>
  </si>
  <si>
    <t>MIRANDA MILLER</t>
  </si>
  <si>
    <t>WASHINGTONMOUTH</t>
  </si>
  <si>
    <t>IND/MEL/01170</t>
  </si>
  <si>
    <t>Jesse Wallace</t>
  </si>
  <si>
    <t>Heidi Duke</t>
  </si>
  <si>
    <t>49625 Daniel Tunnel Apt. 369</t>
  </si>
  <si>
    <t>Apt. 766</t>
  </si>
  <si>
    <t>PIN:21251 NORTH MICHAELBOROUGH</t>
  </si>
  <si>
    <t>MHA/IND/01188</t>
  </si>
  <si>
    <t>JANET DYER</t>
  </si>
  <si>
    <t>LAKE ROBINSHIRE</t>
  </si>
  <si>
    <t>IND/MEL/01171</t>
  </si>
  <si>
    <t>Bryan Lewis</t>
  </si>
  <si>
    <t>Denise Perez</t>
  </si>
  <si>
    <t>195 Cunningham Corners</t>
  </si>
  <si>
    <t>Apt. 821</t>
  </si>
  <si>
    <t>PIN:33349 PORT AMANDAVILLE</t>
  </si>
  <si>
    <t>MHA/IND/01189</t>
  </si>
  <si>
    <t>JEFFREY SPENCER</t>
  </si>
  <si>
    <t>LAKE ROBERT</t>
  </si>
  <si>
    <t>IND/MEL/01172</t>
  </si>
  <si>
    <t>Richard Rodriguez</t>
  </si>
  <si>
    <t>Marissa Sanchez</t>
  </si>
  <si>
    <t>032 Mary Landing</t>
  </si>
  <si>
    <t>Apt. 141</t>
  </si>
  <si>
    <t>PIN:19204 WINTERSMOUTH</t>
  </si>
  <si>
    <t>MHA/IND/01190</t>
  </si>
  <si>
    <t>ANTHONY JOHNSON</t>
  </si>
  <si>
    <t>WEST BRANDONSHIRE</t>
  </si>
  <si>
    <t>IND/MEL/01173</t>
  </si>
  <si>
    <t>Christopher Sosa</t>
  </si>
  <si>
    <t>Jennifer Matthews</t>
  </si>
  <si>
    <t>80450 James Harbor Apt. 206</t>
  </si>
  <si>
    <t>Apt. 304</t>
  </si>
  <si>
    <t>PIN:59380 WEST MATTHEW</t>
  </si>
  <si>
    <t>MHA/IND/01191</t>
  </si>
  <si>
    <t>CATHERINE GRAY</t>
  </si>
  <si>
    <t>PATRICIASHIRE</t>
  </si>
  <si>
    <t>IND/MEL/01174</t>
  </si>
  <si>
    <t>Andrew Williams</t>
  </si>
  <si>
    <t>Melissa Wright</t>
  </si>
  <si>
    <t>363 Powell Parkways Suite 091</t>
  </si>
  <si>
    <t>Suite 160</t>
  </si>
  <si>
    <t>PIN:70438 CONTRERASSTAD</t>
  </si>
  <si>
    <t>MHA/IND/01192</t>
  </si>
  <si>
    <t>VICTORIA MILLER</t>
  </si>
  <si>
    <t>WEST KIMBERLYBURGH</t>
  </si>
  <si>
    <t>IND/MEL/01175</t>
  </si>
  <si>
    <t>Christopher Lopez</t>
  </si>
  <si>
    <t>Vanessa White DVM</t>
  </si>
  <si>
    <t>50571 Jennifer Prairie</t>
  </si>
  <si>
    <t>Suite 043</t>
  </si>
  <si>
    <t>PIN:93178 KIMBERLYBOROUGH</t>
  </si>
  <si>
    <t>MHA/IND/01193</t>
  </si>
  <si>
    <t>JENNIFER MURPHY</t>
  </si>
  <si>
    <t>LAKE KRISTEN</t>
  </si>
  <si>
    <t>IND/MEL/01176</t>
  </si>
  <si>
    <t>Anthony Carlson</t>
  </si>
  <si>
    <t>Leslie Smith</t>
  </si>
  <si>
    <t>2354 Carol Forges Suite 945</t>
  </si>
  <si>
    <t>Suite 435</t>
  </si>
  <si>
    <t>PIN:24201 NEW CHRISTOPHER</t>
  </si>
  <si>
    <t>MHA/IND/01194</t>
  </si>
  <si>
    <t>AMBER ELLIS</t>
  </si>
  <si>
    <t>NORTH NICHOLASCHESTER</t>
  </si>
  <si>
    <t>IND/MEL/01177</t>
  </si>
  <si>
    <t>Steven Greene</t>
  </si>
  <si>
    <t>Miranda Bailey</t>
  </si>
  <si>
    <t>193 George Village Apt. 248</t>
  </si>
  <si>
    <t>Suite 209</t>
  </si>
  <si>
    <t>PIN:58260 NEW MATTHEW</t>
  </si>
  <si>
    <t>MHA/IND/01195</t>
  </si>
  <si>
    <t>JENNIFER GARCIA</t>
  </si>
  <si>
    <t>NORTH TAMI</t>
  </si>
  <si>
    <t>IND/MEL/01178</t>
  </si>
  <si>
    <t>Michael Carrillo</t>
  </si>
  <si>
    <t>Samantha Sanchez</t>
  </si>
  <si>
    <t>219 Ricky Avenue Apt. 450</t>
  </si>
  <si>
    <t>Apt. 442</t>
  </si>
  <si>
    <t>PIN:99110 KATHLEENVIEW</t>
  </si>
  <si>
    <t>MHA/IND/01196</t>
  </si>
  <si>
    <t>SAMUEL FOWLER</t>
  </si>
  <si>
    <t>MORANBOROUGH</t>
  </si>
  <si>
    <t>IND/MEL/01179</t>
  </si>
  <si>
    <t>Robert Peters</t>
  </si>
  <si>
    <t>Mariah Cook</t>
  </si>
  <si>
    <t>78299 Whitaker Hill Suite 889</t>
  </si>
  <si>
    <t>Apt. 322</t>
  </si>
  <si>
    <t>PIN:63786 ESTESTOWN</t>
  </si>
  <si>
    <t>MHA/IND/01197</t>
  </si>
  <si>
    <t>MRS. SYDNEY NELSON</t>
  </si>
  <si>
    <t>KELSEYBURGH</t>
  </si>
  <si>
    <t>IND/MEL/01180</t>
  </si>
  <si>
    <t>Andrew Gilbert</t>
  </si>
  <si>
    <t>Catherine Dennis</t>
  </si>
  <si>
    <t>659 James Course</t>
  </si>
  <si>
    <t>Suite 604</t>
  </si>
  <si>
    <t>PIN:14708 SOUTH CRYSTAL</t>
  </si>
  <si>
    <t>MHA/IND/01198</t>
  </si>
  <si>
    <t>MADELINE OCONNOR</t>
  </si>
  <si>
    <t>EAST JASONSTAD</t>
  </si>
  <si>
    <t>IND/MEL/01181</t>
  </si>
  <si>
    <t>Jason Nelson</t>
  </si>
  <si>
    <t>Lisa Mcbride</t>
  </si>
  <si>
    <t>865 Lee Plain Apt. 358</t>
  </si>
  <si>
    <t>Suite 689</t>
  </si>
  <si>
    <t>PIN:47931 CHARLESMOUTH</t>
  </si>
  <si>
    <t>MHA/IND/01199</t>
  </si>
  <si>
    <t>GARY SCHMIDT</t>
  </si>
  <si>
    <t>EAST LORETTA</t>
  </si>
  <si>
    <t>IND/MEL/01182</t>
  </si>
  <si>
    <t>Ronald Cook</t>
  </si>
  <si>
    <t>Lori Thomas</t>
  </si>
  <si>
    <t>23654 Jenna Passage</t>
  </si>
  <si>
    <t>Suite 836</t>
  </si>
  <si>
    <t>PIN:72143 KEVINVILLE</t>
  </si>
  <si>
    <t>MHA/IND/01200</t>
  </si>
  <si>
    <t>DAVID ROSS</t>
  </si>
  <si>
    <t>JOHNLAND</t>
  </si>
  <si>
    <t>IND/MEL/01183</t>
  </si>
  <si>
    <t>Johnny Smith</t>
  </si>
  <si>
    <t>Samantha Nelson</t>
  </si>
  <si>
    <t>291 Cruz Ridge</t>
  </si>
  <si>
    <t>Suite 785</t>
  </si>
  <si>
    <t>PIN:33948 SOUTH ALLISONHAVEN</t>
  </si>
  <si>
    <t>MHA/IND/01201</t>
  </si>
  <si>
    <t>MARIE BRENNAN</t>
  </si>
  <si>
    <t>IND/MEL/01184</t>
  </si>
  <si>
    <t>MR. CHARLES BROWN</t>
  </si>
  <si>
    <t>SIMPSONTON</t>
  </si>
  <si>
    <t>IND/MEL/01185</t>
  </si>
  <si>
    <t>Jerome Miller</t>
  </si>
  <si>
    <t>Tiffany Harris</t>
  </si>
  <si>
    <t>186 Kimberly Centers</t>
  </si>
  <si>
    <t>Apt. 948</t>
  </si>
  <si>
    <t>PIN:31060 EAST ROBIN</t>
  </si>
  <si>
    <t>MHA/IND/01202</t>
  </si>
  <si>
    <t>VALERIE WATSON</t>
  </si>
  <si>
    <t>IND/MEL/01186</t>
  </si>
  <si>
    <t>LINDA KELLEY</t>
  </si>
  <si>
    <t>LAKE JOHNVILLE</t>
  </si>
  <si>
    <t>IND/MEL/01187</t>
  </si>
  <si>
    <t>Emily Newman</t>
  </si>
  <si>
    <t>83666 John Ways</t>
  </si>
  <si>
    <t>Suite 754</t>
  </si>
  <si>
    <t>PIN:60712 PORT KENDRA</t>
  </si>
  <si>
    <t>MHA/IND/01203</t>
  </si>
  <si>
    <t>MARTIN NICHOLS</t>
  </si>
  <si>
    <t>IND/MEL/01188</t>
  </si>
  <si>
    <t>NOAH MARTIN</t>
  </si>
  <si>
    <t>PORT BRANDYSTAD</t>
  </si>
  <si>
    <t>IND/MEL/01189</t>
  </si>
  <si>
    <t>Eric Conway</t>
  </si>
  <si>
    <t>Pamela Patton</t>
  </si>
  <si>
    <t>8612 Pam Ford</t>
  </si>
  <si>
    <t>Apt. 043</t>
  </si>
  <si>
    <t>PIN:84686 EMILYSIDE</t>
  </si>
  <si>
    <t>MHA/IND/01204</t>
  </si>
  <si>
    <t>CAROLYN REED</t>
  </si>
  <si>
    <t>IND/MEL/01190</t>
  </si>
  <si>
    <t>TIMOTHY HERRERA</t>
  </si>
  <si>
    <t>NEW JAMES</t>
  </si>
  <si>
    <t>IND/MEL/01191</t>
  </si>
  <si>
    <t>Brian Gonzalez</t>
  </si>
  <si>
    <t>Katherine Andrews</t>
  </si>
  <si>
    <t>448 Sanchez Squares</t>
  </si>
  <si>
    <t>Apt. 820</t>
  </si>
  <si>
    <t>PIN:80623 ROBERTVIEW</t>
  </si>
  <si>
    <t>MHA/IND/01205</t>
  </si>
  <si>
    <t>ADAM THOMAS JR.</t>
  </si>
  <si>
    <t>IND/MEL/01192</t>
  </si>
  <si>
    <t>ERIC WILLIAMS</t>
  </si>
  <si>
    <t>KARENSTAD</t>
  </si>
  <si>
    <t>IND/MEL/01193</t>
  </si>
  <si>
    <t>Robert Bush</t>
  </si>
  <si>
    <t>Amanda Carr</t>
  </si>
  <si>
    <t>955 Tanner Ferry</t>
  </si>
  <si>
    <t>Suite 530</t>
  </si>
  <si>
    <t>PIN:70598 WRIGHTLAND</t>
  </si>
  <si>
    <t>MHA/IND/01206</t>
  </si>
  <si>
    <t>KEVIN SILVA</t>
  </si>
  <si>
    <t>IND/MEL/01194</t>
  </si>
  <si>
    <t>JENNIFER STONE</t>
  </si>
  <si>
    <t>EAST SARAHSTAD</t>
  </si>
  <si>
    <t>IND/MEL/01195</t>
  </si>
  <si>
    <t>James Baker</t>
  </si>
  <si>
    <t>Melinda Bishop MD</t>
  </si>
  <si>
    <t>9200 Williams Ranch</t>
  </si>
  <si>
    <t>Apt. 064</t>
  </si>
  <si>
    <t>PIN:14960 HALEYSIDE</t>
  </si>
  <si>
    <t>MHA/IND/01207</t>
  </si>
  <si>
    <t>EMILY MARTINEZ</t>
  </si>
  <si>
    <t>IND/MEL/01196</t>
  </si>
  <si>
    <t>MIKAYLA HINES</t>
  </si>
  <si>
    <t>CRAIGFURT</t>
  </si>
  <si>
    <t>IND/MEL/01197</t>
  </si>
  <si>
    <t>Phillip Burnett</t>
  </si>
  <si>
    <t>Tiffany Thompson</t>
  </si>
  <si>
    <t>64130 Gina Village</t>
  </si>
  <si>
    <t>Suite 991</t>
  </si>
  <si>
    <t>PIN:31837 JOSEVIEW</t>
  </si>
  <si>
    <t>MHA/IND/01208</t>
  </si>
  <si>
    <t>NATHAN HOFFMAN</t>
  </si>
  <si>
    <t>IND/MEL/01198</t>
  </si>
  <si>
    <t>JENNIFER MILLER</t>
  </si>
  <si>
    <t>SANCHEZPORT</t>
  </si>
  <si>
    <t>IND/MEL/01199</t>
  </si>
  <si>
    <t>Andrew Boyle</t>
  </si>
  <si>
    <t>Crystal Bishop</t>
  </si>
  <si>
    <t>059 Jackson Common Apt. 801</t>
  </si>
  <si>
    <t>Apt. 569</t>
  </si>
  <si>
    <t>PIN:08098 PORT PAULVILLE</t>
  </si>
  <si>
    <t>MHA/IND/01209</t>
  </si>
  <si>
    <t>JONATHAN SNYDER</t>
  </si>
  <si>
    <t>IND/MEL/01200</t>
  </si>
  <si>
    <t>MICHELLE EVANS</t>
  </si>
  <si>
    <t>KENNETHCHESTER</t>
  </si>
  <si>
    <t>IND/MEL/01201</t>
  </si>
  <si>
    <t>Brian Fernandez</t>
  </si>
  <si>
    <t>Sharon Landry</t>
  </si>
  <si>
    <t>22154 Kim Common</t>
  </si>
  <si>
    <t>Apt. 596</t>
  </si>
  <si>
    <t>PIN:74708 CANNONSTAD</t>
  </si>
  <si>
    <t>MHA/IND/01210</t>
  </si>
  <si>
    <t>ELIZABETH GORDON</t>
  </si>
  <si>
    <t>IND/MEL/01202</t>
  </si>
  <si>
    <t>FRANCISCO GILL</t>
  </si>
  <si>
    <t>ROGERSMOUTH</t>
  </si>
  <si>
    <t>IND/MEL/01203</t>
  </si>
  <si>
    <t>Jason Brown</t>
  </si>
  <si>
    <t>Molly Moore</t>
  </si>
  <si>
    <t>928 Randy Brook</t>
  </si>
  <si>
    <t>Suite 699</t>
  </si>
  <si>
    <t>PIN:45377 TAMMYPORT</t>
  </si>
  <si>
    <t>MHA/IND/01211</t>
  </si>
  <si>
    <t>EMILY RIDDLE</t>
  </si>
  <si>
    <t>IND/MEL/01204</t>
  </si>
  <si>
    <t>LINDSEY PERRY</t>
  </si>
  <si>
    <t>LAKE MATTHEW</t>
  </si>
  <si>
    <t>IND/MEL/01205</t>
  </si>
  <si>
    <t>Zachary Hill</t>
  </si>
  <si>
    <t>Jessica Freeman</t>
  </si>
  <si>
    <t>9170 Rivers Track</t>
  </si>
  <si>
    <t>Apt. 722</t>
  </si>
  <si>
    <t>PIN:25147 SOUTH MATTHEWBERG</t>
  </si>
  <si>
    <t>MHA/IND/01212</t>
  </si>
  <si>
    <t>TERRI GILES</t>
  </si>
  <si>
    <t>IND/MEL/01206</t>
  </si>
  <si>
    <t>CAITLYN GUTIERREZ</t>
  </si>
  <si>
    <t>AMYVIEW</t>
  </si>
  <si>
    <t>IND/MEL/01207</t>
  </si>
  <si>
    <t>Phillip Ferguson</t>
  </si>
  <si>
    <t>Elizabeth Martin</t>
  </si>
  <si>
    <t>55273 Sanders Plaza</t>
  </si>
  <si>
    <t>Apt. 931</t>
  </si>
  <si>
    <t>PIN:06336 TONYSIDE</t>
  </si>
  <si>
    <t>MHA/IND/01213</t>
  </si>
  <si>
    <t>KATHERINE LAWSON</t>
  </si>
  <si>
    <t>BANKSFURT</t>
  </si>
  <si>
    <t>IND/MEL/01208</t>
  </si>
  <si>
    <t>Bruce Kelly</t>
  </si>
  <si>
    <t>Angela Shields</t>
  </si>
  <si>
    <t>395 Arthur Roads</t>
  </si>
  <si>
    <t>Suite 588</t>
  </si>
  <si>
    <t>PIN:55225 NORTH ANTONIO</t>
  </si>
  <si>
    <t>MHA/IND/01214</t>
  </si>
  <si>
    <t>JAMIE HOLMES</t>
  </si>
  <si>
    <t>EAST JACQUELINE</t>
  </si>
  <si>
    <t>IND/MEL/01209</t>
  </si>
  <si>
    <t>Richard Miranda</t>
  </si>
  <si>
    <t>Stacie Wright</t>
  </si>
  <si>
    <t>60731 Amber Court</t>
  </si>
  <si>
    <t>Suite 736</t>
  </si>
  <si>
    <t>PIN:46526 MICHAELSHIRE</t>
  </si>
  <si>
    <t>MHA/IND/01215</t>
  </si>
  <si>
    <t>NICOLE BANKS</t>
  </si>
  <si>
    <t>WEST AARON</t>
  </si>
  <si>
    <t>IND/MEL/01210</t>
  </si>
  <si>
    <t>Nicholas Bennett</t>
  </si>
  <si>
    <t>Nancy Jones</t>
  </si>
  <si>
    <t>088 Daniel Trail</t>
  </si>
  <si>
    <t>Apt. 013</t>
  </si>
  <si>
    <t>PIN:29806 BRITTANYBURGH</t>
  </si>
  <si>
    <t>MHA/IND/01216</t>
  </si>
  <si>
    <t>JUDY WARREN</t>
  </si>
  <si>
    <t>SOUTH HOLLY</t>
  </si>
  <si>
    <t>IND/MEL/01211</t>
  </si>
  <si>
    <t>George Williams</t>
  </si>
  <si>
    <t>Jamie Herring</t>
  </si>
  <si>
    <t>43613 Mark Station Apt. 148</t>
  </si>
  <si>
    <t>Suite 834</t>
  </si>
  <si>
    <t>PIN:25860 NEW AARON</t>
  </si>
  <si>
    <t>MHA/IND/01217</t>
  </si>
  <si>
    <t>JOHN JONES</t>
  </si>
  <si>
    <t>PORT DONNABOROUGH</t>
  </si>
  <si>
    <t>IND/MEL/01212</t>
  </si>
  <si>
    <t>Dr. Brian Myers</t>
  </si>
  <si>
    <t>Stacey Ramos</t>
  </si>
  <si>
    <t>97386 Kim Mall Suite 881</t>
  </si>
  <si>
    <t>Suite 495</t>
  </si>
  <si>
    <t>PIN:54134 JANICEBOROUGH</t>
  </si>
  <si>
    <t>MHA/IND/01218</t>
  </si>
  <si>
    <t>AMY LE</t>
  </si>
  <si>
    <t>NICHOLSSIDE</t>
  </si>
  <si>
    <t>IND/MEL/01213</t>
  </si>
  <si>
    <t>Lance Stone</t>
  </si>
  <si>
    <t>Stacy Hardy</t>
  </si>
  <si>
    <t>8697 Hanson Port</t>
  </si>
  <si>
    <t>Apt. 801</t>
  </si>
  <si>
    <t>PIN:43999 PORT JOHNNYFORT</t>
  </si>
  <si>
    <t>MHA/IND/01219</t>
  </si>
  <si>
    <t>TAMMY BLEVINS</t>
  </si>
  <si>
    <t>WEST LAURAVILLE</t>
  </si>
  <si>
    <t>IND/MEL/01214</t>
  </si>
  <si>
    <t>John Sullivan</t>
  </si>
  <si>
    <t>Nancy Spears</t>
  </si>
  <si>
    <t>2072 Garner Motorway Apt. 585</t>
  </si>
  <si>
    <t>Apt. 613</t>
  </si>
  <si>
    <t>PIN:20610 GARYPORT</t>
  </si>
  <si>
    <t>MHA/IND/01220</t>
  </si>
  <si>
    <t>AMANDA OLIVER</t>
  </si>
  <si>
    <t>EAST WILLIE</t>
  </si>
  <si>
    <t>IND/MEL/01215</t>
  </si>
  <si>
    <t>Mark Grant</t>
  </si>
  <si>
    <t>Mary Mcdonald</t>
  </si>
  <si>
    <t>6890 Stephen Road Apt. 693</t>
  </si>
  <si>
    <t>Apt. 357</t>
  </si>
  <si>
    <t>PIN:23020 MARTINEZSTAD</t>
  </si>
  <si>
    <t>MHA/IND/01221</t>
  </si>
  <si>
    <t>JENNIFER MCCORMICK</t>
  </si>
  <si>
    <t>DANIELSIDE</t>
  </si>
  <si>
    <t>IND/MEL/01216</t>
  </si>
  <si>
    <t>Benjamin Johnson</t>
  </si>
  <si>
    <t>Samantha Howell</t>
  </si>
  <si>
    <t>332 Richard Meadow</t>
  </si>
  <si>
    <t>Suite 549</t>
  </si>
  <si>
    <t>PIN:07909 SOUTH PAMELA</t>
  </si>
  <si>
    <t>MHA/IND/01222</t>
  </si>
  <si>
    <t>ADRIAN STEPHENS</t>
  </si>
  <si>
    <t>PHAMMOUTH</t>
  </si>
  <si>
    <t>IND/MEL/01217</t>
  </si>
  <si>
    <t>Gerald Carey</t>
  </si>
  <si>
    <t>Jill Graves</t>
  </si>
  <si>
    <t>83780 Byrd Roads Suite 525</t>
  </si>
  <si>
    <t>Apt. 739</t>
  </si>
  <si>
    <t>PIN:46111 JEFFREYBURY</t>
  </si>
  <si>
    <t>MHA/IND/01223</t>
  </si>
  <si>
    <t>ASHLEY GLASS</t>
  </si>
  <si>
    <t>EAST TONY</t>
  </si>
  <si>
    <t>IND/MEL/01218</t>
  </si>
  <si>
    <t>Matthew Clarke</t>
  </si>
  <si>
    <t>Leslie Schultz</t>
  </si>
  <si>
    <t>996 James Port Apt. 226</t>
  </si>
  <si>
    <t>Apt. 125</t>
  </si>
  <si>
    <t>PIN:65619 WEST SYDNEYTOWN</t>
  </si>
  <si>
    <t>MHA/IND/01224</t>
  </si>
  <si>
    <t>LISA LLOYD</t>
  </si>
  <si>
    <t>NEW ASHLEYBURGH</t>
  </si>
  <si>
    <t>IND/MEL/01219</t>
  </si>
  <si>
    <t>David Rodriguez</t>
  </si>
  <si>
    <t>Krystal Contreras</t>
  </si>
  <si>
    <t>2560 Gonzales Fields</t>
  </si>
  <si>
    <t>Apt. 845</t>
  </si>
  <si>
    <t>PIN:80250 EAST CRISTINA</t>
  </si>
  <si>
    <t>MHA/IND/01225</t>
  </si>
  <si>
    <t>DEBBIE MULLINS</t>
  </si>
  <si>
    <t>JOHNATHANTON</t>
  </si>
  <si>
    <t>IND/MEL/01220</t>
  </si>
  <si>
    <t>Matthew Johnson</t>
  </si>
  <si>
    <t>Morgan Macias</t>
  </si>
  <si>
    <t>22933 Keith Inlet</t>
  </si>
  <si>
    <t>Suite 611</t>
  </si>
  <si>
    <t>PIN:55346 FLORESVILLE</t>
  </si>
  <si>
    <t>MHA/IND/01226</t>
  </si>
  <si>
    <t>VERONICA MARTINEZ</t>
  </si>
  <si>
    <t>LAKE MICHELLESHIRE</t>
  </si>
  <si>
    <t>IND/MEL/01221</t>
  </si>
  <si>
    <t>Richard Pitts</t>
  </si>
  <si>
    <t>Sharon Wilson</t>
  </si>
  <si>
    <t>87759 Nathan Greens Apt. 337</t>
  </si>
  <si>
    <t>PIN:60950 ALISONVILLE</t>
  </si>
  <si>
    <t>MHA/IND/01227</t>
  </si>
  <si>
    <t>CHRISTOPHER CAMPOS</t>
  </si>
  <si>
    <t>MARIABOROUGH</t>
  </si>
  <si>
    <t>IND/MEL/01222</t>
  </si>
  <si>
    <t>Ryan Brown</t>
  </si>
  <si>
    <t>Samantha Christensen</t>
  </si>
  <si>
    <t>9255 Diana Wall</t>
  </si>
  <si>
    <t>Apt. 513</t>
  </si>
  <si>
    <t>PIN:12127 WEST JUAN</t>
  </si>
  <si>
    <t>MHA/IND/01228</t>
  </si>
  <si>
    <t>HANNAH JOHNSON</t>
  </si>
  <si>
    <t>LAKE ROBERTBOROUGH</t>
  </si>
  <si>
    <t>IND/MEL/01223</t>
  </si>
  <si>
    <t>Jeffrey Phillips</t>
  </si>
  <si>
    <t>Shannon Riley</t>
  </si>
  <si>
    <t>3484 Paul Causeway Apt. 774</t>
  </si>
  <si>
    <t>Apt. 719</t>
  </si>
  <si>
    <t>PIN:72391 SOUTH SHANE</t>
  </si>
  <si>
    <t>MHA/IND/01229</t>
  </si>
  <si>
    <t>LAKE JAMESTOWN</t>
  </si>
  <si>
    <t>IND/MEL/01224</t>
  </si>
  <si>
    <t>Timothy Davis</t>
  </si>
  <si>
    <t>Pamela Crosby</t>
  </si>
  <si>
    <t>4047 Hudson Roads Apt. 200</t>
  </si>
  <si>
    <t>Apt. 067</t>
  </si>
  <si>
    <t>PIN:69239 MARYSTAD</t>
  </si>
  <si>
    <t>MHA/IND/01230</t>
  </si>
  <si>
    <t>MARIA JOHNSON</t>
  </si>
  <si>
    <t>EAST JULIA</t>
  </si>
  <si>
    <t>IND/MEL/01225</t>
  </si>
  <si>
    <t>Corey Gray</t>
  </si>
  <si>
    <t>Barbara Serrano</t>
  </si>
  <si>
    <t>605 Michael Extension</t>
  </si>
  <si>
    <t>Apt. 899</t>
  </si>
  <si>
    <t>PIN:34432 ALEXANDRAVIEW</t>
  </si>
  <si>
    <t>MHA/IND/01231</t>
  </si>
  <si>
    <t>STEPHANIE SKINNER</t>
  </si>
  <si>
    <t>PORT JAY</t>
  </si>
  <si>
    <t>IND/MEL/01226</t>
  </si>
  <si>
    <t>Matthew Zimmerman</t>
  </si>
  <si>
    <t>Madeline Porter</t>
  </si>
  <si>
    <t>031 Haney Place</t>
  </si>
  <si>
    <t>Apt. 016</t>
  </si>
  <si>
    <t>PIN:69239 HUDSONFORT</t>
  </si>
  <si>
    <t>MHA/IND/01232</t>
  </si>
  <si>
    <t>JAMES MITCHELL</t>
  </si>
  <si>
    <t>PORT AMANDA</t>
  </si>
  <si>
    <t>IND/MEL/01227</t>
  </si>
  <si>
    <t>Eddie Nelson</t>
  </si>
  <si>
    <t>Kelsey Wright</t>
  </si>
  <si>
    <t>427 Gonzalez Mill Apt. 889</t>
  </si>
  <si>
    <t>PIN:47209 ELLISFURT</t>
  </si>
  <si>
    <t>MHA/IND/01233</t>
  </si>
  <si>
    <t>SHERRY ROSE</t>
  </si>
  <si>
    <t>WEST KATHLEENCHESTER</t>
  </si>
  <si>
    <t>IND/MEL/01228</t>
  </si>
  <si>
    <t>John Thompson</t>
  </si>
  <si>
    <t>Laurie Ballard</t>
  </si>
  <si>
    <t>90176 Robert Island Suite 894</t>
  </si>
  <si>
    <t>Apt. 354</t>
  </si>
  <si>
    <t>PIN:21578 EAST BRITTANY</t>
  </si>
  <si>
    <t>MHA/IND/01234</t>
  </si>
  <si>
    <t>HAROLD VEGA</t>
  </si>
  <si>
    <t>NEW CANDACESIDE</t>
  </si>
  <si>
    <t>IND/MEL/01229</t>
  </si>
  <si>
    <t>Derek Moody</t>
  </si>
  <si>
    <t>Theresa Harris</t>
  </si>
  <si>
    <t>20932 Gabriel Place Apt. 753</t>
  </si>
  <si>
    <t>PIN:13991 WHITNEYBURY</t>
  </si>
  <si>
    <t>MHA/IND/01235</t>
  </si>
  <si>
    <t>COREY ALLEN</t>
  </si>
  <si>
    <t>KENNETHSHIRE</t>
  </si>
  <si>
    <t>IND/MEL/01230</t>
  </si>
  <si>
    <t>Henry Wright</t>
  </si>
  <si>
    <t>Annette Osborne</t>
  </si>
  <si>
    <t>14698 Quinn Motorway</t>
  </si>
  <si>
    <t>Suite 067</t>
  </si>
  <si>
    <t>PIN:95525 LAKE JOELMOUTH</t>
  </si>
  <si>
    <t>MHA/IND/01236</t>
  </si>
  <si>
    <t>SAMUEL JOHNSON</t>
  </si>
  <si>
    <t>WEST JAVIERVIEW</t>
  </si>
  <si>
    <t>IND/MEL/01231</t>
  </si>
  <si>
    <t>Benjamin Patton</t>
  </si>
  <si>
    <t>Rachel Stephenson</t>
  </si>
  <si>
    <t>50433 Tucker Mills</t>
  </si>
  <si>
    <t>PIN:40493 NORTH JAMESVILLE</t>
  </si>
  <si>
    <t>MHA/IND/01237</t>
  </si>
  <si>
    <t>CHRISTOPHER MARTINEZ</t>
  </si>
  <si>
    <t>LAKE LAURA</t>
  </si>
  <si>
    <t>IND/MEL/01232</t>
  </si>
  <si>
    <t>James Tanner</t>
  </si>
  <si>
    <t>Jill Hall</t>
  </si>
  <si>
    <t>639 Jenny Motorway Apt. 905</t>
  </si>
  <si>
    <t>Apt. 833</t>
  </si>
  <si>
    <t>PIN:75005 WALKERMOUTH</t>
  </si>
  <si>
    <t>MHA/IND/01238</t>
  </si>
  <si>
    <t>CHRISTOPHER PEREZ</t>
  </si>
  <si>
    <t>DERRICKTOWN</t>
  </si>
  <si>
    <t>IND/MEL/01233</t>
  </si>
  <si>
    <t>Guy Davis</t>
  </si>
  <si>
    <t>Julia Miller</t>
  </si>
  <si>
    <t>039 Christine Views Apt. 257</t>
  </si>
  <si>
    <t>Suite 344</t>
  </si>
  <si>
    <t>PIN:94618 CONWAYBURGH</t>
  </si>
  <si>
    <t>MHA/IND/01239</t>
  </si>
  <si>
    <t>DAVID MYERS</t>
  </si>
  <si>
    <t>PORT AMBER</t>
  </si>
  <si>
    <t>IND/MEL/01234</t>
  </si>
  <si>
    <t>Austin Butler</t>
  </si>
  <si>
    <t>Anna Nelson</t>
  </si>
  <si>
    <t>901 John Knoll</t>
  </si>
  <si>
    <t>Suite 238</t>
  </si>
  <si>
    <t>PIN:56791 GORDONLAND</t>
  </si>
  <si>
    <t>MHA/IND/01240</t>
  </si>
  <si>
    <t>CHARLES MARTINEZ</t>
  </si>
  <si>
    <t>SOUTH STEPHANIE</t>
  </si>
  <si>
    <t>IND/MEL/01235</t>
  </si>
  <si>
    <t>Adam Fox</t>
  </si>
  <si>
    <t>Jordan Carpenter</t>
  </si>
  <si>
    <t>0655 Fisher Squares Apt. 696</t>
  </si>
  <si>
    <t>Suite 115</t>
  </si>
  <si>
    <t>PIN:71397 GUERRASHIRE</t>
  </si>
  <si>
    <t>MHA/IND/01241</t>
  </si>
  <si>
    <t>CARLA HANSON</t>
  </si>
  <si>
    <t>CARNEYBURY</t>
  </si>
  <si>
    <t>IND/MEL/01236</t>
  </si>
  <si>
    <t>Michael Snyder</t>
  </si>
  <si>
    <t>Brenda Sutton</t>
  </si>
  <si>
    <t>2506 Lee Hills</t>
  </si>
  <si>
    <t>Suite 721</t>
  </si>
  <si>
    <t>PIN:10495 FERNANDOBERG</t>
  </si>
  <si>
    <t>MHA/IND/01242</t>
  </si>
  <si>
    <t>ISAAC TRUJILLO</t>
  </si>
  <si>
    <t>WARRENBERG</t>
  </si>
  <si>
    <t>IND/MEL/01237</t>
  </si>
  <si>
    <t>Eric Jones</t>
  </si>
  <si>
    <t>Destiny Carson</t>
  </si>
  <si>
    <t>392 Grant Rapid</t>
  </si>
  <si>
    <t>Suite 759</t>
  </si>
  <si>
    <t>PIN:67124 MALDONADOFURT</t>
  </si>
  <si>
    <t>MHA/IND/01243</t>
  </si>
  <si>
    <t>RYAN CONTRERAS</t>
  </si>
  <si>
    <t>JACOBTOWN</t>
  </si>
  <si>
    <t>IND/MEL/01238</t>
  </si>
  <si>
    <t>Thomas Oconnell</t>
  </si>
  <si>
    <t>Kathleen Flynn</t>
  </si>
  <si>
    <t>20036 Davis Meadows Suite 541</t>
  </si>
  <si>
    <t>PIN:25123 ASHLEYTOWN</t>
  </si>
  <si>
    <t>MHA/IND/01244</t>
  </si>
  <si>
    <t>TREVOR BRADY</t>
  </si>
  <si>
    <t>MOSESMOUTH</t>
  </si>
  <si>
    <t>IND/MEL/01239</t>
  </si>
  <si>
    <t>David Schwartz</t>
  </si>
  <si>
    <t>Andrea Mason</t>
  </si>
  <si>
    <t>56186 Tate Route Apt. 398</t>
  </si>
  <si>
    <t>Suite 827</t>
  </si>
  <si>
    <t>PIN:83105 GRIFFINCHESTER</t>
  </si>
  <si>
    <t>MHA/IND/01245</t>
  </si>
  <si>
    <t>LAWRENCE RYAN</t>
  </si>
  <si>
    <t>GRAHAMBURY</t>
  </si>
  <si>
    <t>IND/MEL/01240</t>
  </si>
  <si>
    <t>Karl Oliver</t>
  </si>
  <si>
    <t>Mallory Everett</t>
  </si>
  <si>
    <t>8511 Nicholas Tunnel Suite 325</t>
  </si>
  <si>
    <t>Suite 216</t>
  </si>
  <si>
    <t>PIN:85497 LAKE TRACY</t>
  </si>
  <si>
    <t>MHA/IND/01246</t>
  </si>
  <si>
    <t>JENNIFER GREEN</t>
  </si>
  <si>
    <t>WANDATON</t>
  </si>
  <si>
    <t>IND/MEL/01241</t>
  </si>
  <si>
    <t>Chad Lawson</t>
  </si>
  <si>
    <t>Amanda Smith</t>
  </si>
  <si>
    <t>9643 Powers Brook Apt. 584</t>
  </si>
  <si>
    <t>Suite 804</t>
  </si>
  <si>
    <t>PIN:67349 NEW DAVID</t>
  </si>
  <si>
    <t>MHA/IND/01247</t>
  </si>
  <si>
    <t>SCOTT WAGNER</t>
  </si>
  <si>
    <t>TIMOTHYBURY</t>
  </si>
  <si>
    <t>IND/MEL/01242</t>
  </si>
  <si>
    <t>David Parker</t>
  </si>
  <si>
    <t>Denise Sanchez</t>
  </si>
  <si>
    <t>6109 Hall Forest Suite 220</t>
  </si>
  <si>
    <t>Apt. 393</t>
  </si>
  <si>
    <t>PIN:12390 LAKE AMANDA</t>
  </si>
  <si>
    <t>MHA/IND/01248</t>
  </si>
  <si>
    <t>RICHARD THOMAS</t>
  </si>
  <si>
    <t>MEGANTOWN</t>
  </si>
  <si>
    <t>IND/MEL/01243</t>
  </si>
  <si>
    <t>Darren Cook</t>
  </si>
  <si>
    <t>Emma Perry</t>
  </si>
  <si>
    <t>02716 Austin Center</t>
  </si>
  <si>
    <t>Suite 570</t>
  </si>
  <si>
    <t>PIN:21091 SMITHHAVEN</t>
  </si>
  <si>
    <t>MHA/IND/01249</t>
  </si>
  <si>
    <t>CINDY BAXTER</t>
  </si>
  <si>
    <t>PORT RACHELHAVEN</t>
  </si>
  <si>
    <t>IND/MEL/01244</t>
  </si>
  <si>
    <t>Chase Gentry</t>
  </si>
  <si>
    <t>Rebecca Ward</t>
  </si>
  <si>
    <t>0342 Karen Road</t>
  </si>
  <si>
    <t>Suite 127</t>
  </si>
  <si>
    <t>PIN:10626 MARKBERG</t>
  </si>
  <si>
    <t>MHA/IND/01250</t>
  </si>
  <si>
    <t>BRANDY FITZGERALD</t>
  </si>
  <si>
    <t>WEST AMBERMOUTH</t>
  </si>
  <si>
    <t>IND/MEL/01245</t>
  </si>
  <si>
    <t>Gary Wagner</t>
  </si>
  <si>
    <t>Ashley Turner</t>
  </si>
  <si>
    <t>6048 Owens Branch</t>
  </si>
  <si>
    <t>PIN:44019 NEW CHRISTY</t>
  </si>
  <si>
    <t>MHA/IND/01251</t>
  </si>
  <si>
    <t>KENNETH RODRIGUEZ</t>
  </si>
  <si>
    <t>LAURAHAVEN</t>
  </si>
  <si>
    <t>IND/MEL/01246</t>
  </si>
  <si>
    <t>Christopher Ortiz</t>
  </si>
  <si>
    <t>Jessica Howell</t>
  </si>
  <si>
    <t>879 Anthony Dale Apt. 022</t>
  </si>
  <si>
    <t>PIN:25522 PHILIPVIEW</t>
  </si>
  <si>
    <t>MHA/IND/01252</t>
  </si>
  <si>
    <t>PATRICIA GARCIA</t>
  </si>
  <si>
    <t>LAKE ANTHONYCHESTER</t>
  </si>
  <si>
    <t>IND/MEL/01247</t>
  </si>
  <si>
    <t>Charles Calderon</t>
  </si>
  <si>
    <t>Amy Weaver</t>
  </si>
  <si>
    <t>83955 Erika Parkway</t>
  </si>
  <si>
    <t>Apt. 281</t>
  </si>
  <si>
    <t>PIN:70631 BURKETOWN</t>
  </si>
  <si>
    <t>MHA/IND/01253</t>
  </si>
  <si>
    <t>CODY CASEY</t>
  </si>
  <si>
    <t>NEW JULIA</t>
  </si>
  <si>
    <t>IND/MEL/01248</t>
  </si>
  <si>
    <t>Gabriel Fry</t>
  </si>
  <si>
    <t>Jenna Mccarthy</t>
  </si>
  <si>
    <t>798 Smith Underpass Suite 052</t>
  </si>
  <si>
    <t>Apt. 947</t>
  </si>
  <si>
    <t>PIN:86911 NEW TRACIFORT</t>
  </si>
  <si>
    <t>MHA/IND/01254</t>
  </si>
  <si>
    <t>MADISON PETERS</t>
  </si>
  <si>
    <t>LAKE JACKLAND</t>
  </si>
  <si>
    <t>IND/MEL/01249</t>
  </si>
  <si>
    <t>Ricky Parker</t>
  </si>
  <si>
    <t>Crystal Robertson</t>
  </si>
  <si>
    <t>83786 Elizabeth Rest Apt. 898</t>
  </si>
  <si>
    <t>Suite 808</t>
  </si>
  <si>
    <t>PIN:99694 NELSONPORT</t>
  </si>
  <si>
    <t>MHA/IND/01255</t>
  </si>
  <si>
    <t>DESTINY LAWRENCE</t>
  </si>
  <si>
    <t>LAKE CINDY</t>
  </si>
  <si>
    <t>IND/MEL/01250</t>
  </si>
  <si>
    <t>Alan Martin</t>
  </si>
  <si>
    <t>Katrina Baker</t>
  </si>
  <si>
    <t>39927 Friedman Rest</t>
  </si>
  <si>
    <t>Apt. 594</t>
  </si>
  <si>
    <t>PIN:13917 SOUTH DANIEL</t>
  </si>
  <si>
    <t>MHA/IND/01256</t>
  </si>
  <si>
    <t>BRIANNA AUSTIN</t>
  </si>
  <si>
    <t>PORT WILLIESTAD</t>
  </si>
  <si>
    <t>IND/MEL/01251</t>
  </si>
  <si>
    <t>Mr. Lee Munoz DDS</t>
  </si>
  <si>
    <t>Maria Mendez</t>
  </si>
  <si>
    <t>5291 Gallegos Tunnel</t>
  </si>
  <si>
    <t>Apt. 592</t>
  </si>
  <si>
    <t>PIN:08789 WEST WALTERHAVEN</t>
  </si>
  <si>
    <t>MHA/IND/01257</t>
  </si>
  <si>
    <t>DANIEL ALVAREZ</t>
  </si>
  <si>
    <t>CHRISTINETON</t>
  </si>
  <si>
    <t>IND/MEL/01252</t>
  </si>
  <si>
    <t>Brent Carrillo</t>
  </si>
  <si>
    <t>Jennifer Dunn</t>
  </si>
  <si>
    <t>37133 Andersen Manors Suite 248</t>
  </si>
  <si>
    <t>PIN:15174 PERRYLAND</t>
  </si>
  <si>
    <t>MHA/IND/01258</t>
  </si>
  <si>
    <t>WILLIAM LOPEZ</t>
  </si>
  <si>
    <t>FISCHERMOUTH</t>
  </si>
  <si>
    <t>IND/MEL/01253</t>
  </si>
  <si>
    <t>Shawn Stevens</t>
  </si>
  <si>
    <t>Heather Allen</t>
  </si>
  <si>
    <t>9750 Peter Alley</t>
  </si>
  <si>
    <t>Apt. 146</t>
  </si>
  <si>
    <t>PIN:67704 PORT DANIEL</t>
  </si>
  <si>
    <t>MHA/IND/01259</t>
  </si>
  <si>
    <t>SAMANTHA WILLIAMS</t>
  </si>
  <si>
    <t>WEST EDWARD</t>
  </si>
  <si>
    <t>IND/MEL/01254</t>
  </si>
  <si>
    <t>Javier Walker</t>
  </si>
  <si>
    <t>Ruth Kerr</t>
  </si>
  <si>
    <t>6391 Kramer Fork Suite 309</t>
  </si>
  <si>
    <t>Suite 720</t>
  </si>
  <si>
    <t>PIN:89537 WEST PATRICK</t>
  </si>
  <si>
    <t>MHA/IND/01260</t>
  </si>
  <si>
    <t>LINDA JONES</t>
  </si>
  <si>
    <t>SOUTH ELIZABETHBURY</t>
  </si>
  <si>
    <t>IND/MEL/01255</t>
  </si>
  <si>
    <t>Jaime Gomez</t>
  </si>
  <si>
    <t>Taylor Hernandez</t>
  </si>
  <si>
    <t>257 Melanie Keys</t>
  </si>
  <si>
    <t>Suite 037</t>
  </si>
  <si>
    <t>PIN:84751 TAYLORVIEW</t>
  </si>
  <si>
    <t>MHA/IND/01261</t>
  </si>
  <si>
    <t>ROGER WALKER</t>
  </si>
  <si>
    <t>LAKE AMBER</t>
  </si>
  <si>
    <t>IND/MEL/01256</t>
  </si>
  <si>
    <t>Joshua Lane</t>
  </si>
  <si>
    <t>Crystal Barnes</t>
  </si>
  <si>
    <t>2234 Daniel Prairie</t>
  </si>
  <si>
    <t>PIN:68970 KINGFORT</t>
  </si>
  <si>
    <t>MHA/IND/01262</t>
  </si>
  <si>
    <t>KELLY GORDON</t>
  </si>
  <si>
    <t>HUNTLAND</t>
  </si>
  <si>
    <t>IND/MEL/01257</t>
  </si>
  <si>
    <t>Daniel Maldonado</t>
  </si>
  <si>
    <t>Michelle King</t>
  </si>
  <si>
    <t>702 Warren Crest</t>
  </si>
  <si>
    <t>Apt. 713</t>
  </si>
  <si>
    <t>PIN:45340 NORTH CAROLMOUTH</t>
  </si>
  <si>
    <t>MHA/IND/01263</t>
  </si>
  <si>
    <t>MARK BENNETT</t>
  </si>
  <si>
    <t>AYERSMOUTH</t>
  </si>
  <si>
    <t>IND/MEL/01258</t>
  </si>
  <si>
    <t>Thomas Shannon</t>
  </si>
  <si>
    <t>Natalie Carson</t>
  </si>
  <si>
    <t>816 Ryan Row Apt. 629</t>
  </si>
  <si>
    <t>Apt. 299</t>
  </si>
  <si>
    <t>PIN:99913 NEW BRIANFURT</t>
  </si>
  <si>
    <t>MHA/IND/01264</t>
  </si>
  <si>
    <t>MARIA THOMAS</t>
  </si>
  <si>
    <t>KYLEBERG</t>
  </si>
  <si>
    <t>IND/MEL/01259</t>
  </si>
  <si>
    <t>Ronald Aguilar</t>
  </si>
  <si>
    <t>Jessica Howe</t>
  </si>
  <si>
    <t>0553 Hill Estates</t>
  </si>
  <si>
    <t>Apt. 478</t>
  </si>
  <si>
    <t>PIN:55372 PORT DOUGLAS</t>
  </si>
  <si>
    <t>MHA/IND/01265</t>
  </si>
  <si>
    <t>WILLIAM BOYER</t>
  </si>
  <si>
    <t>NORTH RICHARDVILLE</t>
  </si>
  <si>
    <t>IND/MEL/01260</t>
  </si>
  <si>
    <t>Michael Brown</t>
  </si>
  <si>
    <t>Carolyn Thomas</t>
  </si>
  <si>
    <t>96670 Hahn Forge Apt. 355</t>
  </si>
  <si>
    <t>PIN:58268 HILLFORT</t>
  </si>
  <si>
    <t>MHA/IND/01266</t>
  </si>
  <si>
    <t>ANITA MEZA</t>
  </si>
  <si>
    <t>LAKE REBECCA</t>
  </si>
  <si>
    <t>IND/MEL/01261</t>
  </si>
  <si>
    <t>Isaiah Hughes</t>
  </si>
  <si>
    <t>Brandy Garza</t>
  </si>
  <si>
    <t>855 Susan Neck Suite 867</t>
  </si>
  <si>
    <t>PIN:11754 MICHELLEVIEW</t>
  </si>
  <si>
    <t>MHA/IND/01267</t>
  </si>
  <si>
    <t>MARIA ADAMS</t>
  </si>
  <si>
    <t>IND/MEL/01262</t>
  </si>
  <si>
    <t>Jeffery Clark</t>
  </si>
  <si>
    <t>Elizabeth Moore</t>
  </si>
  <si>
    <t>8207 Courtney Crossing</t>
  </si>
  <si>
    <t>Suite 011</t>
  </si>
  <si>
    <t>PIN:71116 SOUTH LINDA</t>
  </si>
  <si>
    <t>MHA/IND/01268</t>
  </si>
  <si>
    <t>MONIQUE PERKINS</t>
  </si>
  <si>
    <t>LAKE CHARLESVIEW</t>
  </si>
  <si>
    <t>IND/MEL/01263</t>
  </si>
  <si>
    <t>Jamie Romero</t>
  </si>
  <si>
    <t>Elizabeth Wallace</t>
  </si>
  <si>
    <t>356 Cody Rapids Suite 431</t>
  </si>
  <si>
    <t>Suite 125</t>
  </si>
  <si>
    <t>PIN:49611 MARKCHESTER</t>
  </si>
  <si>
    <t>MHA/IND/01269</t>
  </si>
  <si>
    <t>ALEXANDER COX</t>
  </si>
  <si>
    <t>PORT ROBERT</t>
  </si>
  <si>
    <t>IND/MEL/01264</t>
  </si>
  <si>
    <t>Christopher Gomez</t>
  </si>
  <si>
    <t>Mackenzie Thomas</t>
  </si>
  <si>
    <t>4608 Castillo Shore</t>
  </si>
  <si>
    <t>Suite 444</t>
  </si>
  <si>
    <t>PIN:62676 NEW JENNIFER</t>
  </si>
  <si>
    <t>MHA/IND/01270</t>
  </si>
  <si>
    <t>SCOTT ASHLEY</t>
  </si>
  <si>
    <t>PORT KENNETHFORT</t>
  </si>
  <si>
    <t>IND/MEL/01265</t>
  </si>
  <si>
    <t>Nathan Nichols</t>
  </si>
  <si>
    <t>Jessica Reynolds</t>
  </si>
  <si>
    <t>9026 Mcdonald Station</t>
  </si>
  <si>
    <t>Apt. 382</t>
  </si>
  <si>
    <t>PIN:26487 NEW MORGAN</t>
  </si>
  <si>
    <t>MHA/IND/01271</t>
  </si>
  <si>
    <t>ERIN SIMPSON</t>
  </si>
  <si>
    <t>EAST AMANDA</t>
  </si>
  <si>
    <t>IND/MEL/01266</t>
  </si>
  <si>
    <t>Timothy Small</t>
  </si>
  <si>
    <t>Tiffany Williams</t>
  </si>
  <si>
    <t>84514 Singh Burg</t>
  </si>
  <si>
    <t>Apt. 099</t>
  </si>
  <si>
    <t>PIN:73161 WEST LORISIDE</t>
  </si>
  <si>
    <t>MHA/IND/01272</t>
  </si>
  <si>
    <t>TIMOTHY LONG</t>
  </si>
  <si>
    <t>CHRISTINESHIRE</t>
  </si>
  <si>
    <t>IND/MEL/01267</t>
  </si>
  <si>
    <t>Alexander Nguyen</t>
  </si>
  <si>
    <t>Sabrina Mason</t>
  </si>
  <si>
    <t>65250 Samantha Causeway Suite 855</t>
  </si>
  <si>
    <t>Suite 643</t>
  </si>
  <si>
    <t>PIN:55065 JAREDSTAD</t>
  </si>
  <si>
    <t>MHA/IND/01273</t>
  </si>
  <si>
    <t>WALTER PATEL</t>
  </si>
  <si>
    <t>BARBARABOROUGH</t>
  </si>
  <si>
    <t>IND/MEL/01268</t>
  </si>
  <si>
    <t>Brett Washington</t>
  </si>
  <si>
    <t>Rebecca Salazar</t>
  </si>
  <si>
    <t>34404 Stephanie Gateway Suite 850</t>
  </si>
  <si>
    <t>Suite 170</t>
  </si>
  <si>
    <t>PIN:25571 SOUTH BRENDA</t>
  </si>
  <si>
    <t>MHA/IND/01274</t>
  </si>
  <si>
    <t>JADE FULLER</t>
  </si>
  <si>
    <t>TANYAFURT</t>
  </si>
  <si>
    <t>IND/MEL/01269</t>
  </si>
  <si>
    <t>Samuel Hensley</t>
  </si>
  <si>
    <t>Amy Peterson</t>
  </si>
  <si>
    <t>0822 Ashley Spring Apt. 684</t>
  </si>
  <si>
    <t>Apt. 359</t>
  </si>
  <si>
    <t>PIN:55309 WALKERBOROUGH</t>
  </si>
  <si>
    <t>MHA/IND/01275</t>
  </si>
  <si>
    <t>REBECCA GONZALEZ</t>
  </si>
  <si>
    <t>SOUTH MATTHEW</t>
  </si>
  <si>
    <t>IND/MEL/01270</t>
  </si>
  <si>
    <t>David Davis</t>
  </si>
  <si>
    <t>Kaitlyn Black</t>
  </si>
  <si>
    <t>210 Johnson Centers Apt. 779</t>
  </si>
  <si>
    <t>Apt. 353</t>
  </si>
  <si>
    <t>PIN:60050 PORT PHILLIP</t>
  </si>
  <si>
    <t>MHA/IND/01276</t>
  </si>
  <si>
    <t>LAUREN PAUL</t>
  </si>
  <si>
    <t>LINDSAYMOUTH</t>
  </si>
  <si>
    <t>IND/MEL/01271</t>
  </si>
  <si>
    <t>Calvin Marquez</t>
  </si>
  <si>
    <t>Lisa Paul</t>
  </si>
  <si>
    <t>424 Brian Route</t>
  </si>
  <si>
    <t>Suite 295</t>
  </si>
  <si>
    <t>PIN:32728 SOUTH AMY</t>
  </si>
  <si>
    <t>MHA/IND/01277</t>
  </si>
  <si>
    <t>CRYSTAL EVANS</t>
  </si>
  <si>
    <t>SOUTH ETHANSIDE</t>
  </si>
  <si>
    <t>IND/MEL/01272</t>
  </si>
  <si>
    <t>Benjamin Clark</t>
  </si>
  <si>
    <t>Lindsey Jenkins</t>
  </si>
  <si>
    <t>63733 Jodi Extension Apt. 466</t>
  </si>
  <si>
    <t>Suite 268</t>
  </si>
  <si>
    <t>PIN:15117 LAKE JESSICABURY</t>
  </si>
  <si>
    <t>MHA/IND/01278</t>
  </si>
  <si>
    <t>GREGORY TAPIA</t>
  </si>
  <si>
    <t>LAKE DENNIS</t>
  </si>
  <si>
    <t>IND/MEL/01273</t>
  </si>
  <si>
    <t>Henry Clark</t>
  </si>
  <si>
    <t>Emily Copeland</t>
  </si>
  <si>
    <t>932 Lambert Village Suite 173</t>
  </si>
  <si>
    <t>Suite 635</t>
  </si>
  <si>
    <t>PIN:86675 NEW BLAKEBURY</t>
  </si>
  <si>
    <t>MHA/IND/01279</t>
  </si>
  <si>
    <t>ERIC RITTER</t>
  </si>
  <si>
    <t>WEST ALAN</t>
  </si>
  <si>
    <t>IND/MEL/01274</t>
  </si>
  <si>
    <t>Rick King</t>
  </si>
  <si>
    <t>Jessica Henry</t>
  </si>
  <si>
    <t>0132 Katrina Mountain</t>
  </si>
  <si>
    <t>PIN:77555 EAST BRIAN</t>
  </si>
  <si>
    <t>MHA/IND/01280</t>
  </si>
  <si>
    <t>TERRY GREEN</t>
  </si>
  <si>
    <t>SOUTH MICHAELBURY</t>
  </si>
  <si>
    <t>IND/MEL/01275</t>
  </si>
  <si>
    <t>Kevin Alexander</t>
  </si>
  <si>
    <t>Alison Stephenson</t>
  </si>
  <si>
    <t>8708 Monica Locks</t>
  </si>
  <si>
    <t>Apt. 006</t>
  </si>
  <si>
    <t>PIN:13798 NORTH VICTORIABERG</t>
  </si>
  <si>
    <t>MHA/IND/01281</t>
  </si>
  <si>
    <t>CRYSTAL PETERSON</t>
  </si>
  <si>
    <t>BISHOPVIEW</t>
  </si>
  <si>
    <t>IND/MEL/01276</t>
  </si>
  <si>
    <t>David Baker</t>
  </si>
  <si>
    <t>Amanda Jordan</t>
  </si>
  <si>
    <t>11959 Nelson Glen Suite 453</t>
  </si>
  <si>
    <t>Apt. 573</t>
  </si>
  <si>
    <t>PIN:64502 NORTH ALISONSIDE</t>
  </si>
  <si>
    <t>MHA/IND/01282</t>
  </si>
  <si>
    <t>SHARON EDWARDS</t>
  </si>
  <si>
    <t>NORTH JESSICA</t>
  </si>
  <si>
    <t>IND/MEL/01277</t>
  </si>
  <si>
    <t>Zachary Dyer</t>
  </si>
  <si>
    <t>Amber Wright</t>
  </si>
  <si>
    <t>7848 Danielle Lodge Suite 142</t>
  </si>
  <si>
    <t>Apt. 785</t>
  </si>
  <si>
    <t>PIN:65590 MICHAELPORT</t>
  </si>
  <si>
    <t>MHA/IND/01283</t>
  </si>
  <si>
    <t>JOHN DAVIES</t>
  </si>
  <si>
    <t>MICHELLEBOROUGH</t>
  </si>
  <si>
    <t>IND/MEL/01278</t>
  </si>
  <si>
    <t>Robert Rowland</t>
  </si>
  <si>
    <t>Ashley Contreras</t>
  </si>
  <si>
    <t>053 Phillips Field</t>
  </si>
  <si>
    <t>Apt. 429</t>
  </si>
  <si>
    <t>PIN:58522 NORTH KELLYSHIRE</t>
  </si>
  <si>
    <t>MHA/IND/01284</t>
  </si>
  <si>
    <t>BRENT HAMILTON</t>
  </si>
  <si>
    <t>EAST SHANNONMOUTH</t>
  </si>
  <si>
    <t>IND/MEL/01279</t>
  </si>
  <si>
    <t>Michael Davis</t>
  </si>
  <si>
    <t>Elizabeth Spencer</t>
  </si>
  <si>
    <t>35020 Vincent Tunnel Apt. 653</t>
  </si>
  <si>
    <t>Apt. 657</t>
  </si>
  <si>
    <t>PIN:86499 WEST CARRIETON</t>
  </si>
  <si>
    <t>MHA/IND/01285</t>
  </si>
  <si>
    <t>JOHN DIAZ</t>
  </si>
  <si>
    <t>WEST ANTHONYSIDE</t>
  </si>
  <si>
    <t>IND/MEL/01280</t>
  </si>
  <si>
    <t>Scott Frederick</t>
  </si>
  <si>
    <t>Shelby Walker</t>
  </si>
  <si>
    <t>8920 Kyle Road Suite 696</t>
  </si>
  <si>
    <t>Suite 334</t>
  </si>
  <si>
    <t>PIN:53058 PORT JOSEHAVEN</t>
  </si>
  <si>
    <t>MHA/IND/01286</t>
  </si>
  <si>
    <t>RAYMOND GORDON</t>
  </si>
  <si>
    <t>WEST VALERIECHESTER</t>
  </si>
  <si>
    <t>IND/MEL/01281</t>
  </si>
  <si>
    <t>Keith Johnson</t>
  </si>
  <si>
    <t>Christina Smith</t>
  </si>
  <si>
    <t>2357 Mccall Junction</t>
  </si>
  <si>
    <t>Apt. 643</t>
  </si>
  <si>
    <t>PIN:62966 VIRGINIAFORT</t>
  </si>
  <si>
    <t>MHA/IND/01287</t>
  </si>
  <si>
    <t>CHRISTIAN LITTLE</t>
  </si>
  <si>
    <t>LAURALAND</t>
  </si>
  <si>
    <t>IND/MEL/01282</t>
  </si>
  <si>
    <t>Dr. Stephen Roman</t>
  </si>
  <si>
    <t>Kristina Young</t>
  </si>
  <si>
    <t>7255 Kimberly Via</t>
  </si>
  <si>
    <t>PIN:37052 PORT CODYPORT</t>
  </si>
  <si>
    <t>MHA/IND/01288</t>
  </si>
  <si>
    <t>DAWN ODONNELL</t>
  </si>
  <si>
    <t>LAKE MARKFURT</t>
  </si>
  <si>
    <t>IND/MEL/01283</t>
  </si>
  <si>
    <t>Dr. Brandon Ramirez MD</t>
  </si>
  <si>
    <t>Taylor Martinez</t>
  </si>
  <si>
    <t>85457 Jeffrey Port</t>
  </si>
  <si>
    <t>Suite 379</t>
  </si>
  <si>
    <t>PIN:46346 PORT SHERRY</t>
  </si>
  <si>
    <t>MHA/IND/01289</t>
  </si>
  <si>
    <t>MATTHEW MATHIS</t>
  </si>
  <si>
    <t>MONTGOMERYBURGH</t>
  </si>
  <si>
    <t>IND/MEL/01284</t>
  </si>
  <si>
    <t>Carlos Olson</t>
  </si>
  <si>
    <t>Donna Ball</t>
  </si>
  <si>
    <t>489 Michael Isle Suite 639</t>
  </si>
  <si>
    <t>Suite 770</t>
  </si>
  <si>
    <t>PIN:29939 DURANSIDE</t>
  </si>
  <si>
    <t>MHA/IND/01290</t>
  </si>
  <si>
    <t>AMANDA WOLFE</t>
  </si>
  <si>
    <t>SOUTH JOSEPH</t>
  </si>
  <si>
    <t>IND/MEL/01285</t>
  </si>
  <si>
    <t>Andrew Davis</t>
  </si>
  <si>
    <t>Kristine Cortez DDS</t>
  </si>
  <si>
    <t>770 Donna Dam Suite 135</t>
  </si>
  <si>
    <t>Apt. 259</t>
  </si>
  <si>
    <t>PIN:55560 PATRICKBOROUGH</t>
  </si>
  <si>
    <t>MHA/IND/01291</t>
  </si>
  <si>
    <t>STEPHEN SANCHEZ</t>
  </si>
  <si>
    <t>NORTH RYAN</t>
  </si>
  <si>
    <t>IND/MEL/01286</t>
  </si>
  <si>
    <t>Scott Woodard</t>
  </si>
  <si>
    <t>Gloria Hunter</t>
  </si>
  <si>
    <t>5176 Michael Stravenue Suite 473</t>
  </si>
  <si>
    <t>Apt. 039</t>
  </si>
  <si>
    <t>PIN:76425 EAST ELIZABETH</t>
  </si>
  <si>
    <t>MHA/IND/01292</t>
  </si>
  <si>
    <t>DANIELLE WU</t>
  </si>
  <si>
    <t>LORIBOROUGH</t>
  </si>
  <si>
    <t>IND/MEL/01287</t>
  </si>
  <si>
    <t>Stephen Wright</t>
  </si>
  <si>
    <t>Michelle Ortiz</t>
  </si>
  <si>
    <t>872 Jimmy Common Apt. 917</t>
  </si>
  <si>
    <t>Suite 145</t>
  </si>
  <si>
    <t>PIN:77052 NORTH BARBARA</t>
  </si>
  <si>
    <t>MHA/IND/01293</t>
  </si>
  <si>
    <t>EDWARD MARTIN</t>
  </si>
  <si>
    <t>HICKSBURY</t>
  </si>
  <si>
    <t>IND/MEL/01288</t>
  </si>
  <si>
    <t>Darrell Molina</t>
  </si>
  <si>
    <t>Paula Sanchez</t>
  </si>
  <si>
    <t>0956 Walls Manors Suite 512</t>
  </si>
  <si>
    <t>Suite 548</t>
  </si>
  <si>
    <t>PIN:04607 AUSTINLAND</t>
  </si>
  <si>
    <t>MHA/IND/01294</t>
  </si>
  <si>
    <t>JOHNATHAN RIVERA</t>
  </si>
  <si>
    <t>PORT THOMAS</t>
  </si>
  <si>
    <t>IND/MEL/01289</t>
  </si>
  <si>
    <t>Robert Kline</t>
  </si>
  <si>
    <t>Olivia Horton</t>
  </si>
  <si>
    <t>83228 Herman Club</t>
  </si>
  <si>
    <t>Apt. 031</t>
  </si>
  <si>
    <t>PIN:44827 MORANSHIRE</t>
  </si>
  <si>
    <t>MHA/IND/01295</t>
  </si>
  <si>
    <t>JOEL JORDAN</t>
  </si>
  <si>
    <t>JENNIFERSHIRE</t>
  </si>
  <si>
    <t>IND/MEL/01290</t>
  </si>
  <si>
    <t>Marcus Myers</t>
  </si>
  <si>
    <t>Kelly Ellis</t>
  </si>
  <si>
    <t>36426 Brown Crest</t>
  </si>
  <si>
    <t>Apt. 638</t>
  </si>
  <si>
    <t>PIN:61554 PORT CARMENBERG</t>
  </si>
  <si>
    <t>MHA/IND/01296</t>
  </si>
  <si>
    <t>JEFFREY GONZALEZ</t>
  </si>
  <si>
    <t>MARTINEZSHIRE</t>
  </si>
  <si>
    <t>IND/MEL/01291</t>
  </si>
  <si>
    <t>Thomas Mcclure</t>
  </si>
  <si>
    <t>1410 Jacqueline Motorway</t>
  </si>
  <si>
    <t>Suite 919</t>
  </si>
  <si>
    <t>PIN:80808 EAST ANGELA</t>
  </si>
  <si>
    <t>MHA/IND/01297</t>
  </si>
  <si>
    <t>JOANNE RIVERA</t>
  </si>
  <si>
    <t>HOLLOWAYHAVEN</t>
  </si>
  <si>
    <t>IND/MEL/01292</t>
  </si>
  <si>
    <t>Curtis Knight</t>
  </si>
  <si>
    <t>Rhonda Holmes</t>
  </si>
  <si>
    <t>33975 Townsend Well Apt. 731</t>
  </si>
  <si>
    <t>Apt. 521</t>
  </si>
  <si>
    <t>PIN:39680 LAKE BRANDIBURY</t>
  </si>
  <si>
    <t>MHA/IND/01298</t>
  </si>
  <si>
    <t>AMANDA HALL</t>
  </si>
  <si>
    <t>HILLPORT</t>
  </si>
  <si>
    <t>IND/MEL/01293</t>
  </si>
  <si>
    <t>Richard Rios</t>
  </si>
  <si>
    <t>Janet Brandt DDS</t>
  </si>
  <si>
    <t>55934 Kristen Forges Suite 562</t>
  </si>
  <si>
    <t>Apt. 172</t>
  </si>
  <si>
    <t>PIN:51443 WEST PAMELABOROUGH</t>
  </si>
  <si>
    <t>MHA/IND/01299</t>
  </si>
  <si>
    <t>AMBER DAVIS</t>
  </si>
  <si>
    <t>RODRIGUEZBURY</t>
  </si>
  <si>
    <t>IND/MEL/01294</t>
  </si>
  <si>
    <t>Roy Petersen</t>
  </si>
  <si>
    <t>Mary Frederick</t>
  </si>
  <si>
    <t>9776 Lopez Center</t>
  </si>
  <si>
    <t>Apt. 965</t>
  </si>
  <si>
    <t>PIN:92017 SCOTTBERG</t>
  </si>
  <si>
    <t>MHA/IND/01300</t>
  </si>
  <si>
    <t>WILLIAM RYAN</t>
  </si>
  <si>
    <t>NORTH AUSTIN</t>
  </si>
  <si>
    <t>IND/MEL/01295</t>
  </si>
  <si>
    <t>Brian Jones</t>
  </si>
  <si>
    <t>Christina Phillips</t>
  </si>
  <si>
    <t>0233 Long Lodge</t>
  </si>
  <si>
    <t>PIN:39929 MARKVIEW</t>
  </si>
  <si>
    <t>MHA/IND/01301</t>
  </si>
  <si>
    <t>NATALIE LEWIS</t>
  </si>
  <si>
    <t>WEST STEVENTON</t>
  </si>
  <si>
    <t>IND/MEL/01296</t>
  </si>
  <si>
    <t>Courtney Campbell</t>
  </si>
  <si>
    <t>001 Gregory Crescent</t>
  </si>
  <si>
    <t>Apt. 423</t>
  </si>
  <si>
    <t>PIN:19433 PORT MARIAMOUTH</t>
  </si>
  <si>
    <t>MHA/IND/01302</t>
  </si>
  <si>
    <t>MICHELE BARNES</t>
  </si>
  <si>
    <t>JOHNVILLE</t>
  </si>
  <si>
    <t>IND/MEL/01297</t>
  </si>
  <si>
    <t>Mark Frederick</t>
  </si>
  <si>
    <t>Dr. Katie Randall</t>
  </si>
  <si>
    <t>544 Horn Trail Apt. 180</t>
  </si>
  <si>
    <t>Suite 679</t>
  </si>
  <si>
    <t>PIN:20979 ALVARADOSIDE</t>
  </si>
  <si>
    <t>MHA/IND/01303</t>
  </si>
  <si>
    <t>JOSHUA SANDOVAL</t>
  </si>
  <si>
    <t>NELSONBURY</t>
  </si>
  <si>
    <t>IND/MEL/01298</t>
  </si>
  <si>
    <t>Marcus Woods</t>
  </si>
  <si>
    <t>Julie Sanders MD</t>
  </si>
  <si>
    <t>5078 Robin Freeway Suite 635</t>
  </si>
  <si>
    <t>Apt. 404</t>
  </si>
  <si>
    <t>PIN:09900 ARCHERLAND</t>
  </si>
  <si>
    <t>MHA/IND/01304</t>
  </si>
  <si>
    <t>TERRI TUCKER</t>
  </si>
  <si>
    <t>WESTHAVEN</t>
  </si>
  <si>
    <t>IND/MEL/01299</t>
  </si>
  <si>
    <t>David Morrison</t>
  </si>
  <si>
    <t>Christina Singh</t>
  </si>
  <si>
    <t>03728 Gonzalez Plain Apt. 657</t>
  </si>
  <si>
    <t>Suite 531</t>
  </si>
  <si>
    <t>PIN:48403 JOHNSONPORT</t>
  </si>
  <si>
    <t>MHA/IND/01305</t>
  </si>
  <si>
    <t>PATRICK KING</t>
  </si>
  <si>
    <t>NORTH KELLYBURY</t>
  </si>
  <si>
    <t>IND/MEL/01300</t>
  </si>
  <si>
    <t>Devin Gonzalez PhD</t>
  </si>
  <si>
    <t>Brittany Thompson</t>
  </si>
  <si>
    <t>2714 Dylan Falls Suite 898</t>
  </si>
  <si>
    <t>Suite 970</t>
  </si>
  <si>
    <t>PIN:47464 HODGEPORT</t>
  </si>
  <si>
    <t>MHA/IND/01306</t>
  </si>
  <si>
    <t>COREY SANFORD</t>
  </si>
  <si>
    <t>NORTH SAMANTHA</t>
  </si>
  <si>
    <t>IND/MEL/01301</t>
  </si>
  <si>
    <t>Andrew Jarvis</t>
  </si>
  <si>
    <t>Brittany Kane</t>
  </si>
  <si>
    <t>724 Cameron Shore Suite 418</t>
  </si>
  <si>
    <t>Apt. 779</t>
  </si>
  <si>
    <t>PIN:91113 ARELLANOFURT</t>
  </si>
  <si>
    <t>MHA/IND/01307</t>
  </si>
  <si>
    <t>JOHNNY CAMERON</t>
  </si>
  <si>
    <t>NEW ANDRESHAVEN</t>
  </si>
  <si>
    <t>IND/MEL/01302</t>
  </si>
  <si>
    <t>Ralph Garcia</t>
  </si>
  <si>
    <t>Nancy Klein</t>
  </si>
  <si>
    <t>763 Gwendolyn Path Suite 295</t>
  </si>
  <si>
    <t>Suite 103</t>
  </si>
  <si>
    <t>PIN:05177 STEFANIETOWN</t>
  </si>
  <si>
    <t>MHA/IND/01308</t>
  </si>
  <si>
    <t>MARY HOWELL</t>
  </si>
  <si>
    <t>SOUTH PHILIP</t>
  </si>
  <si>
    <t>IND/MEL/01303</t>
  </si>
  <si>
    <t>Colin Freeman</t>
  </si>
  <si>
    <t>Lisa White</t>
  </si>
  <si>
    <t>26090 Martinez Meadow Suite 894</t>
  </si>
  <si>
    <t>Apt. 799</t>
  </si>
  <si>
    <t>PIN:99677 RAMIREZSIDE</t>
  </si>
  <si>
    <t>MHA/IND/01309</t>
  </si>
  <si>
    <t>HENRY FORD</t>
  </si>
  <si>
    <t>SAMANTHAFURT</t>
  </si>
  <si>
    <t>IND/MEL/01304</t>
  </si>
  <si>
    <t>Ethan Williams</t>
  </si>
  <si>
    <t>Kristina Gonzalez</t>
  </si>
  <si>
    <t>7863 Steven Island Apt. 324</t>
  </si>
  <si>
    <t>Suite 769</t>
  </si>
  <si>
    <t>PIN:95965 BERNARDVIEW</t>
  </si>
  <si>
    <t>MHA/IND/01310</t>
  </si>
  <si>
    <t>ASHLEY JOHNSON</t>
  </si>
  <si>
    <t>NEW ANDREA</t>
  </si>
  <si>
    <t>IND/MEL/01305</t>
  </si>
  <si>
    <t>Taylor Smith</t>
  </si>
  <si>
    <t>Sharon Dyer</t>
  </si>
  <si>
    <t>09135 Leon Land</t>
  </si>
  <si>
    <t>Suite 802</t>
  </si>
  <si>
    <t>PIN:48469 WEST JIMMYMOUTH</t>
  </si>
  <si>
    <t>MHA/IND/01311</t>
  </si>
  <si>
    <t>NICOLE VASQUEZ</t>
  </si>
  <si>
    <t>IND/MEL/01306</t>
  </si>
  <si>
    <t>Jeffery Lamb DVM</t>
  </si>
  <si>
    <t>Angela Davis</t>
  </si>
  <si>
    <t>1549 Armstrong Orchard</t>
  </si>
  <si>
    <t>Suite 593</t>
  </si>
  <si>
    <t>PIN:26089 SOUTH SEAN</t>
  </si>
  <si>
    <t>MHA/IND/01312</t>
  </si>
  <si>
    <t>PATRICK COX</t>
  </si>
  <si>
    <t>ROBINSONFORT</t>
  </si>
  <si>
    <t>IND/MEL/01307</t>
  </si>
  <si>
    <t>Jason Powers</t>
  </si>
  <si>
    <t>Annette Stark</t>
  </si>
  <si>
    <t>902 Pacheco Loop</t>
  </si>
  <si>
    <t>Apt. 047</t>
  </si>
  <si>
    <t>PIN:84430 LYNCHSIDE</t>
  </si>
  <si>
    <t>MHA/IND/01313</t>
  </si>
  <si>
    <t>KATHRYN POWERS</t>
  </si>
  <si>
    <t>NEW AARONHAVEN</t>
  </si>
  <si>
    <t>IND/MEL/01308</t>
  </si>
  <si>
    <t>Evan Harris</t>
  </si>
  <si>
    <t>Colleen Travis</t>
  </si>
  <si>
    <t>75062 Elizabeth Port Apt. 256</t>
  </si>
  <si>
    <t>PIN:93970 NORTH MIGUELVILLE</t>
  </si>
  <si>
    <t>MHA/IND/01314</t>
  </si>
  <si>
    <t>DAWN BUTLER</t>
  </si>
  <si>
    <t>MARIACHESTER</t>
  </si>
  <si>
    <t>IND/MEL/01309</t>
  </si>
  <si>
    <t>Dennis Burns</t>
  </si>
  <si>
    <t>Courtney Rich</t>
  </si>
  <si>
    <t>90476 James Highway</t>
  </si>
  <si>
    <t>PIN:60702 CAMPBELLTON</t>
  </si>
  <si>
    <t>MHA/IND/01315</t>
  </si>
  <si>
    <t>CHARLES BARKER</t>
  </si>
  <si>
    <t>EAST EMILY</t>
  </si>
  <si>
    <t>IND/MEL/01310</t>
  </si>
  <si>
    <t>Aaron Rojas</t>
  </si>
  <si>
    <t>Carly Butler</t>
  </si>
  <si>
    <t>6529 Sarah Circles Apt. 366</t>
  </si>
  <si>
    <t>Suite 408</t>
  </si>
  <si>
    <t>PIN:27322 TAMMYPORT</t>
  </si>
  <si>
    <t>MHA/IND/01316</t>
  </si>
  <si>
    <t>MISS STEPHANIE TAYLOR</t>
  </si>
  <si>
    <t>AARONSIDE</t>
  </si>
  <si>
    <t>IND/MEL/01311</t>
  </si>
  <si>
    <t>Sean Chang</t>
  </si>
  <si>
    <t>Pam Dodson</t>
  </si>
  <si>
    <t>4228 Odom Via</t>
  </si>
  <si>
    <t>Suite 045</t>
  </si>
  <si>
    <t>PIN:49397 DOYLEVILLE</t>
  </si>
  <si>
    <t>MHA/IND/01317</t>
  </si>
  <si>
    <t>GREGORY WARD</t>
  </si>
  <si>
    <t>SMITHMOUTH</t>
  </si>
  <si>
    <t>IND/MEL/01312</t>
  </si>
  <si>
    <t>Dan Miller</t>
  </si>
  <si>
    <t>Melanie Owen</t>
  </si>
  <si>
    <t>98546 White Cape</t>
  </si>
  <si>
    <t>Suite 562</t>
  </si>
  <si>
    <t>PIN:66700 WEST MATTHEW</t>
  </si>
  <si>
    <t>MHA/IND/01318</t>
  </si>
  <si>
    <t>SARAH DYER</t>
  </si>
  <si>
    <t>SOUTH KATHERINE</t>
  </si>
  <si>
    <t>IND/MEL/01313</t>
  </si>
  <si>
    <t>Matthew Simmons</t>
  </si>
  <si>
    <t>Jennifer Herring</t>
  </si>
  <si>
    <t>6861 Michelle Crossing Apt. 368</t>
  </si>
  <si>
    <t>Suite 673</t>
  </si>
  <si>
    <t>PIN:67253 PORT JOSHUA</t>
  </si>
  <si>
    <t>MHA/IND/01319</t>
  </si>
  <si>
    <t>CHARLES COOPER</t>
  </si>
  <si>
    <t>IND/MEL/01314</t>
  </si>
  <si>
    <t>Manuel Lambert</t>
  </si>
  <si>
    <t>Alicia Welch</t>
  </si>
  <si>
    <t>112 Shelly Spurs Apt. 432</t>
  </si>
  <si>
    <t>Apt. 507</t>
  </si>
  <si>
    <t>PIN:58493 PORT JOHNVIEW</t>
  </si>
  <si>
    <t>MHA/IND/01320</t>
  </si>
  <si>
    <t>JACQUELINE WATKINS</t>
  </si>
  <si>
    <t>SANCHEZBURGH</t>
  </si>
  <si>
    <t>IND/MEL/01315</t>
  </si>
  <si>
    <t>Scott Osborne</t>
  </si>
  <si>
    <t>Kristy Burgess</t>
  </si>
  <si>
    <t>347 Bell Vista Suite 686</t>
  </si>
  <si>
    <t>PIN:47042 SOTOVIEW</t>
  </si>
  <si>
    <t>MHA/IND/01321</t>
  </si>
  <si>
    <t>BARBARA GRANT</t>
  </si>
  <si>
    <t>ETHANBURY</t>
  </si>
  <si>
    <t>IND/MEL/01316</t>
  </si>
  <si>
    <t>Matthew Clark</t>
  </si>
  <si>
    <t>Kathy Hurley</t>
  </si>
  <si>
    <t>962 Amy Mews Suite 328</t>
  </si>
  <si>
    <t>Suite 953</t>
  </si>
  <si>
    <t>PIN:96259 EAST WHITNEYPORT</t>
  </si>
  <si>
    <t>MHA/IND/01322</t>
  </si>
  <si>
    <t>MATTHEW JORDAN</t>
  </si>
  <si>
    <t>SMITHTON</t>
  </si>
  <si>
    <t>IND/MEL/01317</t>
  </si>
  <si>
    <t>Joseph Hunter</t>
  </si>
  <si>
    <t>Tammie Lawrence</t>
  </si>
  <si>
    <t>2090 Wise Wells</t>
  </si>
  <si>
    <t>Suite 706</t>
  </si>
  <si>
    <t>PIN:86144 ALLISONSHIRE</t>
  </si>
  <si>
    <t>MHA/IND/01323</t>
  </si>
  <si>
    <t>TOMMY GAINES</t>
  </si>
  <si>
    <t>WEST KARENCHESTER</t>
  </si>
  <si>
    <t>IND/MEL/01318</t>
  </si>
  <si>
    <t>William Miller</t>
  </si>
  <si>
    <t>90957 Espinoza Fork</t>
  </si>
  <si>
    <t>PIN:44328 OCHOABERG</t>
  </si>
  <si>
    <t>MHA/IND/01324</t>
  </si>
  <si>
    <t>JOHN BRENNAN</t>
  </si>
  <si>
    <t>PORT KATHERINESHIRE</t>
  </si>
  <si>
    <t>IND/MEL/01319</t>
  </si>
  <si>
    <t>Frank Freeman</t>
  </si>
  <si>
    <t>Ashley Sutton</t>
  </si>
  <si>
    <t>803 Justin Village</t>
  </si>
  <si>
    <t>Apt. 496</t>
  </si>
  <si>
    <t>PIN:68126 CAROLLAND</t>
  </si>
  <si>
    <t>MHA/IND/01325</t>
  </si>
  <si>
    <t>JASON WATSON</t>
  </si>
  <si>
    <t>PEREZBURY</t>
  </si>
  <si>
    <t>IND/MEL/01320</t>
  </si>
  <si>
    <t>Christopher Estes</t>
  </si>
  <si>
    <t>Miss Kristin Roberts</t>
  </si>
  <si>
    <t>821 Stephanie Lodge</t>
  </si>
  <si>
    <t>Apt. 932</t>
  </si>
  <si>
    <t>PIN:55027 WEST WILLIAMPORT</t>
  </si>
  <si>
    <t>MHA/IND/01326</t>
  </si>
  <si>
    <t>CYNTHIA SUTTON</t>
  </si>
  <si>
    <t>MOORESIDE</t>
  </si>
  <si>
    <t>IND/MEL/01321</t>
  </si>
  <si>
    <t>Jose Hall</t>
  </si>
  <si>
    <t>Melissa Davis</t>
  </si>
  <si>
    <t>67580 Stewart Circle Suite 493</t>
  </si>
  <si>
    <t>Apt. 587</t>
  </si>
  <si>
    <t>PIN:52830 SOUTH GARY</t>
  </si>
  <si>
    <t>MHA/IND/01327</t>
  </si>
  <si>
    <t>DANIELLE COLLINS</t>
  </si>
  <si>
    <t>NORTH DANIEL</t>
  </si>
  <si>
    <t>IND/MEL/01322</t>
  </si>
  <si>
    <t>Noah Day</t>
  </si>
  <si>
    <t>Marissa Phillips</t>
  </si>
  <si>
    <t>688 Bailey Coves</t>
  </si>
  <si>
    <t>Suite 747</t>
  </si>
  <si>
    <t>PIN:58289 JACQUELINETON</t>
  </si>
  <si>
    <t>MHA/IND/01328</t>
  </si>
  <si>
    <t>ELIZABETH ROMERO</t>
  </si>
  <si>
    <t>SOUTH ERICCHESTER</t>
  </si>
  <si>
    <t>IND/MEL/01323</t>
  </si>
  <si>
    <t>Paul Villa</t>
  </si>
  <si>
    <t>Allison Woods</t>
  </si>
  <si>
    <t>26864 Davis Tunnel</t>
  </si>
  <si>
    <t>Suite 637</t>
  </si>
  <si>
    <t>PIN:58763 HOLLYLAND</t>
  </si>
  <si>
    <t>MHA/IND/01329</t>
  </si>
  <si>
    <t>JOSEPH OWEN</t>
  </si>
  <si>
    <t>IND/MEL/01324</t>
  </si>
  <si>
    <t>Paul Moore</t>
  </si>
  <si>
    <t>Lisa Ruiz</t>
  </si>
  <si>
    <t>1777 Maldonado Bridge</t>
  </si>
  <si>
    <t>Suite 573</t>
  </si>
  <si>
    <t>PIN:52364 PORT MELANIEFURT</t>
  </si>
  <si>
    <t>MHA/IND/01330</t>
  </si>
  <si>
    <t>THOMAS SPENCE</t>
  </si>
  <si>
    <t>KARENLAND</t>
  </si>
  <si>
    <t>IND/MEL/01325</t>
  </si>
  <si>
    <t>Andrew Bush</t>
  </si>
  <si>
    <t>Sandra Miller</t>
  </si>
  <si>
    <t>444 Jesse Key</t>
  </si>
  <si>
    <t>Apt. 279</t>
  </si>
  <si>
    <t>PIN:15854 WEST STEVEN</t>
  </si>
  <si>
    <t>MHA/IND/01331</t>
  </si>
  <si>
    <t>DONALD SHEA</t>
  </si>
  <si>
    <t>NORTH HALEYBOROUGH</t>
  </si>
  <si>
    <t>IND/MEL/01326</t>
  </si>
  <si>
    <t>Colin Dean</t>
  </si>
  <si>
    <t>Toni Brewer</t>
  </si>
  <si>
    <t>8464 Torres Shore Suite 820</t>
  </si>
  <si>
    <t>Suite 739</t>
  </si>
  <si>
    <t>PIN:62668 BAKERTON</t>
  </si>
  <si>
    <t>MHA/IND/01332</t>
  </si>
  <si>
    <t>JONATHAN RAMOS</t>
  </si>
  <si>
    <t>VARGASHAVEN</t>
  </si>
  <si>
    <t>IND/MEL/01327</t>
  </si>
  <si>
    <t>Stephen Mendoza</t>
  </si>
  <si>
    <t>Sarah Nguyen</t>
  </si>
  <si>
    <t>50799 Larson Landing Apt. 452</t>
  </si>
  <si>
    <t>Apt. 624</t>
  </si>
  <si>
    <t>PIN:48180 WEST MARKTON</t>
  </si>
  <si>
    <t>MHA/IND/01333</t>
  </si>
  <si>
    <t>CHLOE HALE</t>
  </si>
  <si>
    <t>SOUTH ALEXIS</t>
  </si>
  <si>
    <t>IND/MEL/01328</t>
  </si>
  <si>
    <t>Robert Sanchez</t>
  </si>
  <si>
    <t>Rebecca Tucker</t>
  </si>
  <si>
    <t>085 Sandra Brook Apt. 020</t>
  </si>
  <si>
    <t>Apt. 951</t>
  </si>
  <si>
    <t>PIN:63746 LAKE DAVID</t>
  </si>
  <si>
    <t>MHA/IND/01334</t>
  </si>
  <si>
    <t>GEORGE BUTLER</t>
  </si>
  <si>
    <t>JONESBERG</t>
  </si>
  <si>
    <t>IND/MEL/01329</t>
  </si>
  <si>
    <t>Derrick Washington</t>
  </si>
  <si>
    <t>Melissa Reynolds</t>
  </si>
  <si>
    <t>5815 Anthony Landing</t>
  </si>
  <si>
    <t>Apt. 995</t>
  </si>
  <si>
    <t>PIN:32588 ELLIOTTBURGH</t>
  </si>
  <si>
    <t>MHA/IND/01335</t>
  </si>
  <si>
    <t>KIMBERLY REILLY</t>
  </si>
  <si>
    <t>LAKE JEREMY</t>
  </si>
  <si>
    <t>IND/MEL/01330</t>
  </si>
  <si>
    <t>David Moore</t>
  </si>
  <si>
    <t>Melissa Howell</t>
  </si>
  <si>
    <t>2916 Roach Lane Apt. 007</t>
  </si>
  <si>
    <t>Apt. 826</t>
  </si>
  <si>
    <t>PIN:52881 CANNONSIDE</t>
  </si>
  <si>
    <t>MHA/IND/01336</t>
  </si>
  <si>
    <t>JUSTIN MIRANDA</t>
  </si>
  <si>
    <t>NEW JOHN</t>
  </si>
  <si>
    <t>IND/MEL/01331</t>
  </si>
  <si>
    <t>Tyler Walters</t>
  </si>
  <si>
    <t>Tabitha Moses</t>
  </si>
  <si>
    <t>1640 Ronald Shoal Apt. 522</t>
  </si>
  <si>
    <t>Suite 955</t>
  </si>
  <si>
    <t>PIN:53792 JOHNSTAD</t>
  </si>
  <si>
    <t>MHA/IND/01337</t>
  </si>
  <si>
    <t>TAYLOR ZIMMERMAN</t>
  </si>
  <si>
    <t>BARRONBERG</t>
  </si>
  <si>
    <t>IND/MEL/01332</t>
  </si>
  <si>
    <t>Gregory Rodriguez</t>
  </si>
  <si>
    <t>Angelica Hampton</t>
  </si>
  <si>
    <t>1383 Gibson Creek</t>
  </si>
  <si>
    <t>Suite 304</t>
  </si>
  <si>
    <t>PIN:86183 EAST KAYLALAND</t>
  </si>
  <si>
    <t>MHA/IND/01338</t>
  </si>
  <si>
    <t>SHANNON CLARK</t>
  </si>
  <si>
    <t>DANIELSBERG</t>
  </si>
  <si>
    <t>IND/MEL/01333</t>
  </si>
  <si>
    <t>Jason Rice</t>
  </si>
  <si>
    <t>Rebecca Fuller</t>
  </si>
  <si>
    <t>87116 Daniel Ford Apt. 788</t>
  </si>
  <si>
    <t>Apt. 988</t>
  </si>
  <si>
    <t>PIN:20030 SEANCHESTER</t>
  </si>
  <si>
    <t>MHA/IND/01339</t>
  </si>
  <si>
    <t>TYLER BELTRAN</t>
  </si>
  <si>
    <t>NORTH TIFFANY</t>
  </si>
  <si>
    <t>IND/MEL/01334</t>
  </si>
  <si>
    <t>James Scott</t>
  </si>
  <si>
    <t>Debra Roth</t>
  </si>
  <si>
    <t>583 Fox Parkways Apt. 425</t>
  </si>
  <si>
    <t>PIN:60420 WEST TRACY</t>
  </si>
  <si>
    <t>MHA/IND/01340</t>
  </si>
  <si>
    <t>DAVID DANIELS</t>
  </si>
  <si>
    <t>EAST HEATHERCHESTER</t>
  </si>
  <si>
    <t>IND/MEL/01335</t>
  </si>
  <si>
    <t>Gary Rios</t>
  </si>
  <si>
    <t>Shirley Burch DDS</t>
  </si>
  <si>
    <t>899 Robert Square Apt. 683</t>
  </si>
  <si>
    <t>Suite 046</t>
  </si>
  <si>
    <t>PIN:02692 MARCIABOROUGH</t>
  </si>
  <si>
    <t>MHA/IND/01341</t>
  </si>
  <si>
    <t>STACEY JONES</t>
  </si>
  <si>
    <t>NORTH DAVIDFORT</t>
  </si>
  <si>
    <t>IND/MEL/01336</t>
  </si>
  <si>
    <t>Paul Ritter</t>
  </si>
  <si>
    <t>Dominique Jones</t>
  </si>
  <si>
    <t>329 Andrew Spur</t>
  </si>
  <si>
    <t>Suite 205</t>
  </si>
  <si>
    <t>PIN:58504 BENJAMINLAND</t>
  </si>
  <si>
    <t>MHA/IND/01342</t>
  </si>
  <si>
    <t>NICHOLAS HICKS</t>
  </si>
  <si>
    <t>JOSEPHVIEW</t>
  </si>
  <si>
    <t>IND/MEL/01337</t>
  </si>
  <si>
    <t>Patrick Butler</t>
  </si>
  <si>
    <t>Tammy Young</t>
  </si>
  <si>
    <t>622 Michael Highway Suite 257</t>
  </si>
  <si>
    <t>PIN:24055 NEALMOUTH</t>
  </si>
  <si>
    <t>MHA/IND/01343</t>
  </si>
  <si>
    <t>JASON JOHNSON</t>
  </si>
  <si>
    <t>CHRISTINATOWN</t>
  </si>
  <si>
    <t>IND/MEL/01338</t>
  </si>
  <si>
    <t>Nathan Branch</t>
  </si>
  <si>
    <t>Amanda Mitchell</t>
  </si>
  <si>
    <t>47187 Anthony Shoal Apt. 901</t>
  </si>
  <si>
    <t>PIN:57810 WEST MICHELLE</t>
  </si>
  <si>
    <t>MHA/IND/01344</t>
  </si>
  <si>
    <t>BRIAN CAIN</t>
  </si>
  <si>
    <t>HENRYFURT</t>
  </si>
  <si>
    <t>IND/MEL/01339</t>
  </si>
  <si>
    <t>Jerry Shaw</t>
  </si>
  <si>
    <t>Natalie Owens</t>
  </si>
  <si>
    <t>220 Joseph Dam</t>
  </si>
  <si>
    <t>Suite 488</t>
  </si>
  <si>
    <t>PIN:97328 GONZALEZVIEW</t>
  </si>
  <si>
    <t>MHA/IND/01345</t>
  </si>
  <si>
    <t>JOHNATHAN HUYNH</t>
  </si>
  <si>
    <t>JACKSONTOWN</t>
  </si>
  <si>
    <t>IND/MEL/01340</t>
  </si>
  <si>
    <t>Ryan Schwartz</t>
  </si>
  <si>
    <t>Kristen Johnson</t>
  </si>
  <si>
    <t>41609 Mendoza Meadows Suite 550</t>
  </si>
  <si>
    <t>PIN:38637 REEDBURY</t>
  </si>
  <si>
    <t>MHA/IND/01346</t>
  </si>
  <si>
    <t>DESIREE MORENO</t>
  </si>
  <si>
    <t>WEST CHELSEASTAD</t>
  </si>
  <si>
    <t>IND/MEL/01341</t>
  </si>
  <si>
    <t>Keith Roach</t>
  </si>
  <si>
    <t>Kelly Levine</t>
  </si>
  <si>
    <t>6301 Lisa Stream</t>
  </si>
  <si>
    <t>Apt. 282</t>
  </si>
  <si>
    <t>PIN:85229 SOUTH SAMANTHAFURT</t>
  </si>
  <si>
    <t>MHA/IND/01347</t>
  </si>
  <si>
    <t>MELANIE DIAZ</t>
  </si>
  <si>
    <t>WEST BENJAMINSTAD</t>
  </si>
  <si>
    <t>IND/MEL/01342</t>
  </si>
  <si>
    <t>Kyle Wheeler</t>
  </si>
  <si>
    <t>Erin Green</t>
  </si>
  <si>
    <t>002 Jennifer Lights</t>
  </si>
  <si>
    <t>Suite 310</t>
  </si>
  <si>
    <t>PIN:24154 ZACHARYTON</t>
  </si>
  <si>
    <t>MHA/IND/01348</t>
  </si>
  <si>
    <t>THOMAS WILEY</t>
  </si>
  <si>
    <t>BRIANSTAD</t>
  </si>
  <si>
    <t>IND/MEL/01343</t>
  </si>
  <si>
    <t>Shane Brown</t>
  </si>
  <si>
    <t>Jennifer Rodriguez</t>
  </si>
  <si>
    <t>79706 Cervantes Plaza Suite 045</t>
  </si>
  <si>
    <t>Suite 898</t>
  </si>
  <si>
    <t>PIN:01077 WEST ROBERT</t>
  </si>
  <si>
    <t>MHA/IND/01349</t>
  </si>
  <si>
    <t>LISA LAMBERT</t>
  </si>
  <si>
    <t>CLARKMOUTH</t>
  </si>
  <si>
    <t>IND/MEL/01344</t>
  </si>
  <si>
    <t>Joshua Moore</t>
  </si>
  <si>
    <t>Kara Garcia</t>
  </si>
  <si>
    <t>12272 Newman Manors</t>
  </si>
  <si>
    <t>Apt. 508</t>
  </si>
  <si>
    <t>PIN:04806 SHARONLAND</t>
  </si>
  <si>
    <t>MHA/IND/01350</t>
  </si>
  <si>
    <t>SAMANTHA ORTIZ</t>
  </si>
  <si>
    <t>RACHELTOWN</t>
  </si>
  <si>
    <t>IND/MEL/01345</t>
  </si>
  <si>
    <t>Nicholas Schaefer</t>
  </si>
  <si>
    <t>Erica Morgan</t>
  </si>
  <si>
    <t>672 Robin Lock</t>
  </si>
  <si>
    <t>Apt. 066</t>
  </si>
  <si>
    <t>PIN:58170 LAKE KEITHSIDE</t>
  </si>
  <si>
    <t>MHA/IND/01351</t>
  </si>
  <si>
    <t>FELICIA LITTLE</t>
  </si>
  <si>
    <t>ALVAREZLAND</t>
  </si>
  <si>
    <t>IND/MEL/01346</t>
  </si>
  <si>
    <t>Martin Williams</t>
  </si>
  <si>
    <t>Caitlin Yates MD</t>
  </si>
  <si>
    <t>6848 Nielsen Springs Suite 933</t>
  </si>
  <si>
    <t>Apt. 780</t>
  </si>
  <si>
    <t>PIN:98149 ERICPORT</t>
  </si>
  <si>
    <t>MHA/IND/01352</t>
  </si>
  <si>
    <t>ASHLEY KENNEDY</t>
  </si>
  <si>
    <t>ERINSHIRE</t>
  </si>
  <si>
    <t>IND/MEL/01347</t>
  </si>
  <si>
    <t>David Jones</t>
  </si>
  <si>
    <t>Nancy Wright</t>
  </si>
  <si>
    <t>506 Megan Fork</t>
  </si>
  <si>
    <t>Suite 863</t>
  </si>
  <si>
    <t>PIN:10489 JESSICAFURT</t>
  </si>
  <si>
    <t>MHA/IND/01353</t>
  </si>
  <si>
    <t>LORI ATKINSON</t>
  </si>
  <si>
    <t>JEREMIAHLAND</t>
  </si>
  <si>
    <t>IND/MEL/01348</t>
  </si>
  <si>
    <t>Jack Waters</t>
  </si>
  <si>
    <t>Laura Brown</t>
  </si>
  <si>
    <t>175 Thomas Extensions</t>
  </si>
  <si>
    <t>PIN:54463 LAKE COURTNEYMOUTH</t>
  </si>
  <si>
    <t>MHA/IND/01354</t>
  </si>
  <si>
    <t>ANTONIO FERNANDEZ</t>
  </si>
  <si>
    <t>EAST HANNAH</t>
  </si>
  <si>
    <t>IND/MEL/01349</t>
  </si>
  <si>
    <t>Tyler Wright</t>
  </si>
  <si>
    <t>Eileen Norris</t>
  </si>
  <si>
    <t>07684 April Pass</t>
  </si>
  <si>
    <t>Apt. 717</t>
  </si>
  <si>
    <t>PIN:43159 SOUTH ALEC</t>
  </si>
  <si>
    <t>MHA/IND/01355</t>
  </si>
  <si>
    <t>DARLENE LIU</t>
  </si>
  <si>
    <t>ELLISTON</t>
  </si>
  <si>
    <t>IND/MEL/01350</t>
  </si>
  <si>
    <t>William Wallace</t>
  </si>
  <si>
    <t>Lindsey Perez</t>
  </si>
  <si>
    <t>39722 Gardner Cliffs Apt. 396</t>
  </si>
  <si>
    <t>Suite 969</t>
  </si>
  <si>
    <t>PIN:90483 JESSICABERG</t>
  </si>
  <si>
    <t>MHA/IND/01356</t>
  </si>
  <si>
    <t>CRYSTAL LI</t>
  </si>
  <si>
    <t>SOSASTAD</t>
  </si>
  <si>
    <t>IND/MEL/01351</t>
  </si>
  <si>
    <t>Robert Cole</t>
  </si>
  <si>
    <t>Ashley Cole</t>
  </si>
  <si>
    <t>881 Smith Plaza</t>
  </si>
  <si>
    <t>Suite 499</t>
  </si>
  <si>
    <t>PIN:38907 LAKE LINDASTAD</t>
  </si>
  <si>
    <t>MHA/IND/01357</t>
  </si>
  <si>
    <t>STEPHEN FORD</t>
  </si>
  <si>
    <t>PORT SAMANTHA</t>
  </si>
  <si>
    <t>IND/MEL/01352</t>
  </si>
  <si>
    <t>Brandon King</t>
  </si>
  <si>
    <t>Julie Noble</t>
  </si>
  <si>
    <t>986 Zachary Harbors Suite 948</t>
  </si>
  <si>
    <t>Suite 818</t>
  </si>
  <si>
    <t>PIN:55439 MORROWTON</t>
  </si>
  <si>
    <t>MHA/IND/01358</t>
  </si>
  <si>
    <t>KEVIN MCDONALD</t>
  </si>
  <si>
    <t>SOUTH JORGE</t>
  </si>
  <si>
    <t>IND/MEL/01353</t>
  </si>
  <si>
    <t>Ryan Davis</t>
  </si>
  <si>
    <t>Jennifer Scott</t>
  </si>
  <si>
    <t>460 Tracy Roads</t>
  </si>
  <si>
    <t>Apt. 940</t>
  </si>
  <si>
    <t>PIN:27512 NORTH JEAN</t>
  </si>
  <si>
    <t>MHA/IND/01359</t>
  </si>
  <si>
    <t>AARON WALKER</t>
  </si>
  <si>
    <t>SCOTTBOROUGH</t>
  </si>
  <si>
    <t>IND/MEL/01354</t>
  </si>
  <si>
    <t>Christopher Dennis</t>
  </si>
  <si>
    <t>Carol Mcdaniel</t>
  </si>
  <si>
    <t>2315 Andrews Trail</t>
  </si>
  <si>
    <t>Apt. 402</t>
  </si>
  <si>
    <t>PIN:35393 SOUTH KELLI</t>
  </si>
  <si>
    <t>MHA/IND/01360</t>
  </si>
  <si>
    <t>STEPHANIE COOPER</t>
  </si>
  <si>
    <t>LAKE THOMASMOUTH</t>
  </si>
  <si>
    <t>IND/MEL/01355</t>
  </si>
  <si>
    <t>Kyle Bowen</t>
  </si>
  <si>
    <t>Belinda Young</t>
  </si>
  <si>
    <t>443 Jonathan Hollow Apt. 362</t>
  </si>
  <si>
    <t>Apt. 913</t>
  </si>
  <si>
    <t>PIN:24366 PORT ZACHARYBURY</t>
  </si>
  <si>
    <t>MHA/IND/01361</t>
  </si>
  <si>
    <t>PATRICIA WALKER</t>
  </si>
  <si>
    <t>MITCHELLFORT</t>
  </si>
  <si>
    <t>IND/MEL/01356</t>
  </si>
  <si>
    <t>George Dean</t>
  </si>
  <si>
    <t>Beth Melendez</t>
  </si>
  <si>
    <t>5558 Katrina Ferry Apt. 975</t>
  </si>
  <si>
    <t>Apt. 205</t>
  </si>
  <si>
    <t>PIN:37915 LAKE STEPHEN</t>
  </si>
  <si>
    <t>MHA/IND/01362</t>
  </si>
  <si>
    <t>NICOLE MITCHELL</t>
  </si>
  <si>
    <t>PORT DAVID</t>
  </si>
  <si>
    <t>IND/MEL/01357</t>
  </si>
  <si>
    <t>William Webster</t>
  </si>
  <si>
    <t>Jill Jackson</t>
  </si>
  <si>
    <t>315 Angela Crescent Suite 113</t>
  </si>
  <si>
    <t>Apt. 912</t>
  </si>
  <si>
    <t>PIN:45706 PAMMOUTH</t>
  </si>
  <si>
    <t>MHA/IND/01363</t>
  </si>
  <si>
    <t>EMMA BULLOCK</t>
  </si>
  <si>
    <t>HANNAHFURT</t>
  </si>
  <si>
    <t>IND/MEL/01358</t>
  </si>
  <si>
    <t>Matthew Rivera</t>
  </si>
  <si>
    <t>Katrina Roach</t>
  </si>
  <si>
    <t>524 Fuller Crest</t>
  </si>
  <si>
    <t>Apt. 668</t>
  </si>
  <si>
    <t>PIN:67486 MILLERSHIRE</t>
  </si>
  <si>
    <t>MHA/IND/01364</t>
  </si>
  <si>
    <t>RYAN WHITAKER</t>
  </si>
  <si>
    <t>LAKE MEAGANVIEW</t>
  </si>
  <si>
    <t>IND/MEL/01359</t>
  </si>
  <si>
    <t>Edward Gomez</t>
  </si>
  <si>
    <t>Lindsay Perkins</t>
  </si>
  <si>
    <t>5473 Woods Hollow</t>
  </si>
  <si>
    <t>Suite 068</t>
  </si>
  <si>
    <t>PIN:28085 WEST KRISTINTOWN</t>
  </si>
  <si>
    <t>MHA/IND/01365</t>
  </si>
  <si>
    <t>DAN SCOTT</t>
  </si>
  <si>
    <t>ELLENVILLE</t>
  </si>
  <si>
    <t>IND/MEL/01360</t>
  </si>
  <si>
    <t>Louis Green</t>
  </si>
  <si>
    <t>Ashley Kelley</t>
  </si>
  <si>
    <t>5830 Guerrero Manor</t>
  </si>
  <si>
    <t>Apt. 434</t>
  </si>
  <si>
    <t>PIN:09495 NEW SCOTT</t>
  </si>
  <si>
    <t>MHA/IND/01366</t>
  </si>
  <si>
    <t>DAVID HALE</t>
  </si>
  <si>
    <t>NEW SHARIPORT</t>
  </si>
  <si>
    <t>IND/MEL/01361</t>
  </si>
  <si>
    <t>Raymond Cruz</t>
  </si>
  <si>
    <t>Kimberly Perez</t>
  </si>
  <si>
    <t>119 Hunter Canyon Suite 954</t>
  </si>
  <si>
    <t>Apt. 463</t>
  </si>
  <si>
    <t>PIN:24592 JODIBURY</t>
  </si>
  <si>
    <t>MHA/IND/01367</t>
  </si>
  <si>
    <t>DIANE STONE</t>
  </si>
  <si>
    <t>SOUTH CHERYL</t>
  </si>
  <si>
    <t>IND/MEL/01362</t>
  </si>
  <si>
    <t>Omar Craig</t>
  </si>
  <si>
    <t>Sara Hamilton</t>
  </si>
  <si>
    <t>93769 Patrick Ridge</t>
  </si>
  <si>
    <t>PIN:23031 LAKE DAWN</t>
  </si>
  <si>
    <t>MHA/IND/01368</t>
  </si>
  <si>
    <t>CALVIN LAWRENCE</t>
  </si>
  <si>
    <t>WHITEMOUTH</t>
  </si>
  <si>
    <t>IND/MEL/01363</t>
  </si>
  <si>
    <t>Walter Adkins</t>
  </si>
  <si>
    <t>Dr. Ashley Miller</t>
  </si>
  <si>
    <t>705 Mullen Flat Apt. 783</t>
  </si>
  <si>
    <t>PIN:12948 SOUTH KAREN</t>
  </si>
  <si>
    <t>MHA/IND/01369</t>
  </si>
  <si>
    <t>BRENT MAYO</t>
  </si>
  <si>
    <t>ANNAHAVEN</t>
  </si>
  <si>
    <t>IND/MEL/01364</t>
  </si>
  <si>
    <t>Corey Wood</t>
  </si>
  <si>
    <t>Sandra Shepherd</t>
  </si>
  <si>
    <t>920 Emma Locks Apt. 431</t>
  </si>
  <si>
    <t>Apt. 775</t>
  </si>
  <si>
    <t>PIN:18514 VANESSAFURT</t>
  </si>
  <si>
    <t>MHA/IND/01370</t>
  </si>
  <si>
    <t>CAROL TAYLOR</t>
  </si>
  <si>
    <t>ADRIANABERG</t>
  </si>
  <si>
    <t>IND/MEL/01365</t>
  </si>
  <si>
    <t>James Montgomery</t>
  </si>
  <si>
    <t>Christina Taylor</t>
  </si>
  <si>
    <t>0203 Michael Stravenue</t>
  </si>
  <si>
    <t>Apt. 297</t>
  </si>
  <si>
    <t>PIN:27859 SAMUELPORT</t>
  </si>
  <si>
    <t>MHA/IND/01371</t>
  </si>
  <si>
    <t>DARREN SILVA</t>
  </si>
  <si>
    <t>NEW JAMESBERG</t>
  </si>
  <si>
    <t>IND/MEL/01366</t>
  </si>
  <si>
    <t>Shawn Parrish</t>
  </si>
  <si>
    <t>Melissa Lee</t>
  </si>
  <si>
    <t>83680 Copeland Drive Apt. 075</t>
  </si>
  <si>
    <t>Apt. 042</t>
  </si>
  <si>
    <t>PIN:16438 CLINEFORT</t>
  </si>
  <si>
    <t>MHA/IND/01372</t>
  </si>
  <si>
    <t>MARY GARZA</t>
  </si>
  <si>
    <t>SOUTH ROBERTHAVEN</t>
  </si>
  <si>
    <t>IND/MEL/01367</t>
  </si>
  <si>
    <t>Matthew Walker</t>
  </si>
  <si>
    <t>Caitlyn Powers</t>
  </si>
  <si>
    <t>04815 John Spring</t>
  </si>
  <si>
    <t>Apt. 714</t>
  </si>
  <si>
    <t>PIN:57064 ANTHONYSTAD</t>
  </si>
  <si>
    <t>MHA/IND/01373</t>
  </si>
  <si>
    <t>JOSEPH JAMES</t>
  </si>
  <si>
    <t>LAKE PAULATON</t>
  </si>
  <si>
    <t>IND/MEL/01368</t>
  </si>
  <si>
    <t>Jeremiah Morris</t>
  </si>
  <si>
    <t>Michelle Williams</t>
  </si>
  <si>
    <t>154 Richard Village Suite 063</t>
  </si>
  <si>
    <t>Suite 901</t>
  </si>
  <si>
    <t>PIN:90569 PORT BRIANMOUTH</t>
  </si>
  <si>
    <t>MHA/IND/01374</t>
  </si>
  <si>
    <t>JAMIE GILL</t>
  </si>
  <si>
    <t>EAST ANTHONY</t>
  </si>
  <si>
    <t>IND/MEL/01369</t>
  </si>
  <si>
    <t>Steven Jones</t>
  </si>
  <si>
    <t>Deborah Frank</t>
  </si>
  <si>
    <t>97596 Samuel Ford Apt. 547</t>
  </si>
  <si>
    <t>Suite 884</t>
  </si>
  <si>
    <t>PIN:65178 NEW GREGORYLAND</t>
  </si>
  <si>
    <t>MHA/IND/01375</t>
  </si>
  <si>
    <t>MARILYN REED</t>
  </si>
  <si>
    <t>CYNTHIAFORT</t>
  </si>
  <si>
    <t>IND/MEL/01370</t>
  </si>
  <si>
    <t>Richard Bass</t>
  </si>
  <si>
    <t>Christina Lee</t>
  </si>
  <si>
    <t>42896 Michael Unions</t>
  </si>
  <si>
    <t>Suite 347</t>
  </si>
  <si>
    <t>PIN:03694 BECKHAVEN</t>
  </si>
  <si>
    <t>MHA/IND/01376</t>
  </si>
  <si>
    <t>KATHRYN PRATT</t>
  </si>
  <si>
    <t>SOUTH TONYBOROUGH</t>
  </si>
  <si>
    <t>IND/MEL/01371</t>
  </si>
  <si>
    <t>David Figueroa</t>
  </si>
  <si>
    <t>Angie Schwartz</t>
  </si>
  <si>
    <t>68738 Erica Point Suite 864</t>
  </si>
  <si>
    <t>Suite 763</t>
  </si>
  <si>
    <t>PIN:86231 SOUTH LISAPORT</t>
  </si>
  <si>
    <t>MHA/IND/01377</t>
  </si>
  <si>
    <t>KEVIN SANCHEZ</t>
  </si>
  <si>
    <t>WEST TAMARAMOUTH</t>
  </si>
  <si>
    <t>IND/MEL/01372</t>
  </si>
  <si>
    <t>Michael Hubbard</t>
  </si>
  <si>
    <t>Lisa Bradley</t>
  </si>
  <si>
    <t>745 Hartman Well Suite 351</t>
  </si>
  <si>
    <t>Suite 089</t>
  </si>
  <si>
    <t>PIN:58251 LAKE KATRINA</t>
  </si>
  <si>
    <t>MHA/IND/01378</t>
  </si>
  <si>
    <t>CARLOS BROCK</t>
  </si>
  <si>
    <t>SOUTH WHITNEY</t>
  </si>
  <si>
    <t>IND/MEL/01373</t>
  </si>
  <si>
    <t>Jonathan Pierce</t>
  </si>
  <si>
    <t>Amy Larsen</t>
  </si>
  <si>
    <t>296 Johnson Greens</t>
  </si>
  <si>
    <t>Suite 431</t>
  </si>
  <si>
    <t>PIN:14202 PARKERLAND</t>
  </si>
  <si>
    <t>MHA/IND/01379</t>
  </si>
  <si>
    <t>LORI HAYES</t>
  </si>
  <si>
    <t>JAMESMOUTH</t>
  </si>
  <si>
    <t>IND/MEL/01374</t>
  </si>
  <si>
    <t>Roberto Arnold</t>
  </si>
  <si>
    <t>Alison Ritter</t>
  </si>
  <si>
    <t>1690 Bruce Oval</t>
  </si>
  <si>
    <t>Suite 748</t>
  </si>
  <si>
    <t>PIN:61450 CAMPBELLSIDE</t>
  </si>
  <si>
    <t>MHA/IND/01380</t>
  </si>
  <si>
    <t>RACHEL GREEN</t>
  </si>
  <si>
    <t>KIMBERLYFORT</t>
  </si>
  <si>
    <t>IND/MEL/01375</t>
  </si>
  <si>
    <t>Christopher Barnes</t>
  </si>
  <si>
    <t>Sherry English</t>
  </si>
  <si>
    <t>2057 Burton Fort</t>
  </si>
  <si>
    <t>Suite 257</t>
  </si>
  <si>
    <t>PIN:21199 PATRICKTON</t>
  </si>
  <si>
    <t>MHA/IND/01381</t>
  </si>
  <si>
    <t>JOSEPH CLARK</t>
  </si>
  <si>
    <t>NORTH RAYMOND</t>
  </si>
  <si>
    <t>IND/MEL/01376</t>
  </si>
  <si>
    <t>Travis Zamora</t>
  </si>
  <si>
    <t>Brooke Brooks</t>
  </si>
  <si>
    <t>13520 Jessica Pine</t>
  </si>
  <si>
    <t>Suite 912</t>
  </si>
  <si>
    <t>PIN:70765 CARLAFORT</t>
  </si>
  <si>
    <t>MHA/IND/01382</t>
  </si>
  <si>
    <t>SUE HANNA</t>
  </si>
  <si>
    <t>PORT KIMBERLYBERG</t>
  </si>
  <si>
    <t>IND/MEL/01377</t>
  </si>
  <si>
    <t>William Butler</t>
  </si>
  <si>
    <t>Brittany Bell</t>
  </si>
  <si>
    <t>69888 Rosario Highway</t>
  </si>
  <si>
    <t>Apt. 168</t>
  </si>
  <si>
    <t>PIN:42405 HARRISFURT</t>
  </si>
  <si>
    <t>MHA/IND/01383</t>
  </si>
  <si>
    <t>ROBERT LEWIS</t>
  </si>
  <si>
    <t>LAKE KRISTOPHER</t>
  </si>
  <si>
    <t>IND/MEL/01378</t>
  </si>
  <si>
    <t>Randall Baker</t>
  </si>
  <si>
    <t>Emily Donaldson</t>
  </si>
  <si>
    <t>517 Simmons Harbors</t>
  </si>
  <si>
    <t>Apt. 076</t>
  </si>
  <si>
    <t>PIN:14857 EAST LORIFORT</t>
  </si>
  <si>
    <t>MHA/IND/01384</t>
  </si>
  <si>
    <t>JOHN VASQUEZ</t>
  </si>
  <si>
    <t>MAXWELLSTAD</t>
  </si>
  <si>
    <t>IND/MEL/01379</t>
  </si>
  <si>
    <t>Trevor Robinson</t>
  </si>
  <si>
    <t>Melissa Wood</t>
  </si>
  <si>
    <t>4497 Kevin Canyon Suite 171</t>
  </si>
  <si>
    <t>Suite 933</t>
  </si>
  <si>
    <t>PIN:21028 MARTINEZVILLE</t>
  </si>
  <si>
    <t>MHA/IND/01385</t>
  </si>
  <si>
    <t>STEVEN WILLIS</t>
  </si>
  <si>
    <t>PORT CHRISTOPHER</t>
  </si>
  <si>
    <t>IND/MEL/01380</t>
  </si>
  <si>
    <t>Mr. Richard Crawford</t>
  </si>
  <si>
    <t>Laura Warner</t>
  </si>
  <si>
    <t>00443 Linda Ford Suite 596</t>
  </si>
  <si>
    <t>Suite 057</t>
  </si>
  <si>
    <t>PIN:96607 ESPINOZASHIRE</t>
  </si>
  <si>
    <t>MHA/IND/01386</t>
  </si>
  <si>
    <t>DANIEL CASTRO</t>
  </si>
  <si>
    <t>NEW WANDAFORT</t>
  </si>
  <si>
    <t>IND/MEL/01381</t>
  </si>
  <si>
    <t>Jeremy Bender</t>
  </si>
  <si>
    <t>Kim Lopez</t>
  </si>
  <si>
    <t>06440 Mcbride Lock</t>
  </si>
  <si>
    <t>Apt. 048</t>
  </si>
  <si>
    <t>PIN:49870 LEEMOUTH</t>
  </si>
  <si>
    <t>MHA/IND/01387</t>
  </si>
  <si>
    <t>BLAKE NUNEZ</t>
  </si>
  <si>
    <t>COLLINSHIRE</t>
  </si>
  <si>
    <t>IND/MEL/01382</t>
  </si>
  <si>
    <t>Roger Benton</t>
  </si>
  <si>
    <t>Jennifer Hebert</t>
  </si>
  <si>
    <t>13180 Harris Shoal Suite 136</t>
  </si>
  <si>
    <t>Apt. 685</t>
  </si>
  <si>
    <t>PIN:78824 SETHFURT</t>
  </si>
  <si>
    <t>MHA/IND/01388</t>
  </si>
  <si>
    <t>APRIL JORDAN</t>
  </si>
  <si>
    <t>KIMBERLYMOUTH</t>
  </si>
  <si>
    <t>IND/MEL/01383</t>
  </si>
  <si>
    <t>Alexandra Moore</t>
  </si>
  <si>
    <t>8788 Cynthia Cliffs</t>
  </si>
  <si>
    <t>Apt. 588</t>
  </si>
  <si>
    <t>PIN:21019 JUANBERG</t>
  </si>
  <si>
    <t>MHA/IND/01389</t>
  </si>
  <si>
    <t>ASHLEY THOMPSON</t>
  </si>
  <si>
    <t>MARTINEZBURGH</t>
  </si>
  <si>
    <t>IND/MEL/01384</t>
  </si>
  <si>
    <t>Steve Garza</t>
  </si>
  <si>
    <t>Mary Barton</t>
  </si>
  <si>
    <t>1270 Scott Flat</t>
  </si>
  <si>
    <t>Suite 768</t>
  </si>
  <si>
    <t>PIN:59811 WILLIAMBERG</t>
  </si>
  <si>
    <t>MHA/IND/01390</t>
  </si>
  <si>
    <t>WILLIAM HALEY</t>
  </si>
  <si>
    <t>CRUZBURGH</t>
  </si>
  <si>
    <t>IND/MEL/01385</t>
  </si>
  <si>
    <t>Dr. Edwin Nelson</t>
  </si>
  <si>
    <t>Danielle Mckinney</t>
  </si>
  <si>
    <t>5940 Smith Pine Suite 674</t>
  </si>
  <si>
    <t>Apt. 938</t>
  </si>
  <si>
    <t>PIN:77594 EMILYSIDE</t>
  </si>
  <si>
    <t>MHA/IND/01391</t>
  </si>
  <si>
    <t>SARAH WALKER</t>
  </si>
  <si>
    <t>ELIZABETHVIEW</t>
  </si>
  <si>
    <t>IND/MEL/01386</t>
  </si>
  <si>
    <t>Steven Brown</t>
  </si>
  <si>
    <t>Brenda Young</t>
  </si>
  <si>
    <t>311 Wallace Squares</t>
  </si>
  <si>
    <t>Suite 267</t>
  </si>
  <si>
    <t>PIN:77877 NORTH RYANBURY</t>
  </si>
  <si>
    <t>MHA/IND/01392</t>
  </si>
  <si>
    <t>MATTHEW GREEN</t>
  </si>
  <si>
    <t>WILLIAMPORT</t>
  </si>
  <si>
    <t>IND/MEL/01387</t>
  </si>
  <si>
    <t>Robert Bennett</t>
  </si>
  <si>
    <t>Katie Garza</t>
  </si>
  <si>
    <t>95211 Michael Village Suite 791</t>
  </si>
  <si>
    <t>Apt. 623</t>
  </si>
  <si>
    <t>PIN:71701 RHONDATON</t>
  </si>
  <si>
    <t>MHA/IND/01393</t>
  </si>
  <si>
    <t>DAWN WILSON</t>
  </si>
  <si>
    <t>SOUTH DANA</t>
  </si>
  <si>
    <t>IND/MEL/01388</t>
  </si>
  <si>
    <t>Thomas Guerra</t>
  </si>
  <si>
    <t>Melissa Floyd</t>
  </si>
  <si>
    <t>5864 Welch Stream</t>
  </si>
  <si>
    <t>Apt. 568</t>
  </si>
  <si>
    <t>PIN:91521 NEW AARON</t>
  </si>
  <si>
    <t>MHA/IND/01394</t>
  </si>
  <si>
    <t>TERESA SCOTT</t>
  </si>
  <si>
    <t>MORGANFURT</t>
  </si>
  <si>
    <t>IND/MEL/01389</t>
  </si>
  <si>
    <t>Walter Lucas</t>
  </si>
  <si>
    <t>Nicole Wright</t>
  </si>
  <si>
    <t>72941 Margaret Shores Suite 387</t>
  </si>
  <si>
    <t>PIN:58335 EMILYFORT</t>
  </si>
  <si>
    <t>MHA/IND/01395</t>
  </si>
  <si>
    <t>CAMERON CAIN</t>
  </si>
  <si>
    <t>PORTERHAVEN</t>
  </si>
  <si>
    <t>IND/MEL/01390</t>
  </si>
  <si>
    <t>Craig Callahan</t>
  </si>
  <si>
    <t>Jacqueline Roberts</t>
  </si>
  <si>
    <t>7569 Rose Stravenue Apt. 492</t>
  </si>
  <si>
    <t>PIN:27783 NEW BRIANNA</t>
  </si>
  <si>
    <t>MHA/IND/01396</t>
  </si>
  <si>
    <t>PETER CARTER</t>
  </si>
  <si>
    <t>ROBERTTOWN</t>
  </si>
  <si>
    <t>IND/MEL/01391</t>
  </si>
  <si>
    <t>Joshua Jackson</t>
  </si>
  <si>
    <t>Michele Gross</t>
  </si>
  <si>
    <t>604 Harvey Union</t>
  </si>
  <si>
    <t>PIN:01411 EAST JEREMYFORT</t>
  </si>
  <si>
    <t>MHA/IND/01397</t>
  </si>
  <si>
    <t>STEFANIE ZIMMERMAN</t>
  </si>
  <si>
    <t>COLETON</t>
  </si>
  <si>
    <t>IND/MEL/01392</t>
  </si>
  <si>
    <t>Shane Archer</t>
  </si>
  <si>
    <t>Rachel Cervantes</t>
  </si>
  <si>
    <t>4572 Kevin Crossroad</t>
  </si>
  <si>
    <t>Suite 812</t>
  </si>
  <si>
    <t>PIN:91015 BONDSTAD</t>
  </si>
  <si>
    <t>MHA/IND/01398</t>
  </si>
  <si>
    <t>LEONARD JONES</t>
  </si>
  <si>
    <t>JENNIFERMOUTH</t>
  </si>
  <si>
    <t>IND/MEL/01393</t>
  </si>
  <si>
    <t>Charles Thompson</t>
  </si>
  <si>
    <t>Barbara Moore</t>
  </si>
  <si>
    <t>8764 Johnson Summit</t>
  </si>
  <si>
    <t>Apt. 320</t>
  </si>
  <si>
    <t>PIN:47722 PORT ANDRE</t>
  </si>
  <si>
    <t>MHA/IND/01399</t>
  </si>
  <si>
    <t>DEBORAH MORALES</t>
  </si>
  <si>
    <t>NEW HANNAHFORT</t>
  </si>
  <si>
    <t>IND/MEL/01394</t>
  </si>
  <si>
    <t>Andrew Hamilton</t>
  </si>
  <si>
    <t>Kaylee Caldwell</t>
  </si>
  <si>
    <t>64832 Christopher Vista</t>
  </si>
  <si>
    <t>Apt. 252</t>
  </si>
  <si>
    <t>PIN:48509 NORTH MARISSA</t>
  </si>
  <si>
    <t>MHA/IND/01400</t>
  </si>
  <si>
    <t>KENNETH VILLA</t>
  </si>
  <si>
    <t>BAUERSTAD</t>
  </si>
  <si>
    <t>IND/MEL/01395</t>
  </si>
  <si>
    <t>Alec Terrell</t>
  </si>
  <si>
    <t>Alexis Johnson</t>
  </si>
  <si>
    <t>429 David Plains</t>
  </si>
  <si>
    <t>Suite 172</t>
  </si>
  <si>
    <t>PIN:91581 NEW DAWNLAND</t>
  </si>
  <si>
    <t>MHA/IND/01401</t>
  </si>
  <si>
    <t>MICHAEL COLE</t>
  </si>
  <si>
    <t>NORTH CINDY</t>
  </si>
  <si>
    <t>IND/MEL/01396</t>
  </si>
  <si>
    <t>Andrew Cooper</t>
  </si>
  <si>
    <t>Michelle Flynn</t>
  </si>
  <si>
    <t>17388 Christopher Meadows Apt. 967</t>
  </si>
  <si>
    <t>Apt. 461</t>
  </si>
  <si>
    <t>PIN:72323 EAST ANDREWTOWN</t>
  </si>
  <si>
    <t>MHA/IND/01402</t>
  </si>
  <si>
    <t>KIMBERLY RICHARDSON</t>
  </si>
  <si>
    <t>KEITHTOWN</t>
  </si>
  <si>
    <t>IND/MEL/01397</t>
  </si>
  <si>
    <t>Bruce Holt</t>
  </si>
  <si>
    <t>Briana Leonard</t>
  </si>
  <si>
    <t>748 Kevin Village</t>
  </si>
  <si>
    <t>Suite 540</t>
  </si>
  <si>
    <t>PIN:08306 CHEYENNEFORT</t>
  </si>
  <si>
    <t>MHA/IND/01403</t>
  </si>
  <si>
    <t>CAROL WOLF</t>
  </si>
  <si>
    <t>KEITHCHESTER</t>
  </si>
  <si>
    <t>IND/MEL/01398</t>
  </si>
  <si>
    <t>Cameron Foster MD</t>
  </si>
  <si>
    <t>Denise Navarro</t>
  </si>
  <si>
    <t>363 Tami Gateway</t>
  </si>
  <si>
    <t>Apt. 885</t>
  </si>
  <si>
    <t>PIN:44336 HERNANDEZMOUTH</t>
  </si>
  <si>
    <t>MHA/IND/01404</t>
  </si>
  <si>
    <t>MR. JONATHAN DAVIS</t>
  </si>
  <si>
    <t>MOLINABERG</t>
  </si>
  <si>
    <t>IND/MEL/01399</t>
  </si>
  <si>
    <t>Gregory Larson</t>
  </si>
  <si>
    <t>Taylor Thompson</t>
  </si>
  <si>
    <t>15507 Stephanie Row Apt. 514</t>
  </si>
  <si>
    <t>Apt. 090</t>
  </si>
  <si>
    <t>PIN:40326 AMANDABOROUGH</t>
  </si>
  <si>
    <t>MHA/IND/01405</t>
  </si>
  <si>
    <t>CHEYENNE DIAZ</t>
  </si>
  <si>
    <t>ASHLEYFORT</t>
  </si>
  <si>
    <t>IND/MEL/01400</t>
  </si>
  <si>
    <t>Jeffrey Vasquez</t>
  </si>
  <si>
    <t>Mary Wright</t>
  </si>
  <si>
    <t>69324 David Centers</t>
  </si>
  <si>
    <t>Suite 999</t>
  </si>
  <si>
    <t>PIN:68863 PORT STEPHENPORT</t>
  </si>
  <si>
    <t>MHA/IND/01406</t>
  </si>
  <si>
    <t>LISA SHELTON</t>
  </si>
  <si>
    <t>NEW JAMESMOUTH</t>
  </si>
  <si>
    <t>IND/MEL/01401</t>
  </si>
  <si>
    <t>Michael Munoz</t>
  </si>
  <si>
    <t>Amy Thomas</t>
  </si>
  <si>
    <t>91633 Robinson Gardens Suite 745</t>
  </si>
  <si>
    <t>Suite 471</t>
  </si>
  <si>
    <t>PIN:63864 EAST ZACHARY</t>
  </si>
  <si>
    <t>MHA/IND/01407</t>
  </si>
  <si>
    <t>CARLY BRYANT</t>
  </si>
  <si>
    <t>JACKSONSIDE</t>
  </si>
  <si>
    <t>IND/MEL/01402</t>
  </si>
  <si>
    <t>Daniel Cox</t>
  </si>
  <si>
    <t>Lisa Clark</t>
  </si>
  <si>
    <t>827 Nielsen Point Suite 401</t>
  </si>
  <si>
    <t>Apt. 239</t>
  </si>
  <si>
    <t>PIN:26740 ALEXANDRATOWN</t>
  </si>
  <si>
    <t>MHA/IND/01408</t>
  </si>
  <si>
    <t>BRADLEY PEREZ</t>
  </si>
  <si>
    <t>SOUTH ANNA</t>
  </si>
  <si>
    <t>IND/MEL/01403</t>
  </si>
  <si>
    <t>Fred Mora</t>
  </si>
  <si>
    <t>Jessica Wood</t>
  </si>
  <si>
    <t>48018 Zamora Squares Apt. 333</t>
  </si>
  <si>
    <t>Suite 139</t>
  </si>
  <si>
    <t>PIN:55349 GARZALAND</t>
  </si>
  <si>
    <t>MHA/IND/01409</t>
  </si>
  <si>
    <t>MORGAN ROGERS</t>
  </si>
  <si>
    <t>LAKE AARON</t>
  </si>
  <si>
    <t>IND/MEL/01404</t>
  </si>
  <si>
    <t>Greg Cook</t>
  </si>
  <si>
    <t>Lindsay Ray</t>
  </si>
  <si>
    <t>2938 Daniel Wall Apt. 006</t>
  </si>
  <si>
    <t>Suite 300</t>
  </si>
  <si>
    <t>PIN:76101 PORT ALBERTVILLE</t>
  </si>
  <si>
    <t>MHA/IND/01410</t>
  </si>
  <si>
    <t>STEPHEN NICHOLS</t>
  </si>
  <si>
    <t>NORTH NATALIESHIRE</t>
  </si>
  <si>
    <t>IND/MEL/01405</t>
  </si>
  <si>
    <t>Michael Hamilton</t>
  </si>
  <si>
    <t>Dawn Floyd</t>
  </si>
  <si>
    <t>83106 John Mills</t>
  </si>
  <si>
    <t>Apt. 520</t>
  </si>
  <si>
    <t>PIN:92827 MITCHELLHAVEN</t>
  </si>
  <si>
    <t>MHA/IND/01411</t>
  </si>
  <si>
    <t>LAUREN RIVERA</t>
  </si>
  <si>
    <t>TERESASHIRE</t>
  </si>
  <si>
    <t>IND/MEL/01406</t>
  </si>
  <si>
    <t>Ryan Hunt</t>
  </si>
  <si>
    <t>Christina Alvarez</t>
  </si>
  <si>
    <t>130 Rodriguez Crest Suite 863</t>
  </si>
  <si>
    <t>Apt. 163</t>
  </si>
  <si>
    <t>PIN:65494 LAKE PAULASHIRE</t>
  </si>
  <si>
    <t>MHA/IND/01412</t>
  </si>
  <si>
    <t>ROBERT CASTRO</t>
  </si>
  <si>
    <t>NORTH MICHAELFURT</t>
  </si>
  <si>
    <t>IND/MEL/01407</t>
  </si>
  <si>
    <t>Timothy Townsend</t>
  </si>
  <si>
    <t>Amanda Ramirez</t>
  </si>
  <si>
    <t>53233 Ramsey Harbors</t>
  </si>
  <si>
    <t>Suite 868</t>
  </si>
  <si>
    <t>PIN:17422 LEWISMOUTH</t>
  </si>
  <si>
    <t>MHA/IND/01413</t>
  </si>
  <si>
    <t>ANNA WILLIAMS</t>
  </si>
  <si>
    <t>EAST JERRY</t>
  </si>
  <si>
    <t>IND/MEL/01408</t>
  </si>
  <si>
    <t>Joshua Flores</t>
  </si>
  <si>
    <t>Monica Jefferson</t>
  </si>
  <si>
    <t>302 Shawn Spur Apt. 953</t>
  </si>
  <si>
    <t>PIN:79061 SOUTH RYAN</t>
  </si>
  <si>
    <t>MHA/IND/01414</t>
  </si>
  <si>
    <t>CRYSTAL THOMAS</t>
  </si>
  <si>
    <t>NORTH SEANVIEW</t>
  </si>
  <si>
    <t>IND/MEL/01409</t>
  </si>
  <si>
    <t>James Richards</t>
  </si>
  <si>
    <t>Margaret Spence</t>
  </si>
  <si>
    <t>0092 Wanda Circles Apt. 252</t>
  </si>
  <si>
    <t>Suite 535</t>
  </si>
  <si>
    <t>PIN:84323 LAKE JILLPORT</t>
  </si>
  <si>
    <t>MHA/IND/01415</t>
  </si>
  <si>
    <t>ANTHONY SCOTT</t>
  </si>
  <si>
    <t>YOUNGSTAD</t>
  </si>
  <si>
    <t>IND/MEL/01410</t>
  </si>
  <si>
    <t>Donald Johnson</t>
  </si>
  <si>
    <t>Katherine Moore</t>
  </si>
  <si>
    <t>975 White Throughway</t>
  </si>
  <si>
    <t>Apt. 585</t>
  </si>
  <si>
    <t>PIN:16569 EAST JOSEPH</t>
  </si>
  <si>
    <t>MHA/IND/01416</t>
  </si>
  <si>
    <t>EDWARD HICKS</t>
  </si>
  <si>
    <t>JUANSIDE</t>
  </si>
  <si>
    <t>IND/MEL/01411</t>
  </si>
  <si>
    <t>Michael Walsh</t>
  </si>
  <si>
    <t>Rebecca Bradley</t>
  </si>
  <si>
    <t>24621 Antonio Overpass</t>
  </si>
  <si>
    <t>Suite 101</t>
  </si>
  <si>
    <t>PIN:59454 WEST RICHARDSTAD</t>
  </si>
  <si>
    <t>MHA/IND/01417</t>
  </si>
  <si>
    <t>MICHAEL PETERS</t>
  </si>
  <si>
    <t>CARTERTON</t>
  </si>
  <si>
    <t>IND/MEL/01412</t>
  </si>
  <si>
    <t>William Brock</t>
  </si>
  <si>
    <t>Susan Cox</t>
  </si>
  <si>
    <t>65887 Kirk Mews</t>
  </si>
  <si>
    <t>Suite 622</t>
  </si>
  <si>
    <t>PIN:36518 NEW BAILEY</t>
  </si>
  <si>
    <t>MHA/IND/01418</t>
  </si>
  <si>
    <t>CHARLES KRAUSE</t>
  </si>
  <si>
    <t>LAKE CAROL</t>
  </si>
  <si>
    <t>IND/MEL/01413</t>
  </si>
  <si>
    <t>Thomas Rose</t>
  </si>
  <si>
    <t>Shawna Davis</t>
  </si>
  <si>
    <t>655 Beck Pines Apt. 691</t>
  </si>
  <si>
    <t>Apt. 543</t>
  </si>
  <si>
    <t>PIN:38812 DAWNPORT</t>
  </si>
  <si>
    <t>MHA/IND/01419</t>
  </si>
  <si>
    <t>FRANKBERG</t>
  </si>
  <si>
    <t>IND/MEL/01414</t>
  </si>
  <si>
    <t>John Cook</t>
  </si>
  <si>
    <t>Chelsey Wade</t>
  </si>
  <si>
    <t>5103 Maldonado Pike</t>
  </si>
  <si>
    <t>Apt. 919</t>
  </si>
  <si>
    <t>PIN:18075 SANCHEZBOROUGH</t>
  </si>
  <si>
    <t>MHA/IND/01420</t>
  </si>
  <si>
    <t>CYNTHIA PATTERSON</t>
  </si>
  <si>
    <t>JOHNSTAD</t>
  </si>
  <si>
    <t>IND/MEL/01415</t>
  </si>
  <si>
    <t>Rodney Porter</t>
  </si>
  <si>
    <t>Pamela Guerrero</t>
  </si>
  <si>
    <t>23507 White Lake Apt. 923</t>
  </si>
  <si>
    <t>Apt. 619</t>
  </si>
  <si>
    <t>PIN:41354 WEST STEVEN</t>
  </si>
  <si>
    <t>MHA/IND/01421</t>
  </si>
  <si>
    <t>GABRIELLA JORDAN</t>
  </si>
  <si>
    <t>EAST PAMELA</t>
  </si>
  <si>
    <t>IND/MEL/01416</t>
  </si>
  <si>
    <t>William Cook</t>
  </si>
  <si>
    <t>Natalie Nielsen</t>
  </si>
  <si>
    <t>348 Ashley Hills</t>
  </si>
  <si>
    <t>Apt. 936</t>
  </si>
  <si>
    <t>PIN:34827 BOBBYTON</t>
  </si>
  <si>
    <t>MHA/IND/01422</t>
  </si>
  <si>
    <t>LARRY WHITNEY</t>
  </si>
  <si>
    <t>ROBERTSHIRE</t>
  </si>
  <si>
    <t>IND/MEL/01417</t>
  </si>
  <si>
    <t>Jordan Lee</t>
  </si>
  <si>
    <t>541 Lisa Lodge Apt. 214</t>
  </si>
  <si>
    <t>PIN:91557 EAST TONY</t>
  </si>
  <si>
    <t>MHA/IND/01423</t>
  </si>
  <si>
    <t>MICHELLE DOUGLAS</t>
  </si>
  <si>
    <t>VASQUEZVIEW</t>
  </si>
  <si>
    <t>IND/MEL/01418</t>
  </si>
  <si>
    <t>Thomas Cowan</t>
  </si>
  <si>
    <t>Beverly Arnold</t>
  </si>
  <si>
    <t>90564 Roy Plaza</t>
  </si>
  <si>
    <t>Apt. 185</t>
  </si>
  <si>
    <t>PIN:11296 NEW WILLIAM</t>
  </si>
  <si>
    <t>MHA/IND/01424</t>
  </si>
  <si>
    <t>HAYLEY JORDAN</t>
  </si>
  <si>
    <t>LESLIEFORT</t>
  </si>
  <si>
    <t>IND/MEL/01419</t>
  </si>
  <si>
    <t>John Pollard</t>
  </si>
  <si>
    <t>Melinda Reeves</t>
  </si>
  <si>
    <t>8148 Jon Extension Apt. 673</t>
  </si>
  <si>
    <t>Apt. 600</t>
  </si>
  <si>
    <t>PIN:34215 NEW GABRIELLE</t>
  </si>
  <si>
    <t>MHA/IND/01425</t>
  </si>
  <si>
    <t>THOMAS JONES</t>
  </si>
  <si>
    <t>LAKE PEDROTON</t>
  </si>
  <si>
    <t>IND/MEL/01420</t>
  </si>
  <si>
    <t>Robert Roberts</t>
  </si>
  <si>
    <t>Maria Little</t>
  </si>
  <si>
    <t>4151 Jerry View</t>
  </si>
  <si>
    <t>PIN:72034 WEST BENJAMIN</t>
  </si>
  <si>
    <t>MHA/IND/01426</t>
  </si>
  <si>
    <t>ASHLEY KELLEY</t>
  </si>
  <si>
    <t>NATALIEHAVEN</t>
  </si>
  <si>
    <t>IND/MEL/01421</t>
  </si>
  <si>
    <t>William Stevens</t>
  </si>
  <si>
    <t>Amy Ramos</t>
  </si>
  <si>
    <t>886 Fitzgerald Fords Suite 109</t>
  </si>
  <si>
    <t>Suite 998</t>
  </si>
  <si>
    <t>PIN:25818 EAST KELLY</t>
  </si>
  <si>
    <t>MHA/IND/01427</t>
  </si>
  <si>
    <t>SARA FRAZIER</t>
  </si>
  <si>
    <t>JASMINESIDE</t>
  </si>
  <si>
    <t>IND/MEL/01422</t>
  </si>
  <si>
    <t>Ricardo Jones</t>
  </si>
  <si>
    <t>Julie Aguirre</t>
  </si>
  <si>
    <t>98543 Lee Run</t>
  </si>
  <si>
    <t>Apt. 873</t>
  </si>
  <si>
    <t>PIN:21296 THOMASPORT</t>
  </si>
  <si>
    <t>MHA/IND/01428</t>
  </si>
  <si>
    <t>DENNIS LEE</t>
  </si>
  <si>
    <t>KANEVILLE</t>
  </si>
  <si>
    <t>IND/MEL/01423</t>
  </si>
  <si>
    <t>Brandon Lynn</t>
  </si>
  <si>
    <t>Amy Payne</t>
  </si>
  <si>
    <t>121 Brown Drive</t>
  </si>
  <si>
    <t>Suite 302</t>
  </si>
  <si>
    <t>PIN:66317 PORT JACOB</t>
  </si>
  <si>
    <t>MHA/IND/01429</t>
  </si>
  <si>
    <t>BARBARA PHILLIPS</t>
  </si>
  <si>
    <t>WEST JULIANFORT</t>
  </si>
  <si>
    <t>IND/MEL/01424</t>
  </si>
  <si>
    <t>Justin Gomez</t>
  </si>
  <si>
    <t>Emily Lewis</t>
  </si>
  <si>
    <t>93779 Berry Flats</t>
  </si>
  <si>
    <t>PIN:72930 PORT TOM</t>
  </si>
  <si>
    <t>MHA/IND/01430</t>
  </si>
  <si>
    <t>JOHN HARPER</t>
  </si>
  <si>
    <t>EAST SHEILAHAVEN</t>
  </si>
  <si>
    <t>IND/MEL/01425</t>
  </si>
  <si>
    <t>Robert Rodriguez</t>
  </si>
  <si>
    <t>Megan Larson</t>
  </si>
  <si>
    <t>203 Emma Rue Apt. 449</t>
  </si>
  <si>
    <t>Apt. 054</t>
  </si>
  <si>
    <t>PIN:99108 SARAHBERG</t>
  </si>
  <si>
    <t>MHA/IND/01431</t>
  </si>
  <si>
    <t>KATHLEEN BOYD MD</t>
  </si>
  <si>
    <t>SOUTH DAVIDTOWN</t>
  </si>
  <si>
    <t>IND/MEL/01426</t>
  </si>
  <si>
    <t>Charles Bowman</t>
  </si>
  <si>
    <t>Natalie Stevens</t>
  </si>
  <si>
    <t>15727 Parks Parks</t>
  </si>
  <si>
    <t>Suite 241</t>
  </si>
  <si>
    <t>PIN:14210 LAKE RYANTOWN</t>
  </si>
  <si>
    <t>MHA/IND/01432</t>
  </si>
  <si>
    <t>DR. ASHLEY FRAZIER</t>
  </si>
  <si>
    <t>BROOKSSTAD</t>
  </si>
  <si>
    <t>IND/MEL/01427</t>
  </si>
  <si>
    <t>Mathew Hart</t>
  </si>
  <si>
    <t>Mrs. Sheila Luna</t>
  </si>
  <si>
    <t>2229 Johnny Rapid</t>
  </si>
  <si>
    <t>Suite 136</t>
  </si>
  <si>
    <t>PIN:71466 EAST JOHNATHANMOUTH</t>
  </si>
  <si>
    <t>MHA/IND/01433</t>
  </si>
  <si>
    <t>ROY LIVINGSTON</t>
  </si>
  <si>
    <t>MARYMOUTH</t>
  </si>
  <si>
    <t>IND/MEL/01428</t>
  </si>
  <si>
    <t>Roger Hobbs</t>
  </si>
  <si>
    <t>Amy Johnson MD</t>
  </si>
  <si>
    <t>470 Angela Inlet</t>
  </si>
  <si>
    <t>Apt. 853</t>
  </si>
  <si>
    <t>PIN:86897 MARTINFORT</t>
  </si>
  <si>
    <t>MHA/IND/01434</t>
  </si>
  <si>
    <t>MONIQUE MCCORMICK MD</t>
  </si>
  <si>
    <t>PORT JEFFREYBERG</t>
  </si>
  <si>
    <t>IND/MEL/01429</t>
  </si>
  <si>
    <t>Gregory Burke</t>
  </si>
  <si>
    <t>Jamie Jones</t>
  </si>
  <si>
    <t>83706 Pierce Hollow Suite 682</t>
  </si>
  <si>
    <t>PIN:51123 MELANIEVILLE</t>
  </si>
  <si>
    <t>MHA/IND/01435</t>
  </si>
  <si>
    <t>CHRISTOPHER HARRINGTON</t>
  </si>
  <si>
    <t>IND/MEL/01430</t>
  </si>
  <si>
    <t>CODY JOHNSON</t>
  </si>
  <si>
    <t>WEST JESSICAVIEW</t>
  </si>
  <si>
    <t>IND/MEL/01431</t>
  </si>
  <si>
    <t>George Mcguire</t>
  </si>
  <si>
    <t>Katrina Torres</t>
  </si>
  <si>
    <t>284 John Courts Suite 841</t>
  </si>
  <si>
    <t>Suite 837</t>
  </si>
  <si>
    <t>PIN:26650 EAST CYNTHIAFURT</t>
  </si>
  <si>
    <t>MHA/IND/01436</t>
  </si>
  <si>
    <t>KIM CLARK</t>
  </si>
  <si>
    <t>IND/MEL/01432</t>
  </si>
  <si>
    <t>JAMES COX</t>
  </si>
  <si>
    <t>PORT TONYABURGH</t>
  </si>
  <si>
    <t>IND/MEL/01433</t>
  </si>
  <si>
    <t>Justin Trujillo</t>
  </si>
  <si>
    <t>Cassandra Alexander</t>
  </si>
  <si>
    <t>0922 Mullen Track Suite 564</t>
  </si>
  <si>
    <t>Apt. 705</t>
  </si>
  <si>
    <t>PIN:98962 LAKE JOELSTAD</t>
  </si>
  <si>
    <t>MHA/IND/01437</t>
  </si>
  <si>
    <t>KRISTEN WILSON</t>
  </si>
  <si>
    <t>IND/MEL/01434</t>
  </si>
  <si>
    <t>CHRISTINE FINLEY</t>
  </si>
  <si>
    <t>SOUTH JENNIFERVIEW</t>
  </si>
  <si>
    <t>IND/MEL/01435</t>
  </si>
  <si>
    <t>Robert Fletcher</t>
  </si>
  <si>
    <t>Veronica Ellis</t>
  </si>
  <si>
    <t>57306 Robinson Circle Suite 127</t>
  </si>
  <si>
    <t>Apt. 061</t>
  </si>
  <si>
    <t>PIN:43666 CAMPBELLHAVEN</t>
  </si>
  <si>
    <t>MHA/IND/01438</t>
  </si>
  <si>
    <t>ERIC ANDERSON</t>
  </si>
  <si>
    <t>IND/MEL/01436</t>
  </si>
  <si>
    <t>MELISSA PETERSON</t>
  </si>
  <si>
    <t>LAKE ROBERTMOUTH</t>
  </si>
  <si>
    <t>IND/MEL/01437</t>
  </si>
  <si>
    <t>George Bonilla</t>
  </si>
  <si>
    <t>Susan White</t>
  </si>
  <si>
    <t>422 Glenda Corners Apt. 309</t>
  </si>
  <si>
    <t>Apt. 858</t>
  </si>
  <si>
    <t>PIN:97268 NORTH NICHOLAS</t>
  </si>
  <si>
    <t>MHA/IND/01439</t>
  </si>
  <si>
    <t>BRANDON ARNOLD</t>
  </si>
  <si>
    <t>IND/MEL/01438</t>
  </si>
  <si>
    <t>OLIVIA MCCARTHY</t>
  </si>
  <si>
    <t>NORTH RYANVILLE</t>
  </si>
  <si>
    <t>IND/MEL/01439</t>
  </si>
  <si>
    <t>Brian Morris</t>
  </si>
  <si>
    <t>Angie Smith</t>
  </si>
  <si>
    <t>944 Laura Locks Suite 939</t>
  </si>
  <si>
    <t>PIN:39091 SOUTH MICHELLEMOUTH</t>
  </si>
  <si>
    <t>MHA/IND/01440</t>
  </si>
  <si>
    <t>JOSHUA MARTINEZ</t>
  </si>
  <si>
    <t>IND/MEL/01440</t>
  </si>
  <si>
    <t>Date</t>
  </si>
  <si>
    <t>Count</t>
  </si>
  <si>
    <t>Manual</t>
  </si>
  <si>
    <t>DocuMate</t>
  </si>
  <si>
    <t xml:space="preserve">Percentage </t>
  </si>
  <si>
    <t>Mach</t>
  </si>
  <si>
    <t>Count of Sex</t>
  </si>
  <si>
    <t>MALE</t>
  </si>
  <si>
    <t>FEMALE</t>
  </si>
  <si>
    <t>Grand Total</t>
  </si>
  <si>
    <t>IN PROCESS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</si>
</sst>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"/>
    <numFmt numFmtId="165" formatCode="d/mm/yyyy;@"/>
  </numFmts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Aptos Display"/>
      <family val="2"/>
      <scheme val="major"/>
    </font>
    <font>
      <b/>
      <sz val="11"/>
      <color rgb="FF000000"/>
      <name val="Aptos Display"/>
      <family val="2"/>
      <scheme val="major"/>
    </font>
    <font>
      <b/>
      <sz val="11"/>
      <color rgb="FF000000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b/>
      <u/>
      <sz val="11"/>
      <color rgb="FF000000"/>
      <name val="Aptos Narrow"/>
      <family val="2"/>
      <scheme val="minor"/>
    </font>
    <font>
      <b/>
      <sz val="11"/>
      <color rgb="FF333333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1"/>
      <color theme="1"/>
      <name val="Aptos Display"/>
      <family val="2"/>
      <scheme val="maj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DDE8CB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rgb="FFED7D31"/>
        <bgColor rgb="FFFF8080"/>
      </patternFill>
    </fill>
    <fill>
      <patternFill patternType="solid">
        <fgColor rgb="FF7F7F7F"/>
        <bgColor rgb="FF80808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rgb="FF808080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1" fontId="1" fillId="0" borderId="0" xfId="0" applyNumberFormat="1" applyFont="1"/>
    <xf numFmtId="0" fontId="1" fillId="0" borderId="0" xfId="0" applyFont="1" applyAlignment="1">
      <alignment wrapText="1"/>
    </xf>
    <xf numFmtId="0" fontId="2" fillId="2" borderId="0" xfId="0" applyFont="1" applyFill="1"/>
    <xf numFmtId="0" fontId="2" fillId="0" borderId="0" xfId="0" applyFont="1"/>
    <xf numFmtId="0" fontId="3" fillId="0" borderId="0" xfId="0" applyFont="1" applyAlignment="1">
      <alignment wrapText="1"/>
    </xf>
    <xf numFmtId="0" fontId="3" fillId="0" borderId="0" xfId="0" applyFont="1"/>
    <xf numFmtId="164" fontId="3" fillId="0" borderId="0" xfId="0" applyNumberFormat="1" applyFont="1"/>
    <xf numFmtId="0" fontId="4" fillId="0" borderId="1" xfId="0" applyFont="1" applyBorder="1" applyAlignment="1">
      <alignment horizontal="left" vertical="top" wrapText="1"/>
    </xf>
    <xf numFmtId="1" fontId="4" fillId="0" borderId="0" xfId="0" applyNumberFormat="1" applyFont="1" applyAlignment="1">
      <alignment wrapText="1"/>
    </xf>
    <xf numFmtId="1" fontId="4" fillId="0" borderId="0" xfId="0" applyNumberFormat="1" applyFont="1"/>
    <xf numFmtId="0" fontId="4" fillId="0" borderId="0" xfId="0" applyFont="1" applyAlignment="1">
      <alignment wrapText="1"/>
    </xf>
    <xf numFmtId="0" fontId="6" fillId="0" borderId="0" xfId="0" applyFont="1" applyAlignment="1">
      <alignment wrapText="1"/>
    </xf>
    <xf numFmtId="0" fontId="4" fillId="0" borderId="0" xfId="0" applyFont="1"/>
    <xf numFmtId="0" fontId="1" fillId="4" borderId="0" xfId="0" applyFont="1" applyFill="1"/>
    <xf numFmtId="0" fontId="1" fillId="4" borderId="0" xfId="0" applyFont="1" applyFill="1" applyAlignment="1">
      <alignment wrapText="1"/>
    </xf>
    <xf numFmtId="0" fontId="4" fillId="3" borderId="0" xfId="0" applyFont="1" applyFill="1" applyAlignment="1">
      <alignment wrapText="1"/>
    </xf>
    <xf numFmtId="0" fontId="4" fillId="3" borderId="0" xfId="0" applyFont="1" applyFill="1"/>
    <xf numFmtId="14" fontId="4" fillId="0" borderId="0" xfId="0" applyNumberFormat="1" applyFont="1"/>
    <xf numFmtId="14" fontId="7" fillId="0" borderId="0" xfId="0" applyNumberFormat="1" applyFont="1"/>
    <xf numFmtId="14" fontId="4" fillId="5" borderId="0" xfId="0" applyNumberFormat="1" applyFont="1" applyFill="1"/>
    <xf numFmtId="0" fontId="4" fillId="5" borderId="0" xfId="0" applyFont="1" applyFill="1"/>
    <xf numFmtId="14" fontId="7" fillId="5" borderId="0" xfId="0" applyNumberFormat="1" applyFont="1" applyFill="1"/>
    <xf numFmtId="1" fontId="4" fillId="5" borderId="0" xfId="0" applyNumberFormat="1" applyFont="1" applyFill="1"/>
    <xf numFmtId="14" fontId="4" fillId="6" borderId="0" xfId="0" applyNumberFormat="1" applyFont="1" applyFill="1"/>
    <xf numFmtId="0" fontId="4" fillId="6" borderId="0" xfId="0" applyFont="1" applyFill="1"/>
    <xf numFmtId="14" fontId="7" fillId="6" borderId="0" xfId="0" applyNumberFormat="1" applyFont="1" applyFill="1"/>
    <xf numFmtId="1" fontId="4" fillId="6" borderId="0" xfId="0" applyNumberFormat="1" applyFont="1" applyFill="1"/>
    <xf numFmtId="0" fontId="8" fillId="0" borderId="0" xfId="0" applyFont="1"/>
    <xf numFmtId="14" fontId="4" fillId="0" borderId="0" xfId="0" applyNumberFormat="1" applyFont="1" applyAlignment="1">
      <alignment vertical="center" wrapText="1"/>
    </xf>
    <xf numFmtId="14" fontId="1" fillId="0" borderId="0" xfId="0" applyNumberFormat="1" applyFont="1"/>
    <xf numFmtId="0" fontId="5" fillId="0" borderId="1" xfId="0" applyFont="1" applyBorder="1" applyAlignment="1">
      <alignment horizontal="left" vertical="top" wrapText="1"/>
    </xf>
    <xf numFmtId="14" fontId="4" fillId="0" borderId="1" xfId="0" applyNumberFormat="1" applyFont="1" applyBorder="1" applyAlignment="1">
      <alignment horizontal="left" vertical="top" wrapText="1"/>
    </xf>
    <xf numFmtId="14" fontId="4" fillId="0" borderId="0" xfId="0" applyNumberFormat="1" applyFont="1" applyAlignment="1">
      <alignment wrapText="1"/>
    </xf>
    <xf numFmtId="14" fontId="4" fillId="3" borderId="0" xfId="0" applyNumberFormat="1" applyFont="1" applyFill="1" applyAlignment="1">
      <alignment wrapText="1"/>
    </xf>
    <xf numFmtId="14" fontId="1" fillId="0" borderId="0" xfId="0" applyNumberFormat="1" applyFont="1" applyAlignment="1">
      <alignment wrapText="1"/>
    </xf>
    <xf numFmtId="14" fontId="1" fillId="4" borderId="0" xfId="0" applyNumberFormat="1" applyFont="1" applyFill="1" applyAlignment="1">
      <alignment wrapText="1"/>
    </xf>
    <xf numFmtId="165" fontId="1" fillId="0" borderId="0" xfId="0" applyNumberFormat="1" applyFont="1"/>
    <xf numFmtId="0" fontId="9" fillId="0" borderId="0" xfId="0" applyFont="1"/>
    <xf numFmtId="14" fontId="0" fillId="0" borderId="0" xfId="0" applyNumberFormat="1"/>
    <xf numFmtId="0" fontId="0" fillId="0" borderId="0" xfId="0" pivotButton="1"/>
    <xf numFmtId="14" fontId="4" fillId="3" borderId="0" xfId="0" applyNumberFormat="1" applyFont="1" applyFill="1"/>
    <xf numFmtId="0" fontId="4" fillId="4" borderId="0" xfId="0" applyFont="1" applyFill="1"/>
    <xf numFmtId="14" fontId="1" fillId="4" borderId="0" xfId="0" applyNumberFormat="1" applyFont="1" applyFill="1"/>
    <xf numFmtId="14" fontId="4" fillId="0" borderId="0" xfId="0" applyNumberFormat="1" applyFont="1" applyAlignment="1">
      <alignment horizontal="right"/>
    </xf>
    <xf numFmtId="14" fontId="4" fillId="0" borderId="2" xfId="0" applyNumberFormat="1" applyFont="1" applyBorder="1" applyAlignment="1">
      <alignment wrapText="1"/>
    </xf>
    <xf numFmtId="14" fontId="1" fillId="0" borderId="2" xfId="0" applyNumberFormat="1" applyFont="1" applyBorder="1" applyAlignment="1">
      <alignment wrapText="1"/>
    </xf>
  </cellXfs>
  <cellStyles count="1">
    <cellStyle name="Normal" xfId="0" builtinId="0"/>
  </cellStyles>
  <dxfs count="24">
    <dxf>
      <font>
        <b/>
        <color theme="0" tint="-4.9989318521683403E-2"/>
      </font>
      <fill>
        <patternFill>
          <bgColor theme="9" tint="-0.24994659260841701"/>
        </patternFill>
      </fill>
    </dxf>
    <dxf>
      <font>
        <b/>
        <color theme="0" tint="-4.9989318521683403E-2"/>
      </font>
      <fill>
        <patternFill>
          <bgColor rgb="FFCC3300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19" formatCode="d/mm/yyyy"/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Aptos Narrow"/>
        <family val="2"/>
        <scheme val="minor"/>
      </font>
      <numFmt numFmtId="19" formatCode="d/mm/yyyy"/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Aptos Narrow"/>
        <family val="2"/>
        <scheme val="minor"/>
      </font>
      <numFmt numFmtId="19" formatCode="d/mm/yyyy"/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Aptos Narrow"/>
        <family val="2"/>
        <scheme val="minor"/>
      </font>
      <numFmt numFmtId="19" formatCode="d/mm/yyyy"/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Aptos Narrow"/>
        <family val="2"/>
        <scheme val="minor"/>
      </font>
      <numFmt numFmtId="19" formatCode="d/mm/yyyy"/>
    </dxf>
    <dxf>
      <font>
        <b/>
      </font>
      <numFmt numFmtId="19" formatCode="d/mm/yyyy"/>
    </dxf>
    <dxf>
      <font>
        <b/>
      </font>
    </dxf>
    <dxf>
      <font>
        <b/>
      </font>
      <numFmt numFmtId="0" formatCode="General"/>
    </dxf>
    <dxf>
      <font>
        <b/>
      </font>
      <numFmt numFmtId="164" formatCode="dd/mm/yy"/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Aptos Display"/>
        <scheme val="major"/>
      </font>
      <numFmt numFmtId="0" formatCode="General"/>
    </dxf>
    <dxf>
      <font>
        <b/>
        <strike val="0"/>
        <condense val="0"/>
        <extend val="0"/>
        <outline val="0"/>
        <shadow val="0"/>
        <vertAlign val="baseline"/>
        <sz val="11"/>
        <color rgb="FF000000"/>
        <name val="Aptos Display"/>
        <family val="2"/>
        <scheme val="major"/>
      </font>
      <alignment horizontal="general" vertical="bottom" wrapText="1"/>
    </dxf>
    <dxf>
      <font>
        <b/>
      </font>
    </dxf>
    <dxf>
      <font>
        <b/>
      </font>
      <numFmt numFmtId="0" formatCode="General"/>
    </dxf>
    <dxf>
      <font>
        <b/>
      </font>
    </dxf>
    <dxf>
      <font>
        <b/>
      </font>
    </dxf>
    <dxf>
      <font>
        <b/>
        <strike val="0"/>
        <outline val="0"/>
        <shadow val="0"/>
        <vertAlign val="baseline"/>
        <sz val="11"/>
        <color theme="1"/>
        <name val="Aptos Display"/>
        <family val="2"/>
        <scheme val="major"/>
      </font>
      <numFmt numFmtId="0" formatCode="General"/>
    </dxf>
    <dxf>
      <font>
        <b/>
      </font>
    </dxf>
    <dxf>
      <font>
        <b/>
      </font>
    </dxf>
    <dxf>
      <font>
        <b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DocuMate vs Manual 2025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Sheet5!$C$1</c:f>
              <c:strCache>
                <c:ptCount val="1"/>
                <c:pt idx="0">
                  <c:v>Manual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c:spPr>
          </c:marker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Sheet5!$A$2:$A$7</c:f>
              <c:numCache>
                <c:formatCode>m/d/yyyy</c:formatCode>
                <c:ptCount val="6"/>
                <c:pt idx="0">
                  <c:v>45925</c:v>
                </c:pt>
                <c:pt idx="1">
                  <c:v>45937</c:v>
                </c:pt>
                <c:pt idx="2">
                  <c:v>45944</c:v>
                </c:pt>
                <c:pt idx="3">
                  <c:v>45959</c:v>
                </c:pt>
                <c:pt idx="4">
                  <c:v>46006</c:v>
                </c:pt>
                <c:pt idx="5">
                  <c:v>46021</c:v>
                </c:pt>
              </c:numCache>
            </c:numRef>
          </c:cat>
          <c:val>
            <c:numRef>
              <c:f>Sheet5!$C$2:$C$7</c:f>
              <c:numCache>
                <c:formatCode>General</c:formatCode>
                <c:ptCount val="6"/>
                <c:pt idx="0">
                  <c:v>74025</c:v>
                </c:pt>
                <c:pt idx="1">
                  <c:v>14490</c:v>
                </c:pt>
                <c:pt idx="2">
                  <c:v>14175</c:v>
                </c:pt>
                <c:pt idx="3">
                  <c:v>24255</c:v>
                </c:pt>
                <c:pt idx="4">
                  <c:v>79065</c:v>
                </c:pt>
                <c:pt idx="5">
                  <c:v>5355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1F2-4D22-A79E-4C9A70CBE3A0}"/>
            </c:ext>
          </c:extLst>
        </c:ser>
        <c:ser>
          <c:idx val="1"/>
          <c:order val="1"/>
          <c:tx>
            <c:strRef>
              <c:f>Sheet5!$D$1</c:f>
              <c:strCache>
                <c:ptCount val="1"/>
                <c:pt idx="0">
                  <c:v>DocuMate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</c:spPr>
          </c:marker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Sheet5!$A$2:$A$7</c:f>
              <c:numCache>
                <c:formatCode>m/d/yyyy</c:formatCode>
                <c:ptCount val="6"/>
                <c:pt idx="0">
                  <c:v>45925</c:v>
                </c:pt>
                <c:pt idx="1">
                  <c:v>45937</c:v>
                </c:pt>
                <c:pt idx="2">
                  <c:v>45944</c:v>
                </c:pt>
                <c:pt idx="3">
                  <c:v>45959</c:v>
                </c:pt>
                <c:pt idx="4">
                  <c:v>46006</c:v>
                </c:pt>
                <c:pt idx="5">
                  <c:v>46021</c:v>
                </c:pt>
              </c:numCache>
            </c:numRef>
          </c:cat>
          <c:val>
            <c:numRef>
              <c:f>Sheet5!$D$2:$D$7</c:f>
              <c:numCache>
                <c:formatCode>General</c:formatCode>
                <c:ptCount val="6"/>
                <c:pt idx="0">
                  <c:v>23.5</c:v>
                </c:pt>
                <c:pt idx="1">
                  <c:v>4.6000000000000005</c:v>
                </c:pt>
                <c:pt idx="2">
                  <c:v>4.5</c:v>
                </c:pt>
                <c:pt idx="3">
                  <c:v>7.7</c:v>
                </c:pt>
                <c:pt idx="4">
                  <c:v>25.1</c:v>
                </c:pt>
                <c:pt idx="5">
                  <c:v>1.7000000000000002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1F2-4D22-A79E-4C9A70CBE3A0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846810096"/>
        <c:axId val="846810576"/>
      </c:lineChart>
      <c:dateAx>
        <c:axId val="846810096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6810576"/>
        <c:crosses val="autoZero"/>
        <c:auto val="1"/>
        <c:lblOffset val="100"/>
        <c:baseTimeUnit val="days"/>
      </c:dateAx>
      <c:valAx>
        <c:axId val="846810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6810096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pivotSource>
    <c:name>[DocuMate_DataFrame.xlsx]Sheet7!PivotTable1</c:name>
    <c:fmtId val="20"/>
  </c:pivotSource>
  <c:chart>
    <c:title>
      <c:tx>
        <c:rich>
          <a:bodyPr/>
          <a:lstStyle/>
          <a:p>
            <a:endParaRPr lang="en-AU"/>
          </a:p>
        </c:rich>
      </c:tx>
      <c:overlay val="0"/>
      <c:spPr>
        <a:noFill/>
        <a:ln>
          <a:noFill/>
          <a:prstDash val="solid"/>
        </a:ln>
      </c:spPr>
    </c:title>
    <c:autoTitleDeleted val="0"/>
    <c:pivotFmts>
      <c:pivotFmt>
        <c:idx val="0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Sheet7!$B$2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strRef>
              <c:f>Sheet7!$A$3:$A$5</c:f>
              <c:strCache>
                <c:ptCount val="2"/>
                <c:pt idx="0">
                  <c:v>MALE</c:v>
                </c:pt>
                <c:pt idx="1">
                  <c:v>FEMALE</c:v>
                </c:pt>
              </c:strCache>
            </c:strRef>
          </c:cat>
          <c:val>
            <c:numRef>
              <c:f>Sheet7!$B$3:$B$5</c:f>
              <c:numCache>
                <c:formatCode>General</c:formatCode>
                <c:ptCount val="2"/>
                <c:pt idx="0">
                  <c:v>382</c:v>
                </c:pt>
                <c:pt idx="1">
                  <c:v>345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2A-4FCC-917D-B92471DD40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45443968"/>
        <c:axId val="2045444448"/>
      </c:barChart>
      <c:catAx>
        <c:axId val="20454439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5444448"/>
        <c:crosses val="autoZero"/>
        <c:auto val="1"/>
        <c:lblAlgn val="ctr"/>
        <c:lblOffset val="100"/>
        <c:noMultiLvlLbl val="0"/>
      </c:catAx>
      <c:valAx>
        <c:axId val="20454444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5443968"/>
        <c:crosses val="autoZero"/>
        <c:crossBetween val="between"/>
      </c:valAx>
    </c:plotArea>
    <c:legend>
      <c:legendPos val="r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609599</xdr:colOff>
      <xdr:row>3</xdr:row>
      <xdr:rowOff>9525</xdr:rowOff>
    </xdr:from>
    <xdr:to>
      <xdr:col>16</xdr:col>
      <xdr:colOff>0</xdr:colOff>
      <xdr:row>19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28575</xdr:colOff>
      <xdr:row>3</xdr:row>
      <xdr:rowOff>9525</xdr:rowOff>
    </xdr:from>
    <xdr:to>
      <xdr:col>23</xdr:col>
      <xdr:colOff>333375</xdr:colOff>
      <xdr:row>18</xdr:row>
      <xdr:rowOff>180975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gi Melbourne1" refreshedDate="46022.679785416673" createdVersion="8" refreshedVersion="8" minRefreshableVersion="3" recordCount="727" xr:uid="{00000000-000A-0000-FFFF-FFFF01000000}">
  <cacheSource type="worksheet">
    <worksheetSource ref="D1:D1441" sheet="DocuMateSRC"/>
  </cacheSource>
  <cacheFields count="1">
    <cacheField name="Sex" numFmtId="0">
      <sharedItems count="2">
        <s v="MALE"/>
        <s v="FEMAL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count="727">
  <r>
    <x v="0"/>
  </r>
  <r>
    <x v="0"/>
  </r>
  <r>
    <x v="1"/>
  </r>
  <r>
    <x v="0"/>
  </r>
  <r>
    <x v="0"/>
  </r>
  <r>
    <x v="0"/>
  </r>
  <r>
    <x v="1"/>
  </r>
  <r>
    <x v="0"/>
  </r>
  <r>
    <x v="0"/>
  </r>
  <r>
    <x v="0"/>
  </r>
  <r>
    <x v="0"/>
  </r>
  <r>
    <x v="1"/>
  </r>
  <r>
    <x v="1"/>
  </r>
  <r>
    <x v="0"/>
  </r>
  <r>
    <x v="0"/>
  </r>
  <r>
    <x v="0"/>
  </r>
  <r>
    <x v="1"/>
  </r>
  <r>
    <x v="0"/>
  </r>
  <r>
    <x v="0"/>
  </r>
  <r>
    <x v="1"/>
  </r>
  <r>
    <x v="0"/>
  </r>
  <r>
    <x v="1"/>
  </r>
  <r>
    <x v="1"/>
  </r>
  <r>
    <x v="1"/>
  </r>
  <r>
    <x v="1"/>
  </r>
  <r>
    <x v="0"/>
  </r>
  <r>
    <x v="1"/>
  </r>
  <r>
    <x v="1"/>
  </r>
  <r>
    <x v="0"/>
  </r>
  <r>
    <x v="0"/>
  </r>
  <r>
    <x v="0"/>
  </r>
  <r>
    <x v="0"/>
  </r>
  <r>
    <x v="0"/>
  </r>
  <r>
    <x v="0"/>
  </r>
  <r>
    <x v="0"/>
  </r>
  <r>
    <x v="1"/>
  </r>
  <r>
    <x v="0"/>
  </r>
  <r>
    <x v="1"/>
  </r>
  <r>
    <x v="0"/>
  </r>
  <r>
    <x v="0"/>
  </r>
  <r>
    <x v="1"/>
  </r>
  <r>
    <x v="1"/>
  </r>
  <r>
    <x v="1"/>
  </r>
  <r>
    <x v="1"/>
  </r>
  <r>
    <x v="1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0"/>
  </r>
  <r>
    <x v="0"/>
  </r>
  <r>
    <x v="1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1"/>
  </r>
  <r>
    <x v="0"/>
  </r>
  <r>
    <x v="1"/>
  </r>
  <r>
    <x v="0"/>
  </r>
  <r>
    <x v="0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0"/>
  </r>
  <r>
    <x v="1"/>
  </r>
  <r>
    <x v="0"/>
  </r>
  <r>
    <x v="0"/>
  </r>
  <r>
    <x v="1"/>
  </r>
  <r>
    <x v="0"/>
  </r>
  <r>
    <x v="0"/>
  </r>
  <r>
    <x v="0"/>
  </r>
  <r>
    <x v="1"/>
  </r>
  <r>
    <x v="1"/>
  </r>
  <r>
    <x v="1"/>
  </r>
  <r>
    <x v="0"/>
  </r>
  <r>
    <x v="1"/>
  </r>
  <r>
    <x v="0"/>
  </r>
  <r>
    <x v="1"/>
  </r>
  <r>
    <x v="0"/>
  </r>
  <r>
    <x v="1"/>
  </r>
  <r>
    <x v="1"/>
  </r>
  <r>
    <x v="1"/>
  </r>
  <r>
    <x v="1"/>
  </r>
  <r>
    <x v="1"/>
  </r>
  <r>
    <x v="0"/>
  </r>
  <r>
    <x v="0"/>
  </r>
  <r>
    <x v="0"/>
  </r>
  <r>
    <x v="0"/>
  </r>
  <r>
    <x v="0"/>
  </r>
  <r>
    <x v="1"/>
  </r>
  <r>
    <x v="1"/>
  </r>
  <r>
    <x v="1"/>
  </r>
  <r>
    <x v="0"/>
  </r>
  <r>
    <x v="1"/>
  </r>
  <r>
    <x v="1"/>
  </r>
  <r>
    <x v="1"/>
  </r>
  <r>
    <x v="1"/>
  </r>
  <r>
    <x v="0"/>
  </r>
  <r>
    <x v="0"/>
  </r>
  <r>
    <x v="1"/>
  </r>
  <r>
    <x v="0"/>
  </r>
  <r>
    <x v="0"/>
  </r>
  <r>
    <x v="1"/>
  </r>
  <r>
    <x v="0"/>
  </r>
  <r>
    <x v="1"/>
  </r>
  <r>
    <x v="0"/>
  </r>
  <r>
    <x v="0"/>
  </r>
  <r>
    <x v="1"/>
  </r>
  <r>
    <x v="0"/>
  </r>
  <r>
    <x v="1"/>
  </r>
  <r>
    <x v="1"/>
  </r>
  <r>
    <x v="0"/>
  </r>
  <r>
    <x v="1"/>
  </r>
  <r>
    <x v="0"/>
  </r>
  <r>
    <x v="1"/>
  </r>
  <r>
    <x v="1"/>
  </r>
  <r>
    <x v="0"/>
  </r>
  <r>
    <x v="1"/>
  </r>
  <r>
    <x v="0"/>
  </r>
  <r>
    <x v="0"/>
  </r>
  <r>
    <x v="1"/>
  </r>
  <r>
    <x v="1"/>
  </r>
  <r>
    <x v="1"/>
  </r>
  <r>
    <x v="1"/>
  </r>
  <r>
    <x v="1"/>
  </r>
  <r>
    <x v="1"/>
  </r>
  <r>
    <x v="0"/>
  </r>
  <r>
    <x v="0"/>
  </r>
  <r>
    <x v="0"/>
  </r>
  <r>
    <x v="1"/>
  </r>
  <r>
    <x v="1"/>
  </r>
  <r>
    <x v="1"/>
  </r>
  <r>
    <x v="0"/>
  </r>
  <r>
    <x v="0"/>
  </r>
  <r>
    <x v="1"/>
  </r>
  <r>
    <x v="0"/>
  </r>
  <r>
    <x v="1"/>
  </r>
  <r>
    <x v="1"/>
  </r>
  <r>
    <x v="1"/>
  </r>
  <r>
    <x v="1"/>
  </r>
  <r>
    <x v="1"/>
  </r>
  <r>
    <x v="0"/>
  </r>
  <r>
    <x v="0"/>
  </r>
  <r>
    <x v="1"/>
  </r>
  <r>
    <x v="0"/>
  </r>
  <r>
    <x v="0"/>
  </r>
  <r>
    <x v="0"/>
  </r>
  <r>
    <x v="0"/>
  </r>
  <r>
    <x v="0"/>
  </r>
  <r>
    <x v="1"/>
  </r>
  <r>
    <x v="0"/>
  </r>
  <r>
    <x v="1"/>
  </r>
  <r>
    <x v="1"/>
  </r>
  <r>
    <x v="1"/>
  </r>
  <r>
    <x v="1"/>
  </r>
  <r>
    <x v="0"/>
  </r>
  <r>
    <x v="0"/>
  </r>
  <r>
    <x v="1"/>
  </r>
  <r>
    <x v="1"/>
  </r>
  <r>
    <x v="1"/>
  </r>
  <r>
    <x v="1"/>
  </r>
  <r>
    <x v="1"/>
  </r>
  <r>
    <x v="1"/>
  </r>
  <r>
    <x v="1"/>
  </r>
  <r>
    <x v="0"/>
  </r>
  <r>
    <x v="0"/>
  </r>
  <r>
    <x v="1"/>
  </r>
  <r>
    <x v="0"/>
  </r>
  <r>
    <x v="0"/>
  </r>
  <r>
    <x v="1"/>
  </r>
  <r>
    <x v="0"/>
  </r>
  <r>
    <x v="1"/>
  </r>
  <r>
    <x v="1"/>
  </r>
  <r>
    <x v="1"/>
  </r>
  <r>
    <x v="0"/>
  </r>
  <r>
    <x v="0"/>
  </r>
  <r>
    <x v="1"/>
  </r>
  <r>
    <x v="1"/>
  </r>
  <r>
    <x v="0"/>
  </r>
  <r>
    <x v="0"/>
  </r>
  <r>
    <x v="1"/>
  </r>
  <r>
    <x v="1"/>
  </r>
  <r>
    <x v="1"/>
  </r>
  <r>
    <x v="1"/>
  </r>
  <r>
    <x v="0"/>
  </r>
  <r>
    <x v="0"/>
  </r>
  <r>
    <x v="0"/>
  </r>
  <r>
    <x v="1"/>
  </r>
  <r>
    <x v="1"/>
  </r>
  <r>
    <x v="1"/>
  </r>
  <r>
    <x v="1"/>
  </r>
  <r>
    <x v="1"/>
  </r>
  <r>
    <x v="1"/>
  </r>
  <r>
    <x v="0"/>
  </r>
  <r>
    <x v="0"/>
  </r>
  <r>
    <x v="1"/>
  </r>
  <r>
    <x v="1"/>
  </r>
  <r>
    <x v="1"/>
  </r>
  <r>
    <x v="0"/>
  </r>
  <r>
    <x v="0"/>
  </r>
  <r>
    <x v="1"/>
  </r>
  <r>
    <x v="0"/>
  </r>
  <r>
    <x v="0"/>
  </r>
  <r>
    <x v="1"/>
  </r>
  <r>
    <x v="0"/>
  </r>
  <r>
    <x v="1"/>
  </r>
  <r>
    <x v="1"/>
  </r>
  <r>
    <x v="1"/>
  </r>
  <r>
    <x v="0"/>
  </r>
  <r>
    <x v="1"/>
  </r>
  <r>
    <x v="1"/>
  </r>
  <r>
    <x v="0"/>
  </r>
  <r>
    <x v="0"/>
  </r>
  <r>
    <x v="1"/>
  </r>
  <r>
    <x v="1"/>
  </r>
  <r>
    <x v="0"/>
  </r>
  <r>
    <x v="0"/>
  </r>
  <r>
    <x v="0"/>
  </r>
  <r>
    <x v="0"/>
  </r>
  <r>
    <x v="0"/>
  </r>
  <r>
    <x v="0"/>
  </r>
  <r>
    <x v="1"/>
  </r>
  <r>
    <x v="0"/>
  </r>
  <r>
    <x v="1"/>
  </r>
  <r>
    <x v="1"/>
  </r>
  <r>
    <x v="0"/>
  </r>
  <r>
    <x v="1"/>
  </r>
  <r>
    <x v="1"/>
  </r>
  <r>
    <x v="1"/>
  </r>
  <r>
    <x v="0"/>
  </r>
  <r>
    <x v="1"/>
  </r>
  <r>
    <x v="1"/>
  </r>
  <r>
    <x v="0"/>
  </r>
  <r>
    <x v="0"/>
  </r>
  <r>
    <x v="1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1"/>
  </r>
  <r>
    <x v="1"/>
  </r>
  <r>
    <x v="0"/>
  </r>
  <r>
    <x v="0"/>
  </r>
  <r>
    <x v="0"/>
  </r>
  <r>
    <x v="1"/>
  </r>
  <r>
    <x v="0"/>
  </r>
  <r>
    <x v="1"/>
  </r>
  <r>
    <x v="1"/>
  </r>
  <r>
    <x v="1"/>
  </r>
  <r>
    <x v="1"/>
  </r>
  <r>
    <x v="1"/>
  </r>
  <r>
    <x v="0"/>
  </r>
  <r>
    <x v="0"/>
  </r>
  <r>
    <x v="0"/>
  </r>
  <r>
    <x v="0"/>
  </r>
  <r>
    <x v="0"/>
  </r>
  <r>
    <x v="1"/>
  </r>
  <r>
    <x v="1"/>
  </r>
  <r>
    <x v="0"/>
  </r>
  <r>
    <x v="1"/>
  </r>
  <r>
    <x v="1"/>
  </r>
  <r>
    <x v="0"/>
  </r>
  <r>
    <x v="1"/>
  </r>
  <r>
    <x v="0"/>
  </r>
  <r>
    <x v="0"/>
  </r>
  <r>
    <x v="0"/>
  </r>
  <r>
    <x v="1"/>
  </r>
  <r>
    <x v="0"/>
  </r>
  <r>
    <x v="0"/>
  </r>
  <r>
    <x v="1"/>
  </r>
  <r>
    <x v="1"/>
  </r>
  <r>
    <x v="1"/>
  </r>
  <r>
    <x v="0"/>
  </r>
  <r>
    <x v="1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1"/>
  </r>
  <r>
    <x v="0"/>
  </r>
  <r>
    <x v="1"/>
  </r>
  <r>
    <x v="0"/>
  </r>
  <r>
    <x v="1"/>
  </r>
  <r>
    <x v="0"/>
  </r>
  <r>
    <x v="1"/>
  </r>
  <r>
    <x v="0"/>
  </r>
  <r>
    <x v="1"/>
  </r>
  <r>
    <x v="0"/>
  </r>
  <r>
    <x v="1"/>
  </r>
  <r>
    <x v="0"/>
  </r>
  <r>
    <x v="0"/>
  </r>
  <r>
    <x v="0"/>
  </r>
  <r>
    <x v="1"/>
  </r>
  <r>
    <x v="1"/>
  </r>
  <r>
    <x v="1"/>
  </r>
  <r>
    <x v="1"/>
  </r>
  <r>
    <x v="0"/>
  </r>
  <r>
    <x v="0"/>
  </r>
  <r>
    <x v="1"/>
  </r>
  <r>
    <x v="0"/>
  </r>
  <r>
    <x v="1"/>
  </r>
  <r>
    <x v="0"/>
  </r>
  <r>
    <x v="1"/>
  </r>
  <r>
    <x v="0"/>
  </r>
  <r>
    <x v="1"/>
  </r>
  <r>
    <x v="0"/>
  </r>
  <r>
    <x v="1"/>
  </r>
  <r>
    <x v="0"/>
  </r>
  <r>
    <x v="1"/>
  </r>
  <r>
    <x v="1"/>
  </r>
  <r>
    <x v="1"/>
  </r>
  <r>
    <x v="1"/>
  </r>
  <r>
    <x v="1"/>
  </r>
  <r>
    <x v="1"/>
  </r>
  <r>
    <x v="0"/>
  </r>
  <r>
    <x v="0"/>
  </r>
  <r>
    <x v="1"/>
  </r>
  <r>
    <x v="1"/>
  </r>
  <r>
    <x v="1"/>
  </r>
  <r>
    <x v="0"/>
  </r>
  <r>
    <x v="0"/>
  </r>
  <r>
    <x v="1"/>
  </r>
  <r>
    <x v="0"/>
  </r>
  <r>
    <x v="0"/>
  </r>
  <r>
    <x v="0"/>
  </r>
  <r>
    <x v="1"/>
  </r>
  <r>
    <x v="0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1"/>
  </r>
  <r>
    <x v="1"/>
  </r>
  <r>
    <x v="1"/>
  </r>
  <r>
    <x v="0"/>
  </r>
  <r>
    <x v="1"/>
  </r>
  <r>
    <x v="0"/>
  </r>
  <r>
    <x v="1"/>
  </r>
  <r>
    <x v="1"/>
  </r>
  <r>
    <x v="0"/>
  </r>
  <r>
    <x v="1"/>
  </r>
  <r>
    <x v="1"/>
  </r>
  <r>
    <x v="0"/>
  </r>
  <r>
    <x v="1"/>
  </r>
  <r>
    <x v="1"/>
  </r>
  <r>
    <x v="1"/>
  </r>
  <r>
    <x v="0"/>
  </r>
  <r>
    <x v="1"/>
  </r>
  <r>
    <x v="0"/>
  </r>
  <r>
    <x v="0"/>
  </r>
  <r>
    <x v="0"/>
  </r>
  <r>
    <x v="0"/>
  </r>
  <r>
    <x v="1"/>
  </r>
  <r>
    <x v="0"/>
  </r>
  <r>
    <x v="0"/>
  </r>
  <r>
    <x v="0"/>
  </r>
  <r>
    <x v="1"/>
  </r>
  <r>
    <x v="1"/>
  </r>
  <r>
    <x v="0"/>
  </r>
  <r>
    <x v="0"/>
  </r>
  <r>
    <x v="0"/>
  </r>
  <r>
    <x v="1"/>
  </r>
  <r>
    <x v="0"/>
  </r>
  <r>
    <x v="1"/>
  </r>
  <r>
    <x v="0"/>
  </r>
  <r>
    <x v="1"/>
  </r>
  <r>
    <x v="0"/>
  </r>
  <r>
    <x v="0"/>
  </r>
  <r>
    <x v="1"/>
  </r>
  <r>
    <x v="0"/>
  </r>
  <r>
    <x v="0"/>
  </r>
  <r>
    <x v="0"/>
  </r>
  <r>
    <x v="1"/>
  </r>
  <r>
    <x v="0"/>
  </r>
  <r>
    <x v="1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1"/>
  </r>
  <r>
    <x v="0"/>
  </r>
  <r>
    <x v="0"/>
  </r>
  <r>
    <x v="1"/>
  </r>
  <r>
    <x v="1"/>
  </r>
  <r>
    <x v="0"/>
  </r>
  <r>
    <x v="1"/>
  </r>
  <r>
    <x v="0"/>
  </r>
  <r>
    <x v="0"/>
  </r>
  <r>
    <x v="0"/>
  </r>
  <r>
    <x v="1"/>
  </r>
  <r>
    <x v="1"/>
  </r>
  <r>
    <x v="1"/>
  </r>
  <r>
    <x v="0"/>
  </r>
  <r>
    <x v="1"/>
  </r>
  <r>
    <x v="1"/>
  </r>
  <r>
    <x v="0"/>
  </r>
  <r>
    <x v="1"/>
  </r>
  <r>
    <x v="0"/>
  </r>
  <r>
    <x v="0"/>
  </r>
  <r>
    <x v="1"/>
  </r>
  <r>
    <x v="0"/>
  </r>
  <r>
    <x v="1"/>
  </r>
  <r>
    <x v="1"/>
  </r>
  <r>
    <x v="0"/>
  </r>
  <r>
    <x v="1"/>
  </r>
  <r>
    <x v="0"/>
  </r>
  <r>
    <x v="0"/>
  </r>
  <r>
    <x v="1"/>
  </r>
  <r>
    <x v="1"/>
  </r>
  <r>
    <x v="0"/>
  </r>
  <r>
    <x v="0"/>
  </r>
  <r>
    <x v="0"/>
  </r>
  <r>
    <x v="1"/>
  </r>
  <r>
    <x v="0"/>
  </r>
  <r>
    <x v="0"/>
  </r>
  <r>
    <x v="0"/>
  </r>
  <r>
    <x v="0"/>
  </r>
  <r>
    <x v="0"/>
  </r>
  <r>
    <x v="1"/>
  </r>
  <r>
    <x v="0"/>
  </r>
  <r>
    <x v="0"/>
  </r>
  <r>
    <x v="0"/>
  </r>
  <r>
    <x v="1"/>
  </r>
  <r>
    <x v="0"/>
  </r>
  <r>
    <x v="1"/>
  </r>
  <r>
    <x v="1"/>
  </r>
  <r>
    <x v="0"/>
  </r>
  <r>
    <x v="0"/>
  </r>
  <r>
    <x v="1"/>
  </r>
  <r>
    <x v="1"/>
  </r>
  <r>
    <x v="0"/>
  </r>
  <r>
    <x v="0"/>
  </r>
  <r>
    <x v="1"/>
  </r>
  <r>
    <x v="1"/>
  </r>
  <r>
    <x v="0"/>
  </r>
  <r>
    <x v="0"/>
  </r>
  <r>
    <x v="0"/>
  </r>
  <r>
    <x v="1"/>
  </r>
  <r>
    <x v="0"/>
  </r>
  <r>
    <x v="0"/>
  </r>
  <r>
    <x v="0"/>
  </r>
  <r>
    <x v="1"/>
  </r>
  <r>
    <x v="1"/>
  </r>
  <r>
    <x v="0"/>
  </r>
  <r>
    <x v="1"/>
  </r>
  <r>
    <x v="0"/>
  </r>
  <r>
    <x v="1"/>
  </r>
  <r>
    <x v="0"/>
  </r>
  <r>
    <x v="0"/>
  </r>
  <r>
    <x v="0"/>
  </r>
  <r>
    <x v="1"/>
  </r>
  <r>
    <x v="0"/>
  </r>
  <r>
    <x v="1"/>
  </r>
  <r>
    <x v="0"/>
  </r>
  <r>
    <x v="0"/>
  </r>
  <r>
    <x v="0"/>
  </r>
  <r>
    <x v="1"/>
  </r>
  <r>
    <x v="0"/>
  </r>
  <r>
    <x v="0"/>
  </r>
  <r>
    <x v="1"/>
  </r>
  <r>
    <x v="1"/>
  </r>
  <r>
    <x v="0"/>
  </r>
  <r>
    <x v="0"/>
  </r>
  <r>
    <x v="1"/>
  </r>
  <r>
    <x v="1"/>
  </r>
  <r>
    <x v="0"/>
  </r>
  <r>
    <x v="0"/>
  </r>
  <r>
    <x v="1"/>
  </r>
  <r>
    <x v="1"/>
  </r>
  <r>
    <x v="0"/>
  </r>
  <r>
    <x v="0"/>
  </r>
  <r>
    <x v="1"/>
  </r>
  <r>
    <x v="0"/>
  </r>
  <r>
    <x v="1"/>
  </r>
  <r>
    <x v="1"/>
  </r>
  <r>
    <x v="1"/>
  </r>
  <r>
    <x v="0"/>
  </r>
  <r>
    <x v="0"/>
  </r>
  <r>
    <x v="1"/>
  </r>
  <r>
    <x v="1"/>
  </r>
  <r>
    <x v="1"/>
  </r>
  <r>
    <x v="1"/>
  </r>
  <r>
    <x v="0"/>
  </r>
  <r>
    <x v="0"/>
  </r>
  <r>
    <x v="0"/>
  </r>
  <r>
    <x v="1"/>
  </r>
  <r>
    <x v="0"/>
  </r>
  <r>
    <x v="0"/>
  </r>
  <r>
    <x v="0"/>
  </r>
  <r>
    <x v="0"/>
  </r>
  <r>
    <x v="0"/>
  </r>
  <r>
    <x v="1"/>
  </r>
  <r>
    <x v="1"/>
  </r>
  <r>
    <x v="0"/>
  </r>
  <r>
    <x v="0"/>
  </r>
  <r>
    <x v="1"/>
  </r>
  <r>
    <x v="0"/>
  </r>
  <r>
    <x v="1"/>
  </r>
  <r>
    <x v="1"/>
  </r>
  <r>
    <x v="0"/>
  </r>
  <r>
    <x v="0"/>
  </r>
  <r>
    <x v="1"/>
  </r>
  <r>
    <x v="1"/>
  </r>
  <r>
    <x v="0"/>
  </r>
  <r>
    <x v="1"/>
  </r>
  <r>
    <x v="1"/>
  </r>
  <r>
    <x v="0"/>
  </r>
  <r>
    <x v="1"/>
  </r>
  <r>
    <x v="0"/>
  </r>
  <r>
    <x v="0"/>
  </r>
  <r>
    <x v="1"/>
  </r>
  <r>
    <x v="1"/>
  </r>
  <r>
    <x v="0"/>
  </r>
  <r>
    <x v="1"/>
  </r>
  <r>
    <x v="1"/>
  </r>
  <r>
    <x v="1"/>
  </r>
  <r>
    <x v="0"/>
  </r>
  <r>
    <x v="0"/>
  </r>
  <r>
    <x v="1"/>
  </r>
  <r>
    <x v="0"/>
  </r>
  <r>
    <x v="0"/>
  </r>
  <r>
    <x v="0"/>
  </r>
  <r>
    <x v="1"/>
  </r>
  <r>
    <x v="1"/>
  </r>
  <r>
    <x v="0"/>
  </r>
  <r>
    <x v="1"/>
  </r>
  <r>
    <x v="1"/>
  </r>
  <r>
    <x v="0"/>
  </r>
  <r>
    <x v="0"/>
  </r>
  <r>
    <x v="1"/>
  </r>
  <r>
    <x v="0"/>
  </r>
  <r>
    <x v="1"/>
  </r>
  <r>
    <x v="0"/>
  </r>
  <r>
    <x v="0"/>
  </r>
  <r>
    <x v="0"/>
  </r>
  <r>
    <x v="0"/>
  </r>
  <r>
    <x v="1"/>
  </r>
  <r>
    <x v="1"/>
  </r>
  <r>
    <x v="0"/>
  </r>
  <r>
    <x v="1"/>
  </r>
  <r>
    <x v="0"/>
  </r>
  <r>
    <x v="0"/>
  </r>
  <r>
    <x v="1"/>
  </r>
  <r>
    <x v="0"/>
  </r>
  <r>
    <x v="1"/>
  </r>
  <r>
    <x v="0"/>
  </r>
  <r>
    <x v="1"/>
  </r>
  <r>
    <x v="1"/>
  </r>
  <r>
    <x v="1"/>
  </r>
  <r>
    <x v="0"/>
  </r>
  <r>
    <x v="0"/>
  </r>
  <r>
    <x v="0"/>
  </r>
  <r>
    <x v="1"/>
  </r>
  <r>
    <x v="1"/>
  </r>
  <r>
    <x v="0"/>
  </r>
  <r>
    <x v="1"/>
  </r>
  <r>
    <x v="1"/>
  </r>
  <r>
    <x v="1"/>
  </r>
  <r>
    <x v="0"/>
  </r>
  <r>
    <x v="1"/>
  </r>
  <r>
    <x v="1"/>
  </r>
  <r>
    <x v="1"/>
  </r>
  <r>
    <x v="0"/>
  </r>
  <r>
    <x v="1"/>
  </r>
  <r>
    <x v="0"/>
  </r>
  <r>
    <x v="0"/>
  </r>
  <r>
    <x v="0"/>
  </r>
  <r>
    <x v="0"/>
  </r>
  <r>
    <x v="1"/>
  </r>
  <r>
    <x v="0"/>
  </r>
  <r>
    <x v="0"/>
  </r>
  <r>
    <x v="0"/>
  </r>
  <r>
    <x v="1"/>
  </r>
  <r>
    <x v="0"/>
  </r>
  <r>
    <x v="1"/>
  </r>
  <r>
    <x v="0"/>
  </r>
  <r>
    <x v="0"/>
  </r>
  <r>
    <x v="1"/>
  </r>
  <r>
    <x v="0"/>
  </r>
  <r>
    <x v="0"/>
  </r>
  <r>
    <x v="0"/>
  </r>
  <r>
    <x v="1"/>
  </r>
  <r>
    <x v="1"/>
  </r>
  <r>
    <x v="0"/>
  </r>
  <r>
    <x v="0"/>
  </r>
  <r>
    <x v="1"/>
  </r>
  <r>
    <x v="1"/>
  </r>
  <r>
    <x v="0"/>
  </r>
  <r>
    <x v="1"/>
  </r>
  <r>
    <x v="1"/>
  </r>
  <r>
    <x v="1"/>
  </r>
  <r>
    <x v="0"/>
  </r>
  <r>
    <x v="1"/>
  </r>
  <r>
    <x v="0"/>
  </r>
  <r>
    <x v="0"/>
  </r>
  <r>
    <x v="0"/>
  </r>
  <r>
    <x v="1"/>
  </r>
  <r>
    <x v="1"/>
  </r>
  <r>
    <x v="0"/>
  </r>
  <r>
    <x v="1"/>
  </r>
  <r>
    <x v="0"/>
  </r>
  <r>
    <x v="1"/>
  </r>
  <r>
    <x v="1"/>
  </r>
  <r>
    <x v="1"/>
  </r>
  <r>
    <x v="1"/>
  </r>
  <r>
    <x v="1"/>
  </r>
  <r>
    <x v="1"/>
  </r>
  <r>
    <x v="0"/>
  </r>
  <r>
    <x v="1"/>
  </r>
  <r>
    <x v="1"/>
  </r>
  <r>
    <x v="0"/>
  </r>
  <r>
    <x v="0"/>
  </r>
  <r>
    <x v="1"/>
  </r>
  <r>
    <x v="0"/>
  </r>
  <r>
    <x v="1"/>
  </r>
  <r>
    <x v="1"/>
  </r>
  <r>
    <x v="0"/>
  </r>
  <r>
    <x v="0"/>
  </r>
  <r>
    <x v="0"/>
  </r>
  <r>
    <x v="0"/>
  </r>
  <r>
    <x v="1"/>
  </r>
  <r>
    <x v="0"/>
  </r>
  <r>
    <x v="1"/>
  </r>
  <r>
    <x v="0"/>
  </r>
  <r>
    <x v="1"/>
  </r>
  <r>
    <x v="0"/>
  </r>
  <r>
    <x v="1"/>
  </r>
  <r>
    <x v="0"/>
  </r>
  <r>
    <x v="0"/>
  </r>
  <r>
    <x v="1"/>
  </r>
  <r>
    <x v="1"/>
  </r>
  <r>
    <x v="1"/>
  </r>
  <r>
    <x v="0"/>
  </r>
  <r>
    <x v="1"/>
  </r>
  <r>
    <x v="1"/>
  </r>
  <r>
    <x v="0"/>
  </r>
  <r>
    <x v="1"/>
  </r>
  <r>
    <x v="0"/>
  </r>
  <r>
    <x v="0"/>
  </r>
  <r>
    <x v="0"/>
  </r>
  <r>
    <x v="1"/>
  </r>
  <r>
    <x v="0"/>
  </r>
  <r>
    <x v="1"/>
  </r>
  <r>
    <x v="1"/>
  </r>
  <r>
    <x v="0"/>
  </r>
  <r>
    <x v="1"/>
  </r>
  <r>
    <x v="1"/>
  </r>
  <r>
    <x v="1"/>
  </r>
  <r>
    <x v="1"/>
  </r>
  <r>
    <x v="0"/>
  </r>
  <r>
    <x v="1"/>
  </r>
  <r>
    <x v="0"/>
  </r>
  <r>
    <x v="0"/>
  </r>
  <r>
    <x v="0"/>
  </r>
  <r>
    <x v="1"/>
  </r>
  <r>
    <x v="1"/>
  </r>
  <r>
    <x v="1"/>
  </r>
  <r>
    <x v="0"/>
  </r>
  <r>
    <x v="1"/>
  </r>
  <r>
    <x v="0"/>
  </r>
  <r>
    <x v="1"/>
  </r>
  <r>
    <x v="0"/>
  </r>
  <r>
    <x v="0"/>
  </r>
  <r>
    <x v="0"/>
  </r>
  <r>
    <x v="0"/>
  </r>
  <r>
    <x v="1"/>
  </r>
  <r>
    <x v="0"/>
  </r>
  <r>
    <x v="1"/>
  </r>
  <r>
    <x v="1"/>
  </r>
  <r>
    <x v="1"/>
  </r>
  <r>
    <x v="0"/>
  </r>
  <r>
    <x v="0"/>
  </r>
  <r>
    <x v="1"/>
  </r>
  <r>
    <x v="0"/>
  </r>
  <r>
    <x v="1"/>
  </r>
  <r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0000000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21">
  <location ref="A2:B5" firstHeaderRow="1" firstDataRow="1" firstDataCol="1"/>
  <pivotFields count="1">
    <pivotField axis="axisRow" dataField="1" compact="0" outline="0" showAll="0" sortType="descending">
      <items count="3"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0"/>
  </rowFields>
  <rowItems count="3">
    <i>
      <x v="1"/>
    </i>
    <i>
      <x/>
    </i>
    <i t="grand">
      <x/>
    </i>
  </rowItems>
  <colItems count="1">
    <i/>
  </colItems>
  <dataFields count="1">
    <dataField name="Count of Sex" fld="0" subtotal="count" baseField="0" baseItem="0"/>
  </dataFields>
  <chartFormats count="4">
    <chartFormat chart="1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2" displayName="Table2" ref="A1:L1441" totalsRowShown="0" headerRowDxfId="23" dataDxfId="22">
  <autoFilter ref="A1:L1441" xr:uid="{00000000-0009-0000-0100-000001000000}"/>
  <tableColumns count="12">
    <tableColumn id="1" xr3:uid="{00000000-0010-0000-0000-000001000000}" name="Serial" dataDxfId="21">
      <calculatedColumnFormula>Sheet1!A2 &amp; "/" &amp; "2025"</calculatedColumnFormula>
    </tableColumn>
    <tableColumn id="2" xr3:uid="{00000000-0010-0000-0000-000002000000}" name="File_Number" dataDxfId="20">
      <calculatedColumnFormula>Sheet1!E2</calculatedColumnFormula>
    </tableColumn>
    <tableColumn id="3" xr3:uid="{00000000-0010-0000-0000-000003000000}" name="Name" dataDxfId="19">
      <calculatedColumnFormula>UPPER(Sheet1!B2)</calculatedColumnFormula>
    </tableColumn>
    <tableColumn id="4" xr3:uid="{00000000-0010-0000-0000-000004000000}" name="Sex" dataDxfId="18">
      <calculatedColumnFormula>IF(Sheet1!F2="F","FEMALE","MALE")</calculatedColumnFormula>
    </tableColumn>
    <tableColumn id="5" xr3:uid="{00000000-0010-0000-0000-000005000000}" name="Name_of_the_Father" dataDxfId="17">
      <calculatedColumnFormula>UPPER(Sheet1!G2)</calculatedColumnFormula>
    </tableColumn>
    <tableColumn id="6" xr3:uid="{00000000-0010-0000-0000-000006000000}" name="Name_of_the_Mother" dataDxfId="16">
      <calculatedColumnFormula>UPPER(Sheet1!H2)</calculatedColumnFormula>
    </tableColumn>
    <tableColumn id="7" xr3:uid="{00000000-0010-0000-0000-000007000000}" name="When_and_where_born" dataDxfId="15">
      <calculatedColumnFormula>TEXT(Sheet1!C2,"dd/mm/yyyy") &amp; "," &amp; Sheet1!D2</calculatedColumnFormula>
    </tableColumn>
    <tableColumn id="12" xr3:uid="{00000000-0010-0000-0000-00000C000000}" name="Description_and_residence_of_informant" dataDxfId="14">
      <calculatedColumnFormula>UPPER(Sheet1!J2 &amp; "," &amp; Sheet1!K2 &amp; "," &amp; Sheet1!L2)</calculatedColumnFormula>
    </tableColumn>
    <tableColumn id="8" xr3:uid="{00000000-0010-0000-0000-000008000000}" name="Registration_date" dataDxfId="13">
      <calculatedColumnFormula>Sheet1!I2</calculatedColumnFormula>
    </tableColumn>
    <tableColumn id="9" xr3:uid="{00000000-0010-0000-0000-000009000000}" name="MHA_File_And_date" dataDxfId="12">
      <calculatedColumnFormula>Sheet1!M2 &amp; "," &amp; TEXT(Sheet1!N2,"dd/mm/yy")</calculatedColumnFormula>
    </tableColumn>
    <tableColumn id="10" xr3:uid="{00000000-0010-0000-0000-00000A000000}" name="STATUS" dataDxfId="11"/>
    <tableColumn id="11" xr3:uid="{00000000-0010-0000-0000-00000B000000}" name="Date_Printed" dataDxfId="10"/>
  </tableColumns>
  <tableStyleInfo name="TableStyleMedium1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4" displayName="Table4" ref="M1:N1441" totalsRowShown="0" headerRowDxfId="9" dataDxfId="8">
  <autoFilter ref="M1:N1441" xr:uid="{00000000-0009-0000-0100-000002000000}"/>
  <tableColumns count="2">
    <tableColumn id="2" xr3:uid="{00000000-0010-0000-0100-000002000000}" name="Signing_Authority_Name" dataDxfId="7"/>
    <tableColumn id="1" xr3:uid="{00000000-0010-0000-0100-000001000000}" name="Date_Issued" dataDxfId="6"/>
  </tableColumns>
  <tableStyleInfo name="TableStyleMedium1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5" displayName="Table5" ref="A1:F7" totalsRowShown="0">
  <autoFilter ref="A1:F7" xr:uid="{00000000-0009-0000-0100-000003000000}"/>
  <sortState xmlns:xlrd2="http://schemas.microsoft.com/office/spreadsheetml/2017/richdata2" ref="A2:F7">
    <sortCondition ref="A1:A7"/>
  </sortState>
  <tableColumns count="6">
    <tableColumn id="1" xr3:uid="{00000000-0010-0000-0200-000001000000}" name="Date" dataDxfId="5"/>
    <tableColumn id="2" xr3:uid="{00000000-0010-0000-0200-000002000000}" name="Count" dataDxfId="4"/>
    <tableColumn id="3" xr3:uid="{00000000-0010-0000-0200-000003000000}" name="Manual">
      <calculatedColumnFormula>B2*315</calculatedColumnFormula>
    </tableColumn>
    <tableColumn id="4" xr3:uid="{00000000-0010-0000-0200-000004000000}" name="DocuMate">
      <calculatedColumnFormula>B2*0.1</calculatedColumnFormula>
    </tableColumn>
    <tableColumn id="5" xr3:uid="{00000000-0010-0000-0200-000005000000}" name="Percentage " dataDxfId="3">
      <calculatedColumnFormula>((Table5[[#This Row],[Manual]]-Table5[[#This Row],[DocuMate]])/Table5[[#This Row],[Manual]])*100</calculatedColumnFormula>
    </tableColumn>
    <tableColumn id="7" xr3:uid="{00000000-0010-0000-0200-000007000000}" name="Mach" dataDxfId="2">
      <calculatedColumnFormula>(Table5[[#This Row],[Manual]]/Table5[[#This Row],[DocuMate]])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1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70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268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475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682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28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335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542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987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172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402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847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032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707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914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337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43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404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92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497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357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194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217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564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771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869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424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631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729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054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261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359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936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121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219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65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426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281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41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379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586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793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7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239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446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653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076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283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306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860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958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143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87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513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720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818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350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003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210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308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4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63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370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230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468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675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882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098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328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535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742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165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372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602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025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232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907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36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85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392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697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252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187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12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557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764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971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394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417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624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831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047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254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929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114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321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58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419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274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481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34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579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786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993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341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439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646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069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276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201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506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853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136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713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920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343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203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410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296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56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363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570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223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430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668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875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060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298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528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735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942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158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365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018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225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432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71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802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29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78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385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592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245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452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897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082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05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312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757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964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387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93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617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824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247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107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314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20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267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474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27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681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779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986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334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541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639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171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269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401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846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031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129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706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913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336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42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403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91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289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496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49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356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563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770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193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216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423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868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053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260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630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728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935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358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64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120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218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425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280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40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378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585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792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6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238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445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652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075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282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305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512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957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142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86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817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002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307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3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62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467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097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674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881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979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327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534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741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839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164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371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601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024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231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906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329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35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84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391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251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489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696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349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556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763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186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393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11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209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416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970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046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253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623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830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928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57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113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320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418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273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480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33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340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578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785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992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200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438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645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852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068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275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505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712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135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342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79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202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295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55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362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213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297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420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222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667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874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7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527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734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941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157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364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70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66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373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580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801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017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224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431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233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440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678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885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070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28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300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538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745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952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168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375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81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77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384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591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605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812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028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235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244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689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896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081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302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39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451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549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756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179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386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04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88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311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395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409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963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039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246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92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616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823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255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462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092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106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313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397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15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322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767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974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99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627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834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257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266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473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680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901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117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324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30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26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333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540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778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985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170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638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845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030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268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277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400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484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705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128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335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37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344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691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789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912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996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41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551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649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856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181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279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402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90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204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288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411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509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041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139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346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495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716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923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52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48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355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562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192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206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413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215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422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867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052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299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727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934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357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63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59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366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573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780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217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424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226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433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878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063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270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640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738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945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368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74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377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500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584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805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130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228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435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5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237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791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889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074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444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651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749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281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379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290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304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388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511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609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956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141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239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85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50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595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816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001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248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455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662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085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292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306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2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08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315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522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967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152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96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61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399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827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012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259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466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673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880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096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317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23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19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326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533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978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163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370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740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838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023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72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477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600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684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230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328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337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891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905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989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34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544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751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849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174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381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83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390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404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611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034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241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339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250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488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695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709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916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101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45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10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348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555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762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185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392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406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94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208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415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622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045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252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261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499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927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112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56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359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566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773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196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417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21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219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426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633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980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056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263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840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938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67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272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577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700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123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330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428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32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784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991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067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437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644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851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274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283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490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504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711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949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134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341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78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43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350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588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795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809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201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439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9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210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448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655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862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078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285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294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308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515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722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145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352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89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54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361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599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005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212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459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666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873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089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296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6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221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319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526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156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363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733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940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016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65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372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677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800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223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430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232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884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27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537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744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951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167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374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80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76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383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590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604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811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027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234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243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450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688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895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909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080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301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38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03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310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548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755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962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178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385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91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87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394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408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615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822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038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245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254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699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091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105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312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49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14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461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559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766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189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396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98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321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419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626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973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049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256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833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116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265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472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900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323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25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332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777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984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637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844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267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276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483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690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704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911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127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334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40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36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343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550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788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995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180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401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203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648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855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040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278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287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410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494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508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715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922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138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345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47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354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799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191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205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51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561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659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866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289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412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214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298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421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519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051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149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356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58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726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933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009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62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365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572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216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423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225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432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877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062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737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944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367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73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69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376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583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790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804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227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434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4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236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443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650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888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073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280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303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748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955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140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378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84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387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510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594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608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815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238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247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899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000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084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305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07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454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661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759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966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291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389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1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314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398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521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619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151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249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95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60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826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011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109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258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465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672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095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316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22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18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325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532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977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162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71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837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022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269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476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683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890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904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327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33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29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336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543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988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173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380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82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403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750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848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033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487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610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694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708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915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240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338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347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999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100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184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405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44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554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761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859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391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93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207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414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498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621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044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251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349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260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719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926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111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55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20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358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565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772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195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209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416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218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425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632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055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262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271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937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122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66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31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369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576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783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990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427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229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436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643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066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273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850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948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133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77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282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503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587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710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808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340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438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8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42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447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794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077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200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654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861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959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284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293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307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514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721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144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351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88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53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360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598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819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004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211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220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458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665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872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088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295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309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5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318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525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732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155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362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99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64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371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015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222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469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676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883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099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26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231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329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536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166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373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75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743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950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026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382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603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687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810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908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233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440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242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894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177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300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37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02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547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754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961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384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90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86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393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407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614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821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037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244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253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460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698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919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090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104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311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48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13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320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558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765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972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188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395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409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97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418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625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832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048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255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264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471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115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322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59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24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569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776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983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199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331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429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636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059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266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843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126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275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482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703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910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333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35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342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787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994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400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202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647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854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277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286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493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507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714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921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137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344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50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46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353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560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798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190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204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411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213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420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658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865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050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288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297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518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725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932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148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355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57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364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008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215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422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61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571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669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876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299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9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224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431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529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736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061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159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366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68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943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019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72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375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582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803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226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433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3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235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442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887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072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302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747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954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377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83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79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386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593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607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814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237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246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453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660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898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083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290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304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06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313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758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965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150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388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0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94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397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520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618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825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248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257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464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010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094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108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315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17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671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769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976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399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324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531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629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161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259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836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021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119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903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326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32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81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279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486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693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39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346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553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760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998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183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390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206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413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858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043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620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718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925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250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348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110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208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415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54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270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30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368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575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782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228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435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642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065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272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502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947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132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76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807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437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292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597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52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457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087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294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664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871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969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317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524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731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154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361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98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829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014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221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319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25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74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381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241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479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686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893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339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546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753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176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383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01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406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960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036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243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613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820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918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103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310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408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47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96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263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470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23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330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568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775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982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198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428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635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842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058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265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702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125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332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69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285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492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797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45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352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287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212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657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864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517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724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931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147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354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60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007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214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421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8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67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374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581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234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679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886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2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441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539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746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071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169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376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301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953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029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236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82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606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813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303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89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396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256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463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670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093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16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323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530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768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975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160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398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628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835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258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020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118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325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902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31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80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278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485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692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38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345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552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997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182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205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412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857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042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717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924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347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53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207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414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367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574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227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781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879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434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641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739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064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271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369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501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946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131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229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75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806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436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291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51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389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596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249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456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663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870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086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293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09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316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523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968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153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97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730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828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013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360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220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318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24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73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380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240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478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685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892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00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338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545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752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175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382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405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612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035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242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917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102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46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407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95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262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567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197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22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774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981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057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427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634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841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264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701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939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124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331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68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429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284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491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44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589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796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351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449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656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863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079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286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211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309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516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146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723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930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006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1353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441"/>
  <sheetViews>
    <sheetView topLeftCell="E1" workbookViewId="0">
      <selection activeCell="O1" sqref="O1:O1048576"/>
    </sheetView>
  </sheetViews>
  <sheetFormatPr defaultRowHeight="15.75" x14ac:dyDescent="0.25"/>
  <cols>
    <col min="1" max="1" width="6.42578125" style="29" bestFit="1" customWidth="1"/>
    <col min="2" max="2" width="24.140625" style="1" bestFit="1" customWidth="1"/>
    <col min="3" max="3" width="12.5703125" style="31" bestFit="1" customWidth="1"/>
    <col min="4" max="4" width="30.5703125" style="1" bestFit="1" customWidth="1"/>
    <col min="5" max="5" width="16.85546875" style="1" bestFit="1" customWidth="1"/>
    <col min="6" max="6" width="3.140625" style="1" bestFit="1" customWidth="1"/>
    <col min="7" max="7" width="29.28515625" style="1" customWidth="1"/>
    <col min="8" max="8" width="21.5703125" style="1" bestFit="1" customWidth="1"/>
    <col min="9" max="9" width="12.140625" style="31" bestFit="1" customWidth="1"/>
    <col min="10" max="10" width="53.28515625" style="1" bestFit="1" customWidth="1"/>
    <col min="11" max="11" width="52.85546875" style="1" bestFit="1" customWidth="1"/>
    <col min="12" max="12" width="34.140625" style="1" bestFit="1" customWidth="1"/>
    <col min="13" max="13" width="16.140625" style="31" bestFit="1" customWidth="1"/>
    <col min="14" max="14" width="11.85546875" style="38" bestFit="1" customWidth="1"/>
  </cols>
  <sheetData>
    <row r="1" spans="1:14" ht="31.5" customHeight="1" x14ac:dyDescent="0.25">
      <c r="A1" s="32" t="s">
        <v>18</v>
      </c>
      <c r="B1" s="9" t="s">
        <v>2</v>
      </c>
      <c r="C1" s="33" t="s">
        <v>19</v>
      </c>
      <c r="D1" s="9" t="s">
        <v>20</v>
      </c>
      <c r="E1" s="9" t="s">
        <v>21</v>
      </c>
      <c r="F1" s="9" t="s">
        <v>3</v>
      </c>
      <c r="G1" s="9" t="s">
        <v>22</v>
      </c>
      <c r="H1" s="9" t="s">
        <v>23</v>
      </c>
      <c r="I1" s="33" t="s">
        <v>24</v>
      </c>
      <c r="J1" s="1" t="s">
        <v>25</v>
      </c>
      <c r="K1" s="1" t="s">
        <v>26</v>
      </c>
      <c r="L1" s="1" t="s">
        <v>27</v>
      </c>
      <c r="M1" s="31" t="s">
        <v>28</v>
      </c>
      <c r="N1" s="38" t="s">
        <v>29</v>
      </c>
    </row>
    <row r="2" spans="1:14" ht="30" customHeight="1" x14ac:dyDescent="0.25">
      <c r="A2" s="29">
        <v>1</v>
      </c>
      <c r="B2" s="1" t="s">
        <v>30</v>
      </c>
      <c r="C2" s="34">
        <v>45953</v>
      </c>
      <c r="D2" s="12" t="s">
        <v>31</v>
      </c>
      <c r="E2" s="13" t="s">
        <v>32</v>
      </c>
      <c r="F2" s="14" t="s">
        <v>33</v>
      </c>
      <c r="G2" s="12" t="s">
        <v>34</v>
      </c>
      <c r="H2" s="12" t="s">
        <v>35</v>
      </c>
      <c r="I2" s="34">
        <v>45959</v>
      </c>
      <c r="J2" s="12" t="s">
        <v>36</v>
      </c>
      <c r="K2" s="12" t="s">
        <v>37</v>
      </c>
      <c r="L2" s="12" t="s">
        <v>38</v>
      </c>
      <c r="M2" s="14" t="s">
        <v>39</v>
      </c>
      <c r="N2" s="19">
        <v>45845</v>
      </c>
    </row>
    <row r="3" spans="1:14" ht="30" customHeight="1" x14ac:dyDescent="0.25">
      <c r="A3" s="29">
        <v>2</v>
      </c>
      <c r="B3" s="1" t="s">
        <v>40</v>
      </c>
      <c r="C3" s="35">
        <v>45774</v>
      </c>
      <c r="D3" s="18" t="s">
        <v>41</v>
      </c>
      <c r="E3" s="13" t="s">
        <v>42</v>
      </c>
      <c r="F3" s="18" t="s">
        <v>33</v>
      </c>
      <c r="G3" s="17" t="s">
        <v>43</v>
      </c>
      <c r="H3" s="17" t="s">
        <v>44</v>
      </c>
      <c r="I3" s="35">
        <v>45805</v>
      </c>
      <c r="J3" s="17" t="s">
        <v>45</v>
      </c>
      <c r="K3" s="17" t="s">
        <v>37</v>
      </c>
      <c r="L3" s="17" t="s">
        <v>46</v>
      </c>
      <c r="M3" s="18" t="s">
        <v>47</v>
      </c>
      <c r="N3" s="42">
        <v>45898</v>
      </c>
    </row>
    <row r="4" spans="1:14" x14ac:dyDescent="0.25">
      <c r="A4" s="29">
        <v>3</v>
      </c>
      <c r="B4" s="1" t="s">
        <v>48</v>
      </c>
      <c r="C4" s="34">
        <v>45936</v>
      </c>
      <c r="D4" s="12" t="s">
        <v>49</v>
      </c>
      <c r="E4" s="13" t="s">
        <v>50</v>
      </c>
      <c r="F4" s="14" t="s">
        <v>33</v>
      </c>
      <c r="G4" s="12" t="s">
        <v>34</v>
      </c>
      <c r="H4" s="12" t="s">
        <v>51</v>
      </c>
      <c r="I4" s="34">
        <v>45992</v>
      </c>
      <c r="J4" s="12" t="s">
        <v>52</v>
      </c>
      <c r="K4" s="12" t="s">
        <v>37</v>
      </c>
      <c r="L4" s="12" t="s">
        <v>53</v>
      </c>
      <c r="M4" s="14" t="s">
        <v>54</v>
      </c>
      <c r="N4" s="19">
        <v>45877</v>
      </c>
    </row>
    <row r="5" spans="1:14" ht="30" customHeight="1" x14ac:dyDescent="0.25">
      <c r="A5" s="29">
        <v>4</v>
      </c>
      <c r="B5" s="1" t="s">
        <v>55</v>
      </c>
      <c r="C5" s="34">
        <v>45743</v>
      </c>
      <c r="D5" s="12" t="s">
        <v>56</v>
      </c>
      <c r="E5" s="13" t="s">
        <v>57</v>
      </c>
      <c r="F5" s="14" t="s">
        <v>33</v>
      </c>
      <c r="G5" s="12" t="s">
        <v>58</v>
      </c>
      <c r="H5" s="12" t="s">
        <v>59</v>
      </c>
      <c r="I5" s="34">
        <v>45754</v>
      </c>
      <c r="J5" s="12" t="s">
        <v>60</v>
      </c>
      <c r="K5" s="12" t="s">
        <v>37</v>
      </c>
      <c r="L5" s="12" t="s">
        <v>61</v>
      </c>
      <c r="M5" s="14" t="s">
        <v>62</v>
      </c>
      <c r="N5" s="19">
        <v>45872</v>
      </c>
    </row>
    <row r="6" spans="1:14" x14ac:dyDescent="0.25">
      <c r="A6" s="29">
        <v>5</v>
      </c>
      <c r="B6" s="1" t="s">
        <v>63</v>
      </c>
      <c r="C6" s="34">
        <v>45950</v>
      </c>
      <c r="D6" s="12" t="s">
        <v>64</v>
      </c>
      <c r="E6" s="13" t="s">
        <v>65</v>
      </c>
      <c r="F6" s="14" t="s">
        <v>33</v>
      </c>
      <c r="G6" s="12" t="s">
        <v>66</v>
      </c>
      <c r="H6" s="12" t="s">
        <v>67</v>
      </c>
      <c r="I6" s="34">
        <v>45969</v>
      </c>
      <c r="J6" s="12" t="s">
        <v>68</v>
      </c>
      <c r="K6" s="12" t="s">
        <v>37</v>
      </c>
      <c r="L6" s="12" t="s">
        <v>69</v>
      </c>
      <c r="M6" s="14" t="s">
        <v>70</v>
      </c>
      <c r="N6" s="19">
        <v>45840</v>
      </c>
    </row>
    <row r="7" spans="1:14" ht="30" customHeight="1" x14ac:dyDescent="0.25">
      <c r="A7" s="29">
        <v>6</v>
      </c>
      <c r="B7" s="1" t="s">
        <v>71</v>
      </c>
      <c r="C7" s="34">
        <v>45659</v>
      </c>
      <c r="D7" s="12" t="s">
        <v>72</v>
      </c>
      <c r="E7" s="13" t="s">
        <v>73</v>
      </c>
      <c r="F7" s="14" t="s">
        <v>33</v>
      </c>
      <c r="G7" s="12" t="s">
        <v>74</v>
      </c>
      <c r="H7" s="12" t="s">
        <v>44</v>
      </c>
      <c r="I7" s="34">
        <v>45686</v>
      </c>
      <c r="J7" s="12" t="s">
        <v>75</v>
      </c>
      <c r="K7" s="12" t="s">
        <v>37</v>
      </c>
      <c r="L7" s="12" t="s">
        <v>76</v>
      </c>
      <c r="M7" s="14" t="s">
        <v>77</v>
      </c>
      <c r="N7" s="19">
        <v>45858</v>
      </c>
    </row>
    <row r="8" spans="1:14" x14ac:dyDescent="0.25">
      <c r="A8" s="29">
        <v>7</v>
      </c>
      <c r="B8" s="1" t="s">
        <v>78</v>
      </c>
      <c r="C8" s="34">
        <v>45841</v>
      </c>
      <c r="D8" s="12" t="s">
        <v>79</v>
      </c>
      <c r="E8" s="13" t="s">
        <v>80</v>
      </c>
      <c r="F8" s="14" t="s">
        <v>33</v>
      </c>
      <c r="G8" s="12" t="s">
        <v>81</v>
      </c>
      <c r="H8" s="12" t="s">
        <v>82</v>
      </c>
      <c r="I8" s="34">
        <v>45924</v>
      </c>
      <c r="J8" s="12" t="s">
        <v>83</v>
      </c>
      <c r="K8" s="14" t="s">
        <v>37</v>
      </c>
      <c r="L8" s="14" t="s">
        <v>84</v>
      </c>
      <c r="M8" s="14" t="s">
        <v>85</v>
      </c>
      <c r="N8" s="19">
        <v>45859</v>
      </c>
    </row>
    <row r="9" spans="1:14" ht="30" customHeight="1" x14ac:dyDescent="0.25">
      <c r="A9" s="29">
        <v>8</v>
      </c>
      <c r="B9" s="1" t="s">
        <v>86</v>
      </c>
      <c r="C9" s="34">
        <v>45835</v>
      </c>
      <c r="D9" s="12" t="s">
        <v>87</v>
      </c>
      <c r="E9" s="13" t="s">
        <v>88</v>
      </c>
      <c r="F9" s="14" t="s">
        <v>89</v>
      </c>
      <c r="G9" s="12" t="s">
        <v>90</v>
      </c>
      <c r="H9" s="12" t="s">
        <v>91</v>
      </c>
      <c r="I9" s="34">
        <v>45893</v>
      </c>
      <c r="J9" s="12" t="s">
        <v>92</v>
      </c>
      <c r="K9" s="14" t="s">
        <v>37</v>
      </c>
      <c r="L9" s="14" t="s">
        <v>93</v>
      </c>
      <c r="M9" s="14" t="s">
        <v>94</v>
      </c>
      <c r="N9" s="19">
        <v>45846</v>
      </c>
    </row>
    <row r="10" spans="1:14" ht="30" customHeight="1" x14ac:dyDescent="0.25">
      <c r="A10" s="29">
        <v>9</v>
      </c>
      <c r="B10" s="1" t="s">
        <v>95</v>
      </c>
      <c r="C10" s="34">
        <v>45926</v>
      </c>
      <c r="D10" s="12" t="s">
        <v>96</v>
      </c>
      <c r="E10" s="13" t="s">
        <v>97</v>
      </c>
      <c r="F10" s="14" t="s">
        <v>89</v>
      </c>
      <c r="G10" s="12" t="s">
        <v>98</v>
      </c>
      <c r="H10" s="12" t="s">
        <v>99</v>
      </c>
      <c r="I10" s="34">
        <v>45969</v>
      </c>
      <c r="J10" s="12" t="s">
        <v>100</v>
      </c>
      <c r="K10" s="14" t="s">
        <v>37</v>
      </c>
      <c r="L10" s="14" t="s">
        <v>101</v>
      </c>
      <c r="M10" s="14" t="s">
        <v>102</v>
      </c>
      <c r="N10" s="19">
        <v>45896</v>
      </c>
    </row>
    <row r="11" spans="1:14" x14ac:dyDescent="0.25">
      <c r="A11" s="29">
        <v>10</v>
      </c>
      <c r="B11" s="1" t="s">
        <v>103</v>
      </c>
      <c r="C11" s="34">
        <v>45663</v>
      </c>
      <c r="D11" s="12" t="s">
        <v>56</v>
      </c>
      <c r="E11" s="13" t="s">
        <v>104</v>
      </c>
      <c r="F11" s="14" t="s">
        <v>33</v>
      </c>
      <c r="G11" s="12" t="s">
        <v>105</v>
      </c>
      <c r="H11" s="12" t="s">
        <v>106</v>
      </c>
      <c r="I11" s="34">
        <v>45730</v>
      </c>
      <c r="J11" s="12" t="s">
        <v>107</v>
      </c>
      <c r="K11" s="14" t="s">
        <v>37</v>
      </c>
      <c r="L11" s="14" t="s">
        <v>108</v>
      </c>
      <c r="M11" s="14" t="s">
        <v>109</v>
      </c>
      <c r="N11" s="19">
        <v>45848</v>
      </c>
    </row>
    <row r="12" spans="1:14" x14ac:dyDescent="0.25">
      <c r="A12" s="29">
        <v>11</v>
      </c>
      <c r="B12" s="1" t="s">
        <v>110</v>
      </c>
      <c r="C12" s="34">
        <v>45706</v>
      </c>
      <c r="D12" s="12" t="s">
        <v>111</v>
      </c>
      <c r="E12" s="13" t="s">
        <v>112</v>
      </c>
      <c r="F12" s="14" t="s">
        <v>89</v>
      </c>
      <c r="G12" s="12" t="s">
        <v>113</v>
      </c>
      <c r="H12" s="12" t="s">
        <v>35</v>
      </c>
      <c r="I12" s="34">
        <v>45815</v>
      </c>
      <c r="J12" s="14" t="s">
        <v>114</v>
      </c>
      <c r="K12" s="14" t="s">
        <v>37</v>
      </c>
      <c r="L12" s="14" t="s">
        <v>115</v>
      </c>
      <c r="M12" s="14" t="s">
        <v>116</v>
      </c>
      <c r="N12" s="19">
        <v>45884</v>
      </c>
    </row>
    <row r="13" spans="1:14" x14ac:dyDescent="0.25">
      <c r="A13" s="29">
        <v>12</v>
      </c>
      <c r="B13" s="1" t="s">
        <v>117</v>
      </c>
      <c r="C13" s="34">
        <v>45854</v>
      </c>
      <c r="D13" s="12" t="s">
        <v>118</v>
      </c>
      <c r="E13" s="13" t="s">
        <v>119</v>
      </c>
      <c r="F13" s="14" t="s">
        <v>33</v>
      </c>
      <c r="G13" s="12" t="s">
        <v>120</v>
      </c>
      <c r="H13" s="12" t="s">
        <v>121</v>
      </c>
      <c r="I13" s="34">
        <v>45971</v>
      </c>
      <c r="J13" s="12" t="s">
        <v>122</v>
      </c>
      <c r="K13" s="14" t="s">
        <v>37</v>
      </c>
      <c r="L13" s="14" t="s">
        <v>123</v>
      </c>
      <c r="M13" s="14" t="s">
        <v>124</v>
      </c>
      <c r="N13" s="19">
        <v>45872</v>
      </c>
    </row>
    <row r="14" spans="1:14" x14ac:dyDescent="0.25">
      <c r="A14" s="29">
        <v>13</v>
      </c>
      <c r="B14" s="1" t="s">
        <v>125</v>
      </c>
      <c r="C14" s="34">
        <v>45946</v>
      </c>
      <c r="D14" s="12" t="s">
        <v>79</v>
      </c>
      <c r="E14" s="13" t="s">
        <v>126</v>
      </c>
      <c r="F14" s="14" t="s">
        <v>33</v>
      </c>
      <c r="G14" s="12" t="s">
        <v>43</v>
      </c>
      <c r="H14" s="12" t="s">
        <v>127</v>
      </c>
      <c r="I14" s="34">
        <v>46009</v>
      </c>
      <c r="J14" s="12" t="s">
        <v>128</v>
      </c>
      <c r="K14" s="14" t="s">
        <v>37</v>
      </c>
      <c r="L14" s="14" t="s">
        <v>129</v>
      </c>
      <c r="M14" s="14" t="s">
        <v>130</v>
      </c>
      <c r="N14" s="19">
        <v>45841</v>
      </c>
    </row>
    <row r="15" spans="1:14" x14ac:dyDescent="0.25">
      <c r="A15" s="29">
        <v>14</v>
      </c>
      <c r="B15" s="1" t="s">
        <v>131</v>
      </c>
      <c r="C15" s="34">
        <v>45940</v>
      </c>
      <c r="D15" s="12" t="s">
        <v>132</v>
      </c>
      <c r="E15" s="13" t="s">
        <v>133</v>
      </c>
      <c r="F15" s="14" t="s">
        <v>89</v>
      </c>
      <c r="G15" s="12" t="s">
        <v>34</v>
      </c>
      <c r="H15" s="12" t="s">
        <v>134</v>
      </c>
      <c r="I15" s="19">
        <v>46053</v>
      </c>
      <c r="J15" s="14" t="s">
        <v>135</v>
      </c>
      <c r="K15" s="14" t="s">
        <v>37</v>
      </c>
      <c r="L15" s="14" t="s">
        <v>136</v>
      </c>
      <c r="M15" s="14" t="s">
        <v>137</v>
      </c>
      <c r="N15" s="19">
        <v>45845</v>
      </c>
    </row>
    <row r="16" spans="1:14" x14ac:dyDescent="0.25">
      <c r="A16" s="29">
        <v>15</v>
      </c>
      <c r="B16" s="1" t="s">
        <v>138</v>
      </c>
      <c r="C16" s="34">
        <v>45698</v>
      </c>
      <c r="D16" s="12" t="s">
        <v>139</v>
      </c>
      <c r="E16" s="13" t="s">
        <v>140</v>
      </c>
      <c r="F16" s="14" t="s">
        <v>89</v>
      </c>
      <c r="G16" s="12" t="s">
        <v>141</v>
      </c>
      <c r="H16" s="12" t="s">
        <v>142</v>
      </c>
      <c r="I16" s="34">
        <v>45746</v>
      </c>
      <c r="J16" s="14" t="s">
        <v>143</v>
      </c>
      <c r="K16" s="14" t="s">
        <v>37</v>
      </c>
      <c r="L16" s="14" t="s">
        <v>144</v>
      </c>
      <c r="M16" s="14" t="s">
        <v>145</v>
      </c>
      <c r="N16" s="19">
        <v>45876</v>
      </c>
    </row>
    <row r="17" spans="1:14" x14ac:dyDescent="0.25">
      <c r="A17" s="29">
        <v>16</v>
      </c>
      <c r="B17" s="1" t="s">
        <v>146</v>
      </c>
      <c r="C17" s="34">
        <v>45786</v>
      </c>
      <c r="D17" s="12" t="s">
        <v>147</v>
      </c>
      <c r="E17" s="13" t="s">
        <v>148</v>
      </c>
      <c r="F17" s="14" t="s">
        <v>33</v>
      </c>
      <c r="G17" s="12" t="s">
        <v>34</v>
      </c>
      <c r="H17" s="12" t="s">
        <v>149</v>
      </c>
      <c r="I17" s="34">
        <v>45815</v>
      </c>
      <c r="J17" s="14" t="s">
        <v>150</v>
      </c>
      <c r="K17" s="14" t="s">
        <v>37</v>
      </c>
      <c r="L17" s="14" t="s">
        <v>151</v>
      </c>
      <c r="M17" s="14" t="s">
        <v>152</v>
      </c>
      <c r="N17" s="19">
        <v>45890</v>
      </c>
    </row>
    <row r="18" spans="1:14" x14ac:dyDescent="0.25">
      <c r="A18" s="29">
        <v>17</v>
      </c>
      <c r="B18" s="1" t="s">
        <v>153</v>
      </c>
      <c r="C18" s="34">
        <v>45828</v>
      </c>
      <c r="D18" s="12" t="s">
        <v>154</v>
      </c>
      <c r="E18" s="13" t="s">
        <v>155</v>
      </c>
      <c r="F18" s="14" t="s">
        <v>33</v>
      </c>
      <c r="G18" s="12" t="s">
        <v>156</v>
      </c>
      <c r="H18" s="12" t="s">
        <v>157</v>
      </c>
      <c r="I18" s="34">
        <v>45852</v>
      </c>
      <c r="J18" s="14" t="s">
        <v>158</v>
      </c>
      <c r="K18" s="14" t="s">
        <v>37</v>
      </c>
      <c r="L18" s="14" t="s">
        <v>159</v>
      </c>
      <c r="M18" s="14" t="s">
        <v>160</v>
      </c>
      <c r="N18" s="19">
        <v>45898</v>
      </c>
    </row>
    <row r="19" spans="1:14" x14ac:dyDescent="0.25">
      <c r="A19" s="29">
        <v>18</v>
      </c>
      <c r="B19" s="1" t="s">
        <v>161</v>
      </c>
      <c r="C19" s="34">
        <v>45699</v>
      </c>
      <c r="D19" s="12" t="s">
        <v>162</v>
      </c>
      <c r="E19" s="13" t="s">
        <v>163</v>
      </c>
      <c r="F19" s="14" t="s">
        <v>33</v>
      </c>
      <c r="G19" s="12" t="s">
        <v>164</v>
      </c>
      <c r="H19" s="12" t="s">
        <v>165</v>
      </c>
      <c r="I19" s="34">
        <v>45809</v>
      </c>
      <c r="J19" s="14" t="s">
        <v>166</v>
      </c>
      <c r="K19" s="14" t="s">
        <v>37</v>
      </c>
      <c r="L19" s="14" t="s">
        <v>167</v>
      </c>
      <c r="M19" s="14" t="s">
        <v>168</v>
      </c>
      <c r="N19" s="19">
        <v>45866</v>
      </c>
    </row>
    <row r="20" spans="1:14" ht="30" customHeight="1" x14ac:dyDescent="0.25">
      <c r="A20" s="29">
        <v>19</v>
      </c>
      <c r="B20" s="1" t="s">
        <v>169</v>
      </c>
      <c r="C20" s="34">
        <v>45703</v>
      </c>
      <c r="D20" s="12" t="s">
        <v>170</v>
      </c>
      <c r="E20" s="13" t="s">
        <v>171</v>
      </c>
      <c r="F20" s="14" t="s">
        <v>33</v>
      </c>
      <c r="G20" s="12" t="s">
        <v>172</v>
      </c>
      <c r="H20" s="12" t="s">
        <v>173</v>
      </c>
      <c r="I20" s="34">
        <v>45820</v>
      </c>
      <c r="J20" s="14" t="s">
        <v>174</v>
      </c>
      <c r="K20" s="14" t="s">
        <v>37</v>
      </c>
      <c r="L20" s="14" t="s">
        <v>175</v>
      </c>
      <c r="M20" s="14" t="s">
        <v>176</v>
      </c>
      <c r="N20" s="19">
        <v>45897</v>
      </c>
    </row>
    <row r="21" spans="1:14" x14ac:dyDescent="0.25">
      <c r="A21" s="29">
        <v>20</v>
      </c>
      <c r="B21" s="1" t="s">
        <v>177</v>
      </c>
      <c r="C21" s="34">
        <v>45737</v>
      </c>
      <c r="D21" s="12" t="s">
        <v>96</v>
      </c>
      <c r="E21" s="13" t="s">
        <v>178</v>
      </c>
      <c r="F21" s="14" t="s">
        <v>89</v>
      </c>
      <c r="G21" s="12" t="s">
        <v>179</v>
      </c>
      <c r="H21" s="12" t="s">
        <v>180</v>
      </c>
      <c r="I21" s="34">
        <v>45800</v>
      </c>
      <c r="J21" s="14" t="s">
        <v>181</v>
      </c>
      <c r="K21" s="14" t="s">
        <v>37</v>
      </c>
      <c r="L21" s="14" t="s">
        <v>182</v>
      </c>
      <c r="M21" s="14" t="s">
        <v>183</v>
      </c>
      <c r="N21" s="19">
        <v>45885</v>
      </c>
    </row>
    <row r="22" spans="1:14" x14ac:dyDescent="0.25">
      <c r="A22" s="29">
        <v>21</v>
      </c>
      <c r="B22" s="1" t="s">
        <v>184</v>
      </c>
      <c r="C22" s="34">
        <v>45955</v>
      </c>
      <c r="D22" s="12" t="s">
        <v>185</v>
      </c>
      <c r="E22" s="13" t="s">
        <v>186</v>
      </c>
      <c r="F22" s="14" t="s">
        <v>89</v>
      </c>
      <c r="G22" s="12" t="s">
        <v>187</v>
      </c>
      <c r="H22" s="12" t="s">
        <v>188</v>
      </c>
      <c r="I22" s="34">
        <v>45983</v>
      </c>
      <c r="J22" s="14" t="s">
        <v>189</v>
      </c>
      <c r="K22" s="14" t="s">
        <v>37</v>
      </c>
      <c r="L22" s="14" t="s">
        <v>190</v>
      </c>
      <c r="M22" s="14" t="s">
        <v>191</v>
      </c>
      <c r="N22" s="19">
        <v>45868</v>
      </c>
    </row>
    <row r="23" spans="1:14" x14ac:dyDescent="0.25">
      <c r="A23" s="29">
        <v>22</v>
      </c>
      <c r="B23" s="1" t="s">
        <v>192</v>
      </c>
      <c r="C23" s="34">
        <v>45826</v>
      </c>
      <c r="D23" s="12" t="s">
        <v>193</v>
      </c>
      <c r="E23" s="13" t="s">
        <v>194</v>
      </c>
      <c r="F23" s="14" t="s">
        <v>89</v>
      </c>
      <c r="G23" s="12" t="s">
        <v>195</v>
      </c>
      <c r="H23" s="12" t="s">
        <v>196</v>
      </c>
      <c r="I23" s="34">
        <v>45840</v>
      </c>
      <c r="J23" s="14" t="s">
        <v>197</v>
      </c>
      <c r="K23" s="14" t="s">
        <v>37</v>
      </c>
      <c r="L23" s="14" t="s">
        <v>198</v>
      </c>
      <c r="M23" s="14" t="s">
        <v>199</v>
      </c>
      <c r="N23" s="19">
        <v>45858</v>
      </c>
    </row>
    <row r="24" spans="1:14" ht="30" customHeight="1" x14ac:dyDescent="0.25">
      <c r="A24" s="29">
        <v>23</v>
      </c>
      <c r="B24" s="1" t="s">
        <v>48</v>
      </c>
      <c r="C24" s="34">
        <v>45782</v>
      </c>
      <c r="D24" s="12" t="s">
        <v>132</v>
      </c>
      <c r="E24" s="13" t="s">
        <v>200</v>
      </c>
      <c r="F24" s="14" t="s">
        <v>33</v>
      </c>
      <c r="G24" s="12" t="s">
        <v>201</v>
      </c>
      <c r="H24" s="12" t="s">
        <v>202</v>
      </c>
      <c r="I24" s="34">
        <v>45787</v>
      </c>
      <c r="J24" s="14" t="s">
        <v>92</v>
      </c>
      <c r="K24" s="14" t="s">
        <v>37</v>
      </c>
      <c r="L24" s="14" t="s">
        <v>203</v>
      </c>
      <c r="M24" s="14" t="s">
        <v>204</v>
      </c>
      <c r="N24" s="19">
        <v>45852</v>
      </c>
    </row>
    <row r="25" spans="1:14" x14ac:dyDescent="0.25">
      <c r="A25" s="29">
        <v>24</v>
      </c>
      <c r="B25" s="1" t="s">
        <v>205</v>
      </c>
      <c r="C25" s="34">
        <v>45754</v>
      </c>
      <c r="D25" s="12" t="s">
        <v>206</v>
      </c>
      <c r="E25" s="13" t="s">
        <v>207</v>
      </c>
      <c r="F25" s="14" t="s">
        <v>89</v>
      </c>
      <c r="G25" s="12" t="s">
        <v>208</v>
      </c>
      <c r="H25" s="12" t="s">
        <v>196</v>
      </c>
      <c r="I25" s="34">
        <v>45765</v>
      </c>
      <c r="J25" s="14" t="s">
        <v>209</v>
      </c>
      <c r="K25" s="14" t="s">
        <v>37</v>
      </c>
      <c r="L25" s="14" t="s">
        <v>210</v>
      </c>
      <c r="M25" s="14" t="s">
        <v>211</v>
      </c>
      <c r="N25" s="19">
        <v>45855</v>
      </c>
    </row>
    <row r="26" spans="1:14" ht="30" customHeight="1" x14ac:dyDescent="0.25">
      <c r="A26" s="29">
        <v>25</v>
      </c>
      <c r="B26" s="1" t="s">
        <v>212</v>
      </c>
      <c r="C26" s="36">
        <v>45951</v>
      </c>
      <c r="D26" s="12" t="s">
        <v>185</v>
      </c>
      <c r="E26" s="13" t="s">
        <v>213</v>
      </c>
      <c r="F26" s="1" t="s">
        <v>89</v>
      </c>
      <c r="G26" s="3" t="s">
        <v>172</v>
      </c>
      <c r="H26" s="3" t="s">
        <v>173</v>
      </c>
      <c r="I26" s="36">
        <v>46031</v>
      </c>
      <c r="J26" s="1" t="s">
        <v>214</v>
      </c>
      <c r="K26" s="1" t="s">
        <v>37</v>
      </c>
      <c r="L26" s="1" t="s">
        <v>215</v>
      </c>
      <c r="M26" s="14" t="s">
        <v>216</v>
      </c>
      <c r="N26" s="19">
        <v>45880</v>
      </c>
    </row>
    <row r="27" spans="1:14" x14ac:dyDescent="0.25">
      <c r="A27" s="29">
        <v>26</v>
      </c>
      <c r="B27" s="1" t="s">
        <v>217</v>
      </c>
      <c r="C27" s="36">
        <v>45804</v>
      </c>
      <c r="D27" s="12" t="s">
        <v>218</v>
      </c>
      <c r="E27" s="13" t="s">
        <v>219</v>
      </c>
      <c r="F27" s="1" t="s">
        <v>89</v>
      </c>
      <c r="G27" s="3" t="s">
        <v>220</v>
      </c>
      <c r="H27" s="3" t="s">
        <v>67</v>
      </c>
      <c r="I27" s="36">
        <v>45918</v>
      </c>
      <c r="J27" s="1" t="s">
        <v>221</v>
      </c>
      <c r="K27" s="1" t="s">
        <v>37</v>
      </c>
      <c r="L27" s="1" t="s">
        <v>222</v>
      </c>
      <c r="M27" s="14" t="s">
        <v>223</v>
      </c>
      <c r="N27" s="19">
        <v>45859</v>
      </c>
    </row>
    <row r="28" spans="1:14" x14ac:dyDescent="0.25">
      <c r="A28" s="29">
        <v>27</v>
      </c>
      <c r="B28" s="1" t="s">
        <v>224</v>
      </c>
      <c r="C28" s="36">
        <v>45908</v>
      </c>
      <c r="D28" s="12" t="s">
        <v>225</v>
      </c>
      <c r="E28" s="13" t="s">
        <v>226</v>
      </c>
      <c r="F28" s="1" t="s">
        <v>33</v>
      </c>
      <c r="G28" s="3" t="s">
        <v>227</v>
      </c>
      <c r="H28" s="3" t="s">
        <v>228</v>
      </c>
      <c r="I28" s="36">
        <v>45915</v>
      </c>
      <c r="J28" s="1" t="s">
        <v>229</v>
      </c>
      <c r="K28" s="1" t="s">
        <v>37</v>
      </c>
      <c r="L28" s="1" t="s">
        <v>230</v>
      </c>
      <c r="M28" s="14" t="s">
        <v>231</v>
      </c>
      <c r="N28" s="19">
        <v>45842</v>
      </c>
    </row>
    <row r="29" spans="1:14" x14ac:dyDescent="0.25">
      <c r="A29" s="29">
        <v>28</v>
      </c>
      <c r="B29" s="1" t="s">
        <v>232</v>
      </c>
      <c r="C29" s="36">
        <v>45692</v>
      </c>
      <c r="D29" s="12" t="s">
        <v>233</v>
      </c>
      <c r="E29" s="13" t="s">
        <v>234</v>
      </c>
      <c r="F29" s="1" t="s">
        <v>33</v>
      </c>
      <c r="G29" s="3" t="s">
        <v>156</v>
      </c>
      <c r="H29" s="3" t="s">
        <v>235</v>
      </c>
      <c r="I29" s="36">
        <v>45717</v>
      </c>
      <c r="J29" s="1" t="s">
        <v>236</v>
      </c>
      <c r="K29" s="1" t="s">
        <v>37</v>
      </c>
      <c r="L29" s="1" t="s">
        <v>237</v>
      </c>
      <c r="M29" s="14" t="s">
        <v>238</v>
      </c>
      <c r="N29" s="19">
        <v>45886</v>
      </c>
    </row>
    <row r="30" spans="1:14" x14ac:dyDescent="0.25">
      <c r="A30" s="29">
        <v>29</v>
      </c>
      <c r="B30" s="1" t="s">
        <v>239</v>
      </c>
      <c r="C30" s="36">
        <v>45695</v>
      </c>
      <c r="D30" s="12" t="s">
        <v>240</v>
      </c>
      <c r="E30" s="13" t="s">
        <v>241</v>
      </c>
      <c r="F30" s="1" t="s">
        <v>89</v>
      </c>
      <c r="G30" s="3" t="s">
        <v>105</v>
      </c>
      <c r="H30" s="3" t="s">
        <v>242</v>
      </c>
      <c r="I30" s="36">
        <v>45747</v>
      </c>
      <c r="J30" s="1" t="s">
        <v>243</v>
      </c>
      <c r="K30" s="1" t="s">
        <v>37</v>
      </c>
      <c r="L30" s="1" t="s">
        <v>244</v>
      </c>
      <c r="M30" s="14" t="s">
        <v>245</v>
      </c>
      <c r="N30" s="19">
        <v>45892</v>
      </c>
    </row>
    <row r="31" spans="1:14" x14ac:dyDescent="0.25">
      <c r="A31" s="29">
        <v>30</v>
      </c>
      <c r="B31" s="1" t="s">
        <v>48</v>
      </c>
      <c r="C31" s="36">
        <v>45833</v>
      </c>
      <c r="D31" s="12" t="s">
        <v>246</v>
      </c>
      <c r="E31" s="13" t="s">
        <v>247</v>
      </c>
      <c r="F31" s="1" t="s">
        <v>33</v>
      </c>
      <c r="G31" s="3" t="s">
        <v>248</v>
      </c>
      <c r="H31" s="3" t="s">
        <v>134</v>
      </c>
      <c r="I31" s="36">
        <v>45856</v>
      </c>
      <c r="J31" s="1" t="s">
        <v>249</v>
      </c>
      <c r="K31" s="1" t="s">
        <v>37</v>
      </c>
      <c r="L31" s="1" t="s">
        <v>250</v>
      </c>
      <c r="M31" s="14" t="s">
        <v>251</v>
      </c>
      <c r="N31" s="19">
        <v>45893</v>
      </c>
    </row>
    <row r="32" spans="1:14" x14ac:dyDescent="0.25">
      <c r="A32" s="29">
        <v>31</v>
      </c>
      <c r="B32" s="1" t="s">
        <v>252</v>
      </c>
      <c r="C32" s="36">
        <v>45812</v>
      </c>
      <c r="D32" s="1" t="s">
        <v>253</v>
      </c>
      <c r="E32" s="13" t="s">
        <v>254</v>
      </c>
      <c r="F32" s="1" t="s">
        <v>33</v>
      </c>
      <c r="G32" s="3" t="s">
        <v>255</v>
      </c>
      <c r="H32" s="3" t="s">
        <v>256</v>
      </c>
      <c r="I32" s="36">
        <v>45931</v>
      </c>
      <c r="J32" s="1" t="s">
        <v>257</v>
      </c>
      <c r="K32" s="1" t="s">
        <v>37</v>
      </c>
      <c r="L32" s="1" t="s">
        <v>258</v>
      </c>
      <c r="M32" s="14" t="s">
        <v>259</v>
      </c>
      <c r="N32" s="19">
        <v>45877</v>
      </c>
    </row>
    <row r="33" spans="1:14" ht="30" customHeight="1" x14ac:dyDescent="0.25">
      <c r="A33" s="29">
        <v>32</v>
      </c>
      <c r="B33" s="1" t="s">
        <v>110</v>
      </c>
      <c r="C33" s="36">
        <v>45833</v>
      </c>
      <c r="D33" s="12" t="s">
        <v>260</v>
      </c>
      <c r="E33" s="13" t="s">
        <v>261</v>
      </c>
      <c r="F33" s="1" t="s">
        <v>89</v>
      </c>
      <c r="G33" s="3" t="s">
        <v>113</v>
      </c>
      <c r="H33" s="3" t="s">
        <v>262</v>
      </c>
      <c r="I33" s="36">
        <v>45935</v>
      </c>
      <c r="J33" s="1" t="s">
        <v>263</v>
      </c>
      <c r="K33" s="1" t="s">
        <v>37</v>
      </c>
      <c r="L33" s="1" t="s">
        <v>264</v>
      </c>
      <c r="M33" s="14" t="s">
        <v>265</v>
      </c>
      <c r="N33" s="19">
        <v>45848</v>
      </c>
    </row>
    <row r="34" spans="1:14" x14ac:dyDescent="0.25">
      <c r="A34" s="29">
        <v>33</v>
      </c>
      <c r="B34" s="1" t="s">
        <v>266</v>
      </c>
      <c r="C34" s="36">
        <v>45834</v>
      </c>
      <c r="D34" s="12" t="s">
        <v>267</v>
      </c>
      <c r="E34" s="13" t="s">
        <v>268</v>
      </c>
      <c r="F34" s="1" t="s">
        <v>89</v>
      </c>
      <c r="G34" s="3" t="s">
        <v>269</v>
      </c>
      <c r="H34" s="3" t="s">
        <v>270</v>
      </c>
      <c r="I34" s="36">
        <v>45866</v>
      </c>
      <c r="J34" s="1" t="s">
        <v>271</v>
      </c>
      <c r="K34" s="1" t="s">
        <v>37</v>
      </c>
      <c r="L34" s="1" t="s">
        <v>272</v>
      </c>
      <c r="M34" s="14" t="s">
        <v>273</v>
      </c>
      <c r="N34" s="19">
        <v>45881</v>
      </c>
    </row>
    <row r="35" spans="1:14" ht="30" customHeight="1" x14ac:dyDescent="0.25">
      <c r="A35" s="29">
        <v>34</v>
      </c>
      <c r="B35" s="1" t="s">
        <v>274</v>
      </c>
      <c r="C35" s="36">
        <v>45787</v>
      </c>
      <c r="D35" s="12" t="s">
        <v>154</v>
      </c>
      <c r="E35" s="13" t="s">
        <v>275</v>
      </c>
      <c r="F35" s="1" t="s">
        <v>89</v>
      </c>
      <c r="G35" s="3" t="s">
        <v>66</v>
      </c>
      <c r="H35" s="3" t="s">
        <v>82</v>
      </c>
      <c r="I35" s="36">
        <v>45833</v>
      </c>
      <c r="J35" s="1" t="s">
        <v>276</v>
      </c>
      <c r="K35" s="1" t="s">
        <v>37</v>
      </c>
      <c r="L35" s="1" t="s">
        <v>277</v>
      </c>
      <c r="M35" s="14" t="s">
        <v>278</v>
      </c>
      <c r="N35" s="19">
        <v>45878</v>
      </c>
    </row>
    <row r="36" spans="1:14" x14ac:dyDescent="0.25">
      <c r="A36" s="29">
        <v>35</v>
      </c>
      <c r="B36" s="1" t="s">
        <v>279</v>
      </c>
      <c r="C36" s="36">
        <v>45667</v>
      </c>
      <c r="D36" s="12" t="s">
        <v>233</v>
      </c>
      <c r="E36" s="13" t="s">
        <v>280</v>
      </c>
      <c r="F36" s="1" t="s">
        <v>89</v>
      </c>
      <c r="G36" s="3" t="s">
        <v>105</v>
      </c>
      <c r="H36" s="3" t="s">
        <v>256</v>
      </c>
      <c r="I36" s="36">
        <v>45721</v>
      </c>
      <c r="J36" s="1" t="s">
        <v>281</v>
      </c>
      <c r="K36" s="1" t="s">
        <v>37</v>
      </c>
      <c r="L36" s="1" t="s">
        <v>282</v>
      </c>
      <c r="M36" s="14" t="s">
        <v>283</v>
      </c>
      <c r="N36" s="19">
        <v>45877</v>
      </c>
    </row>
    <row r="37" spans="1:14" x14ac:dyDescent="0.25">
      <c r="A37" s="29">
        <v>36</v>
      </c>
      <c r="B37" s="1" t="s">
        <v>284</v>
      </c>
      <c r="C37" s="36">
        <v>45956</v>
      </c>
      <c r="D37" s="12" t="s">
        <v>285</v>
      </c>
      <c r="E37" s="13" t="s">
        <v>286</v>
      </c>
      <c r="F37" s="1" t="s">
        <v>33</v>
      </c>
      <c r="G37" s="3" t="s">
        <v>287</v>
      </c>
      <c r="H37" s="3" t="s">
        <v>288</v>
      </c>
      <c r="I37" s="36">
        <v>45962</v>
      </c>
      <c r="J37" s="1" t="s">
        <v>289</v>
      </c>
      <c r="K37" s="1" t="s">
        <v>37</v>
      </c>
      <c r="L37" s="1" t="s">
        <v>290</v>
      </c>
      <c r="M37" s="14" t="s">
        <v>291</v>
      </c>
      <c r="N37" s="19">
        <v>45864</v>
      </c>
    </row>
    <row r="38" spans="1:14" x14ac:dyDescent="0.25">
      <c r="A38" s="29">
        <v>37</v>
      </c>
      <c r="B38" s="1" t="s">
        <v>177</v>
      </c>
      <c r="C38" s="36">
        <v>45901</v>
      </c>
      <c r="D38" s="12" t="s">
        <v>292</v>
      </c>
      <c r="E38" s="13" t="s">
        <v>293</v>
      </c>
      <c r="F38" s="1" t="s">
        <v>89</v>
      </c>
      <c r="G38" s="3" t="s">
        <v>66</v>
      </c>
      <c r="H38" s="3" t="s">
        <v>67</v>
      </c>
      <c r="I38" s="36">
        <v>45941</v>
      </c>
      <c r="J38" s="1" t="s">
        <v>294</v>
      </c>
      <c r="K38" s="1" t="s">
        <v>37</v>
      </c>
      <c r="L38" s="1" t="s">
        <v>295</v>
      </c>
      <c r="M38" s="14" t="s">
        <v>296</v>
      </c>
      <c r="N38" s="31">
        <v>45857</v>
      </c>
    </row>
    <row r="39" spans="1:14" x14ac:dyDescent="0.25">
      <c r="A39" s="29">
        <v>38</v>
      </c>
      <c r="B39" s="1" t="s">
        <v>131</v>
      </c>
      <c r="C39" s="36">
        <v>45860</v>
      </c>
      <c r="D39" s="12" t="s">
        <v>297</v>
      </c>
      <c r="E39" s="13" t="s">
        <v>298</v>
      </c>
      <c r="F39" s="1" t="s">
        <v>89</v>
      </c>
      <c r="G39" s="3" t="s">
        <v>34</v>
      </c>
      <c r="H39" s="3" t="s">
        <v>299</v>
      </c>
      <c r="I39" s="36">
        <v>45905</v>
      </c>
      <c r="J39" s="3" t="s">
        <v>300</v>
      </c>
      <c r="K39" s="1" t="s">
        <v>37</v>
      </c>
      <c r="L39" s="1" t="s">
        <v>301</v>
      </c>
      <c r="M39" s="14" t="s">
        <v>302</v>
      </c>
      <c r="N39" s="31">
        <v>45844</v>
      </c>
    </row>
    <row r="40" spans="1:14" x14ac:dyDescent="0.25">
      <c r="A40" s="29">
        <v>39</v>
      </c>
      <c r="B40" s="1" t="s">
        <v>303</v>
      </c>
      <c r="C40" s="36">
        <v>45828</v>
      </c>
      <c r="D40" s="12" t="s">
        <v>111</v>
      </c>
      <c r="E40" s="13" t="s">
        <v>304</v>
      </c>
      <c r="F40" s="1" t="s">
        <v>33</v>
      </c>
      <c r="G40" s="3" t="s">
        <v>34</v>
      </c>
      <c r="H40" s="3" t="s">
        <v>134</v>
      </c>
      <c r="I40" s="36">
        <v>45872</v>
      </c>
      <c r="J40" s="3" t="s">
        <v>305</v>
      </c>
      <c r="K40" s="1" t="s">
        <v>37</v>
      </c>
      <c r="L40" s="1" t="s">
        <v>306</v>
      </c>
      <c r="M40" s="14" t="s">
        <v>307</v>
      </c>
      <c r="N40" s="31">
        <v>45864</v>
      </c>
    </row>
    <row r="41" spans="1:14" x14ac:dyDescent="0.25">
      <c r="A41" s="29">
        <v>40</v>
      </c>
      <c r="B41" s="1" t="s">
        <v>274</v>
      </c>
      <c r="C41" s="36">
        <v>45775</v>
      </c>
      <c r="D41" s="1" t="s">
        <v>308</v>
      </c>
      <c r="E41" s="13" t="s">
        <v>309</v>
      </c>
      <c r="F41" s="1" t="s">
        <v>89</v>
      </c>
      <c r="G41" s="3" t="s">
        <v>310</v>
      </c>
      <c r="H41" s="3" t="s">
        <v>311</v>
      </c>
      <c r="I41" s="36">
        <v>45873</v>
      </c>
      <c r="J41" s="1" t="s">
        <v>150</v>
      </c>
      <c r="K41" s="1" t="s">
        <v>37</v>
      </c>
      <c r="L41" s="1" t="s">
        <v>312</v>
      </c>
      <c r="M41" s="14" t="s">
        <v>313</v>
      </c>
      <c r="N41" s="31">
        <v>45840</v>
      </c>
    </row>
    <row r="42" spans="1:14" x14ac:dyDescent="0.25">
      <c r="A42" s="29">
        <v>41</v>
      </c>
      <c r="B42" s="1" t="s">
        <v>314</v>
      </c>
      <c r="C42" s="36">
        <v>45733</v>
      </c>
      <c r="D42" s="12" t="s">
        <v>246</v>
      </c>
      <c r="E42" s="13" t="s">
        <v>315</v>
      </c>
      <c r="F42" s="1" t="s">
        <v>89</v>
      </c>
      <c r="G42" s="3" t="s">
        <v>316</v>
      </c>
      <c r="H42" s="3" t="s">
        <v>317</v>
      </c>
      <c r="I42" s="36">
        <v>45786</v>
      </c>
      <c r="J42" s="1" t="s">
        <v>318</v>
      </c>
      <c r="K42" s="1" t="s">
        <v>37</v>
      </c>
      <c r="L42" s="1" t="s">
        <v>319</v>
      </c>
      <c r="M42" s="14" t="s">
        <v>320</v>
      </c>
      <c r="N42" s="31">
        <v>45868</v>
      </c>
    </row>
    <row r="43" spans="1:14" x14ac:dyDescent="0.25">
      <c r="A43" s="29">
        <v>42</v>
      </c>
      <c r="B43" s="1" t="s">
        <v>103</v>
      </c>
      <c r="C43" s="36">
        <v>45813</v>
      </c>
      <c r="D43" s="12" t="s">
        <v>72</v>
      </c>
      <c r="E43" s="13" t="s">
        <v>321</v>
      </c>
      <c r="F43" s="1" t="s">
        <v>33</v>
      </c>
      <c r="G43" s="3" t="s">
        <v>105</v>
      </c>
      <c r="H43" s="3" t="s">
        <v>242</v>
      </c>
      <c r="I43" s="36">
        <v>45881</v>
      </c>
      <c r="J43" s="1" t="s">
        <v>322</v>
      </c>
      <c r="K43" s="1" t="s">
        <v>37</v>
      </c>
      <c r="L43" s="1" t="s">
        <v>323</v>
      </c>
      <c r="M43" s="14" t="s">
        <v>324</v>
      </c>
      <c r="N43" s="31">
        <v>45849</v>
      </c>
    </row>
    <row r="44" spans="1:14" ht="30" customHeight="1" x14ac:dyDescent="0.25">
      <c r="A44" s="29">
        <v>43</v>
      </c>
      <c r="B44" s="1" t="s">
        <v>325</v>
      </c>
      <c r="C44" s="36">
        <v>45884</v>
      </c>
      <c r="D44" s="12" t="s">
        <v>326</v>
      </c>
      <c r="E44" s="13" t="s">
        <v>327</v>
      </c>
      <c r="F44" s="1" t="s">
        <v>89</v>
      </c>
      <c r="G44" s="3" t="s">
        <v>179</v>
      </c>
      <c r="H44" s="3" t="s">
        <v>82</v>
      </c>
      <c r="I44" s="36">
        <v>45929</v>
      </c>
      <c r="J44" s="1" t="s">
        <v>328</v>
      </c>
      <c r="K44" s="1" t="s">
        <v>37</v>
      </c>
      <c r="L44" s="1" t="s">
        <v>329</v>
      </c>
      <c r="M44" s="14" t="s">
        <v>330</v>
      </c>
      <c r="N44" s="31">
        <v>45855</v>
      </c>
    </row>
    <row r="45" spans="1:14" x14ac:dyDescent="0.25">
      <c r="A45" s="29">
        <v>44</v>
      </c>
      <c r="B45" s="1" t="s">
        <v>331</v>
      </c>
      <c r="C45" s="36">
        <v>45922</v>
      </c>
      <c r="D45" s="12" t="s">
        <v>332</v>
      </c>
      <c r="E45" s="13" t="s">
        <v>333</v>
      </c>
      <c r="F45" s="1" t="s">
        <v>89</v>
      </c>
      <c r="G45" s="3" t="s">
        <v>58</v>
      </c>
      <c r="H45" s="3" t="s">
        <v>127</v>
      </c>
      <c r="I45" s="36">
        <v>46024</v>
      </c>
      <c r="J45" s="1" t="s">
        <v>257</v>
      </c>
      <c r="K45" s="1" t="s">
        <v>37</v>
      </c>
      <c r="L45" s="1" t="s">
        <v>334</v>
      </c>
      <c r="M45" s="14" t="s">
        <v>335</v>
      </c>
      <c r="N45" s="31">
        <v>45879</v>
      </c>
    </row>
    <row r="46" spans="1:14" x14ac:dyDescent="0.25">
      <c r="A46" s="29">
        <v>45</v>
      </c>
      <c r="B46" s="1" t="s">
        <v>86</v>
      </c>
      <c r="C46" s="36">
        <v>45768</v>
      </c>
      <c r="D46" s="1" t="s">
        <v>292</v>
      </c>
      <c r="E46" s="13" t="s">
        <v>336</v>
      </c>
      <c r="F46" s="1" t="s">
        <v>89</v>
      </c>
      <c r="G46" s="3" t="s">
        <v>337</v>
      </c>
      <c r="H46" s="3" t="s">
        <v>91</v>
      </c>
      <c r="I46" s="36">
        <v>45776</v>
      </c>
      <c r="J46" s="1" t="s">
        <v>181</v>
      </c>
      <c r="K46" s="1" t="s">
        <v>37</v>
      </c>
      <c r="L46" s="1" t="s">
        <v>338</v>
      </c>
      <c r="M46" s="14" t="s">
        <v>339</v>
      </c>
      <c r="N46" s="31">
        <v>45897</v>
      </c>
    </row>
    <row r="47" spans="1:14" x14ac:dyDescent="0.25">
      <c r="A47" s="29">
        <v>46</v>
      </c>
      <c r="B47" s="1" t="s">
        <v>169</v>
      </c>
      <c r="C47" s="36">
        <v>45957</v>
      </c>
      <c r="D47" s="1" t="s">
        <v>340</v>
      </c>
      <c r="E47" s="13" t="s">
        <v>341</v>
      </c>
      <c r="F47" s="1" t="s">
        <v>33</v>
      </c>
      <c r="G47" s="3" t="s">
        <v>58</v>
      </c>
      <c r="H47" s="3" t="s">
        <v>91</v>
      </c>
      <c r="I47" s="36">
        <v>45976</v>
      </c>
      <c r="J47" s="1" t="s">
        <v>342</v>
      </c>
      <c r="K47" s="1" t="s">
        <v>37</v>
      </c>
      <c r="L47" s="1" t="s">
        <v>343</v>
      </c>
      <c r="M47" s="14" t="s">
        <v>344</v>
      </c>
      <c r="N47" s="31">
        <v>45839</v>
      </c>
    </row>
    <row r="48" spans="1:14" x14ac:dyDescent="0.25">
      <c r="A48" s="29">
        <v>47</v>
      </c>
      <c r="B48" s="1" t="s">
        <v>40</v>
      </c>
      <c r="C48" s="36">
        <v>45849</v>
      </c>
      <c r="D48" s="12" t="s">
        <v>79</v>
      </c>
      <c r="E48" s="13" t="s">
        <v>345</v>
      </c>
      <c r="F48" s="1" t="s">
        <v>33</v>
      </c>
      <c r="G48" s="3" t="s">
        <v>346</v>
      </c>
      <c r="H48" s="3" t="s">
        <v>59</v>
      </c>
      <c r="I48" s="36">
        <v>45956</v>
      </c>
      <c r="J48" s="1" t="s">
        <v>347</v>
      </c>
      <c r="K48" s="1" t="s">
        <v>37</v>
      </c>
      <c r="L48" s="1" t="s">
        <v>348</v>
      </c>
      <c r="M48" s="14" t="s">
        <v>349</v>
      </c>
      <c r="N48" s="31">
        <v>45893</v>
      </c>
    </row>
    <row r="49" spans="1:14" ht="30" customHeight="1" x14ac:dyDescent="0.25">
      <c r="A49" s="29">
        <v>48</v>
      </c>
      <c r="B49" s="1" t="s">
        <v>350</v>
      </c>
      <c r="C49" s="36">
        <v>45704</v>
      </c>
      <c r="D49" s="12" t="s">
        <v>351</v>
      </c>
      <c r="E49" s="13" t="s">
        <v>352</v>
      </c>
      <c r="F49" s="1" t="s">
        <v>89</v>
      </c>
      <c r="G49" s="3" t="s">
        <v>353</v>
      </c>
      <c r="H49" s="3" t="s">
        <v>82</v>
      </c>
      <c r="I49" s="36">
        <v>45773</v>
      </c>
      <c r="J49" s="1" t="s">
        <v>354</v>
      </c>
      <c r="K49" s="1" t="s">
        <v>37</v>
      </c>
      <c r="L49" s="1" t="s">
        <v>355</v>
      </c>
      <c r="M49" s="14" t="s">
        <v>356</v>
      </c>
      <c r="N49" s="31">
        <v>45881</v>
      </c>
    </row>
    <row r="50" spans="1:14" ht="30" customHeight="1" x14ac:dyDescent="0.25">
      <c r="A50" s="29">
        <v>49</v>
      </c>
      <c r="B50" s="1" t="s">
        <v>357</v>
      </c>
      <c r="C50" s="36">
        <v>45702</v>
      </c>
      <c r="D50" s="12" t="s">
        <v>87</v>
      </c>
      <c r="E50" s="13" t="s">
        <v>358</v>
      </c>
      <c r="F50" s="1" t="s">
        <v>89</v>
      </c>
      <c r="G50" s="3" t="s">
        <v>105</v>
      </c>
      <c r="H50" s="3" t="s">
        <v>359</v>
      </c>
      <c r="I50" s="36">
        <v>45741</v>
      </c>
      <c r="J50" s="1" t="s">
        <v>360</v>
      </c>
      <c r="K50" s="1" t="s">
        <v>37</v>
      </c>
      <c r="L50" s="1" t="s">
        <v>361</v>
      </c>
      <c r="M50" s="14" t="s">
        <v>362</v>
      </c>
      <c r="N50" s="19">
        <v>45862</v>
      </c>
    </row>
    <row r="51" spans="1:14" ht="30" customHeight="1" x14ac:dyDescent="0.25">
      <c r="A51" s="29">
        <v>50</v>
      </c>
      <c r="B51" s="1" t="s">
        <v>177</v>
      </c>
      <c r="C51" s="36">
        <v>45917</v>
      </c>
      <c r="D51" s="12" t="s">
        <v>363</v>
      </c>
      <c r="E51" s="13" t="s">
        <v>364</v>
      </c>
      <c r="F51" s="1" t="s">
        <v>89</v>
      </c>
      <c r="G51" s="3" t="s">
        <v>365</v>
      </c>
      <c r="H51" s="3" t="s">
        <v>366</v>
      </c>
      <c r="I51" s="36">
        <v>45969</v>
      </c>
      <c r="J51" s="1" t="s">
        <v>342</v>
      </c>
      <c r="K51" s="1" t="s">
        <v>37</v>
      </c>
      <c r="L51" s="1" t="s">
        <v>367</v>
      </c>
      <c r="M51" s="14" t="s">
        <v>368</v>
      </c>
      <c r="N51" s="31">
        <v>45886</v>
      </c>
    </row>
    <row r="52" spans="1:14" x14ac:dyDescent="0.25">
      <c r="A52" s="29">
        <v>51</v>
      </c>
      <c r="B52" s="1" t="s">
        <v>30</v>
      </c>
      <c r="C52" s="36">
        <v>45671</v>
      </c>
      <c r="D52" s="1" t="s">
        <v>369</v>
      </c>
      <c r="E52" s="13" t="s">
        <v>370</v>
      </c>
      <c r="F52" s="1" t="s">
        <v>33</v>
      </c>
      <c r="G52" s="3" t="s">
        <v>201</v>
      </c>
      <c r="H52" s="3" t="s">
        <v>202</v>
      </c>
      <c r="I52" s="36">
        <v>45780</v>
      </c>
      <c r="J52" s="1" t="s">
        <v>371</v>
      </c>
      <c r="K52" s="1" t="s">
        <v>37</v>
      </c>
      <c r="L52" s="1" t="s">
        <v>372</v>
      </c>
      <c r="M52" s="14" t="s">
        <v>373</v>
      </c>
      <c r="N52" s="31">
        <v>45866</v>
      </c>
    </row>
    <row r="53" spans="1:14" x14ac:dyDescent="0.25">
      <c r="A53" s="29">
        <v>52</v>
      </c>
      <c r="B53" s="1" t="s">
        <v>266</v>
      </c>
      <c r="C53" s="36">
        <v>45800</v>
      </c>
      <c r="D53" s="12" t="s">
        <v>374</v>
      </c>
      <c r="E53" s="13" t="s">
        <v>375</v>
      </c>
      <c r="F53" s="1" t="s">
        <v>89</v>
      </c>
      <c r="G53" s="3" t="s">
        <v>269</v>
      </c>
      <c r="H53" s="3" t="s">
        <v>376</v>
      </c>
      <c r="I53" s="36">
        <v>45822</v>
      </c>
      <c r="J53" s="1" t="s">
        <v>377</v>
      </c>
      <c r="K53" s="1" t="s">
        <v>37</v>
      </c>
      <c r="L53" s="1" t="s">
        <v>378</v>
      </c>
      <c r="M53" s="14" t="s">
        <v>379</v>
      </c>
      <c r="N53" s="31">
        <v>45851</v>
      </c>
    </row>
    <row r="54" spans="1:14" x14ac:dyDescent="0.25">
      <c r="A54" s="29">
        <v>53</v>
      </c>
      <c r="B54" s="1" t="s">
        <v>380</v>
      </c>
      <c r="C54" s="36">
        <v>45932</v>
      </c>
      <c r="D54" s="12" t="s">
        <v>297</v>
      </c>
      <c r="E54" s="13" t="s">
        <v>381</v>
      </c>
      <c r="F54" s="1" t="s">
        <v>33</v>
      </c>
      <c r="G54" s="3" t="s">
        <v>382</v>
      </c>
      <c r="H54" s="3" t="s">
        <v>383</v>
      </c>
      <c r="I54" s="36">
        <v>45950</v>
      </c>
      <c r="J54" s="1" t="s">
        <v>318</v>
      </c>
      <c r="K54" s="1" t="s">
        <v>37</v>
      </c>
      <c r="L54" s="1" t="s">
        <v>384</v>
      </c>
      <c r="M54" s="14" t="s">
        <v>385</v>
      </c>
      <c r="N54" s="31">
        <v>45885</v>
      </c>
    </row>
    <row r="55" spans="1:14" ht="30" customHeight="1" x14ac:dyDescent="0.25">
      <c r="A55" s="29">
        <v>54</v>
      </c>
      <c r="B55" s="1" t="s">
        <v>386</v>
      </c>
      <c r="C55" s="36">
        <v>45775</v>
      </c>
      <c r="D55" s="12" t="s">
        <v>387</v>
      </c>
      <c r="E55" s="13" t="s">
        <v>388</v>
      </c>
      <c r="F55" s="1" t="s">
        <v>33</v>
      </c>
      <c r="G55" s="3" t="s">
        <v>382</v>
      </c>
      <c r="H55" s="3" t="s">
        <v>383</v>
      </c>
      <c r="I55" s="36">
        <v>45864</v>
      </c>
      <c r="J55" s="1" t="s">
        <v>114</v>
      </c>
      <c r="K55" s="1" t="s">
        <v>37</v>
      </c>
      <c r="L55" s="1" t="s">
        <v>389</v>
      </c>
      <c r="M55" s="14" t="s">
        <v>390</v>
      </c>
      <c r="N55" s="31">
        <v>45897</v>
      </c>
    </row>
    <row r="56" spans="1:14" ht="30" customHeight="1" x14ac:dyDescent="0.25">
      <c r="A56" s="29">
        <v>55</v>
      </c>
      <c r="B56" s="1" t="s">
        <v>125</v>
      </c>
      <c r="C56" s="36">
        <v>45942</v>
      </c>
      <c r="D56" s="12" t="s">
        <v>391</v>
      </c>
      <c r="E56" s="13" t="s">
        <v>392</v>
      </c>
      <c r="F56" s="1" t="s">
        <v>33</v>
      </c>
      <c r="G56" s="3" t="s">
        <v>172</v>
      </c>
      <c r="H56" s="3" t="s">
        <v>393</v>
      </c>
      <c r="I56" s="36">
        <v>45975</v>
      </c>
      <c r="J56" s="1" t="s">
        <v>394</v>
      </c>
      <c r="K56" s="1" t="s">
        <v>37</v>
      </c>
      <c r="L56" s="1" t="s">
        <v>395</v>
      </c>
      <c r="M56" s="14" t="s">
        <v>396</v>
      </c>
      <c r="N56" s="31">
        <v>45858</v>
      </c>
    </row>
    <row r="57" spans="1:14" x14ac:dyDescent="0.25">
      <c r="A57" s="29">
        <v>56</v>
      </c>
      <c r="B57" s="1" t="s">
        <v>397</v>
      </c>
      <c r="C57" s="36">
        <v>45664</v>
      </c>
      <c r="D57" s="12" t="s">
        <v>154</v>
      </c>
      <c r="E57" s="13" t="s">
        <v>398</v>
      </c>
      <c r="F57" s="1" t="s">
        <v>89</v>
      </c>
      <c r="G57" s="3" t="s">
        <v>287</v>
      </c>
      <c r="H57" s="3" t="s">
        <v>235</v>
      </c>
      <c r="I57" s="36">
        <v>45725</v>
      </c>
      <c r="J57" s="1" t="s">
        <v>371</v>
      </c>
      <c r="K57" s="1" t="s">
        <v>37</v>
      </c>
      <c r="L57" s="1" t="s">
        <v>399</v>
      </c>
      <c r="M57" s="14" t="s">
        <v>400</v>
      </c>
      <c r="N57" s="31">
        <v>45859</v>
      </c>
    </row>
    <row r="58" spans="1:14" x14ac:dyDescent="0.25">
      <c r="A58" s="29">
        <v>57</v>
      </c>
      <c r="B58" s="1" t="s">
        <v>401</v>
      </c>
      <c r="C58" s="36">
        <v>45894</v>
      </c>
      <c r="D58" s="12" t="s">
        <v>402</v>
      </c>
      <c r="E58" s="13" t="s">
        <v>403</v>
      </c>
      <c r="F58" s="1" t="s">
        <v>89</v>
      </c>
      <c r="G58" s="3" t="s">
        <v>404</v>
      </c>
      <c r="H58" s="3" t="s">
        <v>405</v>
      </c>
      <c r="I58" s="36">
        <v>45951</v>
      </c>
      <c r="J58" s="1" t="s">
        <v>181</v>
      </c>
      <c r="K58" s="1" t="s">
        <v>37</v>
      </c>
      <c r="L58" s="1" t="s">
        <v>406</v>
      </c>
      <c r="M58" s="14" t="s">
        <v>407</v>
      </c>
      <c r="N58" s="31">
        <v>45895</v>
      </c>
    </row>
    <row r="59" spans="1:14" x14ac:dyDescent="0.25">
      <c r="A59" s="29">
        <v>58</v>
      </c>
      <c r="B59" s="1" t="s">
        <v>103</v>
      </c>
      <c r="C59" s="36">
        <v>45891</v>
      </c>
      <c r="D59" s="1" t="s">
        <v>408</v>
      </c>
      <c r="E59" s="13" t="s">
        <v>409</v>
      </c>
      <c r="F59" s="1" t="s">
        <v>33</v>
      </c>
      <c r="G59" s="3" t="s">
        <v>164</v>
      </c>
      <c r="H59" s="3" t="s">
        <v>106</v>
      </c>
      <c r="I59" s="36">
        <v>45934</v>
      </c>
      <c r="J59" s="1" t="s">
        <v>52</v>
      </c>
      <c r="K59" s="1" t="s">
        <v>37</v>
      </c>
      <c r="L59" s="1" t="s">
        <v>410</v>
      </c>
      <c r="M59" s="14" t="s">
        <v>411</v>
      </c>
      <c r="N59" s="31">
        <v>45884</v>
      </c>
    </row>
    <row r="60" spans="1:14" x14ac:dyDescent="0.25">
      <c r="A60" s="29">
        <v>59</v>
      </c>
      <c r="B60" s="1" t="s">
        <v>412</v>
      </c>
      <c r="C60" s="36">
        <v>45681</v>
      </c>
      <c r="D60" s="12" t="s">
        <v>162</v>
      </c>
      <c r="E60" s="13" t="s">
        <v>413</v>
      </c>
      <c r="F60" s="1" t="s">
        <v>33</v>
      </c>
      <c r="G60" s="3" t="s">
        <v>414</v>
      </c>
      <c r="H60" s="3" t="s">
        <v>415</v>
      </c>
      <c r="I60" s="36">
        <v>45731</v>
      </c>
      <c r="J60" s="1" t="s">
        <v>416</v>
      </c>
      <c r="K60" s="1" t="s">
        <v>37</v>
      </c>
      <c r="L60" s="1" t="s">
        <v>417</v>
      </c>
      <c r="M60" s="14" t="s">
        <v>418</v>
      </c>
      <c r="N60" s="31">
        <v>45857</v>
      </c>
    </row>
    <row r="61" spans="1:14" x14ac:dyDescent="0.25">
      <c r="A61" s="29">
        <v>60</v>
      </c>
      <c r="B61" s="1" t="s">
        <v>419</v>
      </c>
      <c r="C61" s="36">
        <v>45792</v>
      </c>
      <c r="D61" s="1" t="s">
        <v>233</v>
      </c>
      <c r="E61" s="13" t="s">
        <v>420</v>
      </c>
      <c r="F61" s="1" t="s">
        <v>33</v>
      </c>
      <c r="G61" s="3" t="s">
        <v>365</v>
      </c>
      <c r="H61" s="3" t="s">
        <v>421</v>
      </c>
      <c r="I61" s="36">
        <v>45804</v>
      </c>
      <c r="J61" s="1" t="s">
        <v>422</v>
      </c>
      <c r="K61" s="1" t="s">
        <v>37</v>
      </c>
      <c r="L61" s="1" t="s">
        <v>423</v>
      </c>
      <c r="M61" s="14" t="s">
        <v>424</v>
      </c>
      <c r="N61" s="31">
        <v>45856</v>
      </c>
    </row>
    <row r="62" spans="1:14" x14ac:dyDescent="0.25">
      <c r="A62" s="29">
        <v>61</v>
      </c>
      <c r="B62" s="1" t="s">
        <v>425</v>
      </c>
      <c r="C62" s="36">
        <v>45720</v>
      </c>
      <c r="D62" s="1" t="s">
        <v>72</v>
      </c>
      <c r="E62" s="13" t="s">
        <v>426</v>
      </c>
      <c r="F62" s="1" t="s">
        <v>89</v>
      </c>
      <c r="G62" s="3" t="s">
        <v>172</v>
      </c>
      <c r="H62" s="3" t="s">
        <v>427</v>
      </c>
      <c r="I62" s="36">
        <v>45828</v>
      </c>
      <c r="J62" s="1" t="s">
        <v>428</v>
      </c>
      <c r="K62" s="1" t="s">
        <v>37</v>
      </c>
      <c r="L62" s="1" t="s">
        <v>429</v>
      </c>
      <c r="M62" s="14" t="s">
        <v>430</v>
      </c>
      <c r="N62" s="31">
        <v>45870</v>
      </c>
    </row>
    <row r="63" spans="1:14" x14ac:dyDescent="0.25">
      <c r="A63" s="29">
        <v>62</v>
      </c>
      <c r="B63" s="1" t="s">
        <v>431</v>
      </c>
      <c r="C63" s="36">
        <v>45902</v>
      </c>
      <c r="D63" s="1" t="s">
        <v>432</v>
      </c>
      <c r="E63" s="13" t="s">
        <v>433</v>
      </c>
      <c r="F63" s="1" t="s">
        <v>33</v>
      </c>
      <c r="G63" s="3" t="s">
        <v>353</v>
      </c>
      <c r="H63" s="3" t="s">
        <v>82</v>
      </c>
      <c r="I63" s="36">
        <v>45948</v>
      </c>
      <c r="J63" s="1" t="s">
        <v>434</v>
      </c>
      <c r="K63" s="1" t="s">
        <v>37</v>
      </c>
      <c r="L63" s="1" t="s">
        <v>435</v>
      </c>
      <c r="M63" s="14" t="s">
        <v>436</v>
      </c>
      <c r="N63" s="31">
        <v>45885</v>
      </c>
    </row>
    <row r="64" spans="1:14" x14ac:dyDescent="0.25">
      <c r="A64" s="29">
        <v>63</v>
      </c>
      <c r="B64" s="1" t="s">
        <v>437</v>
      </c>
      <c r="C64" s="36">
        <v>45772</v>
      </c>
      <c r="D64" s="1" t="s">
        <v>438</v>
      </c>
      <c r="E64" s="13" t="s">
        <v>439</v>
      </c>
      <c r="F64" s="1" t="s">
        <v>89</v>
      </c>
      <c r="G64" s="3" t="s">
        <v>120</v>
      </c>
      <c r="H64" s="3" t="s">
        <v>121</v>
      </c>
      <c r="I64" s="36">
        <v>45866</v>
      </c>
      <c r="J64" s="1" t="s">
        <v>440</v>
      </c>
      <c r="K64" s="1" t="s">
        <v>37</v>
      </c>
      <c r="L64" s="1" t="s">
        <v>441</v>
      </c>
      <c r="M64" s="14" t="s">
        <v>442</v>
      </c>
      <c r="N64" s="31">
        <v>45871</v>
      </c>
    </row>
    <row r="65" spans="1:14" x14ac:dyDescent="0.25">
      <c r="A65" s="29">
        <v>64</v>
      </c>
      <c r="B65" s="1" t="s">
        <v>443</v>
      </c>
      <c r="C65" s="36">
        <v>45877</v>
      </c>
      <c r="D65" s="1" t="s">
        <v>444</v>
      </c>
      <c r="E65" s="13" t="s">
        <v>445</v>
      </c>
      <c r="F65" s="1" t="s">
        <v>89</v>
      </c>
      <c r="G65" s="3" t="s">
        <v>446</v>
      </c>
      <c r="H65" s="3" t="s">
        <v>44</v>
      </c>
      <c r="I65" s="36">
        <v>45911</v>
      </c>
      <c r="J65" s="1" t="s">
        <v>447</v>
      </c>
      <c r="K65" s="1" t="s">
        <v>37</v>
      </c>
      <c r="L65" s="1" t="s">
        <v>448</v>
      </c>
      <c r="M65" s="14" t="s">
        <v>449</v>
      </c>
      <c r="N65" s="31">
        <v>45861</v>
      </c>
    </row>
    <row r="66" spans="1:14" ht="30" customHeight="1" x14ac:dyDescent="0.25">
      <c r="A66" s="29">
        <v>65</v>
      </c>
      <c r="B66" s="1" t="s">
        <v>450</v>
      </c>
      <c r="C66" s="37">
        <v>45719</v>
      </c>
      <c r="D66" s="15" t="s">
        <v>297</v>
      </c>
      <c r="E66" s="13" t="s">
        <v>451</v>
      </c>
      <c r="F66" s="15" t="s">
        <v>33</v>
      </c>
      <c r="G66" s="16" t="s">
        <v>452</v>
      </c>
      <c r="H66" s="16" t="s">
        <v>453</v>
      </c>
      <c r="I66" s="37">
        <v>45770</v>
      </c>
      <c r="J66" s="15" t="s">
        <v>243</v>
      </c>
      <c r="K66" s="15" t="s">
        <v>37</v>
      </c>
      <c r="L66" s="15" t="s">
        <v>454</v>
      </c>
      <c r="M66" s="43" t="s">
        <v>455</v>
      </c>
      <c r="N66" s="44">
        <v>45873</v>
      </c>
    </row>
    <row r="67" spans="1:14" ht="30" customHeight="1" x14ac:dyDescent="0.25">
      <c r="A67" s="29">
        <v>66</v>
      </c>
      <c r="B67" s="1" t="s">
        <v>456</v>
      </c>
      <c r="C67" s="36">
        <v>45744</v>
      </c>
      <c r="D67" s="1" t="s">
        <v>64</v>
      </c>
      <c r="E67" s="13" t="s">
        <v>457</v>
      </c>
      <c r="F67" s="14" t="s">
        <v>89</v>
      </c>
      <c r="G67" s="3" t="s">
        <v>113</v>
      </c>
      <c r="H67" s="3" t="s">
        <v>299</v>
      </c>
      <c r="I67" s="36">
        <v>45788</v>
      </c>
      <c r="J67" s="1" t="s">
        <v>458</v>
      </c>
      <c r="K67" s="1" t="s">
        <v>37</v>
      </c>
      <c r="L67" s="1" t="s">
        <v>459</v>
      </c>
      <c r="M67" s="11" t="s">
        <v>460</v>
      </c>
      <c r="N67" s="45">
        <v>45853</v>
      </c>
    </row>
    <row r="68" spans="1:14" x14ac:dyDescent="0.25">
      <c r="A68" s="29">
        <v>67</v>
      </c>
      <c r="B68" s="1" t="s">
        <v>461</v>
      </c>
      <c r="C68" s="19">
        <v>45825</v>
      </c>
      <c r="D68" s="14" t="s">
        <v>240</v>
      </c>
      <c r="E68" s="13" t="s">
        <v>462</v>
      </c>
      <c r="F68" s="14" t="s">
        <v>89</v>
      </c>
      <c r="G68" s="14" t="s">
        <v>105</v>
      </c>
      <c r="H68" s="14" t="s">
        <v>256</v>
      </c>
      <c r="I68" s="20">
        <v>45852</v>
      </c>
      <c r="J68" s="14" t="s">
        <v>463</v>
      </c>
      <c r="K68" s="14" t="s">
        <v>37</v>
      </c>
      <c r="L68" s="14" t="s">
        <v>464</v>
      </c>
      <c r="M68" s="11" t="s">
        <v>465</v>
      </c>
      <c r="N68" s="19">
        <v>45865</v>
      </c>
    </row>
    <row r="69" spans="1:14" x14ac:dyDescent="0.25">
      <c r="A69" s="29">
        <v>68</v>
      </c>
      <c r="B69" s="1" t="s">
        <v>466</v>
      </c>
      <c r="C69" s="30">
        <v>45917</v>
      </c>
      <c r="D69" s="14" t="s">
        <v>467</v>
      </c>
      <c r="E69" s="13" t="s">
        <v>468</v>
      </c>
      <c r="F69" s="14" t="s">
        <v>89</v>
      </c>
      <c r="G69" s="14" t="s">
        <v>469</v>
      </c>
      <c r="H69" s="14" t="s">
        <v>470</v>
      </c>
      <c r="I69" s="20">
        <v>46021</v>
      </c>
      <c r="J69" s="14" t="s">
        <v>471</v>
      </c>
      <c r="K69" s="14" t="s">
        <v>37</v>
      </c>
      <c r="L69" s="14" t="s">
        <v>472</v>
      </c>
      <c r="M69" s="11" t="s">
        <v>473</v>
      </c>
      <c r="N69" s="19">
        <v>45840</v>
      </c>
    </row>
    <row r="70" spans="1:14" x14ac:dyDescent="0.25">
      <c r="A70" s="29">
        <v>69</v>
      </c>
      <c r="B70" s="1" t="s">
        <v>466</v>
      </c>
      <c r="C70" s="19">
        <v>45872</v>
      </c>
      <c r="D70" s="14" t="s">
        <v>351</v>
      </c>
      <c r="E70" s="13" t="s">
        <v>474</v>
      </c>
      <c r="F70" s="14" t="s">
        <v>89</v>
      </c>
      <c r="G70" s="14" t="s">
        <v>475</v>
      </c>
      <c r="H70" s="14" t="s">
        <v>453</v>
      </c>
      <c r="I70" s="20">
        <v>45939</v>
      </c>
      <c r="J70" s="14" t="s">
        <v>476</v>
      </c>
      <c r="K70" s="14" t="s">
        <v>37</v>
      </c>
      <c r="L70" s="14" t="s">
        <v>477</v>
      </c>
      <c r="M70" s="11" t="s">
        <v>478</v>
      </c>
      <c r="N70" s="19">
        <v>45878</v>
      </c>
    </row>
    <row r="71" spans="1:14" x14ac:dyDescent="0.25">
      <c r="A71" s="29">
        <v>70</v>
      </c>
      <c r="B71" s="1" t="s">
        <v>479</v>
      </c>
      <c r="C71" s="19">
        <v>45678</v>
      </c>
      <c r="D71" s="14" t="s">
        <v>480</v>
      </c>
      <c r="E71" s="13" t="s">
        <v>481</v>
      </c>
      <c r="F71" s="14" t="s">
        <v>89</v>
      </c>
      <c r="G71" s="14" t="s">
        <v>201</v>
      </c>
      <c r="H71" s="14" t="s">
        <v>202</v>
      </c>
      <c r="I71" s="20">
        <v>45741</v>
      </c>
      <c r="J71" s="14" t="s">
        <v>68</v>
      </c>
      <c r="K71" s="14" t="s">
        <v>37</v>
      </c>
      <c r="L71" s="14" t="s">
        <v>482</v>
      </c>
      <c r="M71" s="11" t="s">
        <v>483</v>
      </c>
      <c r="N71" s="19">
        <v>45845</v>
      </c>
    </row>
    <row r="72" spans="1:14" x14ac:dyDescent="0.25">
      <c r="A72" s="29">
        <v>71</v>
      </c>
      <c r="B72" s="1" t="s">
        <v>71</v>
      </c>
      <c r="C72" s="30">
        <v>45871</v>
      </c>
      <c r="D72" s="14" t="s">
        <v>484</v>
      </c>
      <c r="E72" s="13" t="s">
        <v>485</v>
      </c>
      <c r="F72" s="14" t="s">
        <v>33</v>
      </c>
      <c r="G72" s="14" t="s">
        <v>58</v>
      </c>
      <c r="H72" s="14" t="s">
        <v>91</v>
      </c>
      <c r="I72" s="20">
        <v>45877</v>
      </c>
      <c r="J72" s="14" t="s">
        <v>45</v>
      </c>
      <c r="K72" s="14" t="s">
        <v>37</v>
      </c>
      <c r="L72" s="14" t="s">
        <v>486</v>
      </c>
      <c r="M72" s="11" t="s">
        <v>487</v>
      </c>
      <c r="N72" s="19">
        <v>45858</v>
      </c>
    </row>
    <row r="73" spans="1:14" x14ac:dyDescent="0.25">
      <c r="A73" s="29">
        <v>72</v>
      </c>
      <c r="B73" s="1" t="s">
        <v>488</v>
      </c>
      <c r="C73" s="19">
        <v>45678</v>
      </c>
      <c r="D73" s="14" t="s">
        <v>225</v>
      </c>
      <c r="E73" s="13" t="s">
        <v>489</v>
      </c>
      <c r="F73" s="14" t="s">
        <v>33</v>
      </c>
      <c r="G73" s="14" t="s">
        <v>490</v>
      </c>
      <c r="H73" s="14" t="s">
        <v>383</v>
      </c>
      <c r="I73" s="20">
        <v>45723</v>
      </c>
      <c r="J73" s="14" t="s">
        <v>197</v>
      </c>
      <c r="K73" s="14" t="s">
        <v>37</v>
      </c>
      <c r="L73" s="14" t="s">
        <v>491</v>
      </c>
      <c r="M73" s="11" t="s">
        <v>492</v>
      </c>
      <c r="N73" s="19">
        <v>45865</v>
      </c>
    </row>
    <row r="74" spans="1:14" x14ac:dyDescent="0.25">
      <c r="A74" s="29">
        <v>73</v>
      </c>
      <c r="B74" s="1" t="s">
        <v>161</v>
      </c>
      <c r="C74" s="21">
        <v>45759</v>
      </c>
      <c r="D74" s="22" t="s">
        <v>31</v>
      </c>
      <c r="E74" s="13" t="s">
        <v>493</v>
      </c>
      <c r="F74" s="22" t="s">
        <v>33</v>
      </c>
      <c r="G74" s="22" t="s">
        <v>164</v>
      </c>
      <c r="H74" s="22" t="s">
        <v>165</v>
      </c>
      <c r="I74" s="23">
        <v>45784</v>
      </c>
      <c r="J74" s="22" t="s">
        <v>114</v>
      </c>
      <c r="K74" s="22" t="s">
        <v>37</v>
      </c>
      <c r="L74" s="22" t="s">
        <v>494</v>
      </c>
      <c r="M74" s="24" t="s">
        <v>495</v>
      </c>
      <c r="N74" s="21">
        <v>45885</v>
      </c>
    </row>
    <row r="75" spans="1:14" x14ac:dyDescent="0.25">
      <c r="A75" s="29">
        <v>74</v>
      </c>
      <c r="B75" s="1" t="s">
        <v>184</v>
      </c>
      <c r="C75" s="19">
        <v>45922</v>
      </c>
      <c r="D75" s="14" t="s">
        <v>332</v>
      </c>
      <c r="E75" s="13" t="s">
        <v>496</v>
      </c>
      <c r="F75" s="14" t="s">
        <v>89</v>
      </c>
      <c r="G75" s="14" t="s">
        <v>497</v>
      </c>
      <c r="H75" s="14" t="s">
        <v>121</v>
      </c>
      <c r="I75" s="20">
        <v>46001</v>
      </c>
      <c r="J75" s="14" t="s">
        <v>377</v>
      </c>
      <c r="K75" s="14" t="s">
        <v>37</v>
      </c>
      <c r="L75" s="14" t="s">
        <v>498</v>
      </c>
      <c r="M75" s="11" t="s">
        <v>499</v>
      </c>
      <c r="N75" s="19">
        <v>45867</v>
      </c>
    </row>
    <row r="76" spans="1:14" x14ac:dyDescent="0.25">
      <c r="A76" s="29">
        <v>75</v>
      </c>
      <c r="B76" s="1" t="s">
        <v>40</v>
      </c>
      <c r="C76" s="19">
        <v>45951</v>
      </c>
      <c r="D76" s="14" t="s">
        <v>64</v>
      </c>
      <c r="E76" s="13" t="s">
        <v>500</v>
      </c>
      <c r="F76" s="14" t="s">
        <v>33</v>
      </c>
      <c r="G76" s="14" t="s">
        <v>337</v>
      </c>
      <c r="H76" s="14" t="s">
        <v>427</v>
      </c>
      <c r="I76" s="20">
        <v>45996</v>
      </c>
      <c r="J76" s="14" t="s">
        <v>52</v>
      </c>
      <c r="K76" s="14" t="s">
        <v>37</v>
      </c>
      <c r="L76" s="14" t="s">
        <v>501</v>
      </c>
      <c r="M76" s="11" t="s">
        <v>502</v>
      </c>
      <c r="N76" s="19">
        <v>45895</v>
      </c>
    </row>
    <row r="77" spans="1:14" x14ac:dyDescent="0.25">
      <c r="A77" s="29">
        <v>76</v>
      </c>
      <c r="B77" s="1" t="s">
        <v>503</v>
      </c>
      <c r="C77" s="19">
        <v>45810</v>
      </c>
      <c r="D77" s="14" t="s">
        <v>87</v>
      </c>
      <c r="E77" s="13" t="s">
        <v>504</v>
      </c>
      <c r="F77" s="14" t="s">
        <v>33</v>
      </c>
      <c r="G77" s="14" t="s">
        <v>469</v>
      </c>
      <c r="H77" s="14" t="s">
        <v>317</v>
      </c>
      <c r="I77" s="20">
        <v>45883</v>
      </c>
      <c r="J77" s="14" t="s">
        <v>458</v>
      </c>
      <c r="K77" s="14" t="s">
        <v>37</v>
      </c>
      <c r="L77" s="14" t="s">
        <v>505</v>
      </c>
      <c r="M77" s="11" t="s">
        <v>506</v>
      </c>
      <c r="N77" s="19">
        <v>45847</v>
      </c>
    </row>
    <row r="78" spans="1:14" x14ac:dyDescent="0.25">
      <c r="A78" s="29">
        <v>77</v>
      </c>
      <c r="B78" s="1" t="s">
        <v>103</v>
      </c>
      <c r="C78" s="19">
        <v>45803</v>
      </c>
      <c r="D78" s="14" t="s">
        <v>260</v>
      </c>
      <c r="E78" s="13" t="s">
        <v>507</v>
      </c>
      <c r="F78" s="14" t="s">
        <v>33</v>
      </c>
      <c r="G78" s="14" t="s">
        <v>508</v>
      </c>
      <c r="H78" s="14" t="s">
        <v>376</v>
      </c>
      <c r="I78" s="20">
        <v>45810</v>
      </c>
      <c r="J78" s="14" t="s">
        <v>428</v>
      </c>
      <c r="K78" s="14" t="s">
        <v>37</v>
      </c>
      <c r="L78" s="14" t="s">
        <v>509</v>
      </c>
      <c r="M78" s="11" t="s">
        <v>510</v>
      </c>
      <c r="N78" s="19">
        <v>45896</v>
      </c>
    </row>
    <row r="79" spans="1:14" x14ac:dyDescent="0.25">
      <c r="A79" s="29">
        <v>78</v>
      </c>
      <c r="B79" s="1" t="s">
        <v>511</v>
      </c>
      <c r="C79" s="19">
        <v>45745</v>
      </c>
      <c r="D79" s="14" t="s">
        <v>170</v>
      </c>
      <c r="E79" s="13" t="s">
        <v>512</v>
      </c>
      <c r="F79" s="14" t="s">
        <v>89</v>
      </c>
      <c r="G79" s="14" t="s">
        <v>513</v>
      </c>
      <c r="H79" s="14" t="s">
        <v>196</v>
      </c>
      <c r="I79" s="20">
        <v>45765</v>
      </c>
      <c r="J79" s="14" t="s">
        <v>318</v>
      </c>
      <c r="K79" s="14" t="s">
        <v>37</v>
      </c>
      <c r="L79" s="14" t="s">
        <v>514</v>
      </c>
      <c r="M79" s="11" t="s">
        <v>515</v>
      </c>
      <c r="N79" s="19">
        <v>45858</v>
      </c>
    </row>
    <row r="80" spans="1:14" x14ac:dyDescent="0.25">
      <c r="A80" s="29">
        <v>79</v>
      </c>
      <c r="B80" s="1" t="s">
        <v>516</v>
      </c>
      <c r="C80" s="19">
        <v>45710</v>
      </c>
      <c r="D80" s="14" t="s">
        <v>185</v>
      </c>
      <c r="E80" s="13" t="s">
        <v>517</v>
      </c>
      <c r="F80" s="14" t="s">
        <v>33</v>
      </c>
      <c r="G80" s="14" t="s">
        <v>490</v>
      </c>
      <c r="H80" s="14" t="s">
        <v>99</v>
      </c>
      <c r="I80" s="20">
        <v>45826</v>
      </c>
      <c r="J80" s="14" t="s">
        <v>518</v>
      </c>
      <c r="K80" s="14" t="s">
        <v>37</v>
      </c>
      <c r="L80" s="14" t="s">
        <v>519</v>
      </c>
      <c r="M80" s="11" t="s">
        <v>520</v>
      </c>
      <c r="N80" s="19">
        <v>45869</v>
      </c>
    </row>
    <row r="81" spans="1:14" x14ac:dyDescent="0.25">
      <c r="A81" s="29">
        <v>80</v>
      </c>
      <c r="B81" s="1" t="s">
        <v>521</v>
      </c>
      <c r="C81" s="30">
        <v>45924</v>
      </c>
      <c r="D81" s="14" t="s">
        <v>154</v>
      </c>
      <c r="E81" s="13" t="s">
        <v>522</v>
      </c>
      <c r="F81" s="14" t="s">
        <v>89</v>
      </c>
      <c r="G81" s="14" t="s">
        <v>490</v>
      </c>
      <c r="H81" s="14" t="s">
        <v>523</v>
      </c>
      <c r="I81" s="20">
        <v>45978</v>
      </c>
      <c r="J81" s="14" t="s">
        <v>428</v>
      </c>
      <c r="K81" s="14" t="s">
        <v>37</v>
      </c>
      <c r="L81" s="14" t="s">
        <v>524</v>
      </c>
      <c r="M81" s="11" t="s">
        <v>525</v>
      </c>
      <c r="N81" s="19">
        <v>45853</v>
      </c>
    </row>
    <row r="82" spans="1:14" x14ac:dyDescent="0.25">
      <c r="A82" s="29">
        <v>81</v>
      </c>
      <c r="B82" s="1" t="s">
        <v>526</v>
      </c>
      <c r="C82" s="19">
        <v>45884</v>
      </c>
      <c r="D82" s="14" t="s">
        <v>527</v>
      </c>
      <c r="E82" s="13" t="s">
        <v>528</v>
      </c>
      <c r="F82" s="14" t="s">
        <v>89</v>
      </c>
      <c r="G82" s="14" t="s">
        <v>113</v>
      </c>
      <c r="H82" s="14" t="s">
        <v>262</v>
      </c>
      <c r="I82" s="20">
        <v>45993</v>
      </c>
      <c r="J82" s="14" t="s">
        <v>529</v>
      </c>
      <c r="K82" s="14" t="s">
        <v>37</v>
      </c>
      <c r="L82" s="14" t="s">
        <v>530</v>
      </c>
      <c r="M82" s="11" t="s">
        <v>531</v>
      </c>
      <c r="N82" s="19">
        <v>45893</v>
      </c>
    </row>
    <row r="83" spans="1:14" x14ac:dyDescent="0.25">
      <c r="A83" s="29">
        <v>82</v>
      </c>
      <c r="B83" s="1" t="s">
        <v>532</v>
      </c>
      <c r="C83" s="19">
        <v>45849</v>
      </c>
      <c r="D83" s="14" t="s">
        <v>432</v>
      </c>
      <c r="E83" s="13" t="s">
        <v>533</v>
      </c>
      <c r="F83" s="14" t="s">
        <v>33</v>
      </c>
      <c r="G83" s="14" t="s">
        <v>534</v>
      </c>
      <c r="H83" s="14" t="s">
        <v>311</v>
      </c>
      <c r="I83" s="20">
        <v>45947</v>
      </c>
      <c r="J83" s="14" t="s">
        <v>535</v>
      </c>
      <c r="K83" s="14" t="s">
        <v>37</v>
      </c>
      <c r="L83" s="14" t="s">
        <v>536</v>
      </c>
      <c r="M83" s="11" t="s">
        <v>537</v>
      </c>
      <c r="N83" s="19">
        <v>45868</v>
      </c>
    </row>
    <row r="84" spans="1:14" x14ac:dyDescent="0.25">
      <c r="A84" s="29">
        <v>83</v>
      </c>
      <c r="B84" s="1" t="s">
        <v>538</v>
      </c>
      <c r="C84" s="19">
        <v>45828</v>
      </c>
      <c r="D84" s="14" t="s">
        <v>233</v>
      </c>
      <c r="E84" s="13" t="s">
        <v>539</v>
      </c>
      <c r="F84" s="14" t="s">
        <v>33</v>
      </c>
      <c r="G84" s="14" t="s">
        <v>90</v>
      </c>
      <c r="H84" s="14" t="s">
        <v>91</v>
      </c>
      <c r="I84" s="20">
        <v>45920</v>
      </c>
      <c r="J84" s="14" t="s">
        <v>540</v>
      </c>
      <c r="K84" s="14" t="s">
        <v>37</v>
      </c>
      <c r="L84" s="14" t="s">
        <v>541</v>
      </c>
      <c r="M84" s="11" t="s">
        <v>542</v>
      </c>
      <c r="N84" s="19">
        <v>45885</v>
      </c>
    </row>
    <row r="85" spans="1:14" x14ac:dyDescent="0.25">
      <c r="A85" s="29">
        <v>84</v>
      </c>
      <c r="B85" s="1" t="s">
        <v>543</v>
      </c>
      <c r="C85" s="19">
        <v>45846</v>
      </c>
      <c r="D85" s="14" t="s">
        <v>56</v>
      </c>
      <c r="E85" s="13" t="s">
        <v>544</v>
      </c>
      <c r="F85" s="14" t="s">
        <v>89</v>
      </c>
      <c r="G85" s="14" t="s">
        <v>195</v>
      </c>
      <c r="H85" s="14" t="s">
        <v>196</v>
      </c>
      <c r="I85" s="20">
        <v>45910</v>
      </c>
      <c r="J85" s="14" t="s">
        <v>545</v>
      </c>
      <c r="K85" s="14" t="s">
        <v>37</v>
      </c>
      <c r="L85" s="14" t="s">
        <v>546</v>
      </c>
      <c r="M85" s="11" t="s">
        <v>547</v>
      </c>
      <c r="N85" s="19">
        <v>45878</v>
      </c>
    </row>
    <row r="86" spans="1:14" x14ac:dyDescent="0.25">
      <c r="A86" s="29">
        <v>85</v>
      </c>
      <c r="B86" s="1" t="s">
        <v>284</v>
      </c>
      <c r="C86" s="19">
        <v>45841</v>
      </c>
      <c r="D86" s="14" t="s">
        <v>56</v>
      </c>
      <c r="E86" s="13" t="s">
        <v>548</v>
      </c>
      <c r="F86" s="14" t="s">
        <v>33</v>
      </c>
      <c r="G86" s="14" t="s">
        <v>287</v>
      </c>
      <c r="H86" s="14" t="s">
        <v>415</v>
      </c>
      <c r="I86" s="20">
        <v>45873</v>
      </c>
      <c r="J86" s="14" t="s">
        <v>549</v>
      </c>
      <c r="K86" s="14" t="s">
        <v>37</v>
      </c>
      <c r="L86" s="14" t="s">
        <v>550</v>
      </c>
      <c r="M86" s="11" t="s">
        <v>551</v>
      </c>
      <c r="N86" s="19">
        <v>45854</v>
      </c>
    </row>
    <row r="87" spans="1:14" x14ac:dyDescent="0.25">
      <c r="A87" s="29">
        <v>86</v>
      </c>
      <c r="B87" s="1" t="s">
        <v>350</v>
      </c>
      <c r="C87" s="19">
        <v>45922</v>
      </c>
      <c r="D87" s="14" t="s">
        <v>552</v>
      </c>
      <c r="E87" s="13" t="s">
        <v>553</v>
      </c>
      <c r="F87" s="14" t="s">
        <v>89</v>
      </c>
      <c r="G87" s="14" t="s">
        <v>534</v>
      </c>
      <c r="H87" s="14" t="s">
        <v>366</v>
      </c>
      <c r="I87" s="20">
        <v>45983</v>
      </c>
      <c r="J87" s="14" t="s">
        <v>318</v>
      </c>
      <c r="K87" s="14" t="s">
        <v>37</v>
      </c>
      <c r="L87" s="14" t="s">
        <v>554</v>
      </c>
      <c r="M87" s="11" t="s">
        <v>555</v>
      </c>
      <c r="N87" s="19">
        <v>45844</v>
      </c>
    </row>
    <row r="88" spans="1:14" x14ac:dyDescent="0.25">
      <c r="A88" s="29">
        <v>87</v>
      </c>
      <c r="B88" s="1" t="s">
        <v>437</v>
      </c>
      <c r="C88" s="19">
        <v>45721</v>
      </c>
      <c r="D88" s="14" t="s">
        <v>308</v>
      </c>
      <c r="E88" s="13" t="s">
        <v>556</v>
      </c>
      <c r="F88" s="14" t="s">
        <v>89</v>
      </c>
      <c r="G88" s="14" t="s">
        <v>141</v>
      </c>
      <c r="H88" s="14" t="s">
        <v>557</v>
      </c>
      <c r="I88" s="20">
        <v>45744</v>
      </c>
      <c r="J88" s="14" t="s">
        <v>128</v>
      </c>
      <c r="K88" s="14" t="s">
        <v>37</v>
      </c>
      <c r="L88" s="14" t="s">
        <v>558</v>
      </c>
      <c r="M88" s="11" t="s">
        <v>559</v>
      </c>
      <c r="N88" s="19">
        <v>45885</v>
      </c>
    </row>
    <row r="89" spans="1:14" x14ac:dyDescent="0.25">
      <c r="A89" s="29">
        <v>88</v>
      </c>
      <c r="B89" s="1" t="s">
        <v>450</v>
      </c>
      <c r="C89" s="19">
        <v>45751</v>
      </c>
      <c r="D89" s="14" t="s">
        <v>552</v>
      </c>
      <c r="E89" s="13" t="s">
        <v>560</v>
      </c>
      <c r="F89" s="14" t="s">
        <v>33</v>
      </c>
      <c r="G89" s="14" t="s">
        <v>561</v>
      </c>
      <c r="H89" s="14" t="s">
        <v>453</v>
      </c>
      <c r="I89" s="20">
        <v>45763</v>
      </c>
      <c r="J89" s="14" t="s">
        <v>562</v>
      </c>
      <c r="K89" s="14" t="s">
        <v>37</v>
      </c>
      <c r="L89" s="14" t="s">
        <v>563</v>
      </c>
      <c r="M89" s="11" t="s">
        <v>564</v>
      </c>
      <c r="N89" s="19">
        <v>45891</v>
      </c>
    </row>
    <row r="90" spans="1:14" x14ac:dyDescent="0.25">
      <c r="A90" s="29">
        <v>89</v>
      </c>
      <c r="B90" s="1" t="s">
        <v>212</v>
      </c>
      <c r="C90" s="19">
        <v>45863</v>
      </c>
      <c r="D90" s="14" t="s">
        <v>308</v>
      </c>
      <c r="E90" s="13" t="s">
        <v>565</v>
      </c>
      <c r="F90" s="14" t="s">
        <v>89</v>
      </c>
      <c r="G90" s="14" t="s">
        <v>58</v>
      </c>
      <c r="H90" s="14" t="s">
        <v>44</v>
      </c>
      <c r="I90" s="20">
        <v>45879</v>
      </c>
      <c r="J90" s="14" t="s">
        <v>566</v>
      </c>
      <c r="K90" s="14" t="s">
        <v>37</v>
      </c>
      <c r="L90" s="14" t="s">
        <v>567</v>
      </c>
      <c r="M90" s="11" t="s">
        <v>568</v>
      </c>
      <c r="N90" s="19">
        <v>45847</v>
      </c>
    </row>
    <row r="91" spans="1:14" x14ac:dyDescent="0.25">
      <c r="A91" s="29">
        <v>90</v>
      </c>
      <c r="B91" s="1" t="s">
        <v>569</v>
      </c>
      <c r="C91" s="19">
        <v>45678</v>
      </c>
      <c r="D91" s="14" t="s">
        <v>552</v>
      </c>
      <c r="E91" s="13" t="s">
        <v>570</v>
      </c>
      <c r="F91" s="14" t="s">
        <v>89</v>
      </c>
      <c r="G91" s="14" t="s">
        <v>120</v>
      </c>
      <c r="H91" s="14" t="s">
        <v>383</v>
      </c>
      <c r="I91" s="20">
        <v>45709</v>
      </c>
      <c r="J91" s="14" t="s">
        <v>571</v>
      </c>
      <c r="K91" s="14" t="s">
        <v>37</v>
      </c>
      <c r="L91" s="14" t="s">
        <v>572</v>
      </c>
      <c r="M91" s="11" t="s">
        <v>573</v>
      </c>
      <c r="N91" s="19">
        <v>45884</v>
      </c>
    </row>
    <row r="92" spans="1:14" x14ac:dyDescent="0.25">
      <c r="A92" s="29">
        <v>91</v>
      </c>
      <c r="B92" s="1" t="s">
        <v>425</v>
      </c>
      <c r="C92" s="21">
        <v>45815</v>
      </c>
      <c r="D92" s="22" t="s">
        <v>480</v>
      </c>
      <c r="E92" s="13" t="s">
        <v>574</v>
      </c>
      <c r="F92" s="22" t="s">
        <v>89</v>
      </c>
      <c r="G92" s="22" t="s">
        <v>346</v>
      </c>
      <c r="H92" s="22" t="s">
        <v>427</v>
      </c>
      <c r="I92" s="23">
        <v>45869</v>
      </c>
      <c r="J92" s="22" t="s">
        <v>575</v>
      </c>
      <c r="K92" s="22" t="s">
        <v>37</v>
      </c>
      <c r="L92" s="22" t="s">
        <v>576</v>
      </c>
      <c r="M92" s="24" t="s">
        <v>577</v>
      </c>
      <c r="N92" s="21">
        <v>45873</v>
      </c>
    </row>
    <row r="93" spans="1:14" x14ac:dyDescent="0.25">
      <c r="A93" s="29">
        <v>92</v>
      </c>
      <c r="B93" s="1" t="s">
        <v>578</v>
      </c>
      <c r="C93" s="19">
        <v>45851</v>
      </c>
      <c r="D93" s="14" t="s">
        <v>170</v>
      </c>
      <c r="E93" s="13" t="s">
        <v>579</v>
      </c>
      <c r="F93" s="14" t="s">
        <v>33</v>
      </c>
      <c r="G93" s="14" t="s">
        <v>475</v>
      </c>
      <c r="H93" s="14" t="s">
        <v>580</v>
      </c>
      <c r="I93" s="20">
        <v>45889</v>
      </c>
      <c r="J93" s="14" t="s">
        <v>581</v>
      </c>
      <c r="K93" s="14" t="s">
        <v>37</v>
      </c>
      <c r="L93" s="14" t="s">
        <v>582</v>
      </c>
      <c r="M93" s="11" t="s">
        <v>583</v>
      </c>
      <c r="N93" s="19">
        <v>45844</v>
      </c>
    </row>
    <row r="94" spans="1:14" x14ac:dyDescent="0.25">
      <c r="A94" s="29">
        <v>93</v>
      </c>
      <c r="B94" s="1" t="s">
        <v>169</v>
      </c>
      <c r="C94" s="19">
        <v>45825</v>
      </c>
      <c r="D94" s="14" t="s">
        <v>240</v>
      </c>
      <c r="E94" s="13" t="s">
        <v>584</v>
      </c>
      <c r="F94" s="14" t="s">
        <v>33</v>
      </c>
      <c r="G94" s="14" t="s">
        <v>172</v>
      </c>
      <c r="H94" s="14" t="s">
        <v>44</v>
      </c>
      <c r="I94" s="20">
        <v>45844</v>
      </c>
      <c r="J94" s="14" t="s">
        <v>585</v>
      </c>
      <c r="K94" s="14" t="s">
        <v>37</v>
      </c>
      <c r="L94" s="14" t="s">
        <v>586</v>
      </c>
      <c r="M94" s="11" t="s">
        <v>587</v>
      </c>
      <c r="N94" s="19">
        <v>45887</v>
      </c>
    </row>
    <row r="95" spans="1:14" x14ac:dyDescent="0.25">
      <c r="A95" s="29">
        <v>94</v>
      </c>
      <c r="B95" s="1" t="s">
        <v>177</v>
      </c>
      <c r="C95" s="19">
        <v>45685</v>
      </c>
      <c r="D95" s="14" t="s">
        <v>72</v>
      </c>
      <c r="E95" s="13" t="s">
        <v>588</v>
      </c>
      <c r="F95" s="14" t="s">
        <v>89</v>
      </c>
      <c r="G95" s="14" t="s">
        <v>220</v>
      </c>
      <c r="H95" s="14" t="s">
        <v>421</v>
      </c>
      <c r="I95" s="20">
        <v>45709</v>
      </c>
      <c r="J95" s="14" t="s">
        <v>589</v>
      </c>
      <c r="K95" s="14" t="s">
        <v>37</v>
      </c>
      <c r="L95" s="14" t="s">
        <v>590</v>
      </c>
      <c r="M95" s="11" t="s">
        <v>591</v>
      </c>
      <c r="N95" s="19">
        <v>45858</v>
      </c>
    </row>
    <row r="96" spans="1:14" x14ac:dyDescent="0.25">
      <c r="A96" s="29">
        <v>95</v>
      </c>
      <c r="B96" s="1" t="s">
        <v>450</v>
      </c>
      <c r="C96" s="19">
        <v>45841</v>
      </c>
      <c r="D96" s="14" t="s">
        <v>233</v>
      </c>
      <c r="E96" s="13" t="s">
        <v>592</v>
      </c>
      <c r="F96" s="14" t="s">
        <v>33</v>
      </c>
      <c r="G96" s="14" t="s">
        <v>469</v>
      </c>
      <c r="H96" s="14" t="s">
        <v>580</v>
      </c>
      <c r="I96" s="20">
        <v>45884</v>
      </c>
      <c r="J96" s="14" t="s">
        <v>214</v>
      </c>
      <c r="K96" s="14" t="s">
        <v>37</v>
      </c>
      <c r="L96" s="14" t="s">
        <v>593</v>
      </c>
      <c r="M96" s="11" t="s">
        <v>594</v>
      </c>
      <c r="N96" s="19">
        <v>45860</v>
      </c>
    </row>
    <row r="97" spans="1:14" x14ac:dyDescent="0.25">
      <c r="A97" s="29">
        <v>96</v>
      </c>
      <c r="B97" s="1" t="s">
        <v>48</v>
      </c>
      <c r="C97" s="19">
        <v>45815</v>
      </c>
      <c r="D97" s="14" t="s">
        <v>391</v>
      </c>
      <c r="E97" s="13" t="s">
        <v>595</v>
      </c>
      <c r="F97" s="14" t="s">
        <v>33</v>
      </c>
      <c r="G97" s="14" t="s">
        <v>596</v>
      </c>
      <c r="H97" s="14" t="s">
        <v>597</v>
      </c>
      <c r="I97" s="20">
        <v>45833</v>
      </c>
      <c r="J97" s="14" t="s">
        <v>598</v>
      </c>
      <c r="K97" s="14" t="s">
        <v>37</v>
      </c>
      <c r="L97" s="14" t="s">
        <v>599</v>
      </c>
      <c r="M97" s="11" t="s">
        <v>600</v>
      </c>
      <c r="N97" s="19">
        <v>45870</v>
      </c>
    </row>
    <row r="98" spans="1:14" x14ac:dyDescent="0.25">
      <c r="A98" s="29">
        <v>97</v>
      </c>
      <c r="B98" s="1" t="s">
        <v>252</v>
      </c>
      <c r="C98" s="19">
        <v>45803</v>
      </c>
      <c r="D98" s="14" t="s">
        <v>79</v>
      </c>
      <c r="E98" s="13" t="s">
        <v>601</v>
      </c>
      <c r="F98" s="14" t="s">
        <v>33</v>
      </c>
      <c r="G98" s="14" t="s">
        <v>164</v>
      </c>
      <c r="H98" s="14" t="s">
        <v>256</v>
      </c>
      <c r="I98" s="20">
        <v>45882</v>
      </c>
      <c r="J98" s="14" t="s">
        <v>602</v>
      </c>
      <c r="K98" s="14" t="s">
        <v>37</v>
      </c>
      <c r="L98" s="14" t="s">
        <v>603</v>
      </c>
      <c r="M98" s="11" t="s">
        <v>604</v>
      </c>
      <c r="N98" s="19">
        <v>45866</v>
      </c>
    </row>
    <row r="99" spans="1:14" x14ac:dyDescent="0.25">
      <c r="A99" s="29">
        <v>98</v>
      </c>
      <c r="B99" s="1" t="s">
        <v>466</v>
      </c>
      <c r="C99" s="19">
        <v>45729</v>
      </c>
      <c r="D99" s="14" t="s">
        <v>56</v>
      </c>
      <c r="E99" s="13" t="s">
        <v>605</v>
      </c>
      <c r="F99" s="14" t="s">
        <v>89</v>
      </c>
      <c r="G99" s="14" t="s">
        <v>606</v>
      </c>
      <c r="H99" s="14" t="s">
        <v>453</v>
      </c>
      <c r="I99" s="20">
        <v>45792</v>
      </c>
      <c r="J99" s="14" t="s">
        <v>607</v>
      </c>
      <c r="K99" s="14" t="s">
        <v>37</v>
      </c>
      <c r="L99" s="14" t="s">
        <v>608</v>
      </c>
      <c r="M99" s="11" t="s">
        <v>609</v>
      </c>
      <c r="N99" s="19">
        <v>45858</v>
      </c>
    </row>
    <row r="100" spans="1:14" x14ac:dyDescent="0.25">
      <c r="A100" s="29">
        <v>99</v>
      </c>
      <c r="B100" s="1" t="s">
        <v>610</v>
      </c>
      <c r="C100" s="25">
        <v>45794</v>
      </c>
      <c r="D100" s="26" t="s">
        <v>611</v>
      </c>
      <c r="E100" s="13" t="s">
        <v>612</v>
      </c>
      <c r="F100" s="26" t="s">
        <v>33</v>
      </c>
      <c r="G100" s="26" t="s">
        <v>497</v>
      </c>
      <c r="H100" s="26" t="s">
        <v>557</v>
      </c>
      <c r="I100" s="27">
        <v>45856</v>
      </c>
      <c r="J100" s="26" t="s">
        <v>613</v>
      </c>
      <c r="K100" s="26" t="s">
        <v>37</v>
      </c>
      <c r="L100" s="26" t="s">
        <v>614</v>
      </c>
      <c r="M100" s="28" t="s">
        <v>615</v>
      </c>
      <c r="N100" s="25">
        <v>45880</v>
      </c>
    </row>
    <row r="101" spans="1:14" x14ac:dyDescent="0.25">
      <c r="A101" s="29">
        <v>100</v>
      </c>
      <c r="B101" s="1" t="s">
        <v>71</v>
      </c>
      <c r="C101" s="19">
        <v>45942</v>
      </c>
      <c r="D101" s="14" t="s">
        <v>444</v>
      </c>
      <c r="E101" s="13" t="s">
        <v>616</v>
      </c>
      <c r="F101" s="14" t="s">
        <v>33</v>
      </c>
      <c r="G101" s="14" t="s">
        <v>337</v>
      </c>
      <c r="H101" s="14" t="s">
        <v>427</v>
      </c>
      <c r="I101" s="20">
        <v>45968</v>
      </c>
      <c r="J101" s="14" t="s">
        <v>617</v>
      </c>
      <c r="K101" s="14" t="s">
        <v>37</v>
      </c>
      <c r="L101" s="14" t="s">
        <v>618</v>
      </c>
      <c r="M101" s="11" t="s">
        <v>619</v>
      </c>
      <c r="N101" s="19">
        <v>45878</v>
      </c>
    </row>
    <row r="102" spans="1:14" x14ac:dyDescent="0.25">
      <c r="A102" s="29">
        <v>101</v>
      </c>
      <c r="B102" s="1" t="s">
        <v>620</v>
      </c>
      <c r="C102" s="19">
        <v>45910</v>
      </c>
      <c r="D102" s="14" t="s">
        <v>246</v>
      </c>
      <c r="E102" s="13" t="s">
        <v>621</v>
      </c>
      <c r="F102" s="14" t="s">
        <v>33</v>
      </c>
      <c r="G102" s="14" t="s">
        <v>43</v>
      </c>
      <c r="H102" s="14" t="s">
        <v>127</v>
      </c>
      <c r="I102" s="20">
        <v>45999</v>
      </c>
      <c r="J102" s="14" t="s">
        <v>622</v>
      </c>
      <c r="K102" s="14" t="s">
        <v>37</v>
      </c>
      <c r="L102" s="14" t="s">
        <v>623</v>
      </c>
      <c r="M102" s="11" t="s">
        <v>624</v>
      </c>
      <c r="N102" s="19">
        <v>45895</v>
      </c>
    </row>
    <row r="103" spans="1:14" x14ac:dyDescent="0.25">
      <c r="A103" s="29">
        <v>102</v>
      </c>
      <c r="B103" s="1" t="s">
        <v>63</v>
      </c>
      <c r="C103" s="30">
        <v>45912</v>
      </c>
      <c r="D103" s="14" t="s">
        <v>552</v>
      </c>
      <c r="E103" s="13" t="s">
        <v>625</v>
      </c>
      <c r="F103" s="14" t="s">
        <v>33</v>
      </c>
      <c r="G103" s="14" t="s">
        <v>179</v>
      </c>
      <c r="H103" s="14" t="s">
        <v>421</v>
      </c>
      <c r="I103" s="20">
        <v>45979</v>
      </c>
      <c r="J103" s="14" t="s">
        <v>107</v>
      </c>
      <c r="K103" s="14" t="s">
        <v>37</v>
      </c>
      <c r="L103" s="14" t="s">
        <v>626</v>
      </c>
      <c r="M103" s="11" t="s">
        <v>627</v>
      </c>
      <c r="N103" s="19">
        <v>45894</v>
      </c>
    </row>
    <row r="104" spans="1:14" x14ac:dyDescent="0.25">
      <c r="A104" s="29">
        <v>103</v>
      </c>
      <c r="B104" s="1" t="s">
        <v>205</v>
      </c>
      <c r="C104" s="19">
        <v>45743</v>
      </c>
      <c r="D104" s="14" t="s">
        <v>285</v>
      </c>
      <c r="E104" s="13" t="s">
        <v>628</v>
      </c>
      <c r="F104" s="14" t="s">
        <v>89</v>
      </c>
      <c r="G104" s="14" t="s">
        <v>208</v>
      </c>
      <c r="H104" s="14" t="s">
        <v>415</v>
      </c>
      <c r="I104" s="20">
        <v>45808</v>
      </c>
      <c r="J104" s="14" t="s">
        <v>236</v>
      </c>
      <c r="K104" s="14" t="s">
        <v>37</v>
      </c>
      <c r="L104" s="14" t="s">
        <v>629</v>
      </c>
      <c r="M104" s="11" t="s">
        <v>630</v>
      </c>
      <c r="N104" s="19">
        <v>45846</v>
      </c>
    </row>
    <row r="105" spans="1:14" x14ac:dyDescent="0.25">
      <c r="A105" s="29">
        <v>104</v>
      </c>
      <c r="B105" s="1" t="s">
        <v>631</v>
      </c>
      <c r="C105" s="19">
        <v>45749</v>
      </c>
      <c r="D105" s="14" t="s">
        <v>41</v>
      </c>
      <c r="E105" s="13" t="s">
        <v>632</v>
      </c>
      <c r="F105" s="14" t="s">
        <v>89</v>
      </c>
      <c r="G105" s="14" t="s">
        <v>513</v>
      </c>
      <c r="H105" s="14" t="s">
        <v>235</v>
      </c>
      <c r="I105" s="20">
        <v>45786</v>
      </c>
      <c r="J105" s="14" t="s">
        <v>602</v>
      </c>
      <c r="K105" s="14" t="s">
        <v>37</v>
      </c>
      <c r="L105" s="14" t="s">
        <v>633</v>
      </c>
      <c r="M105" s="11" t="s">
        <v>634</v>
      </c>
      <c r="N105" s="19">
        <v>45862</v>
      </c>
    </row>
    <row r="106" spans="1:14" x14ac:dyDescent="0.25">
      <c r="A106" s="29">
        <v>105</v>
      </c>
      <c r="B106" s="1" t="s">
        <v>635</v>
      </c>
      <c r="C106" s="19">
        <v>45800</v>
      </c>
      <c r="D106" s="14" t="s">
        <v>267</v>
      </c>
      <c r="E106" s="13" t="s">
        <v>636</v>
      </c>
      <c r="F106" s="14" t="s">
        <v>89</v>
      </c>
      <c r="G106" s="14" t="s">
        <v>561</v>
      </c>
      <c r="H106" s="14" t="s">
        <v>453</v>
      </c>
      <c r="I106" s="20">
        <v>45873</v>
      </c>
      <c r="J106" s="14" t="s">
        <v>637</v>
      </c>
      <c r="K106" s="14" t="s">
        <v>37</v>
      </c>
      <c r="L106" s="14" t="s">
        <v>638</v>
      </c>
      <c r="M106" s="11" t="s">
        <v>639</v>
      </c>
      <c r="N106" s="19">
        <v>45878</v>
      </c>
    </row>
    <row r="107" spans="1:14" x14ac:dyDescent="0.25">
      <c r="A107" s="29">
        <v>106</v>
      </c>
      <c r="B107" s="1" t="s">
        <v>437</v>
      </c>
      <c r="C107" s="30">
        <v>45819</v>
      </c>
      <c r="D107" s="14" t="s">
        <v>363</v>
      </c>
      <c r="E107" s="13" t="s">
        <v>640</v>
      </c>
      <c r="F107" s="14" t="s">
        <v>89</v>
      </c>
      <c r="G107" s="14" t="s">
        <v>187</v>
      </c>
      <c r="H107" s="14" t="s">
        <v>641</v>
      </c>
      <c r="I107" s="20">
        <v>45937</v>
      </c>
      <c r="J107" s="14" t="s">
        <v>562</v>
      </c>
      <c r="K107" s="14" t="s">
        <v>37</v>
      </c>
      <c r="L107" s="14" t="s">
        <v>642</v>
      </c>
      <c r="M107" s="11" t="s">
        <v>643</v>
      </c>
      <c r="N107" s="19">
        <v>45895</v>
      </c>
    </row>
    <row r="108" spans="1:14" x14ac:dyDescent="0.25">
      <c r="A108" s="29">
        <v>107</v>
      </c>
      <c r="B108" s="1" t="s">
        <v>610</v>
      </c>
      <c r="C108" s="19">
        <v>45778</v>
      </c>
      <c r="D108" s="14" t="s">
        <v>387</v>
      </c>
      <c r="E108" s="13" t="s">
        <v>644</v>
      </c>
      <c r="F108" s="14" t="s">
        <v>33</v>
      </c>
      <c r="G108" s="14" t="s">
        <v>120</v>
      </c>
      <c r="H108" s="14" t="s">
        <v>99</v>
      </c>
      <c r="I108" s="20">
        <v>45790</v>
      </c>
      <c r="J108" s="14" t="s">
        <v>645</v>
      </c>
      <c r="K108" s="14" t="s">
        <v>37</v>
      </c>
      <c r="L108" s="14" t="s">
        <v>646</v>
      </c>
      <c r="M108" s="11" t="s">
        <v>647</v>
      </c>
      <c r="N108" s="19">
        <v>45844</v>
      </c>
    </row>
    <row r="109" spans="1:14" x14ac:dyDescent="0.25">
      <c r="A109" s="29">
        <v>108</v>
      </c>
      <c r="B109" s="1" t="s">
        <v>125</v>
      </c>
      <c r="C109" s="19">
        <v>45735</v>
      </c>
      <c r="D109" s="14" t="s">
        <v>648</v>
      </c>
      <c r="E109" s="13" t="s">
        <v>649</v>
      </c>
      <c r="F109" s="14" t="s">
        <v>33</v>
      </c>
      <c r="G109" s="14" t="s">
        <v>337</v>
      </c>
      <c r="H109" s="14" t="s">
        <v>59</v>
      </c>
      <c r="I109" s="20">
        <v>45767</v>
      </c>
      <c r="J109" s="14" t="s">
        <v>422</v>
      </c>
      <c r="K109" s="14" t="s">
        <v>37</v>
      </c>
      <c r="L109" s="14" t="s">
        <v>650</v>
      </c>
      <c r="M109" s="11" t="s">
        <v>651</v>
      </c>
      <c r="N109" s="19">
        <v>45872</v>
      </c>
    </row>
    <row r="110" spans="1:14" x14ac:dyDescent="0.25">
      <c r="A110" s="29">
        <v>109</v>
      </c>
      <c r="B110" s="1" t="s">
        <v>652</v>
      </c>
      <c r="C110" s="19">
        <v>45865</v>
      </c>
      <c r="D110" s="14" t="s">
        <v>363</v>
      </c>
      <c r="E110" s="13" t="s">
        <v>653</v>
      </c>
      <c r="F110" s="14" t="s">
        <v>33</v>
      </c>
      <c r="G110" s="14" t="s">
        <v>269</v>
      </c>
      <c r="H110" s="14" t="s">
        <v>654</v>
      </c>
      <c r="I110" s="20">
        <v>45873</v>
      </c>
      <c r="J110" s="14" t="s">
        <v>655</v>
      </c>
      <c r="K110" s="14" t="s">
        <v>37</v>
      </c>
      <c r="L110" s="14" t="s">
        <v>656</v>
      </c>
      <c r="M110" s="11" t="s">
        <v>657</v>
      </c>
      <c r="N110" s="19">
        <v>45852</v>
      </c>
    </row>
    <row r="111" spans="1:14" x14ac:dyDescent="0.25">
      <c r="A111" s="29">
        <v>110</v>
      </c>
      <c r="B111" s="1" t="s">
        <v>516</v>
      </c>
      <c r="C111" s="19">
        <v>45874</v>
      </c>
      <c r="D111" s="14" t="s">
        <v>552</v>
      </c>
      <c r="E111" s="13" t="s">
        <v>658</v>
      </c>
      <c r="F111" s="14" t="s">
        <v>33</v>
      </c>
      <c r="G111" s="14" t="s">
        <v>187</v>
      </c>
      <c r="H111" s="14" t="s">
        <v>121</v>
      </c>
      <c r="I111" s="20">
        <v>45926</v>
      </c>
      <c r="J111" s="14" t="s">
        <v>659</v>
      </c>
      <c r="K111" s="14" t="s">
        <v>37</v>
      </c>
      <c r="L111" s="14" t="s">
        <v>660</v>
      </c>
      <c r="M111" s="11" t="s">
        <v>661</v>
      </c>
      <c r="N111" s="19">
        <v>45873</v>
      </c>
    </row>
    <row r="112" spans="1:14" x14ac:dyDescent="0.25">
      <c r="A112" s="29">
        <v>111</v>
      </c>
      <c r="B112" s="1" t="s">
        <v>153</v>
      </c>
      <c r="C112" s="19">
        <v>45670</v>
      </c>
      <c r="D112" s="14" t="s">
        <v>374</v>
      </c>
      <c r="E112" s="13" t="s">
        <v>662</v>
      </c>
      <c r="F112" s="14" t="s">
        <v>33</v>
      </c>
      <c r="G112" s="14" t="s">
        <v>208</v>
      </c>
      <c r="H112" s="14" t="s">
        <v>196</v>
      </c>
      <c r="I112" s="20">
        <v>45679</v>
      </c>
      <c r="J112" s="14" t="s">
        <v>663</v>
      </c>
      <c r="K112" s="14" t="s">
        <v>37</v>
      </c>
      <c r="L112" s="14" t="s">
        <v>664</v>
      </c>
      <c r="M112" s="11" t="s">
        <v>665</v>
      </c>
      <c r="N112" s="19">
        <v>45844</v>
      </c>
    </row>
    <row r="113" spans="1:14" x14ac:dyDescent="0.25">
      <c r="A113" s="29">
        <v>112</v>
      </c>
      <c r="B113" s="1" t="s">
        <v>666</v>
      </c>
      <c r="C113" s="19">
        <v>45874</v>
      </c>
      <c r="D113" s="14" t="s">
        <v>467</v>
      </c>
      <c r="E113" s="13" t="s">
        <v>667</v>
      </c>
      <c r="F113" s="14" t="s">
        <v>89</v>
      </c>
      <c r="G113" s="14" t="s">
        <v>227</v>
      </c>
      <c r="H113" s="14" t="s">
        <v>580</v>
      </c>
      <c r="I113" s="20">
        <v>45982</v>
      </c>
      <c r="J113" s="14" t="s">
        <v>668</v>
      </c>
      <c r="K113" s="14" t="s">
        <v>37</v>
      </c>
      <c r="L113" s="14" t="s">
        <v>669</v>
      </c>
      <c r="M113" s="11" t="s">
        <v>670</v>
      </c>
      <c r="N113" s="19">
        <v>45897</v>
      </c>
    </row>
    <row r="114" spans="1:14" x14ac:dyDescent="0.25">
      <c r="A114" s="29">
        <v>113</v>
      </c>
      <c r="B114" s="1" t="s">
        <v>671</v>
      </c>
      <c r="C114" s="19">
        <v>45783</v>
      </c>
      <c r="D114" s="14" t="s">
        <v>49</v>
      </c>
      <c r="E114" s="13" t="s">
        <v>672</v>
      </c>
      <c r="F114" s="14" t="s">
        <v>33</v>
      </c>
      <c r="G114" s="14" t="s">
        <v>337</v>
      </c>
      <c r="H114" s="14" t="s">
        <v>427</v>
      </c>
      <c r="I114" s="20">
        <v>45863</v>
      </c>
      <c r="J114" s="14" t="s">
        <v>673</v>
      </c>
      <c r="K114" s="14" t="s">
        <v>37</v>
      </c>
      <c r="L114" s="14" t="s">
        <v>674</v>
      </c>
      <c r="M114" s="11" t="s">
        <v>675</v>
      </c>
      <c r="N114" s="19">
        <v>45862</v>
      </c>
    </row>
    <row r="115" spans="1:14" x14ac:dyDescent="0.25">
      <c r="A115" s="29">
        <v>114</v>
      </c>
      <c r="B115" s="1" t="s">
        <v>437</v>
      </c>
      <c r="C115" s="19">
        <v>45945</v>
      </c>
      <c r="D115" s="14" t="s">
        <v>351</v>
      </c>
      <c r="E115" s="13" t="s">
        <v>676</v>
      </c>
      <c r="F115" s="14" t="s">
        <v>89</v>
      </c>
      <c r="G115" s="14" t="s">
        <v>490</v>
      </c>
      <c r="H115" s="14" t="s">
        <v>188</v>
      </c>
      <c r="I115" s="20">
        <v>45955</v>
      </c>
      <c r="J115" s="14" t="s">
        <v>45</v>
      </c>
      <c r="K115" s="14" t="s">
        <v>37</v>
      </c>
      <c r="L115" s="14" t="s">
        <v>677</v>
      </c>
      <c r="M115" s="11" t="s">
        <v>678</v>
      </c>
      <c r="N115" s="19">
        <v>45850</v>
      </c>
    </row>
    <row r="116" spans="1:14" x14ac:dyDescent="0.25">
      <c r="A116" s="29">
        <v>115</v>
      </c>
      <c r="B116" s="1" t="s">
        <v>48</v>
      </c>
      <c r="C116" s="19">
        <v>45679</v>
      </c>
      <c r="D116" s="14" t="s">
        <v>154</v>
      </c>
      <c r="E116" s="13" t="s">
        <v>679</v>
      </c>
      <c r="F116" s="14" t="s">
        <v>33</v>
      </c>
      <c r="G116" s="14" t="s">
        <v>34</v>
      </c>
      <c r="H116" s="14" t="s">
        <v>597</v>
      </c>
      <c r="I116" s="20">
        <v>45704</v>
      </c>
      <c r="J116" s="14" t="s">
        <v>354</v>
      </c>
      <c r="K116" s="14" t="s">
        <v>37</v>
      </c>
      <c r="L116" s="14" t="s">
        <v>680</v>
      </c>
      <c r="M116" s="11" t="s">
        <v>681</v>
      </c>
      <c r="N116" s="19">
        <v>45888</v>
      </c>
    </row>
    <row r="117" spans="1:14" x14ac:dyDescent="0.25">
      <c r="A117" s="29">
        <v>116</v>
      </c>
      <c r="B117" s="1" t="s">
        <v>532</v>
      </c>
      <c r="C117" s="34">
        <v>45928</v>
      </c>
      <c r="D117" s="14" t="s">
        <v>480</v>
      </c>
      <c r="E117" s="13" t="s">
        <v>682</v>
      </c>
      <c r="F117" s="14" t="s">
        <v>33</v>
      </c>
      <c r="G117" s="12" t="s">
        <v>179</v>
      </c>
      <c r="H117" s="12" t="s">
        <v>180</v>
      </c>
      <c r="I117" s="34">
        <v>45960</v>
      </c>
      <c r="J117" s="14" t="s">
        <v>683</v>
      </c>
      <c r="K117" s="14" t="s">
        <v>37</v>
      </c>
      <c r="L117" s="14" t="s">
        <v>684</v>
      </c>
      <c r="M117" s="14" t="s">
        <v>685</v>
      </c>
      <c r="N117" s="19">
        <v>45881</v>
      </c>
    </row>
    <row r="118" spans="1:14" x14ac:dyDescent="0.25">
      <c r="A118" s="29">
        <v>117</v>
      </c>
      <c r="B118" s="1" t="s">
        <v>686</v>
      </c>
      <c r="C118" s="34">
        <v>45947</v>
      </c>
      <c r="D118" s="12" t="s">
        <v>170</v>
      </c>
      <c r="E118" s="13" t="s">
        <v>687</v>
      </c>
      <c r="F118" s="14" t="s">
        <v>33</v>
      </c>
      <c r="G118" s="12" t="s">
        <v>255</v>
      </c>
      <c r="H118" s="12" t="s">
        <v>376</v>
      </c>
      <c r="I118" s="34">
        <v>46053</v>
      </c>
      <c r="J118" s="12" t="s">
        <v>257</v>
      </c>
      <c r="K118" s="14" t="s">
        <v>37</v>
      </c>
      <c r="L118" s="14" t="s">
        <v>688</v>
      </c>
      <c r="M118" s="14" t="s">
        <v>689</v>
      </c>
      <c r="N118" s="19">
        <v>45870</v>
      </c>
    </row>
    <row r="119" spans="1:14" ht="30" customHeight="1" x14ac:dyDescent="0.25">
      <c r="A119" s="29">
        <v>118</v>
      </c>
      <c r="B119" s="1" t="s">
        <v>153</v>
      </c>
      <c r="C119" s="34">
        <v>45765</v>
      </c>
      <c r="D119" s="12" t="s">
        <v>292</v>
      </c>
      <c r="E119" s="13" t="s">
        <v>690</v>
      </c>
      <c r="F119" s="14" t="s">
        <v>33</v>
      </c>
      <c r="G119" s="12" t="s">
        <v>691</v>
      </c>
      <c r="H119" s="12" t="s">
        <v>288</v>
      </c>
      <c r="I119" s="34">
        <v>45824</v>
      </c>
      <c r="J119" s="12" t="s">
        <v>181</v>
      </c>
      <c r="K119" s="14" t="s">
        <v>37</v>
      </c>
      <c r="L119" s="14" t="s">
        <v>692</v>
      </c>
      <c r="M119" s="14" t="s">
        <v>693</v>
      </c>
      <c r="N119" s="19">
        <v>45879</v>
      </c>
    </row>
    <row r="120" spans="1:14" x14ac:dyDescent="0.25">
      <c r="A120" s="29">
        <v>119</v>
      </c>
      <c r="B120" s="1" t="s">
        <v>694</v>
      </c>
      <c r="C120" s="34">
        <v>45887</v>
      </c>
      <c r="D120" s="12" t="s">
        <v>218</v>
      </c>
      <c r="E120" s="13" t="s">
        <v>695</v>
      </c>
      <c r="F120" s="14" t="s">
        <v>89</v>
      </c>
      <c r="G120" s="12" t="s">
        <v>220</v>
      </c>
      <c r="H120" s="12" t="s">
        <v>421</v>
      </c>
      <c r="I120" s="34">
        <v>45936</v>
      </c>
      <c r="J120" s="12" t="s">
        <v>60</v>
      </c>
      <c r="K120" s="14" t="s">
        <v>37</v>
      </c>
      <c r="L120" s="14" t="s">
        <v>696</v>
      </c>
      <c r="M120" s="14" t="s">
        <v>697</v>
      </c>
      <c r="N120" s="19">
        <v>45844</v>
      </c>
    </row>
    <row r="121" spans="1:14" x14ac:dyDescent="0.25">
      <c r="A121" s="29">
        <v>120</v>
      </c>
      <c r="B121" s="1" t="s">
        <v>419</v>
      </c>
      <c r="C121" s="34">
        <v>45686</v>
      </c>
      <c r="D121" s="12" t="s">
        <v>391</v>
      </c>
      <c r="E121" s="13" t="s">
        <v>698</v>
      </c>
      <c r="F121" s="14" t="s">
        <v>33</v>
      </c>
      <c r="G121" s="12" t="s">
        <v>310</v>
      </c>
      <c r="H121" s="12" t="s">
        <v>180</v>
      </c>
      <c r="I121" s="34">
        <v>45704</v>
      </c>
      <c r="J121" s="12" t="s">
        <v>699</v>
      </c>
      <c r="K121" s="14" t="s">
        <v>37</v>
      </c>
      <c r="L121" s="14" t="s">
        <v>700</v>
      </c>
      <c r="M121" s="14" t="s">
        <v>701</v>
      </c>
      <c r="N121" s="19">
        <v>45898</v>
      </c>
    </row>
    <row r="122" spans="1:14" x14ac:dyDescent="0.25">
      <c r="A122" s="29">
        <v>121</v>
      </c>
      <c r="B122" s="1" t="s">
        <v>666</v>
      </c>
      <c r="C122" s="34">
        <v>45768</v>
      </c>
      <c r="D122" s="12" t="s">
        <v>253</v>
      </c>
      <c r="E122" s="13" t="s">
        <v>702</v>
      </c>
      <c r="F122" s="14" t="s">
        <v>89</v>
      </c>
      <c r="G122" s="12" t="s">
        <v>561</v>
      </c>
      <c r="H122" s="12" t="s">
        <v>703</v>
      </c>
      <c r="I122" s="34">
        <v>45805</v>
      </c>
      <c r="J122" s="12" t="s">
        <v>135</v>
      </c>
      <c r="K122" s="14" t="s">
        <v>37</v>
      </c>
      <c r="L122" s="14" t="s">
        <v>704</v>
      </c>
      <c r="M122" s="14" t="s">
        <v>705</v>
      </c>
      <c r="N122" s="19">
        <v>45853</v>
      </c>
    </row>
    <row r="123" spans="1:14" ht="30" customHeight="1" x14ac:dyDescent="0.25">
      <c r="A123" s="29">
        <v>122</v>
      </c>
      <c r="B123" s="1" t="s">
        <v>117</v>
      </c>
      <c r="C123" s="34">
        <v>45701</v>
      </c>
      <c r="D123" s="12" t="s">
        <v>706</v>
      </c>
      <c r="E123" s="13" t="s">
        <v>707</v>
      </c>
      <c r="F123" s="14" t="s">
        <v>33</v>
      </c>
      <c r="G123" s="12" t="s">
        <v>98</v>
      </c>
      <c r="H123" s="12" t="s">
        <v>383</v>
      </c>
      <c r="I123" s="34">
        <v>45738</v>
      </c>
      <c r="J123" s="12" t="s">
        <v>428</v>
      </c>
      <c r="K123" s="14" t="s">
        <v>37</v>
      </c>
      <c r="L123" s="14" t="s">
        <v>708</v>
      </c>
      <c r="M123" s="14" t="s">
        <v>709</v>
      </c>
      <c r="N123" s="19">
        <v>45841</v>
      </c>
    </row>
    <row r="124" spans="1:14" x14ac:dyDescent="0.25">
      <c r="A124" s="29">
        <v>123</v>
      </c>
      <c r="B124" s="1" t="s">
        <v>710</v>
      </c>
      <c r="C124" s="19">
        <v>45709</v>
      </c>
      <c r="D124" s="14" t="s">
        <v>111</v>
      </c>
      <c r="E124" s="13" t="s">
        <v>711</v>
      </c>
      <c r="F124" s="14" t="s">
        <v>89</v>
      </c>
      <c r="G124" s="14" t="s">
        <v>712</v>
      </c>
      <c r="H124" s="14" t="s">
        <v>317</v>
      </c>
      <c r="I124" s="20">
        <v>45797</v>
      </c>
      <c r="J124" s="14" t="s">
        <v>598</v>
      </c>
      <c r="K124" s="14" t="s">
        <v>37</v>
      </c>
      <c r="L124" s="14" t="s">
        <v>713</v>
      </c>
      <c r="M124" s="11" t="s">
        <v>714</v>
      </c>
      <c r="N124" s="19">
        <v>45851</v>
      </c>
    </row>
    <row r="125" spans="1:14" ht="30" customHeight="1" x14ac:dyDescent="0.25">
      <c r="A125" s="29">
        <v>124</v>
      </c>
      <c r="B125" s="1" t="s">
        <v>30</v>
      </c>
      <c r="C125" s="34">
        <v>45811</v>
      </c>
      <c r="D125" s="12" t="s">
        <v>308</v>
      </c>
      <c r="E125" s="13" t="s">
        <v>715</v>
      </c>
      <c r="F125" s="14" t="s">
        <v>33</v>
      </c>
      <c r="G125" s="12" t="s">
        <v>248</v>
      </c>
      <c r="H125" s="12" t="s">
        <v>51</v>
      </c>
      <c r="I125" s="19">
        <v>45898</v>
      </c>
      <c r="J125" s="14" t="s">
        <v>263</v>
      </c>
      <c r="K125" s="14" t="s">
        <v>37</v>
      </c>
      <c r="L125" s="14" t="s">
        <v>716</v>
      </c>
      <c r="M125" s="14" t="s">
        <v>717</v>
      </c>
      <c r="N125" s="19">
        <v>45849</v>
      </c>
    </row>
    <row r="126" spans="1:14" x14ac:dyDescent="0.25">
      <c r="A126" s="29">
        <v>125</v>
      </c>
      <c r="B126" s="1" t="s">
        <v>710</v>
      </c>
      <c r="C126" s="34">
        <v>45699</v>
      </c>
      <c r="D126" s="12" t="s">
        <v>332</v>
      </c>
      <c r="E126" s="13" t="s">
        <v>718</v>
      </c>
      <c r="F126" s="14" t="s">
        <v>89</v>
      </c>
      <c r="G126" s="12" t="s">
        <v>316</v>
      </c>
      <c r="H126" s="12" t="s">
        <v>719</v>
      </c>
      <c r="I126" s="19">
        <v>45721</v>
      </c>
      <c r="J126" s="12" t="s">
        <v>720</v>
      </c>
      <c r="K126" s="14" t="s">
        <v>37</v>
      </c>
      <c r="L126" s="14" t="s">
        <v>721</v>
      </c>
      <c r="M126" s="14" t="s">
        <v>722</v>
      </c>
      <c r="N126" s="19">
        <v>45883</v>
      </c>
    </row>
    <row r="127" spans="1:14" x14ac:dyDescent="0.25">
      <c r="A127" s="29">
        <v>126</v>
      </c>
      <c r="B127" s="1" t="s">
        <v>723</v>
      </c>
      <c r="C127" s="34">
        <v>45945</v>
      </c>
      <c r="D127" s="12" t="s">
        <v>340</v>
      </c>
      <c r="E127" s="13" t="s">
        <v>724</v>
      </c>
      <c r="F127" s="14" t="s">
        <v>89</v>
      </c>
      <c r="G127" s="12" t="s">
        <v>74</v>
      </c>
      <c r="H127" s="12" t="s">
        <v>127</v>
      </c>
      <c r="I127" s="19">
        <v>46061</v>
      </c>
      <c r="J127" s="14" t="s">
        <v>725</v>
      </c>
      <c r="K127" s="14" t="s">
        <v>37</v>
      </c>
      <c r="L127" s="14" t="s">
        <v>726</v>
      </c>
      <c r="M127" s="14" t="s">
        <v>727</v>
      </c>
      <c r="N127" s="19">
        <v>45843</v>
      </c>
    </row>
    <row r="128" spans="1:14" x14ac:dyDescent="0.25">
      <c r="A128" s="29">
        <v>127</v>
      </c>
      <c r="B128" s="1" t="s">
        <v>274</v>
      </c>
      <c r="C128" s="34">
        <v>45736</v>
      </c>
      <c r="D128" s="12" t="s">
        <v>728</v>
      </c>
      <c r="E128" s="13" t="s">
        <v>729</v>
      </c>
      <c r="F128" s="14" t="s">
        <v>89</v>
      </c>
      <c r="G128" s="12" t="s">
        <v>66</v>
      </c>
      <c r="H128" s="12" t="s">
        <v>421</v>
      </c>
      <c r="I128" s="19">
        <v>45837</v>
      </c>
      <c r="J128" s="14" t="s">
        <v>52</v>
      </c>
      <c r="K128" s="14" t="s">
        <v>37</v>
      </c>
      <c r="L128" s="14" t="s">
        <v>730</v>
      </c>
      <c r="M128" s="14" t="s">
        <v>731</v>
      </c>
      <c r="N128" s="19">
        <v>45862</v>
      </c>
    </row>
    <row r="129" spans="1:14" x14ac:dyDescent="0.25">
      <c r="A129" s="29">
        <v>128</v>
      </c>
      <c r="B129" s="1" t="s">
        <v>325</v>
      </c>
      <c r="C129" s="34">
        <v>45828</v>
      </c>
      <c r="D129" s="12" t="s">
        <v>480</v>
      </c>
      <c r="E129" s="13" t="s">
        <v>732</v>
      </c>
      <c r="F129" s="14" t="s">
        <v>89</v>
      </c>
      <c r="G129" s="12" t="s">
        <v>81</v>
      </c>
      <c r="H129" s="12" t="s">
        <v>311</v>
      </c>
      <c r="I129" s="19">
        <v>45844</v>
      </c>
      <c r="J129" s="14" t="s">
        <v>463</v>
      </c>
      <c r="K129" s="14" t="s">
        <v>37</v>
      </c>
      <c r="L129" s="14" t="s">
        <v>733</v>
      </c>
      <c r="M129" s="14" t="s">
        <v>734</v>
      </c>
      <c r="N129" s="19">
        <v>45844</v>
      </c>
    </row>
    <row r="130" spans="1:14" ht="30" customHeight="1" x14ac:dyDescent="0.25">
      <c r="A130" s="29">
        <v>129</v>
      </c>
      <c r="B130" s="1" t="s">
        <v>735</v>
      </c>
      <c r="C130" s="34">
        <v>45838</v>
      </c>
      <c r="D130" s="12" t="s">
        <v>332</v>
      </c>
      <c r="E130" s="13" t="s">
        <v>736</v>
      </c>
      <c r="F130" s="14" t="s">
        <v>89</v>
      </c>
      <c r="G130" s="12" t="s">
        <v>452</v>
      </c>
      <c r="H130" s="12" t="s">
        <v>719</v>
      </c>
      <c r="I130" s="19">
        <v>45918</v>
      </c>
      <c r="J130" s="14" t="s">
        <v>566</v>
      </c>
      <c r="K130" s="14" t="s">
        <v>37</v>
      </c>
      <c r="L130" s="14" t="s">
        <v>737</v>
      </c>
      <c r="M130" s="14" t="s">
        <v>738</v>
      </c>
      <c r="N130" s="19">
        <v>45890</v>
      </c>
    </row>
    <row r="131" spans="1:14" x14ac:dyDescent="0.25">
      <c r="A131" s="29">
        <v>130</v>
      </c>
      <c r="B131" s="1" t="s">
        <v>739</v>
      </c>
      <c r="C131" s="34">
        <v>45900</v>
      </c>
      <c r="D131" s="12" t="s">
        <v>41</v>
      </c>
      <c r="E131" s="13" t="s">
        <v>740</v>
      </c>
      <c r="F131" s="14" t="s">
        <v>89</v>
      </c>
      <c r="G131" s="12" t="s">
        <v>187</v>
      </c>
      <c r="H131" s="12" t="s">
        <v>188</v>
      </c>
      <c r="I131" s="19">
        <v>45984</v>
      </c>
      <c r="J131" s="14" t="s">
        <v>741</v>
      </c>
      <c r="K131" s="14" t="s">
        <v>37</v>
      </c>
      <c r="L131" s="14" t="s">
        <v>742</v>
      </c>
      <c r="M131" s="14" t="s">
        <v>743</v>
      </c>
      <c r="N131" s="19">
        <v>45846</v>
      </c>
    </row>
    <row r="132" spans="1:14" ht="30" customHeight="1" x14ac:dyDescent="0.25">
      <c r="A132" s="29">
        <v>131</v>
      </c>
      <c r="B132" s="1" t="s">
        <v>30</v>
      </c>
      <c r="C132" s="34">
        <v>45953</v>
      </c>
      <c r="D132" s="12" t="s">
        <v>31</v>
      </c>
      <c r="E132" s="13" t="s">
        <v>744</v>
      </c>
      <c r="F132" s="14" t="s">
        <v>33</v>
      </c>
      <c r="G132" s="12" t="s">
        <v>34</v>
      </c>
      <c r="H132" s="12" t="s">
        <v>35</v>
      </c>
      <c r="I132" s="19">
        <v>45959</v>
      </c>
      <c r="J132" s="14" t="s">
        <v>36</v>
      </c>
      <c r="K132" s="14" t="s">
        <v>37</v>
      </c>
      <c r="L132" s="14" t="s">
        <v>38</v>
      </c>
      <c r="M132" s="14" t="s">
        <v>745</v>
      </c>
      <c r="N132" s="19">
        <v>45845</v>
      </c>
    </row>
    <row r="133" spans="1:14" x14ac:dyDescent="0.25">
      <c r="A133" s="29">
        <v>132</v>
      </c>
      <c r="B133" s="1" t="s">
        <v>40</v>
      </c>
      <c r="C133" s="34">
        <v>45774</v>
      </c>
      <c r="D133" s="12" t="s">
        <v>41</v>
      </c>
      <c r="E133" s="13" t="s">
        <v>746</v>
      </c>
      <c r="F133" s="14" t="s">
        <v>33</v>
      </c>
      <c r="G133" s="12" t="s">
        <v>43</v>
      </c>
      <c r="H133" s="12" t="s">
        <v>44</v>
      </c>
      <c r="I133" s="19">
        <v>45805</v>
      </c>
      <c r="J133" s="14" t="s">
        <v>45</v>
      </c>
      <c r="K133" s="14" t="s">
        <v>37</v>
      </c>
      <c r="L133" s="14" t="s">
        <v>46</v>
      </c>
      <c r="M133" s="14" t="s">
        <v>747</v>
      </c>
      <c r="N133" s="19">
        <v>45898</v>
      </c>
    </row>
    <row r="134" spans="1:14" x14ac:dyDescent="0.25">
      <c r="A134" s="29">
        <v>133</v>
      </c>
      <c r="B134" s="1" t="s">
        <v>48</v>
      </c>
      <c r="C134" s="34">
        <v>45936</v>
      </c>
      <c r="D134" s="12" t="s">
        <v>49</v>
      </c>
      <c r="E134" s="13" t="s">
        <v>748</v>
      </c>
      <c r="F134" s="14" t="s">
        <v>33</v>
      </c>
      <c r="G134" s="12" t="s">
        <v>34</v>
      </c>
      <c r="H134" s="12" t="s">
        <v>51</v>
      </c>
      <c r="I134" s="19">
        <v>45992</v>
      </c>
      <c r="J134" s="14" t="s">
        <v>52</v>
      </c>
      <c r="K134" s="14" t="s">
        <v>37</v>
      </c>
      <c r="L134" s="14" t="s">
        <v>53</v>
      </c>
      <c r="M134" s="14" t="s">
        <v>749</v>
      </c>
      <c r="N134" s="19">
        <v>45877</v>
      </c>
    </row>
    <row r="135" spans="1:14" ht="45" customHeight="1" x14ac:dyDescent="0.25">
      <c r="A135" s="29">
        <v>134</v>
      </c>
      <c r="B135" s="1" t="s">
        <v>55</v>
      </c>
      <c r="C135" s="34">
        <v>45743</v>
      </c>
      <c r="D135" s="12" t="s">
        <v>56</v>
      </c>
      <c r="E135" s="13" t="s">
        <v>750</v>
      </c>
      <c r="F135" s="14" t="s">
        <v>33</v>
      </c>
      <c r="G135" s="12" t="s">
        <v>58</v>
      </c>
      <c r="H135" s="12" t="s">
        <v>59</v>
      </c>
      <c r="I135" s="19">
        <v>45754</v>
      </c>
      <c r="J135" s="14" t="s">
        <v>60</v>
      </c>
      <c r="K135" s="14" t="s">
        <v>37</v>
      </c>
      <c r="L135" s="14" t="s">
        <v>61</v>
      </c>
      <c r="M135" s="14" t="s">
        <v>751</v>
      </c>
      <c r="N135" s="19">
        <v>45872</v>
      </c>
    </row>
    <row r="136" spans="1:14" x14ac:dyDescent="0.25">
      <c r="A136" s="29">
        <v>135</v>
      </c>
      <c r="B136" s="1" t="s">
        <v>63</v>
      </c>
      <c r="C136" s="34">
        <v>45950</v>
      </c>
      <c r="D136" s="12" t="s">
        <v>64</v>
      </c>
      <c r="E136" s="13" t="s">
        <v>752</v>
      </c>
      <c r="F136" s="14" t="s">
        <v>33</v>
      </c>
      <c r="G136" s="12" t="s">
        <v>66</v>
      </c>
      <c r="H136" s="12" t="s">
        <v>67</v>
      </c>
      <c r="I136" s="19">
        <v>45969</v>
      </c>
      <c r="J136" s="14" t="s">
        <v>68</v>
      </c>
      <c r="K136" s="14" t="s">
        <v>37</v>
      </c>
      <c r="L136" s="14" t="s">
        <v>69</v>
      </c>
      <c r="M136" s="14" t="s">
        <v>753</v>
      </c>
      <c r="N136" s="19">
        <v>45840</v>
      </c>
    </row>
    <row r="137" spans="1:14" ht="45" customHeight="1" x14ac:dyDescent="0.25">
      <c r="A137" s="29">
        <v>136</v>
      </c>
      <c r="B137" s="1" t="s">
        <v>71</v>
      </c>
      <c r="C137" s="34">
        <v>45659</v>
      </c>
      <c r="D137" s="12" t="s">
        <v>72</v>
      </c>
      <c r="E137" s="13" t="s">
        <v>754</v>
      </c>
      <c r="F137" s="14" t="s">
        <v>33</v>
      </c>
      <c r="G137" s="12" t="s">
        <v>74</v>
      </c>
      <c r="H137" s="12" t="s">
        <v>44</v>
      </c>
      <c r="I137" s="19">
        <v>45686</v>
      </c>
      <c r="J137" s="14" t="s">
        <v>75</v>
      </c>
      <c r="K137" s="14" t="s">
        <v>37</v>
      </c>
      <c r="L137" s="14" t="s">
        <v>76</v>
      </c>
      <c r="M137" s="14" t="s">
        <v>755</v>
      </c>
      <c r="N137" s="19">
        <v>45858</v>
      </c>
    </row>
    <row r="138" spans="1:14" x14ac:dyDescent="0.25">
      <c r="A138" s="29">
        <v>137</v>
      </c>
      <c r="B138" s="1" t="s">
        <v>78</v>
      </c>
      <c r="C138" s="34">
        <v>45841</v>
      </c>
      <c r="D138" s="12" t="s">
        <v>79</v>
      </c>
      <c r="E138" s="13" t="s">
        <v>756</v>
      </c>
      <c r="F138" s="14" t="s">
        <v>33</v>
      </c>
      <c r="G138" s="12" t="s">
        <v>81</v>
      </c>
      <c r="H138" s="12" t="s">
        <v>82</v>
      </c>
      <c r="I138" s="19">
        <v>45924</v>
      </c>
      <c r="J138" s="14" t="s">
        <v>83</v>
      </c>
      <c r="K138" s="14" t="s">
        <v>37</v>
      </c>
      <c r="L138" s="14" t="s">
        <v>84</v>
      </c>
      <c r="M138" s="14" t="s">
        <v>757</v>
      </c>
      <c r="N138" s="19">
        <v>45859</v>
      </c>
    </row>
    <row r="139" spans="1:14" ht="45" customHeight="1" x14ac:dyDescent="0.25">
      <c r="A139" s="29">
        <v>138</v>
      </c>
      <c r="B139" s="1" t="s">
        <v>86</v>
      </c>
      <c r="C139" s="34">
        <v>45835</v>
      </c>
      <c r="D139" s="12" t="s">
        <v>87</v>
      </c>
      <c r="E139" s="13" t="s">
        <v>758</v>
      </c>
      <c r="F139" s="14" t="s">
        <v>89</v>
      </c>
      <c r="G139" s="12" t="s">
        <v>90</v>
      </c>
      <c r="H139" s="12" t="s">
        <v>91</v>
      </c>
      <c r="I139" s="19">
        <v>45893</v>
      </c>
      <c r="J139" s="14" t="s">
        <v>92</v>
      </c>
      <c r="K139" s="14" t="s">
        <v>37</v>
      </c>
      <c r="L139" s="14" t="s">
        <v>93</v>
      </c>
      <c r="M139" s="14" t="s">
        <v>759</v>
      </c>
      <c r="N139" s="19">
        <v>45846</v>
      </c>
    </row>
    <row r="140" spans="1:14" ht="30" customHeight="1" x14ac:dyDescent="0.25">
      <c r="A140" s="29">
        <v>139</v>
      </c>
      <c r="B140" s="1" t="s">
        <v>95</v>
      </c>
      <c r="C140" s="34">
        <v>45926</v>
      </c>
      <c r="D140" s="12" t="s">
        <v>96</v>
      </c>
      <c r="E140" s="13" t="s">
        <v>760</v>
      </c>
      <c r="F140" s="14" t="s">
        <v>89</v>
      </c>
      <c r="G140" s="12" t="s">
        <v>98</v>
      </c>
      <c r="H140" s="12" t="s">
        <v>99</v>
      </c>
      <c r="I140" s="19">
        <v>45969</v>
      </c>
      <c r="J140" s="14" t="s">
        <v>100</v>
      </c>
      <c r="K140" s="14" t="s">
        <v>37</v>
      </c>
      <c r="L140" s="14" t="s">
        <v>101</v>
      </c>
      <c r="M140" s="14" t="s">
        <v>761</v>
      </c>
      <c r="N140" s="19">
        <v>45896</v>
      </c>
    </row>
    <row r="141" spans="1:14" x14ac:dyDescent="0.25">
      <c r="A141" s="29">
        <v>140</v>
      </c>
      <c r="B141" s="1" t="s">
        <v>103</v>
      </c>
      <c r="C141" s="34">
        <v>45663</v>
      </c>
      <c r="D141" s="12" t="s">
        <v>56</v>
      </c>
      <c r="E141" s="13" t="s">
        <v>762</v>
      </c>
      <c r="F141" s="14" t="s">
        <v>33</v>
      </c>
      <c r="G141" s="12" t="s">
        <v>105</v>
      </c>
      <c r="H141" s="12" t="s">
        <v>106</v>
      </c>
      <c r="I141" s="19">
        <v>45730</v>
      </c>
      <c r="J141" s="14" t="s">
        <v>107</v>
      </c>
      <c r="K141" s="14" t="s">
        <v>37</v>
      </c>
      <c r="L141" s="14" t="s">
        <v>108</v>
      </c>
      <c r="M141" s="14" t="s">
        <v>763</v>
      </c>
      <c r="N141" s="19">
        <v>45848</v>
      </c>
    </row>
    <row r="142" spans="1:14" x14ac:dyDescent="0.25">
      <c r="A142" s="29">
        <v>141</v>
      </c>
      <c r="B142" s="1" t="s">
        <v>110</v>
      </c>
      <c r="C142" s="34">
        <v>45706</v>
      </c>
      <c r="D142" s="12" t="s">
        <v>111</v>
      </c>
      <c r="E142" s="13" t="s">
        <v>764</v>
      </c>
      <c r="F142" s="14" t="s">
        <v>89</v>
      </c>
      <c r="G142" s="12" t="s">
        <v>113</v>
      </c>
      <c r="H142" s="12" t="s">
        <v>35</v>
      </c>
      <c r="I142" s="19">
        <v>45815</v>
      </c>
      <c r="J142" s="14" t="s">
        <v>114</v>
      </c>
      <c r="K142" s="14" t="s">
        <v>37</v>
      </c>
      <c r="L142" s="14" t="s">
        <v>115</v>
      </c>
      <c r="M142" s="14" t="s">
        <v>765</v>
      </c>
      <c r="N142" s="19">
        <v>45884</v>
      </c>
    </row>
    <row r="143" spans="1:14" x14ac:dyDescent="0.25">
      <c r="A143" s="29">
        <v>142</v>
      </c>
      <c r="B143" s="1" t="s">
        <v>117</v>
      </c>
      <c r="C143" s="34">
        <v>45854</v>
      </c>
      <c r="D143" s="12" t="s">
        <v>118</v>
      </c>
      <c r="E143" s="13" t="s">
        <v>766</v>
      </c>
      <c r="F143" s="14" t="s">
        <v>33</v>
      </c>
      <c r="G143" s="12" t="s">
        <v>120</v>
      </c>
      <c r="H143" s="12" t="s">
        <v>121</v>
      </c>
      <c r="I143" s="19">
        <v>45971</v>
      </c>
      <c r="J143" s="14" t="s">
        <v>122</v>
      </c>
      <c r="K143" s="14" t="s">
        <v>37</v>
      </c>
      <c r="L143" s="14" t="s">
        <v>123</v>
      </c>
      <c r="M143" s="14" t="s">
        <v>767</v>
      </c>
      <c r="N143" s="19">
        <v>45872</v>
      </c>
    </row>
    <row r="144" spans="1:14" x14ac:dyDescent="0.25">
      <c r="A144" s="29">
        <v>143</v>
      </c>
      <c r="B144" s="1" t="s">
        <v>125</v>
      </c>
      <c r="C144" s="34">
        <v>45946</v>
      </c>
      <c r="D144" s="12" t="s">
        <v>79</v>
      </c>
      <c r="E144" s="13" t="s">
        <v>768</v>
      </c>
      <c r="F144" s="14" t="s">
        <v>33</v>
      </c>
      <c r="G144" s="12" t="s">
        <v>43</v>
      </c>
      <c r="H144" s="12" t="s">
        <v>127</v>
      </c>
      <c r="I144" s="19">
        <v>46009</v>
      </c>
      <c r="J144" s="14" t="s">
        <v>128</v>
      </c>
      <c r="K144" s="14" t="s">
        <v>37</v>
      </c>
      <c r="L144" s="14" t="s">
        <v>129</v>
      </c>
      <c r="M144" s="14" t="s">
        <v>769</v>
      </c>
      <c r="N144" s="19">
        <v>45841</v>
      </c>
    </row>
    <row r="145" spans="1:14" x14ac:dyDescent="0.25">
      <c r="A145" s="29">
        <v>144</v>
      </c>
      <c r="B145" s="1" t="s">
        <v>131</v>
      </c>
      <c r="C145" s="34">
        <v>45940</v>
      </c>
      <c r="D145" s="12" t="s">
        <v>132</v>
      </c>
      <c r="E145" s="13" t="s">
        <v>770</v>
      </c>
      <c r="F145" s="14" t="s">
        <v>89</v>
      </c>
      <c r="G145" s="12" t="s">
        <v>34</v>
      </c>
      <c r="H145" s="12" t="s">
        <v>134</v>
      </c>
      <c r="I145" s="19">
        <v>46053</v>
      </c>
      <c r="J145" s="14" t="s">
        <v>135</v>
      </c>
      <c r="K145" s="14" t="s">
        <v>37</v>
      </c>
      <c r="L145" s="14" t="s">
        <v>136</v>
      </c>
      <c r="M145" s="14" t="s">
        <v>771</v>
      </c>
      <c r="N145" s="19">
        <v>45845</v>
      </c>
    </row>
    <row r="146" spans="1:14" x14ac:dyDescent="0.25">
      <c r="A146" s="29">
        <v>145</v>
      </c>
      <c r="B146" s="1" t="s">
        <v>138</v>
      </c>
      <c r="C146" s="34">
        <v>45698</v>
      </c>
      <c r="D146" s="12" t="s">
        <v>139</v>
      </c>
      <c r="E146" s="13" t="s">
        <v>772</v>
      </c>
      <c r="F146" s="14" t="s">
        <v>89</v>
      </c>
      <c r="G146" s="12" t="s">
        <v>141</v>
      </c>
      <c r="H146" s="12" t="s">
        <v>142</v>
      </c>
      <c r="I146" s="19">
        <v>45746</v>
      </c>
      <c r="J146" s="14" t="s">
        <v>143</v>
      </c>
      <c r="K146" s="14" t="s">
        <v>37</v>
      </c>
      <c r="L146" s="14" t="s">
        <v>144</v>
      </c>
      <c r="M146" s="14" t="s">
        <v>773</v>
      </c>
      <c r="N146" s="19">
        <v>45876</v>
      </c>
    </row>
    <row r="147" spans="1:14" x14ac:dyDescent="0.25">
      <c r="A147" s="29">
        <v>146</v>
      </c>
      <c r="B147" s="1" t="s">
        <v>146</v>
      </c>
      <c r="C147" s="34">
        <v>45786</v>
      </c>
      <c r="D147" s="12" t="s">
        <v>147</v>
      </c>
      <c r="E147" s="13" t="s">
        <v>774</v>
      </c>
      <c r="F147" s="14" t="s">
        <v>33</v>
      </c>
      <c r="G147" s="12" t="s">
        <v>34</v>
      </c>
      <c r="H147" s="12" t="s">
        <v>149</v>
      </c>
      <c r="I147" s="19">
        <v>45815</v>
      </c>
      <c r="J147" s="14" t="s">
        <v>150</v>
      </c>
      <c r="K147" s="14" t="s">
        <v>37</v>
      </c>
      <c r="L147" s="14" t="s">
        <v>151</v>
      </c>
      <c r="M147" s="14" t="s">
        <v>775</v>
      </c>
      <c r="N147" s="19">
        <v>45890</v>
      </c>
    </row>
    <row r="148" spans="1:14" x14ac:dyDescent="0.25">
      <c r="A148" s="29">
        <v>147</v>
      </c>
      <c r="B148" s="1" t="s">
        <v>153</v>
      </c>
      <c r="C148" s="34">
        <v>45828</v>
      </c>
      <c r="D148" s="12" t="s">
        <v>154</v>
      </c>
      <c r="E148" s="13" t="s">
        <v>776</v>
      </c>
      <c r="F148" s="14" t="s">
        <v>33</v>
      </c>
      <c r="G148" s="12" t="s">
        <v>156</v>
      </c>
      <c r="H148" s="12" t="s">
        <v>157</v>
      </c>
      <c r="I148" s="19">
        <v>45852</v>
      </c>
      <c r="J148" s="14" t="s">
        <v>158</v>
      </c>
      <c r="K148" s="14" t="s">
        <v>37</v>
      </c>
      <c r="L148" s="14" t="s">
        <v>159</v>
      </c>
      <c r="M148" s="14" t="s">
        <v>777</v>
      </c>
      <c r="N148" s="19">
        <v>45898</v>
      </c>
    </row>
    <row r="149" spans="1:14" x14ac:dyDescent="0.25">
      <c r="A149" s="29">
        <v>148</v>
      </c>
      <c r="B149" s="1" t="s">
        <v>161</v>
      </c>
      <c r="C149" s="34">
        <v>45699</v>
      </c>
      <c r="D149" s="12" t="s">
        <v>162</v>
      </c>
      <c r="E149" s="13" t="s">
        <v>778</v>
      </c>
      <c r="F149" s="14" t="s">
        <v>33</v>
      </c>
      <c r="G149" s="12" t="s">
        <v>164</v>
      </c>
      <c r="H149" s="12" t="s">
        <v>165</v>
      </c>
      <c r="I149" s="19">
        <v>45809</v>
      </c>
      <c r="J149" s="14" t="s">
        <v>166</v>
      </c>
      <c r="K149" s="14" t="s">
        <v>37</v>
      </c>
      <c r="L149" s="14" t="s">
        <v>167</v>
      </c>
      <c r="M149" s="14" t="s">
        <v>779</v>
      </c>
      <c r="N149" s="19">
        <v>45866</v>
      </c>
    </row>
    <row r="150" spans="1:14" x14ac:dyDescent="0.25">
      <c r="A150" s="29">
        <v>149</v>
      </c>
      <c r="B150" s="1" t="s">
        <v>169</v>
      </c>
      <c r="C150" s="34">
        <v>45703</v>
      </c>
      <c r="D150" s="12" t="s">
        <v>170</v>
      </c>
      <c r="E150" s="13" t="s">
        <v>780</v>
      </c>
      <c r="F150" s="14" t="s">
        <v>33</v>
      </c>
      <c r="G150" s="12" t="s">
        <v>172</v>
      </c>
      <c r="H150" s="12" t="s">
        <v>173</v>
      </c>
      <c r="I150" s="19">
        <v>45820</v>
      </c>
      <c r="J150" s="14" t="s">
        <v>174</v>
      </c>
      <c r="K150" s="14" t="s">
        <v>37</v>
      </c>
      <c r="L150" s="14" t="s">
        <v>175</v>
      </c>
      <c r="M150" s="14" t="s">
        <v>781</v>
      </c>
      <c r="N150" s="19">
        <v>45897</v>
      </c>
    </row>
    <row r="151" spans="1:14" ht="30" customHeight="1" x14ac:dyDescent="0.25">
      <c r="A151" s="29">
        <v>150</v>
      </c>
      <c r="B151" s="1" t="s">
        <v>177</v>
      </c>
      <c r="C151" s="34">
        <v>45737</v>
      </c>
      <c r="D151" s="12" t="s">
        <v>96</v>
      </c>
      <c r="E151" s="13" t="s">
        <v>782</v>
      </c>
      <c r="F151" s="14" t="s">
        <v>89</v>
      </c>
      <c r="G151" s="12" t="s">
        <v>179</v>
      </c>
      <c r="H151" s="12" t="s">
        <v>180</v>
      </c>
      <c r="I151" s="19">
        <v>45800</v>
      </c>
      <c r="J151" s="14" t="s">
        <v>181</v>
      </c>
      <c r="K151" s="14" t="s">
        <v>37</v>
      </c>
      <c r="L151" s="14" t="s">
        <v>182</v>
      </c>
      <c r="M151" s="14" t="s">
        <v>783</v>
      </c>
      <c r="N151" s="19">
        <v>45885</v>
      </c>
    </row>
    <row r="152" spans="1:14" x14ac:dyDescent="0.25">
      <c r="A152" s="29">
        <v>151</v>
      </c>
      <c r="B152" s="1" t="s">
        <v>184</v>
      </c>
      <c r="C152" s="34">
        <v>45955</v>
      </c>
      <c r="D152" s="12" t="s">
        <v>185</v>
      </c>
      <c r="E152" s="13" t="s">
        <v>784</v>
      </c>
      <c r="F152" s="14" t="s">
        <v>89</v>
      </c>
      <c r="G152" s="12" t="s">
        <v>187</v>
      </c>
      <c r="H152" s="12" t="s">
        <v>188</v>
      </c>
      <c r="I152" s="19">
        <v>45983</v>
      </c>
      <c r="J152" s="14" t="s">
        <v>189</v>
      </c>
      <c r="K152" s="14" t="s">
        <v>37</v>
      </c>
      <c r="L152" s="14" t="s">
        <v>190</v>
      </c>
      <c r="M152" s="14" t="s">
        <v>785</v>
      </c>
      <c r="N152" s="19">
        <v>45868</v>
      </c>
    </row>
    <row r="153" spans="1:14" x14ac:dyDescent="0.25">
      <c r="A153" s="29">
        <v>152</v>
      </c>
      <c r="B153" s="1" t="s">
        <v>192</v>
      </c>
      <c r="C153" s="34">
        <v>45826</v>
      </c>
      <c r="D153" s="12" t="s">
        <v>193</v>
      </c>
      <c r="E153" s="13" t="s">
        <v>786</v>
      </c>
      <c r="F153" s="14" t="s">
        <v>89</v>
      </c>
      <c r="G153" s="12" t="s">
        <v>195</v>
      </c>
      <c r="H153" s="12" t="s">
        <v>196</v>
      </c>
      <c r="I153" s="19">
        <v>45840</v>
      </c>
      <c r="J153" s="14" t="s">
        <v>197</v>
      </c>
      <c r="K153" s="14" t="s">
        <v>37</v>
      </c>
      <c r="L153" s="14" t="s">
        <v>198</v>
      </c>
      <c r="M153" s="14" t="s">
        <v>787</v>
      </c>
      <c r="N153" s="19">
        <v>45858</v>
      </c>
    </row>
    <row r="154" spans="1:14" ht="30" customHeight="1" x14ac:dyDescent="0.25">
      <c r="A154" s="29">
        <v>153</v>
      </c>
      <c r="B154" s="1" t="s">
        <v>48</v>
      </c>
      <c r="C154" s="34">
        <v>45782</v>
      </c>
      <c r="D154" s="12" t="s">
        <v>132</v>
      </c>
      <c r="E154" s="13" t="s">
        <v>788</v>
      </c>
      <c r="F154" s="14" t="s">
        <v>33</v>
      </c>
      <c r="G154" s="12" t="s">
        <v>201</v>
      </c>
      <c r="H154" s="12" t="s">
        <v>202</v>
      </c>
      <c r="I154" s="19">
        <v>45787</v>
      </c>
      <c r="J154" s="14" t="s">
        <v>92</v>
      </c>
      <c r="K154" s="14" t="s">
        <v>37</v>
      </c>
      <c r="L154" s="14" t="s">
        <v>203</v>
      </c>
      <c r="M154" s="14" t="s">
        <v>789</v>
      </c>
      <c r="N154" s="19">
        <v>45852</v>
      </c>
    </row>
    <row r="155" spans="1:14" x14ac:dyDescent="0.25">
      <c r="A155" s="29">
        <v>154</v>
      </c>
      <c r="B155" s="1" t="s">
        <v>205</v>
      </c>
      <c r="C155" s="34">
        <v>45754</v>
      </c>
      <c r="D155" s="12" t="s">
        <v>206</v>
      </c>
      <c r="E155" s="13" t="s">
        <v>790</v>
      </c>
      <c r="F155" s="14" t="s">
        <v>89</v>
      </c>
      <c r="G155" s="12" t="s">
        <v>208</v>
      </c>
      <c r="H155" s="12" t="s">
        <v>196</v>
      </c>
      <c r="I155" s="19">
        <v>45765</v>
      </c>
      <c r="J155" s="14" t="s">
        <v>209</v>
      </c>
      <c r="K155" s="14" t="s">
        <v>37</v>
      </c>
      <c r="L155" s="14" t="s">
        <v>210</v>
      </c>
      <c r="M155" s="14" t="s">
        <v>791</v>
      </c>
      <c r="N155" s="19">
        <v>45855</v>
      </c>
    </row>
    <row r="156" spans="1:14" x14ac:dyDescent="0.25">
      <c r="A156" s="29">
        <v>155</v>
      </c>
      <c r="B156" s="1" t="s">
        <v>212</v>
      </c>
      <c r="C156" s="34">
        <v>45951</v>
      </c>
      <c r="D156" s="14" t="s">
        <v>185</v>
      </c>
      <c r="E156" s="13" t="s">
        <v>792</v>
      </c>
      <c r="F156" s="14" t="s">
        <v>89</v>
      </c>
      <c r="G156" s="12" t="s">
        <v>172</v>
      </c>
      <c r="H156" s="12" t="s">
        <v>173</v>
      </c>
      <c r="I156" s="19">
        <v>46031</v>
      </c>
      <c r="J156" s="14" t="s">
        <v>214</v>
      </c>
      <c r="K156" s="14" t="s">
        <v>37</v>
      </c>
      <c r="L156" s="14" t="s">
        <v>215</v>
      </c>
      <c r="M156" s="14" t="s">
        <v>793</v>
      </c>
      <c r="N156" s="19">
        <v>45880</v>
      </c>
    </row>
    <row r="157" spans="1:14" x14ac:dyDescent="0.25">
      <c r="A157" s="29">
        <v>156</v>
      </c>
      <c r="B157" s="1" t="s">
        <v>217</v>
      </c>
      <c r="C157" s="34">
        <v>45804</v>
      </c>
      <c r="D157" s="14" t="s">
        <v>218</v>
      </c>
      <c r="E157" s="13" t="s">
        <v>794</v>
      </c>
      <c r="F157" s="14" t="s">
        <v>89</v>
      </c>
      <c r="G157" s="12" t="s">
        <v>220</v>
      </c>
      <c r="H157" s="12" t="s">
        <v>67</v>
      </c>
      <c r="I157" s="19">
        <v>45918</v>
      </c>
      <c r="J157" s="14" t="s">
        <v>221</v>
      </c>
      <c r="K157" s="14" t="s">
        <v>37</v>
      </c>
      <c r="L157" s="14" t="s">
        <v>222</v>
      </c>
      <c r="M157" s="14" t="s">
        <v>795</v>
      </c>
      <c r="N157" s="19">
        <v>45859</v>
      </c>
    </row>
    <row r="158" spans="1:14" ht="30" customHeight="1" x14ac:dyDescent="0.25">
      <c r="A158" s="29">
        <v>157</v>
      </c>
      <c r="B158" s="1" t="s">
        <v>224</v>
      </c>
      <c r="C158" s="34">
        <v>45908</v>
      </c>
      <c r="D158" s="14" t="s">
        <v>225</v>
      </c>
      <c r="E158" s="13" t="s">
        <v>796</v>
      </c>
      <c r="F158" s="14" t="s">
        <v>33</v>
      </c>
      <c r="G158" s="12" t="s">
        <v>227</v>
      </c>
      <c r="H158" s="12" t="s">
        <v>228</v>
      </c>
      <c r="I158" s="19">
        <v>45915</v>
      </c>
      <c r="J158" s="14" t="s">
        <v>229</v>
      </c>
      <c r="K158" s="14" t="s">
        <v>37</v>
      </c>
      <c r="L158" s="14" t="s">
        <v>230</v>
      </c>
      <c r="M158" s="14" t="s">
        <v>797</v>
      </c>
      <c r="N158" s="19">
        <v>45842</v>
      </c>
    </row>
    <row r="159" spans="1:14" ht="45" customHeight="1" x14ac:dyDescent="0.25">
      <c r="A159" s="29">
        <v>158</v>
      </c>
      <c r="B159" s="1" t="s">
        <v>232</v>
      </c>
      <c r="C159" s="34">
        <v>45692</v>
      </c>
      <c r="D159" s="14" t="s">
        <v>233</v>
      </c>
      <c r="E159" s="13" t="s">
        <v>798</v>
      </c>
      <c r="F159" s="14" t="s">
        <v>33</v>
      </c>
      <c r="G159" s="12" t="s">
        <v>156</v>
      </c>
      <c r="H159" s="12" t="s">
        <v>235</v>
      </c>
      <c r="I159" s="19">
        <v>45717</v>
      </c>
      <c r="J159" s="14" t="s">
        <v>236</v>
      </c>
      <c r="K159" s="14" t="s">
        <v>37</v>
      </c>
      <c r="L159" s="14" t="s">
        <v>237</v>
      </c>
      <c r="M159" s="14" t="s">
        <v>799</v>
      </c>
      <c r="N159" s="19">
        <v>45886</v>
      </c>
    </row>
    <row r="160" spans="1:14" ht="30" customHeight="1" x14ac:dyDescent="0.25">
      <c r="A160" s="29">
        <v>159</v>
      </c>
      <c r="B160" s="1" t="s">
        <v>239</v>
      </c>
      <c r="C160" s="34">
        <v>45695</v>
      </c>
      <c r="D160" s="12" t="s">
        <v>240</v>
      </c>
      <c r="E160" s="13" t="s">
        <v>800</v>
      </c>
      <c r="F160" s="14" t="s">
        <v>89</v>
      </c>
      <c r="G160" s="12" t="s">
        <v>105</v>
      </c>
      <c r="H160" s="12" t="s">
        <v>242</v>
      </c>
      <c r="I160" s="19">
        <v>45747</v>
      </c>
      <c r="J160" s="14" t="s">
        <v>243</v>
      </c>
      <c r="K160" s="14" t="s">
        <v>37</v>
      </c>
      <c r="L160" s="14" t="s">
        <v>244</v>
      </c>
      <c r="M160" s="14" t="s">
        <v>801</v>
      </c>
      <c r="N160" s="19">
        <v>45892</v>
      </c>
    </row>
    <row r="161" spans="1:14" ht="30" customHeight="1" x14ac:dyDescent="0.25">
      <c r="A161" s="29">
        <v>160</v>
      </c>
      <c r="B161" s="1" t="s">
        <v>48</v>
      </c>
      <c r="C161" s="34">
        <v>45833</v>
      </c>
      <c r="D161" s="12" t="s">
        <v>246</v>
      </c>
      <c r="E161" s="13" t="s">
        <v>802</v>
      </c>
      <c r="F161" s="14" t="s">
        <v>33</v>
      </c>
      <c r="G161" s="12" t="s">
        <v>248</v>
      </c>
      <c r="H161" s="12" t="s">
        <v>134</v>
      </c>
      <c r="I161" s="19">
        <v>45856</v>
      </c>
      <c r="J161" s="12" t="s">
        <v>249</v>
      </c>
      <c r="K161" s="14" t="s">
        <v>37</v>
      </c>
      <c r="L161" s="14" t="s">
        <v>250</v>
      </c>
      <c r="M161" s="12" t="s">
        <v>803</v>
      </c>
      <c r="N161" s="19">
        <v>45893</v>
      </c>
    </row>
    <row r="162" spans="1:14" x14ac:dyDescent="0.25">
      <c r="A162" s="29">
        <v>161</v>
      </c>
      <c r="B162" s="1" t="s">
        <v>252</v>
      </c>
      <c r="C162" s="34">
        <v>45812</v>
      </c>
      <c r="D162" s="12" t="s">
        <v>253</v>
      </c>
      <c r="E162" s="13" t="s">
        <v>804</v>
      </c>
      <c r="F162" s="14" t="s">
        <v>33</v>
      </c>
      <c r="G162" s="12" t="s">
        <v>255</v>
      </c>
      <c r="H162" s="12" t="s">
        <v>256</v>
      </c>
      <c r="I162" s="19">
        <v>45931</v>
      </c>
      <c r="J162" s="12" t="s">
        <v>257</v>
      </c>
      <c r="K162" s="14" t="s">
        <v>37</v>
      </c>
      <c r="L162" s="14" t="s">
        <v>258</v>
      </c>
      <c r="M162" s="14" t="s">
        <v>805</v>
      </c>
      <c r="N162" s="19">
        <v>45877</v>
      </c>
    </row>
    <row r="163" spans="1:14" ht="30" customHeight="1" x14ac:dyDescent="0.25">
      <c r="A163" s="29">
        <v>162</v>
      </c>
      <c r="B163" s="1" t="s">
        <v>110</v>
      </c>
      <c r="C163" s="34">
        <v>45833</v>
      </c>
      <c r="D163" s="14" t="s">
        <v>260</v>
      </c>
      <c r="E163" s="13" t="s">
        <v>806</v>
      </c>
      <c r="F163" s="14" t="s">
        <v>89</v>
      </c>
      <c r="G163" s="12" t="s">
        <v>113</v>
      </c>
      <c r="H163" s="12" t="s">
        <v>262</v>
      </c>
      <c r="I163" s="19">
        <v>45935</v>
      </c>
      <c r="J163" s="14" t="s">
        <v>263</v>
      </c>
      <c r="K163" s="14" t="s">
        <v>37</v>
      </c>
      <c r="L163" s="14" t="s">
        <v>264</v>
      </c>
      <c r="M163" s="14" t="s">
        <v>807</v>
      </c>
      <c r="N163" s="19">
        <v>45848</v>
      </c>
    </row>
    <row r="164" spans="1:14" x14ac:dyDescent="0.25">
      <c r="A164" s="29">
        <v>163</v>
      </c>
      <c r="B164" s="1" t="s">
        <v>266</v>
      </c>
      <c r="C164" s="34">
        <v>45834</v>
      </c>
      <c r="D164" s="12" t="s">
        <v>267</v>
      </c>
      <c r="E164" s="13" t="s">
        <v>808</v>
      </c>
      <c r="F164" s="14" t="s">
        <v>89</v>
      </c>
      <c r="G164" s="12" t="s">
        <v>269</v>
      </c>
      <c r="H164" s="12" t="s">
        <v>270</v>
      </c>
      <c r="I164" s="19">
        <v>45866</v>
      </c>
      <c r="J164" s="14" t="s">
        <v>271</v>
      </c>
      <c r="K164" s="14" t="s">
        <v>37</v>
      </c>
      <c r="L164" s="14" t="s">
        <v>272</v>
      </c>
      <c r="M164" s="14" t="s">
        <v>809</v>
      </c>
      <c r="N164" s="19">
        <v>45881</v>
      </c>
    </row>
    <row r="165" spans="1:14" ht="30" customHeight="1" x14ac:dyDescent="0.25">
      <c r="A165" s="29">
        <v>164</v>
      </c>
      <c r="B165" s="1" t="s">
        <v>274</v>
      </c>
      <c r="C165" s="34">
        <v>45787</v>
      </c>
      <c r="D165" s="12" t="s">
        <v>154</v>
      </c>
      <c r="E165" s="13" t="s">
        <v>810</v>
      </c>
      <c r="F165" s="14" t="s">
        <v>89</v>
      </c>
      <c r="G165" s="12" t="s">
        <v>66</v>
      </c>
      <c r="H165" s="12" t="s">
        <v>82</v>
      </c>
      <c r="I165" s="19">
        <v>45833</v>
      </c>
      <c r="J165" s="14" t="s">
        <v>276</v>
      </c>
      <c r="K165" s="14" t="s">
        <v>37</v>
      </c>
      <c r="L165" s="14" t="s">
        <v>277</v>
      </c>
      <c r="M165" s="14" t="s">
        <v>811</v>
      </c>
      <c r="N165" s="19">
        <v>45878</v>
      </c>
    </row>
    <row r="166" spans="1:14" x14ac:dyDescent="0.25">
      <c r="A166" s="29">
        <v>165</v>
      </c>
      <c r="B166" s="1" t="s">
        <v>279</v>
      </c>
      <c r="C166" s="34">
        <v>45667</v>
      </c>
      <c r="D166" s="12" t="s">
        <v>233</v>
      </c>
      <c r="E166" s="13" t="s">
        <v>812</v>
      </c>
      <c r="F166" s="14" t="s">
        <v>89</v>
      </c>
      <c r="G166" s="12" t="s">
        <v>105</v>
      </c>
      <c r="H166" s="12" t="s">
        <v>256</v>
      </c>
      <c r="I166" s="19">
        <v>45721</v>
      </c>
      <c r="J166" s="14" t="s">
        <v>281</v>
      </c>
      <c r="K166" s="14" t="s">
        <v>37</v>
      </c>
      <c r="L166" s="14" t="s">
        <v>282</v>
      </c>
      <c r="M166" s="14" t="s">
        <v>813</v>
      </c>
      <c r="N166" s="19">
        <v>45877</v>
      </c>
    </row>
    <row r="167" spans="1:14" x14ac:dyDescent="0.25">
      <c r="A167" s="29">
        <v>166</v>
      </c>
      <c r="B167" s="1" t="s">
        <v>284</v>
      </c>
      <c r="C167" s="34">
        <v>45956</v>
      </c>
      <c r="D167" s="14" t="s">
        <v>285</v>
      </c>
      <c r="E167" s="13" t="s">
        <v>814</v>
      </c>
      <c r="F167" s="14" t="s">
        <v>33</v>
      </c>
      <c r="G167" s="12" t="s">
        <v>287</v>
      </c>
      <c r="H167" s="12" t="s">
        <v>288</v>
      </c>
      <c r="I167" s="19">
        <v>45962</v>
      </c>
      <c r="J167" s="14" t="s">
        <v>289</v>
      </c>
      <c r="K167" s="14" t="s">
        <v>37</v>
      </c>
      <c r="L167" s="14" t="s">
        <v>290</v>
      </c>
      <c r="M167" s="14" t="s">
        <v>815</v>
      </c>
      <c r="N167" s="19">
        <v>45864</v>
      </c>
    </row>
    <row r="168" spans="1:14" x14ac:dyDescent="0.25">
      <c r="A168" s="29">
        <v>167</v>
      </c>
      <c r="B168" s="1" t="s">
        <v>177</v>
      </c>
      <c r="C168" s="34">
        <v>45901</v>
      </c>
      <c r="D168" s="14" t="s">
        <v>292</v>
      </c>
      <c r="E168" s="13" t="s">
        <v>816</v>
      </c>
      <c r="F168" s="14" t="s">
        <v>89</v>
      </c>
      <c r="G168" s="12" t="s">
        <v>66</v>
      </c>
      <c r="H168" s="12" t="s">
        <v>67</v>
      </c>
      <c r="I168" s="19">
        <v>45941</v>
      </c>
      <c r="J168" s="14" t="s">
        <v>294</v>
      </c>
      <c r="K168" s="14" t="s">
        <v>37</v>
      </c>
      <c r="L168" s="14" t="s">
        <v>295</v>
      </c>
      <c r="M168" s="14" t="s">
        <v>817</v>
      </c>
      <c r="N168" s="19">
        <v>45857</v>
      </c>
    </row>
    <row r="169" spans="1:14" x14ac:dyDescent="0.25">
      <c r="A169" s="29">
        <v>168</v>
      </c>
      <c r="B169" s="1" t="s">
        <v>131</v>
      </c>
      <c r="C169" s="34">
        <v>45860</v>
      </c>
      <c r="D169" s="12" t="s">
        <v>297</v>
      </c>
      <c r="E169" s="13" t="s">
        <v>818</v>
      </c>
      <c r="F169" s="14" t="s">
        <v>89</v>
      </c>
      <c r="G169" s="12" t="s">
        <v>34</v>
      </c>
      <c r="H169" s="12" t="s">
        <v>299</v>
      </c>
      <c r="I169" s="19">
        <v>45905</v>
      </c>
      <c r="J169" s="14" t="s">
        <v>300</v>
      </c>
      <c r="K169" s="14" t="s">
        <v>37</v>
      </c>
      <c r="L169" s="14" t="s">
        <v>301</v>
      </c>
      <c r="M169" s="14" t="s">
        <v>819</v>
      </c>
      <c r="N169" s="19">
        <v>45844</v>
      </c>
    </row>
    <row r="170" spans="1:14" ht="30" customHeight="1" x14ac:dyDescent="0.25">
      <c r="A170" s="29">
        <v>169</v>
      </c>
      <c r="B170" s="1" t="s">
        <v>303</v>
      </c>
      <c r="C170" s="34">
        <v>45828</v>
      </c>
      <c r="D170" s="12" t="s">
        <v>111</v>
      </c>
      <c r="E170" s="13" t="s">
        <v>820</v>
      </c>
      <c r="F170" s="14" t="s">
        <v>33</v>
      </c>
      <c r="G170" s="12" t="s">
        <v>34</v>
      </c>
      <c r="H170" s="12" t="s">
        <v>134</v>
      </c>
      <c r="I170" s="19">
        <v>45872</v>
      </c>
      <c r="J170" s="14" t="s">
        <v>305</v>
      </c>
      <c r="K170" s="14" t="s">
        <v>37</v>
      </c>
      <c r="L170" s="14" t="s">
        <v>306</v>
      </c>
      <c r="M170" s="14" t="s">
        <v>821</v>
      </c>
      <c r="N170" s="19">
        <v>45864</v>
      </c>
    </row>
    <row r="171" spans="1:14" x14ac:dyDescent="0.25">
      <c r="A171" s="29">
        <v>170</v>
      </c>
      <c r="B171" s="1" t="s">
        <v>274</v>
      </c>
      <c r="C171" s="34">
        <v>45775</v>
      </c>
      <c r="D171" s="12" t="s">
        <v>308</v>
      </c>
      <c r="E171" s="13" t="s">
        <v>822</v>
      </c>
      <c r="F171" s="14" t="s">
        <v>89</v>
      </c>
      <c r="G171" s="12" t="s">
        <v>310</v>
      </c>
      <c r="H171" s="12" t="s">
        <v>311</v>
      </c>
      <c r="I171" s="19">
        <v>45873</v>
      </c>
      <c r="J171" s="14" t="s">
        <v>150</v>
      </c>
      <c r="K171" s="14" t="s">
        <v>37</v>
      </c>
      <c r="L171" s="14" t="s">
        <v>312</v>
      </c>
      <c r="M171" s="14" t="s">
        <v>823</v>
      </c>
      <c r="N171" s="19">
        <v>45840</v>
      </c>
    </row>
    <row r="172" spans="1:14" ht="45" customHeight="1" x14ac:dyDescent="0.25">
      <c r="A172" s="29">
        <v>171</v>
      </c>
      <c r="B172" s="1" t="s">
        <v>314</v>
      </c>
      <c r="C172" s="34">
        <v>45733</v>
      </c>
      <c r="D172" s="12" t="s">
        <v>246</v>
      </c>
      <c r="E172" s="13" t="s">
        <v>824</v>
      </c>
      <c r="F172" s="14" t="s">
        <v>89</v>
      </c>
      <c r="G172" s="12" t="s">
        <v>316</v>
      </c>
      <c r="H172" s="12" t="s">
        <v>317</v>
      </c>
      <c r="I172" s="19">
        <v>45786</v>
      </c>
      <c r="J172" s="14" t="s">
        <v>318</v>
      </c>
      <c r="K172" s="14" t="s">
        <v>37</v>
      </c>
      <c r="L172" s="14" t="s">
        <v>319</v>
      </c>
      <c r="M172" s="14" t="s">
        <v>825</v>
      </c>
      <c r="N172" s="19">
        <v>45868</v>
      </c>
    </row>
    <row r="173" spans="1:14" x14ac:dyDescent="0.25">
      <c r="A173" s="29">
        <v>172</v>
      </c>
      <c r="B173" s="1" t="s">
        <v>103</v>
      </c>
      <c r="C173" s="34">
        <v>45813</v>
      </c>
      <c r="D173" s="12" t="s">
        <v>72</v>
      </c>
      <c r="E173" s="13" t="s">
        <v>826</v>
      </c>
      <c r="F173" s="14" t="s">
        <v>33</v>
      </c>
      <c r="G173" s="12" t="s">
        <v>105</v>
      </c>
      <c r="H173" s="12" t="s">
        <v>242</v>
      </c>
      <c r="I173" s="19">
        <v>45881</v>
      </c>
      <c r="J173" s="14" t="s">
        <v>322</v>
      </c>
      <c r="K173" s="14" t="s">
        <v>37</v>
      </c>
      <c r="L173" s="14" t="s">
        <v>323</v>
      </c>
      <c r="M173" s="14" t="s">
        <v>827</v>
      </c>
      <c r="N173" s="19">
        <v>45849</v>
      </c>
    </row>
    <row r="174" spans="1:14" x14ac:dyDescent="0.25">
      <c r="A174" s="29">
        <v>173</v>
      </c>
      <c r="B174" s="1" t="s">
        <v>325</v>
      </c>
      <c r="C174" s="34">
        <v>45884</v>
      </c>
      <c r="D174" s="12" t="s">
        <v>326</v>
      </c>
      <c r="E174" s="13" t="s">
        <v>828</v>
      </c>
      <c r="F174" s="14" t="s">
        <v>89</v>
      </c>
      <c r="G174" s="12" t="s">
        <v>179</v>
      </c>
      <c r="H174" s="12" t="s">
        <v>82</v>
      </c>
      <c r="I174" s="19">
        <v>45929</v>
      </c>
      <c r="J174" s="14" t="s">
        <v>328</v>
      </c>
      <c r="K174" s="14" t="s">
        <v>37</v>
      </c>
      <c r="L174" s="14" t="s">
        <v>329</v>
      </c>
      <c r="M174" s="14" t="s">
        <v>829</v>
      </c>
      <c r="N174" s="19">
        <v>45855</v>
      </c>
    </row>
    <row r="175" spans="1:14" x14ac:dyDescent="0.25">
      <c r="A175" s="29">
        <v>174</v>
      </c>
      <c r="B175" s="1" t="s">
        <v>331</v>
      </c>
      <c r="C175" s="34">
        <v>45922</v>
      </c>
      <c r="D175" s="14" t="s">
        <v>332</v>
      </c>
      <c r="E175" s="13" t="s">
        <v>830</v>
      </c>
      <c r="F175" s="14" t="s">
        <v>89</v>
      </c>
      <c r="G175" s="12" t="s">
        <v>58</v>
      </c>
      <c r="H175" s="12" t="s">
        <v>127</v>
      </c>
      <c r="I175" s="19">
        <v>46024</v>
      </c>
      <c r="J175" s="14" t="s">
        <v>257</v>
      </c>
      <c r="K175" s="14" t="s">
        <v>37</v>
      </c>
      <c r="L175" s="14" t="s">
        <v>334</v>
      </c>
      <c r="M175" s="14" t="s">
        <v>831</v>
      </c>
      <c r="N175" s="19">
        <v>45879</v>
      </c>
    </row>
    <row r="176" spans="1:14" x14ac:dyDescent="0.25">
      <c r="A176" s="29">
        <v>175</v>
      </c>
      <c r="B176" s="1" t="s">
        <v>86</v>
      </c>
      <c r="C176" s="34">
        <v>45768</v>
      </c>
      <c r="D176" s="14" t="s">
        <v>292</v>
      </c>
      <c r="E176" s="13" t="s">
        <v>832</v>
      </c>
      <c r="F176" s="14" t="s">
        <v>89</v>
      </c>
      <c r="G176" s="12" t="s">
        <v>337</v>
      </c>
      <c r="H176" s="12" t="s">
        <v>91</v>
      </c>
      <c r="I176" s="19">
        <v>45776</v>
      </c>
      <c r="J176" s="14" t="s">
        <v>181</v>
      </c>
      <c r="K176" s="14" t="s">
        <v>37</v>
      </c>
      <c r="L176" s="14" t="s">
        <v>338</v>
      </c>
      <c r="M176" s="14" t="s">
        <v>833</v>
      </c>
      <c r="N176" s="19">
        <v>45897</v>
      </c>
    </row>
    <row r="177" spans="1:14" ht="30" customHeight="1" x14ac:dyDescent="0.25">
      <c r="A177" s="29">
        <v>176</v>
      </c>
      <c r="B177" s="1" t="s">
        <v>169</v>
      </c>
      <c r="C177" s="34">
        <v>45957</v>
      </c>
      <c r="D177" s="12" t="s">
        <v>340</v>
      </c>
      <c r="E177" s="13" t="s">
        <v>834</v>
      </c>
      <c r="F177" s="14" t="s">
        <v>33</v>
      </c>
      <c r="G177" s="12" t="s">
        <v>58</v>
      </c>
      <c r="H177" s="12" t="s">
        <v>91</v>
      </c>
      <c r="I177" s="19">
        <v>45976</v>
      </c>
      <c r="J177" s="14" t="s">
        <v>342</v>
      </c>
      <c r="K177" s="14" t="s">
        <v>37</v>
      </c>
      <c r="L177" s="14" t="s">
        <v>343</v>
      </c>
      <c r="M177" s="14" t="s">
        <v>835</v>
      </c>
      <c r="N177" s="19">
        <v>45839</v>
      </c>
    </row>
    <row r="178" spans="1:14" ht="30" customHeight="1" x14ac:dyDescent="0.25">
      <c r="A178" s="29">
        <v>177</v>
      </c>
      <c r="B178" s="1" t="s">
        <v>40</v>
      </c>
      <c r="C178" s="34">
        <v>45849</v>
      </c>
      <c r="D178" s="14" t="s">
        <v>79</v>
      </c>
      <c r="E178" s="13" t="s">
        <v>836</v>
      </c>
      <c r="F178" s="14" t="s">
        <v>33</v>
      </c>
      <c r="G178" s="12" t="s">
        <v>346</v>
      </c>
      <c r="H178" s="12" t="s">
        <v>59</v>
      </c>
      <c r="I178" s="19">
        <v>45956</v>
      </c>
      <c r="J178" s="14" t="s">
        <v>347</v>
      </c>
      <c r="K178" s="14" t="s">
        <v>37</v>
      </c>
      <c r="L178" s="14" t="s">
        <v>348</v>
      </c>
      <c r="M178" s="14" t="s">
        <v>837</v>
      </c>
      <c r="N178" s="19">
        <v>45893</v>
      </c>
    </row>
    <row r="179" spans="1:14" x14ac:dyDescent="0.25">
      <c r="A179" s="29">
        <v>178</v>
      </c>
      <c r="B179" s="1" t="s">
        <v>350</v>
      </c>
      <c r="C179" s="34">
        <v>45704</v>
      </c>
      <c r="D179" s="14" t="s">
        <v>351</v>
      </c>
      <c r="E179" s="13" t="s">
        <v>838</v>
      </c>
      <c r="F179" s="14" t="s">
        <v>89</v>
      </c>
      <c r="G179" s="12" t="s">
        <v>353</v>
      </c>
      <c r="H179" s="12" t="s">
        <v>82</v>
      </c>
      <c r="I179" s="19">
        <v>45773</v>
      </c>
      <c r="J179" s="14" t="s">
        <v>354</v>
      </c>
      <c r="K179" s="14" t="s">
        <v>37</v>
      </c>
      <c r="L179" s="14" t="s">
        <v>355</v>
      </c>
      <c r="M179" s="14" t="s">
        <v>839</v>
      </c>
      <c r="N179" s="19">
        <v>45881</v>
      </c>
    </row>
    <row r="180" spans="1:14" x14ac:dyDescent="0.25">
      <c r="A180" s="29">
        <v>179</v>
      </c>
      <c r="B180" s="1" t="s">
        <v>357</v>
      </c>
      <c r="C180" s="34">
        <v>45702</v>
      </c>
      <c r="D180" s="12" t="s">
        <v>87</v>
      </c>
      <c r="E180" s="13" t="s">
        <v>840</v>
      </c>
      <c r="F180" s="14" t="s">
        <v>89</v>
      </c>
      <c r="G180" s="12" t="s">
        <v>105</v>
      </c>
      <c r="H180" s="12" t="s">
        <v>359</v>
      </c>
      <c r="I180" s="19">
        <v>45741</v>
      </c>
      <c r="J180" s="14" t="s">
        <v>360</v>
      </c>
      <c r="K180" s="14" t="s">
        <v>37</v>
      </c>
      <c r="L180" s="14" t="s">
        <v>361</v>
      </c>
      <c r="M180" s="14" t="s">
        <v>841</v>
      </c>
      <c r="N180" s="19">
        <v>45862</v>
      </c>
    </row>
    <row r="181" spans="1:14" x14ac:dyDescent="0.25">
      <c r="A181" s="29">
        <v>180</v>
      </c>
      <c r="B181" s="1" t="s">
        <v>177</v>
      </c>
      <c r="C181" s="34">
        <v>45917</v>
      </c>
      <c r="D181" s="12" t="s">
        <v>363</v>
      </c>
      <c r="E181" s="13" t="s">
        <v>842</v>
      </c>
      <c r="F181" s="14" t="s">
        <v>89</v>
      </c>
      <c r="G181" s="12" t="s">
        <v>365</v>
      </c>
      <c r="H181" s="12" t="s">
        <v>366</v>
      </c>
      <c r="I181" s="19">
        <v>45969</v>
      </c>
      <c r="J181" s="14" t="s">
        <v>342</v>
      </c>
      <c r="K181" s="14" t="s">
        <v>37</v>
      </c>
      <c r="L181" s="14" t="s">
        <v>367</v>
      </c>
      <c r="M181" s="14" t="s">
        <v>843</v>
      </c>
      <c r="N181" s="19">
        <v>45886</v>
      </c>
    </row>
    <row r="182" spans="1:14" x14ac:dyDescent="0.25">
      <c r="A182" s="29">
        <v>181</v>
      </c>
      <c r="B182" s="1" t="s">
        <v>30</v>
      </c>
      <c r="C182" s="34">
        <v>45671</v>
      </c>
      <c r="D182" s="12" t="s">
        <v>369</v>
      </c>
      <c r="E182" s="13" t="s">
        <v>844</v>
      </c>
      <c r="F182" s="14" t="s">
        <v>33</v>
      </c>
      <c r="G182" s="12" t="s">
        <v>201</v>
      </c>
      <c r="H182" s="12" t="s">
        <v>202</v>
      </c>
      <c r="I182" s="19">
        <v>45780</v>
      </c>
      <c r="J182" s="14" t="s">
        <v>371</v>
      </c>
      <c r="K182" s="14" t="s">
        <v>37</v>
      </c>
      <c r="L182" s="14" t="s">
        <v>372</v>
      </c>
      <c r="M182" s="14" t="s">
        <v>845</v>
      </c>
      <c r="N182" s="19">
        <v>45866</v>
      </c>
    </row>
    <row r="183" spans="1:14" x14ac:dyDescent="0.25">
      <c r="A183" s="29">
        <v>182</v>
      </c>
      <c r="B183" s="1" t="s">
        <v>266</v>
      </c>
      <c r="C183" s="34">
        <v>45800</v>
      </c>
      <c r="D183" s="12" t="s">
        <v>374</v>
      </c>
      <c r="E183" s="13" t="s">
        <v>846</v>
      </c>
      <c r="F183" s="14" t="s">
        <v>89</v>
      </c>
      <c r="G183" s="12" t="s">
        <v>269</v>
      </c>
      <c r="H183" s="12" t="s">
        <v>376</v>
      </c>
      <c r="I183" s="19">
        <v>45822</v>
      </c>
      <c r="J183" s="14" t="s">
        <v>377</v>
      </c>
      <c r="K183" s="14" t="s">
        <v>37</v>
      </c>
      <c r="L183" s="14" t="s">
        <v>378</v>
      </c>
      <c r="M183" s="14" t="s">
        <v>847</v>
      </c>
      <c r="N183" s="19">
        <v>45851</v>
      </c>
    </row>
    <row r="184" spans="1:14" x14ac:dyDescent="0.25">
      <c r="A184" s="29">
        <v>183</v>
      </c>
      <c r="B184" s="1" t="s">
        <v>380</v>
      </c>
      <c r="C184" s="34">
        <v>45932</v>
      </c>
      <c r="D184" s="14" t="s">
        <v>297</v>
      </c>
      <c r="E184" s="13" t="s">
        <v>848</v>
      </c>
      <c r="F184" s="14" t="s">
        <v>33</v>
      </c>
      <c r="G184" s="12" t="s">
        <v>382</v>
      </c>
      <c r="H184" s="12" t="s">
        <v>383</v>
      </c>
      <c r="I184" s="19">
        <v>45950</v>
      </c>
      <c r="J184" s="14" t="s">
        <v>318</v>
      </c>
      <c r="K184" s="14" t="s">
        <v>37</v>
      </c>
      <c r="L184" s="14" t="s">
        <v>384</v>
      </c>
      <c r="M184" s="14" t="s">
        <v>849</v>
      </c>
      <c r="N184" s="19">
        <v>45885</v>
      </c>
    </row>
    <row r="185" spans="1:14" ht="30" customHeight="1" x14ac:dyDescent="0.25">
      <c r="A185" s="29">
        <v>184</v>
      </c>
      <c r="B185" s="1" t="s">
        <v>386</v>
      </c>
      <c r="C185" s="34">
        <v>45775</v>
      </c>
      <c r="D185" s="14" t="s">
        <v>387</v>
      </c>
      <c r="E185" s="13" t="s">
        <v>850</v>
      </c>
      <c r="F185" s="14" t="s">
        <v>33</v>
      </c>
      <c r="G185" s="12" t="s">
        <v>382</v>
      </c>
      <c r="H185" s="12" t="s">
        <v>383</v>
      </c>
      <c r="I185" s="19">
        <v>45864</v>
      </c>
      <c r="J185" s="14" t="s">
        <v>114</v>
      </c>
      <c r="K185" s="14" t="s">
        <v>37</v>
      </c>
      <c r="L185" s="14" t="s">
        <v>389</v>
      </c>
      <c r="M185" s="14" t="s">
        <v>851</v>
      </c>
      <c r="N185" s="19">
        <v>45897</v>
      </c>
    </row>
    <row r="186" spans="1:14" x14ac:dyDescent="0.25">
      <c r="A186" s="29">
        <v>185</v>
      </c>
      <c r="B186" s="1" t="s">
        <v>125</v>
      </c>
      <c r="C186" s="34">
        <v>45942</v>
      </c>
      <c r="D186" s="14" t="s">
        <v>391</v>
      </c>
      <c r="E186" s="13" t="s">
        <v>852</v>
      </c>
      <c r="F186" s="14" t="s">
        <v>33</v>
      </c>
      <c r="G186" s="12" t="s">
        <v>172</v>
      </c>
      <c r="H186" s="12" t="s">
        <v>393</v>
      </c>
      <c r="I186" s="19">
        <v>45975</v>
      </c>
      <c r="J186" s="14" t="s">
        <v>394</v>
      </c>
      <c r="K186" s="14" t="s">
        <v>37</v>
      </c>
      <c r="L186" s="14" t="s">
        <v>395</v>
      </c>
      <c r="M186" s="14" t="s">
        <v>853</v>
      </c>
      <c r="N186" s="19">
        <v>45858</v>
      </c>
    </row>
    <row r="187" spans="1:14" ht="30" customHeight="1" x14ac:dyDescent="0.25">
      <c r="A187" s="29">
        <v>186</v>
      </c>
      <c r="B187" s="1" t="s">
        <v>397</v>
      </c>
      <c r="C187" s="34">
        <v>45664</v>
      </c>
      <c r="D187" s="12" t="s">
        <v>154</v>
      </c>
      <c r="E187" s="13" t="s">
        <v>854</v>
      </c>
      <c r="F187" s="14" t="s">
        <v>89</v>
      </c>
      <c r="G187" s="12" t="s">
        <v>287</v>
      </c>
      <c r="H187" s="12" t="s">
        <v>235</v>
      </c>
      <c r="I187" s="19">
        <v>45725</v>
      </c>
      <c r="J187" s="14" t="s">
        <v>371</v>
      </c>
      <c r="K187" s="14" t="s">
        <v>37</v>
      </c>
      <c r="L187" s="14" t="s">
        <v>399</v>
      </c>
      <c r="M187" s="14" t="s">
        <v>855</v>
      </c>
      <c r="N187" s="19">
        <v>45859</v>
      </c>
    </row>
    <row r="188" spans="1:14" x14ac:dyDescent="0.25">
      <c r="A188" s="29">
        <v>187</v>
      </c>
      <c r="B188" s="1" t="s">
        <v>401</v>
      </c>
      <c r="C188" s="34">
        <v>45894</v>
      </c>
      <c r="D188" s="12" t="s">
        <v>402</v>
      </c>
      <c r="E188" s="13" t="s">
        <v>856</v>
      </c>
      <c r="F188" s="14" t="s">
        <v>89</v>
      </c>
      <c r="G188" s="12" t="s">
        <v>404</v>
      </c>
      <c r="H188" s="12" t="s">
        <v>405</v>
      </c>
      <c r="I188" s="19">
        <v>45951</v>
      </c>
      <c r="J188" s="14" t="s">
        <v>181</v>
      </c>
      <c r="K188" s="14" t="s">
        <v>37</v>
      </c>
      <c r="L188" s="14" t="s">
        <v>406</v>
      </c>
      <c r="M188" s="14" t="s">
        <v>857</v>
      </c>
      <c r="N188" s="19">
        <v>45895</v>
      </c>
    </row>
    <row r="189" spans="1:14" ht="30" customHeight="1" x14ac:dyDescent="0.25">
      <c r="A189" s="29">
        <v>188</v>
      </c>
      <c r="B189" s="1" t="s">
        <v>103</v>
      </c>
      <c r="C189" s="34">
        <v>45891</v>
      </c>
      <c r="D189" s="12" t="s">
        <v>408</v>
      </c>
      <c r="E189" s="13" t="s">
        <v>858</v>
      </c>
      <c r="F189" s="14" t="s">
        <v>33</v>
      </c>
      <c r="G189" s="12" t="s">
        <v>164</v>
      </c>
      <c r="H189" s="12" t="s">
        <v>106</v>
      </c>
      <c r="I189" s="19">
        <v>45934</v>
      </c>
      <c r="J189" s="14" t="s">
        <v>52</v>
      </c>
      <c r="K189" s="14" t="s">
        <v>37</v>
      </c>
      <c r="L189" s="14" t="s">
        <v>410</v>
      </c>
      <c r="M189" s="14" t="s">
        <v>859</v>
      </c>
      <c r="N189" s="19">
        <v>45884</v>
      </c>
    </row>
    <row r="190" spans="1:14" x14ac:dyDescent="0.25">
      <c r="A190" s="29">
        <v>189</v>
      </c>
      <c r="B190" s="1" t="s">
        <v>412</v>
      </c>
      <c r="C190" s="34">
        <v>45681</v>
      </c>
      <c r="D190" s="12" t="s">
        <v>162</v>
      </c>
      <c r="E190" s="13" t="s">
        <v>860</v>
      </c>
      <c r="F190" s="14" t="s">
        <v>33</v>
      </c>
      <c r="G190" s="12" t="s">
        <v>414</v>
      </c>
      <c r="H190" s="12" t="s">
        <v>415</v>
      </c>
      <c r="I190" s="19">
        <v>45731</v>
      </c>
      <c r="J190" s="14" t="s">
        <v>416</v>
      </c>
      <c r="K190" s="14" t="s">
        <v>37</v>
      </c>
      <c r="L190" s="14" t="s">
        <v>417</v>
      </c>
      <c r="M190" s="14" t="s">
        <v>861</v>
      </c>
      <c r="N190" s="19">
        <v>45857</v>
      </c>
    </row>
    <row r="191" spans="1:14" ht="30" customHeight="1" x14ac:dyDescent="0.25">
      <c r="A191" s="29">
        <v>190</v>
      </c>
      <c r="B191" s="1" t="s">
        <v>419</v>
      </c>
      <c r="C191" s="34">
        <v>45792</v>
      </c>
      <c r="D191" s="14" t="s">
        <v>233</v>
      </c>
      <c r="E191" s="13" t="s">
        <v>862</v>
      </c>
      <c r="F191" s="14" t="s">
        <v>33</v>
      </c>
      <c r="G191" s="12" t="s">
        <v>365</v>
      </c>
      <c r="H191" s="12" t="s">
        <v>421</v>
      </c>
      <c r="I191" s="19">
        <v>45804</v>
      </c>
      <c r="J191" s="14" t="s">
        <v>422</v>
      </c>
      <c r="K191" s="14" t="s">
        <v>37</v>
      </c>
      <c r="L191" s="14" t="s">
        <v>423</v>
      </c>
      <c r="M191" s="14" t="s">
        <v>863</v>
      </c>
      <c r="N191" s="19">
        <v>45856</v>
      </c>
    </row>
    <row r="192" spans="1:14" ht="30" customHeight="1" x14ac:dyDescent="0.25">
      <c r="A192" s="29">
        <v>191</v>
      </c>
      <c r="B192" s="1" t="s">
        <v>425</v>
      </c>
      <c r="C192" s="34">
        <v>45720</v>
      </c>
      <c r="D192" s="14" t="s">
        <v>72</v>
      </c>
      <c r="E192" s="13" t="s">
        <v>864</v>
      </c>
      <c r="F192" s="14" t="s">
        <v>89</v>
      </c>
      <c r="G192" s="12" t="s">
        <v>172</v>
      </c>
      <c r="H192" s="12" t="s">
        <v>427</v>
      </c>
      <c r="I192" s="19">
        <v>45828</v>
      </c>
      <c r="J192" s="14" t="s">
        <v>428</v>
      </c>
      <c r="K192" s="14" t="s">
        <v>37</v>
      </c>
      <c r="L192" s="14" t="s">
        <v>429</v>
      </c>
      <c r="M192" s="14" t="s">
        <v>865</v>
      </c>
      <c r="N192" s="19">
        <v>45870</v>
      </c>
    </row>
    <row r="193" spans="1:14" ht="30" customHeight="1" x14ac:dyDescent="0.25">
      <c r="A193" s="29">
        <v>192</v>
      </c>
      <c r="B193" s="1" t="s">
        <v>431</v>
      </c>
      <c r="C193" s="34">
        <v>45902</v>
      </c>
      <c r="D193" s="12" t="s">
        <v>432</v>
      </c>
      <c r="E193" s="13" t="s">
        <v>866</v>
      </c>
      <c r="F193" s="14" t="s">
        <v>33</v>
      </c>
      <c r="G193" s="12" t="s">
        <v>353</v>
      </c>
      <c r="H193" s="12" t="s">
        <v>82</v>
      </c>
      <c r="I193" s="19">
        <v>45948</v>
      </c>
      <c r="J193" s="14" t="s">
        <v>434</v>
      </c>
      <c r="K193" s="14" t="s">
        <v>37</v>
      </c>
      <c r="L193" s="14" t="s">
        <v>435</v>
      </c>
      <c r="M193" s="10" t="s">
        <v>867</v>
      </c>
      <c r="N193" s="34">
        <v>45885</v>
      </c>
    </row>
    <row r="194" spans="1:14" ht="30" customHeight="1" x14ac:dyDescent="0.25">
      <c r="A194" s="29">
        <v>193</v>
      </c>
      <c r="B194" s="1" t="s">
        <v>437</v>
      </c>
      <c r="C194" s="34">
        <v>45772</v>
      </c>
      <c r="D194" s="12" t="s">
        <v>438</v>
      </c>
      <c r="E194" s="13" t="s">
        <v>868</v>
      </c>
      <c r="F194" s="14" t="s">
        <v>89</v>
      </c>
      <c r="G194" s="12" t="s">
        <v>120</v>
      </c>
      <c r="H194" s="12" t="s">
        <v>121</v>
      </c>
      <c r="I194" s="19">
        <v>45866</v>
      </c>
      <c r="J194" s="14" t="s">
        <v>440</v>
      </c>
      <c r="K194" s="14" t="s">
        <v>37</v>
      </c>
      <c r="L194" s="14" t="s">
        <v>441</v>
      </c>
      <c r="M194" s="11" t="s">
        <v>869</v>
      </c>
      <c r="N194" s="19">
        <v>45871</v>
      </c>
    </row>
    <row r="195" spans="1:14" x14ac:dyDescent="0.25">
      <c r="A195" s="29">
        <v>194</v>
      </c>
      <c r="B195" s="1" t="s">
        <v>443</v>
      </c>
      <c r="C195" s="34">
        <v>45877</v>
      </c>
      <c r="D195" s="12" t="s">
        <v>444</v>
      </c>
      <c r="E195" s="13" t="s">
        <v>870</v>
      </c>
      <c r="F195" s="14" t="s">
        <v>89</v>
      </c>
      <c r="G195" s="12" t="s">
        <v>446</v>
      </c>
      <c r="H195" s="12" t="s">
        <v>44</v>
      </c>
      <c r="I195" s="19">
        <v>45911</v>
      </c>
      <c r="J195" s="14" t="s">
        <v>447</v>
      </c>
      <c r="K195" s="14" t="s">
        <v>37</v>
      </c>
      <c r="L195" s="14" t="s">
        <v>448</v>
      </c>
      <c r="M195" s="11" t="s">
        <v>871</v>
      </c>
      <c r="N195" s="19">
        <v>45861</v>
      </c>
    </row>
    <row r="196" spans="1:14" x14ac:dyDescent="0.25">
      <c r="A196" s="29">
        <v>195</v>
      </c>
      <c r="B196" s="1" t="s">
        <v>450</v>
      </c>
      <c r="C196" s="34">
        <v>45719</v>
      </c>
      <c r="D196" s="12" t="s">
        <v>297</v>
      </c>
      <c r="E196" s="13" t="s">
        <v>872</v>
      </c>
      <c r="F196" s="14" t="s">
        <v>33</v>
      </c>
      <c r="G196" s="12" t="s">
        <v>452</v>
      </c>
      <c r="H196" s="12" t="s">
        <v>453</v>
      </c>
      <c r="I196" s="19">
        <v>45770</v>
      </c>
      <c r="J196" s="14" t="s">
        <v>243</v>
      </c>
      <c r="K196" s="14" t="s">
        <v>37</v>
      </c>
      <c r="L196" s="14" t="s">
        <v>454</v>
      </c>
      <c r="M196" s="11" t="s">
        <v>873</v>
      </c>
      <c r="N196" s="19">
        <v>45873</v>
      </c>
    </row>
    <row r="197" spans="1:14" ht="30" customHeight="1" x14ac:dyDescent="0.25">
      <c r="A197" s="29">
        <v>196</v>
      </c>
      <c r="B197" s="1" t="s">
        <v>456</v>
      </c>
      <c r="C197" s="34">
        <v>45744</v>
      </c>
      <c r="D197" s="12" t="s">
        <v>64</v>
      </c>
      <c r="E197" s="13" t="s">
        <v>874</v>
      </c>
      <c r="F197" s="14" t="s">
        <v>89</v>
      </c>
      <c r="G197" s="12" t="s">
        <v>113</v>
      </c>
      <c r="H197" s="12" t="s">
        <v>299</v>
      </c>
      <c r="I197" s="19">
        <v>45788</v>
      </c>
      <c r="J197" s="14" t="s">
        <v>458</v>
      </c>
      <c r="K197" s="14" t="s">
        <v>37</v>
      </c>
      <c r="L197" s="14" t="s">
        <v>459</v>
      </c>
      <c r="M197" s="11" t="s">
        <v>875</v>
      </c>
      <c r="N197" s="19">
        <v>45853</v>
      </c>
    </row>
    <row r="198" spans="1:14" x14ac:dyDescent="0.25">
      <c r="A198" s="29">
        <v>197</v>
      </c>
      <c r="B198" s="1" t="s">
        <v>461</v>
      </c>
      <c r="C198" s="34">
        <v>45825</v>
      </c>
      <c r="D198" s="14" t="s">
        <v>240</v>
      </c>
      <c r="E198" s="13" t="s">
        <v>876</v>
      </c>
      <c r="F198" s="14" t="s">
        <v>89</v>
      </c>
      <c r="G198" s="12" t="s">
        <v>105</v>
      </c>
      <c r="H198" s="12" t="s">
        <v>256</v>
      </c>
      <c r="I198" s="19">
        <v>45852</v>
      </c>
      <c r="J198" s="14" t="s">
        <v>463</v>
      </c>
      <c r="K198" s="14" t="s">
        <v>37</v>
      </c>
      <c r="L198" s="14" t="s">
        <v>464</v>
      </c>
      <c r="M198" s="11" t="s">
        <v>877</v>
      </c>
      <c r="N198" s="19">
        <v>45865</v>
      </c>
    </row>
    <row r="199" spans="1:14" x14ac:dyDescent="0.25">
      <c r="A199" s="29">
        <v>198</v>
      </c>
      <c r="B199" s="1" t="s">
        <v>466</v>
      </c>
      <c r="C199" s="34">
        <v>45917</v>
      </c>
      <c r="D199" s="14" t="s">
        <v>467</v>
      </c>
      <c r="E199" s="13" t="s">
        <v>878</v>
      </c>
      <c r="F199" s="14" t="s">
        <v>89</v>
      </c>
      <c r="G199" s="12" t="s">
        <v>469</v>
      </c>
      <c r="H199" s="12" t="s">
        <v>470</v>
      </c>
      <c r="I199" s="19">
        <v>46021</v>
      </c>
      <c r="J199" s="14" t="s">
        <v>471</v>
      </c>
      <c r="K199" s="14" t="s">
        <v>37</v>
      </c>
      <c r="L199" s="14" t="s">
        <v>472</v>
      </c>
      <c r="M199" s="11" t="s">
        <v>879</v>
      </c>
      <c r="N199" s="19">
        <v>45840</v>
      </c>
    </row>
    <row r="200" spans="1:14" x14ac:dyDescent="0.25">
      <c r="A200" s="29">
        <v>199</v>
      </c>
      <c r="B200" s="1" t="s">
        <v>466</v>
      </c>
      <c r="C200" s="34">
        <v>45872</v>
      </c>
      <c r="D200" s="14" t="s">
        <v>351</v>
      </c>
      <c r="E200" s="13" t="s">
        <v>880</v>
      </c>
      <c r="F200" s="14" t="s">
        <v>89</v>
      </c>
      <c r="G200" s="12" t="s">
        <v>475</v>
      </c>
      <c r="H200" s="12" t="s">
        <v>453</v>
      </c>
      <c r="I200" s="19">
        <v>45939</v>
      </c>
      <c r="J200" s="14" t="s">
        <v>476</v>
      </c>
      <c r="K200" s="14" t="s">
        <v>37</v>
      </c>
      <c r="L200" s="14" t="s">
        <v>477</v>
      </c>
      <c r="M200" s="11" t="s">
        <v>881</v>
      </c>
      <c r="N200" s="19">
        <v>45878</v>
      </c>
    </row>
    <row r="201" spans="1:14" ht="30" customHeight="1" x14ac:dyDescent="0.25">
      <c r="A201" s="29">
        <v>200</v>
      </c>
      <c r="B201" s="1" t="s">
        <v>479</v>
      </c>
      <c r="C201" s="34">
        <v>45678</v>
      </c>
      <c r="D201" s="12" t="s">
        <v>480</v>
      </c>
      <c r="E201" s="13" t="s">
        <v>882</v>
      </c>
      <c r="F201" s="14" t="s">
        <v>89</v>
      </c>
      <c r="G201" s="12" t="s">
        <v>201</v>
      </c>
      <c r="H201" s="12" t="s">
        <v>202</v>
      </c>
      <c r="I201" s="19">
        <v>45741</v>
      </c>
      <c r="J201" s="14" t="s">
        <v>68</v>
      </c>
      <c r="K201" s="14" t="s">
        <v>37</v>
      </c>
      <c r="L201" s="14" t="s">
        <v>482</v>
      </c>
      <c r="M201" s="11" t="s">
        <v>883</v>
      </c>
      <c r="N201" s="19">
        <v>45845</v>
      </c>
    </row>
    <row r="202" spans="1:14" ht="30" customHeight="1" x14ac:dyDescent="0.25">
      <c r="A202" s="29">
        <v>201</v>
      </c>
      <c r="B202" s="1" t="s">
        <v>71</v>
      </c>
      <c r="C202" s="34">
        <v>45871</v>
      </c>
      <c r="D202" s="14" t="s">
        <v>484</v>
      </c>
      <c r="E202" s="13" t="s">
        <v>884</v>
      </c>
      <c r="F202" s="14" t="s">
        <v>33</v>
      </c>
      <c r="G202" s="12" t="s">
        <v>58</v>
      </c>
      <c r="H202" s="12" t="s">
        <v>91</v>
      </c>
      <c r="I202" s="19">
        <v>45877</v>
      </c>
      <c r="J202" s="14" t="s">
        <v>45</v>
      </c>
      <c r="K202" s="14" t="s">
        <v>37</v>
      </c>
      <c r="L202" s="14" t="s">
        <v>486</v>
      </c>
      <c r="M202" s="11" t="s">
        <v>885</v>
      </c>
      <c r="N202" s="19">
        <v>45858</v>
      </c>
    </row>
    <row r="203" spans="1:14" x14ac:dyDescent="0.25">
      <c r="A203" s="29">
        <v>202</v>
      </c>
      <c r="B203" s="1" t="s">
        <v>488</v>
      </c>
      <c r="C203" s="34">
        <v>45678</v>
      </c>
      <c r="D203" s="14" t="s">
        <v>225</v>
      </c>
      <c r="E203" s="13" t="s">
        <v>886</v>
      </c>
      <c r="F203" s="14" t="s">
        <v>33</v>
      </c>
      <c r="G203" s="12" t="s">
        <v>490</v>
      </c>
      <c r="H203" s="12" t="s">
        <v>383</v>
      </c>
      <c r="I203" s="19">
        <v>45723</v>
      </c>
      <c r="J203" s="14" t="s">
        <v>197</v>
      </c>
      <c r="K203" s="14" t="s">
        <v>37</v>
      </c>
      <c r="L203" s="14" t="s">
        <v>491</v>
      </c>
      <c r="M203" s="11" t="s">
        <v>887</v>
      </c>
      <c r="N203" s="19">
        <v>45865</v>
      </c>
    </row>
    <row r="204" spans="1:14" x14ac:dyDescent="0.25">
      <c r="A204" s="29">
        <v>203</v>
      </c>
      <c r="B204" s="1" t="s">
        <v>161</v>
      </c>
      <c r="C204" s="34">
        <v>45759</v>
      </c>
      <c r="D204" s="14" t="s">
        <v>31</v>
      </c>
      <c r="E204" s="13" t="s">
        <v>888</v>
      </c>
      <c r="F204" s="14" t="s">
        <v>33</v>
      </c>
      <c r="G204" s="12" t="s">
        <v>164</v>
      </c>
      <c r="H204" s="12" t="s">
        <v>165</v>
      </c>
      <c r="I204" s="19">
        <v>45784</v>
      </c>
      <c r="J204" s="14" t="s">
        <v>114</v>
      </c>
      <c r="K204" s="14" t="s">
        <v>37</v>
      </c>
      <c r="L204" s="14" t="s">
        <v>494</v>
      </c>
      <c r="M204" s="11" t="s">
        <v>889</v>
      </c>
      <c r="N204" s="19">
        <v>45885</v>
      </c>
    </row>
    <row r="205" spans="1:14" x14ac:dyDescent="0.25">
      <c r="A205" s="29">
        <v>204</v>
      </c>
      <c r="B205" s="1" t="s">
        <v>184</v>
      </c>
      <c r="C205" s="34">
        <v>45922</v>
      </c>
      <c r="D205" s="14" t="s">
        <v>332</v>
      </c>
      <c r="E205" s="13" t="s">
        <v>890</v>
      </c>
      <c r="F205" s="14" t="s">
        <v>89</v>
      </c>
      <c r="G205" s="12" t="s">
        <v>497</v>
      </c>
      <c r="H205" s="12" t="s">
        <v>121</v>
      </c>
      <c r="I205" s="19">
        <v>46001</v>
      </c>
      <c r="J205" s="14" t="s">
        <v>377</v>
      </c>
      <c r="K205" s="14" t="s">
        <v>37</v>
      </c>
      <c r="L205" s="14" t="s">
        <v>498</v>
      </c>
      <c r="M205" s="11" t="s">
        <v>891</v>
      </c>
      <c r="N205" s="19">
        <v>45867</v>
      </c>
    </row>
    <row r="206" spans="1:14" ht="16.5" customHeight="1" thickBot="1" x14ac:dyDescent="0.3">
      <c r="A206" s="29">
        <v>205</v>
      </c>
      <c r="B206" s="1" t="s">
        <v>40</v>
      </c>
      <c r="C206" s="46">
        <v>45951</v>
      </c>
      <c r="D206" s="14" t="s">
        <v>64</v>
      </c>
      <c r="E206" s="13" t="s">
        <v>892</v>
      </c>
      <c r="F206" s="14" t="s">
        <v>33</v>
      </c>
      <c r="G206" s="12" t="s">
        <v>337</v>
      </c>
      <c r="H206" s="12" t="s">
        <v>427</v>
      </c>
      <c r="I206" s="19">
        <v>45996</v>
      </c>
      <c r="J206" s="14" t="s">
        <v>52</v>
      </c>
      <c r="K206" s="14" t="s">
        <v>37</v>
      </c>
      <c r="L206" s="14" t="s">
        <v>501</v>
      </c>
      <c r="M206" s="11" t="s">
        <v>893</v>
      </c>
      <c r="N206" s="19">
        <v>45895</v>
      </c>
    </row>
    <row r="207" spans="1:14" ht="30" customHeight="1" x14ac:dyDescent="0.25">
      <c r="A207" s="29">
        <v>206</v>
      </c>
      <c r="B207" s="1" t="s">
        <v>503</v>
      </c>
      <c r="C207" s="34">
        <v>45810</v>
      </c>
      <c r="D207" s="14" t="s">
        <v>87</v>
      </c>
      <c r="E207" s="13" t="s">
        <v>894</v>
      </c>
      <c r="F207" s="14" t="s">
        <v>33</v>
      </c>
      <c r="G207" s="12" t="s">
        <v>469</v>
      </c>
      <c r="H207" s="12" t="s">
        <v>317</v>
      </c>
      <c r="I207" s="19">
        <v>45883</v>
      </c>
      <c r="J207" s="14" t="s">
        <v>458</v>
      </c>
      <c r="K207" s="14" t="s">
        <v>37</v>
      </c>
      <c r="L207" s="14" t="s">
        <v>505</v>
      </c>
      <c r="M207" s="11" t="s">
        <v>895</v>
      </c>
      <c r="N207" s="19">
        <v>45847</v>
      </c>
    </row>
    <row r="208" spans="1:14" ht="30" customHeight="1" x14ac:dyDescent="0.25">
      <c r="A208" s="29">
        <v>207</v>
      </c>
      <c r="B208" s="1" t="s">
        <v>103</v>
      </c>
      <c r="C208" s="34">
        <v>45803</v>
      </c>
      <c r="D208" s="14" t="s">
        <v>260</v>
      </c>
      <c r="E208" s="13" t="s">
        <v>896</v>
      </c>
      <c r="F208" s="14" t="s">
        <v>33</v>
      </c>
      <c r="G208" s="12" t="s">
        <v>508</v>
      </c>
      <c r="H208" s="12" t="s">
        <v>376</v>
      </c>
      <c r="I208" s="19">
        <v>45810</v>
      </c>
      <c r="J208" s="14" t="s">
        <v>428</v>
      </c>
      <c r="K208" s="14" t="s">
        <v>37</v>
      </c>
      <c r="L208" s="14" t="s">
        <v>509</v>
      </c>
      <c r="M208" s="11" t="s">
        <v>897</v>
      </c>
      <c r="N208" s="19">
        <v>45896</v>
      </c>
    </row>
    <row r="209" spans="1:14" ht="16.5" customHeight="1" thickBot="1" x14ac:dyDescent="0.3">
      <c r="A209" s="29">
        <v>208</v>
      </c>
      <c r="B209" s="1" t="s">
        <v>511</v>
      </c>
      <c r="C209" s="46">
        <v>45745</v>
      </c>
      <c r="D209" s="14" t="s">
        <v>170</v>
      </c>
      <c r="E209" s="13" t="s">
        <v>898</v>
      </c>
      <c r="F209" s="14" t="s">
        <v>89</v>
      </c>
      <c r="G209" s="12" t="s">
        <v>513</v>
      </c>
      <c r="H209" s="12" t="s">
        <v>196</v>
      </c>
      <c r="I209" s="19">
        <v>45765</v>
      </c>
      <c r="J209" s="14" t="s">
        <v>318</v>
      </c>
      <c r="K209" s="14" t="s">
        <v>37</v>
      </c>
      <c r="L209" s="14" t="s">
        <v>514</v>
      </c>
      <c r="M209" s="11" t="s">
        <v>899</v>
      </c>
      <c r="N209" s="19">
        <v>45858</v>
      </c>
    </row>
    <row r="210" spans="1:14" ht="30" customHeight="1" x14ac:dyDescent="0.25">
      <c r="A210" s="29">
        <v>209</v>
      </c>
      <c r="B210" s="1" t="s">
        <v>516</v>
      </c>
      <c r="C210" s="34">
        <v>45710</v>
      </c>
      <c r="D210" s="14" t="s">
        <v>185</v>
      </c>
      <c r="E210" s="13" t="s">
        <v>900</v>
      </c>
      <c r="F210" s="14" t="s">
        <v>33</v>
      </c>
      <c r="G210" s="12" t="s">
        <v>490</v>
      </c>
      <c r="H210" s="12" t="s">
        <v>99</v>
      </c>
      <c r="I210" s="19">
        <v>45826</v>
      </c>
      <c r="J210" s="14" t="s">
        <v>518</v>
      </c>
      <c r="K210" s="14" t="s">
        <v>37</v>
      </c>
      <c r="L210" s="14" t="s">
        <v>519</v>
      </c>
      <c r="M210" s="11" t="s">
        <v>901</v>
      </c>
      <c r="N210" s="19">
        <v>45869</v>
      </c>
    </row>
    <row r="211" spans="1:14" x14ac:dyDescent="0.25">
      <c r="A211" s="29">
        <v>210</v>
      </c>
      <c r="B211" s="1" t="s">
        <v>521</v>
      </c>
      <c r="C211" s="34">
        <v>45924</v>
      </c>
      <c r="D211" s="14" t="s">
        <v>154</v>
      </c>
      <c r="E211" s="13" t="s">
        <v>902</v>
      </c>
      <c r="F211" s="14" t="s">
        <v>89</v>
      </c>
      <c r="G211" s="12" t="s">
        <v>490</v>
      </c>
      <c r="H211" s="12" t="s">
        <v>523</v>
      </c>
      <c r="I211" s="19">
        <v>45978</v>
      </c>
      <c r="J211" s="14" t="s">
        <v>428</v>
      </c>
      <c r="K211" s="14" t="s">
        <v>37</v>
      </c>
      <c r="L211" s="14" t="s">
        <v>524</v>
      </c>
      <c r="M211" s="11" t="s">
        <v>903</v>
      </c>
      <c r="N211" s="19">
        <v>45853</v>
      </c>
    </row>
    <row r="212" spans="1:14" x14ac:dyDescent="0.25">
      <c r="A212" s="29">
        <v>211</v>
      </c>
      <c r="B212" s="1" t="s">
        <v>526</v>
      </c>
      <c r="C212" s="34">
        <v>45884</v>
      </c>
      <c r="D212" s="14" t="s">
        <v>527</v>
      </c>
      <c r="E212" s="13" t="s">
        <v>904</v>
      </c>
      <c r="F212" s="14" t="s">
        <v>89</v>
      </c>
      <c r="G212" s="12" t="s">
        <v>113</v>
      </c>
      <c r="H212" s="12" t="s">
        <v>262</v>
      </c>
      <c r="I212" s="19">
        <v>45993</v>
      </c>
      <c r="J212" s="14" t="s">
        <v>529</v>
      </c>
      <c r="K212" s="14" t="s">
        <v>37</v>
      </c>
      <c r="L212" s="14" t="s">
        <v>530</v>
      </c>
      <c r="M212" s="11" t="s">
        <v>905</v>
      </c>
      <c r="N212" s="19">
        <v>45893</v>
      </c>
    </row>
    <row r="213" spans="1:14" ht="30" customHeight="1" x14ac:dyDescent="0.25">
      <c r="A213" s="29">
        <v>212</v>
      </c>
      <c r="B213" s="1" t="s">
        <v>532</v>
      </c>
      <c r="C213" s="34">
        <v>45849</v>
      </c>
      <c r="D213" s="14" t="s">
        <v>432</v>
      </c>
      <c r="E213" s="13" t="s">
        <v>906</v>
      </c>
      <c r="F213" s="14" t="s">
        <v>33</v>
      </c>
      <c r="G213" s="12" t="s">
        <v>534</v>
      </c>
      <c r="H213" s="12" t="s">
        <v>311</v>
      </c>
      <c r="I213" s="19">
        <v>45947</v>
      </c>
      <c r="J213" s="14" t="s">
        <v>535</v>
      </c>
      <c r="K213" s="14" t="s">
        <v>37</v>
      </c>
      <c r="L213" s="14" t="s">
        <v>536</v>
      </c>
      <c r="M213" s="11" t="s">
        <v>907</v>
      </c>
      <c r="N213" s="19">
        <v>45868</v>
      </c>
    </row>
    <row r="214" spans="1:14" x14ac:dyDescent="0.25">
      <c r="A214" s="29">
        <v>213</v>
      </c>
      <c r="B214" s="1" t="s">
        <v>538</v>
      </c>
      <c r="C214" s="34">
        <v>45828</v>
      </c>
      <c r="D214" s="14" t="s">
        <v>233</v>
      </c>
      <c r="E214" s="13" t="s">
        <v>908</v>
      </c>
      <c r="F214" s="14" t="s">
        <v>33</v>
      </c>
      <c r="G214" s="12" t="s">
        <v>90</v>
      </c>
      <c r="H214" s="12" t="s">
        <v>91</v>
      </c>
      <c r="I214" s="19">
        <v>45920</v>
      </c>
      <c r="J214" s="14" t="s">
        <v>540</v>
      </c>
      <c r="K214" s="14" t="s">
        <v>37</v>
      </c>
      <c r="L214" s="14" t="s">
        <v>541</v>
      </c>
      <c r="M214" s="11" t="s">
        <v>909</v>
      </c>
      <c r="N214" s="19">
        <v>45885</v>
      </c>
    </row>
    <row r="215" spans="1:14" ht="45" customHeight="1" x14ac:dyDescent="0.25">
      <c r="A215" s="29">
        <v>214</v>
      </c>
      <c r="B215" s="1" t="s">
        <v>543</v>
      </c>
      <c r="C215" s="34">
        <v>45846</v>
      </c>
      <c r="D215" s="12" t="s">
        <v>56</v>
      </c>
      <c r="E215" s="13" t="s">
        <v>910</v>
      </c>
      <c r="F215" s="14" t="s">
        <v>89</v>
      </c>
      <c r="G215" s="12" t="s">
        <v>195</v>
      </c>
      <c r="H215" s="12" t="s">
        <v>196</v>
      </c>
      <c r="I215" s="19">
        <v>45910</v>
      </c>
      <c r="J215" s="14" t="s">
        <v>545</v>
      </c>
      <c r="K215" s="14" t="s">
        <v>37</v>
      </c>
      <c r="L215" s="14" t="s">
        <v>546</v>
      </c>
      <c r="M215" s="11" t="s">
        <v>911</v>
      </c>
      <c r="N215" s="19">
        <v>45878</v>
      </c>
    </row>
    <row r="216" spans="1:14" x14ac:dyDescent="0.25">
      <c r="A216" s="29">
        <v>215</v>
      </c>
      <c r="B216" s="1" t="s">
        <v>284</v>
      </c>
      <c r="C216" s="34">
        <v>45841</v>
      </c>
      <c r="D216" s="14" t="s">
        <v>56</v>
      </c>
      <c r="E216" s="13" t="s">
        <v>912</v>
      </c>
      <c r="F216" s="14" t="s">
        <v>33</v>
      </c>
      <c r="G216" s="12" t="s">
        <v>287</v>
      </c>
      <c r="H216" s="12" t="s">
        <v>415</v>
      </c>
      <c r="I216" s="19">
        <v>45873</v>
      </c>
      <c r="J216" s="14" t="s">
        <v>549</v>
      </c>
      <c r="K216" s="14" t="s">
        <v>37</v>
      </c>
      <c r="L216" s="14" t="s">
        <v>550</v>
      </c>
      <c r="M216" s="11" t="s">
        <v>913</v>
      </c>
      <c r="N216" s="19">
        <v>45854</v>
      </c>
    </row>
    <row r="217" spans="1:14" x14ac:dyDescent="0.25">
      <c r="A217" s="29">
        <v>216</v>
      </c>
      <c r="B217" s="1" t="s">
        <v>350</v>
      </c>
      <c r="C217" s="34">
        <v>45922</v>
      </c>
      <c r="D217" s="14" t="s">
        <v>552</v>
      </c>
      <c r="E217" s="13" t="s">
        <v>914</v>
      </c>
      <c r="F217" s="14" t="s">
        <v>89</v>
      </c>
      <c r="G217" s="12" t="s">
        <v>534</v>
      </c>
      <c r="H217" s="12" t="s">
        <v>366</v>
      </c>
      <c r="I217" s="19">
        <v>45983</v>
      </c>
      <c r="J217" s="14" t="s">
        <v>318</v>
      </c>
      <c r="K217" s="14" t="s">
        <v>37</v>
      </c>
      <c r="L217" s="14" t="s">
        <v>554</v>
      </c>
      <c r="M217" s="11" t="s">
        <v>915</v>
      </c>
      <c r="N217" s="19">
        <v>45844</v>
      </c>
    </row>
    <row r="218" spans="1:14" ht="30.75" customHeight="1" thickBot="1" x14ac:dyDescent="0.3">
      <c r="A218" s="29">
        <v>217</v>
      </c>
      <c r="B218" s="1" t="s">
        <v>437</v>
      </c>
      <c r="C218" s="46">
        <v>45721</v>
      </c>
      <c r="D218" s="14" t="s">
        <v>308</v>
      </c>
      <c r="E218" s="13" t="s">
        <v>916</v>
      </c>
      <c r="F218" s="14" t="s">
        <v>89</v>
      </c>
      <c r="G218" s="12" t="s">
        <v>141</v>
      </c>
      <c r="H218" s="12" t="s">
        <v>557</v>
      </c>
      <c r="I218" s="19">
        <v>45744</v>
      </c>
      <c r="J218" s="14" t="s">
        <v>128</v>
      </c>
      <c r="K218" s="14" t="s">
        <v>37</v>
      </c>
      <c r="L218" s="14" t="s">
        <v>558</v>
      </c>
      <c r="M218" s="11" t="s">
        <v>917</v>
      </c>
      <c r="N218" s="19">
        <v>45885</v>
      </c>
    </row>
    <row r="219" spans="1:14" x14ac:dyDescent="0.25">
      <c r="A219" s="29">
        <v>218</v>
      </c>
      <c r="B219" s="1" t="s">
        <v>450</v>
      </c>
      <c r="C219" s="34">
        <v>45751</v>
      </c>
      <c r="D219" s="14" t="s">
        <v>552</v>
      </c>
      <c r="E219" s="13" t="s">
        <v>918</v>
      </c>
      <c r="F219" s="14" t="s">
        <v>33</v>
      </c>
      <c r="G219" s="12" t="s">
        <v>561</v>
      </c>
      <c r="H219" s="12" t="s">
        <v>453</v>
      </c>
      <c r="I219" s="19">
        <v>45763</v>
      </c>
      <c r="J219" s="14" t="s">
        <v>562</v>
      </c>
      <c r="K219" s="14" t="s">
        <v>37</v>
      </c>
      <c r="L219" s="14" t="s">
        <v>563</v>
      </c>
      <c r="M219" s="11" t="s">
        <v>919</v>
      </c>
      <c r="N219" s="19">
        <v>45891</v>
      </c>
    </row>
    <row r="220" spans="1:14" x14ac:dyDescent="0.25">
      <c r="A220" s="29">
        <v>219</v>
      </c>
      <c r="B220" s="1" t="s">
        <v>212</v>
      </c>
      <c r="C220" s="34">
        <v>45863</v>
      </c>
      <c r="D220" s="14" t="s">
        <v>308</v>
      </c>
      <c r="E220" s="13" t="s">
        <v>920</v>
      </c>
      <c r="F220" s="14" t="s">
        <v>89</v>
      </c>
      <c r="G220" s="12" t="s">
        <v>58</v>
      </c>
      <c r="H220" s="12" t="s">
        <v>44</v>
      </c>
      <c r="I220" s="19">
        <v>45879</v>
      </c>
      <c r="J220" s="14" t="s">
        <v>566</v>
      </c>
      <c r="K220" s="14" t="s">
        <v>37</v>
      </c>
      <c r="L220" s="14" t="s">
        <v>567</v>
      </c>
      <c r="M220" s="11" t="s">
        <v>921</v>
      </c>
      <c r="N220" s="19">
        <v>45847</v>
      </c>
    </row>
    <row r="221" spans="1:14" ht="30" customHeight="1" x14ac:dyDescent="0.25">
      <c r="A221" s="29">
        <v>220</v>
      </c>
      <c r="B221" s="1" t="s">
        <v>569</v>
      </c>
      <c r="C221" s="34">
        <v>45678</v>
      </c>
      <c r="D221" s="14" t="s">
        <v>552</v>
      </c>
      <c r="E221" s="13" t="s">
        <v>922</v>
      </c>
      <c r="F221" s="14" t="s">
        <v>89</v>
      </c>
      <c r="G221" s="12" t="s">
        <v>120</v>
      </c>
      <c r="H221" s="12" t="s">
        <v>383</v>
      </c>
      <c r="I221" s="19">
        <v>45709</v>
      </c>
      <c r="J221" s="14" t="s">
        <v>571</v>
      </c>
      <c r="K221" s="14" t="s">
        <v>37</v>
      </c>
      <c r="L221" s="14" t="s">
        <v>572</v>
      </c>
      <c r="M221" s="11" t="s">
        <v>923</v>
      </c>
      <c r="N221" s="19">
        <v>45884</v>
      </c>
    </row>
    <row r="222" spans="1:14" ht="30" customHeight="1" x14ac:dyDescent="0.25">
      <c r="A222" s="29">
        <v>221</v>
      </c>
      <c r="B222" s="1" t="s">
        <v>425</v>
      </c>
      <c r="C222" s="34">
        <v>45815</v>
      </c>
      <c r="D222" s="14" t="s">
        <v>480</v>
      </c>
      <c r="E222" s="13" t="s">
        <v>924</v>
      </c>
      <c r="F222" s="14" t="s">
        <v>89</v>
      </c>
      <c r="G222" s="12" t="s">
        <v>346</v>
      </c>
      <c r="H222" s="12" t="s">
        <v>427</v>
      </c>
      <c r="I222" s="19">
        <v>45869</v>
      </c>
      <c r="J222" s="14" t="s">
        <v>575</v>
      </c>
      <c r="K222" s="14" t="s">
        <v>37</v>
      </c>
      <c r="L222" s="14" t="s">
        <v>576</v>
      </c>
      <c r="M222" s="11" t="s">
        <v>925</v>
      </c>
      <c r="N222" s="19">
        <v>45873</v>
      </c>
    </row>
    <row r="223" spans="1:14" x14ac:dyDescent="0.25">
      <c r="A223" s="29">
        <v>222</v>
      </c>
      <c r="B223" s="1" t="s">
        <v>578</v>
      </c>
      <c r="C223" s="34">
        <v>45851</v>
      </c>
      <c r="D223" s="14" t="s">
        <v>170</v>
      </c>
      <c r="E223" s="13" t="s">
        <v>926</v>
      </c>
      <c r="F223" s="14" t="s">
        <v>33</v>
      </c>
      <c r="G223" s="12" t="s">
        <v>475</v>
      </c>
      <c r="H223" s="12" t="s">
        <v>580</v>
      </c>
      <c r="I223" s="19">
        <v>45889</v>
      </c>
      <c r="J223" s="14" t="s">
        <v>581</v>
      </c>
      <c r="K223" s="14" t="s">
        <v>37</v>
      </c>
      <c r="L223" s="14" t="s">
        <v>582</v>
      </c>
      <c r="M223" s="11" t="s">
        <v>927</v>
      </c>
      <c r="N223" s="19">
        <v>45844</v>
      </c>
    </row>
    <row r="224" spans="1:14" x14ac:dyDescent="0.25">
      <c r="A224" s="29">
        <v>223</v>
      </c>
      <c r="B224" s="1" t="s">
        <v>169</v>
      </c>
      <c r="C224" s="34">
        <v>45825</v>
      </c>
      <c r="D224" s="14" t="s">
        <v>240</v>
      </c>
      <c r="E224" s="13" t="s">
        <v>928</v>
      </c>
      <c r="F224" s="14" t="s">
        <v>33</v>
      </c>
      <c r="G224" s="12" t="s">
        <v>172</v>
      </c>
      <c r="H224" s="12" t="s">
        <v>44</v>
      </c>
      <c r="I224" s="19">
        <v>45844</v>
      </c>
      <c r="J224" s="14" t="s">
        <v>585</v>
      </c>
      <c r="K224" s="14" t="s">
        <v>37</v>
      </c>
      <c r="L224" s="14" t="s">
        <v>586</v>
      </c>
      <c r="M224" s="11" t="s">
        <v>929</v>
      </c>
      <c r="N224" s="19">
        <v>45887</v>
      </c>
    </row>
    <row r="225" spans="1:14" ht="30" customHeight="1" x14ac:dyDescent="0.25">
      <c r="A225" s="29">
        <v>224</v>
      </c>
      <c r="B225" s="1" t="s">
        <v>177</v>
      </c>
      <c r="C225" s="34">
        <v>45685</v>
      </c>
      <c r="D225" s="14" t="s">
        <v>72</v>
      </c>
      <c r="E225" s="13" t="s">
        <v>930</v>
      </c>
      <c r="F225" s="14" t="s">
        <v>89</v>
      </c>
      <c r="G225" s="12" t="s">
        <v>220</v>
      </c>
      <c r="H225" s="12" t="s">
        <v>421</v>
      </c>
      <c r="I225" s="19">
        <v>45709</v>
      </c>
      <c r="J225" s="14" t="s">
        <v>589</v>
      </c>
      <c r="K225" s="14" t="s">
        <v>37</v>
      </c>
      <c r="L225" s="14" t="s">
        <v>590</v>
      </c>
      <c r="M225" s="11" t="s">
        <v>931</v>
      </c>
      <c r="N225" s="19">
        <v>45858</v>
      </c>
    </row>
    <row r="226" spans="1:14" ht="30" customHeight="1" x14ac:dyDescent="0.25">
      <c r="A226" s="29">
        <v>225</v>
      </c>
      <c r="B226" s="1" t="s">
        <v>450</v>
      </c>
      <c r="C226" s="34">
        <v>45841</v>
      </c>
      <c r="D226" s="14" t="s">
        <v>233</v>
      </c>
      <c r="E226" s="13" t="s">
        <v>932</v>
      </c>
      <c r="F226" s="14" t="s">
        <v>33</v>
      </c>
      <c r="G226" s="12" t="s">
        <v>469</v>
      </c>
      <c r="H226" s="12" t="s">
        <v>580</v>
      </c>
      <c r="I226" s="19">
        <v>45884</v>
      </c>
      <c r="J226" s="14" t="s">
        <v>214</v>
      </c>
      <c r="K226" s="14" t="s">
        <v>37</v>
      </c>
      <c r="L226" s="14" t="s">
        <v>593</v>
      </c>
      <c r="M226" s="11" t="s">
        <v>933</v>
      </c>
      <c r="N226" s="19">
        <v>45860</v>
      </c>
    </row>
    <row r="227" spans="1:14" x14ac:dyDescent="0.25">
      <c r="A227" s="29">
        <v>226</v>
      </c>
      <c r="B227" s="1" t="s">
        <v>48</v>
      </c>
      <c r="C227" s="34">
        <v>45815</v>
      </c>
      <c r="D227" s="14" t="s">
        <v>391</v>
      </c>
      <c r="E227" s="13" t="s">
        <v>934</v>
      </c>
      <c r="F227" s="14" t="s">
        <v>33</v>
      </c>
      <c r="G227" s="12" t="s">
        <v>596</v>
      </c>
      <c r="H227" s="12" t="s">
        <v>597</v>
      </c>
      <c r="I227" s="19">
        <v>45833</v>
      </c>
      <c r="J227" s="14" t="s">
        <v>598</v>
      </c>
      <c r="K227" s="14" t="s">
        <v>37</v>
      </c>
      <c r="L227" s="14" t="s">
        <v>599</v>
      </c>
      <c r="M227" s="11" t="s">
        <v>935</v>
      </c>
      <c r="N227" s="19">
        <v>45870</v>
      </c>
    </row>
    <row r="228" spans="1:14" x14ac:dyDescent="0.25">
      <c r="A228" s="29">
        <v>227</v>
      </c>
      <c r="B228" s="1" t="s">
        <v>252</v>
      </c>
      <c r="C228" s="34">
        <v>45803</v>
      </c>
      <c r="D228" s="14" t="s">
        <v>79</v>
      </c>
      <c r="E228" s="13" t="s">
        <v>936</v>
      </c>
      <c r="F228" s="14" t="s">
        <v>33</v>
      </c>
      <c r="G228" s="12" t="s">
        <v>164</v>
      </c>
      <c r="H228" s="12" t="s">
        <v>256</v>
      </c>
      <c r="I228" s="19">
        <v>45882</v>
      </c>
      <c r="J228" s="14" t="s">
        <v>602</v>
      </c>
      <c r="K228" s="14" t="s">
        <v>37</v>
      </c>
      <c r="L228" s="14" t="s">
        <v>603</v>
      </c>
      <c r="M228" s="11" t="s">
        <v>937</v>
      </c>
      <c r="N228" s="19">
        <v>45866</v>
      </c>
    </row>
    <row r="229" spans="1:14" ht="30" customHeight="1" x14ac:dyDescent="0.25">
      <c r="A229" s="29">
        <v>228</v>
      </c>
      <c r="B229" s="1" t="s">
        <v>466</v>
      </c>
      <c r="C229" s="34">
        <v>45729</v>
      </c>
      <c r="D229" s="14" t="s">
        <v>56</v>
      </c>
      <c r="E229" s="13" t="s">
        <v>938</v>
      </c>
      <c r="F229" s="14" t="s">
        <v>89</v>
      </c>
      <c r="G229" s="12" t="s">
        <v>606</v>
      </c>
      <c r="H229" s="12" t="s">
        <v>453</v>
      </c>
      <c r="I229" s="19">
        <v>45792</v>
      </c>
      <c r="J229" s="14" t="s">
        <v>607</v>
      </c>
      <c r="K229" s="14" t="s">
        <v>37</v>
      </c>
      <c r="L229" s="14" t="s">
        <v>608</v>
      </c>
      <c r="M229" s="11" t="s">
        <v>939</v>
      </c>
      <c r="N229" s="19">
        <v>45858</v>
      </c>
    </row>
    <row r="230" spans="1:14" ht="30" customHeight="1" x14ac:dyDescent="0.25">
      <c r="A230" s="29">
        <v>229</v>
      </c>
      <c r="B230" s="1" t="s">
        <v>610</v>
      </c>
      <c r="C230" s="34">
        <v>45794</v>
      </c>
      <c r="D230" s="14" t="s">
        <v>611</v>
      </c>
      <c r="E230" s="13" t="s">
        <v>940</v>
      </c>
      <c r="F230" s="14" t="s">
        <v>33</v>
      </c>
      <c r="G230" s="12" t="s">
        <v>497</v>
      </c>
      <c r="H230" s="12" t="s">
        <v>557</v>
      </c>
      <c r="I230" s="19">
        <v>45856</v>
      </c>
      <c r="J230" s="14" t="s">
        <v>613</v>
      </c>
      <c r="K230" s="14" t="s">
        <v>37</v>
      </c>
      <c r="L230" s="14" t="s">
        <v>614</v>
      </c>
      <c r="M230" s="11" t="s">
        <v>941</v>
      </c>
      <c r="N230" s="19">
        <v>45880</v>
      </c>
    </row>
    <row r="231" spans="1:14" ht="30" customHeight="1" x14ac:dyDescent="0.25">
      <c r="A231" s="29">
        <v>230</v>
      </c>
      <c r="B231" s="1" t="s">
        <v>71</v>
      </c>
      <c r="C231" s="34">
        <v>45942</v>
      </c>
      <c r="D231" s="14" t="s">
        <v>444</v>
      </c>
      <c r="E231" s="13" t="s">
        <v>942</v>
      </c>
      <c r="F231" s="14" t="s">
        <v>33</v>
      </c>
      <c r="G231" s="12" t="s">
        <v>337</v>
      </c>
      <c r="H231" s="12" t="s">
        <v>427</v>
      </c>
      <c r="I231" s="19">
        <v>45968</v>
      </c>
      <c r="J231" s="14" t="s">
        <v>617</v>
      </c>
      <c r="K231" s="14" t="s">
        <v>37</v>
      </c>
      <c r="L231" s="14" t="s">
        <v>618</v>
      </c>
      <c r="M231" s="11" t="s">
        <v>943</v>
      </c>
      <c r="N231" s="19">
        <v>45878</v>
      </c>
    </row>
    <row r="232" spans="1:14" x14ac:dyDescent="0.25">
      <c r="A232" s="29">
        <v>231</v>
      </c>
      <c r="B232" s="1" t="s">
        <v>620</v>
      </c>
      <c r="C232" s="34">
        <v>45910</v>
      </c>
      <c r="D232" s="14" t="s">
        <v>246</v>
      </c>
      <c r="E232" s="13" t="s">
        <v>944</v>
      </c>
      <c r="F232" s="14" t="s">
        <v>33</v>
      </c>
      <c r="G232" s="12" t="s">
        <v>43</v>
      </c>
      <c r="H232" s="12" t="s">
        <v>127</v>
      </c>
      <c r="I232" s="19">
        <v>45999</v>
      </c>
      <c r="J232" s="14" t="s">
        <v>622</v>
      </c>
      <c r="K232" s="14" t="s">
        <v>37</v>
      </c>
      <c r="L232" s="14" t="s">
        <v>623</v>
      </c>
      <c r="M232" s="11" t="s">
        <v>945</v>
      </c>
      <c r="N232" s="19">
        <v>45895</v>
      </c>
    </row>
    <row r="233" spans="1:14" x14ac:dyDescent="0.25">
      <c r="A233" s="29">
        <v>232</v>
      </c>
      <c r="B233" s="1" t="s">
        <v>63</v>
      </c>
      <c r="C233" s="34">
        <v>45912</v>
      </c>
      <c r="D233" s="14" t="s">
        <v>552</v>
      </c>
      <c r="E233" s="13" t="s">
        <v>946</v>
      </c>
      <c r="F233" s="14" t="s">
        <v>33</v>
      </c>
      <c r="G233" s="12" t="s">
        <v>179</v>
      </c>
      <c r="H233" s="12" t="s">
        <v>421</v>
      </c>
      <c r="I233" s="19">
        <v>45979</v>
      </c>
      <c r="J233" s="14" t="s">
        <v>107</v>
      </c>
      <c r="K233" s="14" t="s">
        <v>37</v>
      </c>
      <c r="L233" s="14" t="s">
        <v>626</v>
      </c>
      <c r="M233" s="11" t="s">
        <v>947</v>
      </c>
      <c r="N233" s="19">
        <v>45894</v>
      </c>
    </row>
    <row r="234" spans="1:14" x14ac:dyDescent="0.25">
      <c r="A234" s="29">
        <v>233</v>
      </c>
      <c r="B234" s="1" t="s">
        <v>205</v>
      </c>
      <c r="C234" s="34">
        <v>45743</v>
      </c>
      <c r="D234" s="14" t="s">
        <v>285</v>
      </c>
      <c r="E234" s="13" t="s">
        <v>948</v>
      </c>
      <c r="F234" s="14" t="s">
        <v>89</v>
      </c>
      <c r="G234" s="12" t="s">
        <v>208</v>
      </c>
      <c r="H234" s="12" t="s">
        <v>415</v>
      </c>
      <c r="I234" s="19">
        <v>45808</v>
      </c>
      <c r="J234" s="14" t="s">
        <v>236</v>
      </c>
      <c r="K234" s="14" t="s">
        <v>37</v>
      </c>
      <c r="L234" s="14" t="s">
        <v>629</v>
      </c>
      <c r="M234" s="11" t="s">
        <v>949</v>
      </c>
      <c r="N234" s="19">
        <v>45846</v>
      </c>
    </row>
    <row r="235" spans="1:14" ht="30" customHeight="1" x14ac:dyDescent="0.25">
      <c r="A235" s="29">
        <v>234</v>
      </c>
      <c r="B235" s="1" t="s">
        <v>631</v>
      </c>
      <c r="C235" s="34">
        <v>45749</v>
      </c>
      <c r="D235" s="14" t="s">
        <v>41</v>
      </c>
      <c r="E235" s="13" t="s">
        <v>950</v>
      </c>
      <c r="F235" s="14" t="s">
        <v>89</v>
      </c>
      <c r="G235" s="12" t="s">
        <v>513</v>
      </c>
      <c r="H235" s="12" t="s">
        <v>235</v>
      </c>
      <c r="I235" s="19">
        <v>45786</v>
      </c>
      <c r="J235" s="14" t="s">
        <v>602</v>
      </c>
      <c r="K235" s="14" t="s">
        <v>37</v>
      </c>
      <c r="L235" s="14" t="s">
        <v>633</v>
      </c>
      <c r="M235" s="11" t="s">
        <v>951</v>
      </c>
      <c r="N235" s="19">
        <v>45862</v>
      </c>
    </row>
    <row r="236" spans="1:14" x14ac:dyDescent="0.25">
      <c r="A236" s="29">
        <v>235</v>
      </c>
      <c r="B236" s="1" t="s">
        <v>635</v>
      </c>
      <c r="C236" s="34">
        <v>45800</v>
      </c>
      <c r="D236" s="14" t="s">
        <v>267</v>
      </c>
      <c r="E236" s="13" t="s">
        <v>952</v>
      </c>
      <c r="F236" s="14" t="s">
        <v>89</v>
      </c>
      <c r="G236" s="12" t="s">
        <v>561</v>
      </c>
      <c r="H236" s="12" t="s">
        <v>453</v>
      </c>
      <c r="I236" s="19">
        <v>45873</v>
      </c>
      <c r="J236" s="14" t="s">
        <v>637</v>
      </c>
      <c r="K236" s="14" t="s">
        <v>37</v>
      </c>
      <c r="L236" s="14" t="s">
        <v>638</v>
      </c>
      <c r="M236" s="11" t="s">
        <v>953</v>
      </c>
      <c r="N236" s="19">
        <v>45878</v>
      </c>
    </row>
    <row r="237" spans="1:14" x14ac:dyDescent="0.25">
      <c r="A237" s="29">
        <v>236</v>
      </c>
      <c r="B237" s="1" t="s">
        <v>437</v>
      </c>
      <c r="C237" s="34">
        <v>45819</v>
      </c>
      <c r="D237" s="14" t="s">
        <v>363</v>
      </c>
      <c r="E237" s="13" t="s">
        <v>954</v>
      </c>
      <c r="F237" s="14" t="s">
        <v>89</v>
      </c>
      <c r="G237" s="12" t="s">
        <v>187</v>
      </c>
      <c r="H237" s="12" t="s">
        <v>641</v>
      </c>
      <c r="I237" s="19">
        <v>45937</v>
      </c>
      <c r="J237" s="14" t="s">
        <v>562</v>
      </c>
      <c r="K237" s="14" t="s">
        <v>37</v>
      </c>
      <c r="L237" s="14" t="s">
        <v>642</v>
      </c>
      <c r="M237" s="11" t="s">
        <v>955</v>
      </c>
      <c r="N237" s="19">
        <v>45895</v>
      </c>
    </row>
    <row r="238" spans="1:14" x14ac:dyDescent="0.25">
      <c r="A238" s="29">
        <v>237</v>
      </c>
      <c r="B238" s="1" t="s">
        <v>610</v>
      </c>
      <c r="C238" s="34">
        <v>45778</v>
      </c>
      <c r="D238" s="14" t="s">
        <v>387</v>
      </c>
      <c r="E238" s="13" t="s">
        <v>956</v>
      </c>
      <c r="F238" s="14" t="s">
        <v>33</v>
      </c>
      <c r="G238" s="12" t="s">
        <v>120</v>
      </c>
      <c r="H238" s="12" t="s">
        <v>99</v>
      </c>
      <c r="I238" s="19">
        <v>45790</v>
      </c>
      <c r="J238" s="14" t="s">
        <v>645</v>
      </c>
      <c r="K238" s="14" t="s">
        <v>37</v>
      </c>
      <c r="L238" s="14" t="s">
        <v>646</v>
      </c>
      <c r="M238" s="11" t="s">
        <v>957</v>
      </c>
      <c r="N238" s="19">
        <v>45844</v>
      </c>
    </row>
    <row r="239" spans="1:14" x14ac:dyDescent="0.25">
      <c r="A239" s="29">
        <v>238</v>
      </c>
      <c r="B239" s="1" t="s">
        <v>125</v>
      </c>
      <c r="C239" s="36">
        <v>45735</v>
      </c>
      <c r="D239" s="1" t="s">
        <v>648</v>
      </c>
      <c r="E239" s="13" t="s">
        <v>958</v>
      </c>
      <c r="F239" s="1" t="s">
        <v>33</v>
      </c>
      <c r="G239" s="3" t="s">
        <v>337</v>
      </c>
      <c r="H239" s="3" t="s">
        <v>59</v>
      </c>
      <c r="I239" s="19">
        <v>45767</v>
      </c>
      <c r="J239" s="1" t="s">
        <v>422</v>
      </c>
      <c r="K239" s="1" t="s">
        <v>37</v>
      </c>
      <c r="L239" s="1" t="s">
        <v>650</v>
      </c>
      <c r="M239" s="2" t="s">
        <v>959</v>
      </c>
      <c r="N239" s="31">
        <v>45872</v>
      </c>
    </row>
    <row r="240" spans="1:14" ht="30.75" customHeight="1" thickBot="1" x14ac:dyDescent="0.3">
      <c r="A240" s="29">
        <v>239</v>
      </c>
      <c r="B240" s="1" t="s">
        <v>652</v>
      </c>
      <c r="C240" s="47">
        <v>45865</v>
      </c>
      <c r="D240" s="1" t="s">
        <v>363</v>
      </c>
      <c r="E240" s="13" t="s">
        <v>960</v>
      </c>
      <c r="F240" s="1" t="s">
        <v>33</v>
      </c>
      <c r="G240" s="3" t="s">
        <v>269</v>
      </c>
      <c r="H240" s="3" t="s">
        <v>654</v>
      </c>
      <c r="I240" s="31">
        <v>45873</v>
      </c>
      <c r="J240" s="1" t="s">
        <v>655</v>
      </c>
      <c r="K240" s="1" t="s">
        <v>37</v>
      </c>
      <c r="L240" s="1" t="s">
        <v>656</v>
      </c>
      <c r="M240" s="2" t="s">
        <v>961</v>
      </c>
      <c r="N240" s="31">
        <v>45852</v>
      </c>
    </row>
    <row r="241" spans="1:14" x14ac:dyDescent="0.25">
      <c r="A241" s="29">
        <v>240</v>
      </c>
      <c r="B241" s="1" t="s">
        <v>516</v>
      </c>
      <c r="C241" s="36">
        <v>45874</v>
      </c>
      <c r="D241" s="1" t="s">
        <v>552</v>
      </c>
      <c r="E241" s="13" t="s">
        <v>962</v>
      </c>
      <c r="F241" s="1" t="s">
        <v>33</v>
      </c>
      <c r="G241" s="3" t="s">
        <v>187</v>
      </c>
      <c r="H241" s="3" t="s">
        <v>121</v>
      </c>
      <c r="I241" s="31">
        <v>45926</v>
      </c>
      <c r="J241" s="1" t="s">
        <v>659</v>
      </c>
      <c r="K241" s="1" t="s">
        <v>37</v>
      </c>
      <c r="L241" s="1" t="s">
        <v>660</v>
      </c>
      <c r="M241" s="2" t="s">
        <v>963</v>
      </c>
      <c r="N241" s="31">
        <v>45873</v>
      </c>
    </row>
    <row r="242" spans="1:14" ht="30" customHeight="1" x14ac:dyDescent="0.25">
      <c r="A242" s="29">
        <v>241</v>
      </c>
      <c r="B242" s="1" t="s">
        <v>153</v>
      </c>
      <c r="C242" s="36">
        <v>45670</v>
      </c>
      <c r="D242" s="1" t="s">
        <v>374</v>
      </c>
      <c r="E242" s="13" t="s">
        <v>964</v>
      </c>
      <c r="F242" s="1" t="s">
        <v>33</v>
      </c>
      <c r="G242" s="3" t="s">
        <v>208</v>
      </c>
      <c r="H242" s="3" t="s">
        <v>196</v>
      </c>
      <c r="I242" s="31">
        <v>45679</v>
      </c>
      <c r="J242" s="1" t="s">
        <v>663</v>
      </c>
      <c r="K242" s="1" t="s">
        <v>37</v>
      </c>
      <c r="L242" s="1" t="s">
        <v>664</v>
      </c>
      <c r="M242" s="2" t="s">
        <v>965</v>
      </c>
      <c r="N242" s="31">
        <v>45844</v>
      </c>
    </row>
    <row r="243" spans="1:14" x14ac:dyDescent="0.25">
      <c r="A243" s="29">
        <v>242</v>
      </c>
      <c r="B243" s="1" t="s">
        <v>666</v>
      </c>
      <c r="C243" s="36">
        <v>45874</v>
      </c>
      <c r="D243" s="1" t="s">
        <v>467</v>
      </c>
      <c r="E243" s="13" t="s">
        <v>966</v>
      </c>
      <c r="F243" s="1" t="s">
        <v>89</v>
      </c>
      <c r="G243" s="3" t="s">
        <v>227</v>
      </c>
      <c r="H243" s="3" t="s">
        <v>580</v>
      </c>
      <c r="I243" s="31">
        <v>45982</v>
      </c>
      <c r="J243" s="1" t="s">
        <v>668</v>
      </c>
      <c r="K243" s="1" t="s">
        <v>37</v>
      </c>
      <c r="L243" s="1" t="s">
        <v>669</v>
      </c>
      <c r="M243" s="2" t="s">
        <v>967</v>
      </c>
      <c r="N243" s="31">
        <v>45897</v>
      </c>
    </row>
    <row r="244" spans="1:14" ht="16.5" customHeight="1" thickBot="1" x14ac:dyDescent="0.3">
      <c r="A244" s="29">
        <v>243</v>
      </c>
      <c r="B244" s="1" t="s">
        <v>671</v>
      </c>
      <c r="C244" s="47">
        <v>45783</v>
      </c>
      <c r="D244" s="1" t="s">
        <v>49</v>
      </c>
      <c r="E244" s="13" t="s">
        <v>968</v>
      </c>
      <c r="F244" s="1" t="s">
        <v>33</v>
      </c>
      <c r="G244" s="3" t="s">
        <v>337</v>
      </c>
      <c r="H244" s="3" t="s">
        <v>427</v>
      </c>
      <c r="I244" s="31">
        <v>45863</v>
      </c>
      <c r="J244" s="1" t="s">
        <v>673</v>
      </c>
      <c r="K244" s="1" t="s">
        <v>37</v>
      </c>
      <c r="L244" s="1" t="s">
        <v>674</v>
      </c>
      <c r="M244" s="2" t="s">
        <v>969</v>
      </c>
      <c r="N244" s="31">
        <v>45862</v>
      </c>
    </row>
    <row r="245" spans="1:14" x14ac:dyDescent="0.25">
      <c r="A245" s="29">
        <v>244</v>
      </c>
      <c r="B245" s="1" t="s">
        <v>437</v>
      </c>
      <c r="C245" s="36">
        <v>45945</v>
      </c>
      <c r="D245" s="1" t="s">
        <v>351</v>
      </c>
      <c r="E245" s="13" t="s">
        <v>970</v>
      </c>
      <c r="F245" s="1" t="s">
        <v>89</v>
      </c>
      <c r="G245" s="3" t="s">
        <v>490</v>
      </c>
      <c r="H245" s="3" t="s">
        <v>188</v>
      </c>
      <c r="I245" s="31">
        <v>45955</v>
      </c>
      <c r="J245" s="1" t="s">
        <v>45</v>
      </c>
      <c r="K245" s="1" t="s">
        <v>37</v>
      </c>
      <c r="L245" s="1" t="s">
        <v>677</v>
      </c>
      <c r="M245" s="2" t="s">
        <v>971</v>
      </c>
      <c r="N245" s="31">
        <v>45850</v>
      </c>
    </row>
    <row r="246" spans="1:14" x14ac:dyDescent="0.25">
      <c r="A246" s="29">
        <v>245</v>
      </c>
      <c r="B246" s="1" t="s">
        <v>48</v>
      </c>
      <c r="C246" s="36">
        <v>45679</v>
      </c>
      <c r="D246" s="1" t="s">
        <v>154</v>
      </c>
      <c r="E246" s="13" t="s">
        <v>972</v>
      </c>
      <c r="F246" s="1" t="s">
        <v>33</v>
      </c>
      <c r="G246" s="3" t="s">
        <v>34</v>
      </c>
      <c r="H246" s="3" t="s">
        <v>597</v>
      </c>
      <c r="I246" s="31">
        <v>45704</v>
      </c>
      <c r="J246" s="1" t="s">
        <v>354</v>
      </c>
      <c r="K246" s="1" t="s">
        <v>37</v>
      </c>
      <c r="L246" s="1" t="s">
        <v>680</v>
      </c>
      <c r="M246" s="2" t="s">
        <v>973</v>
      </c>
      <c r="N246" s="31">
        <v>45888</v>
      </c>
    </row>
    <row r="247" spans="1:14" x14ac:dyDescent="0.25">
      <c r="A247" s="29">
        <v>246</v>
      </c>
      <c r="B247" s="1" t="s">
        <v>532</v>
      </c>
      <c r="C247" s="36">
        <v>45928</v>
      </c>
      <c r="D247" s="1" t="s">
        <v>480</v>
      </c>
      <c r="E247" s="13" t="s">
        <v>974</v>
      </c>
      <c r="F247" s="1" t="s">
        <v>33</v>
      </c>
      <c r="G247" s="3" t="s">
        <v>179</v>
      </c>
      <c r="H247" s="3" t="s">
        <v>180</v>
      </c>
      <c r="I247" s="31">
        <v>45960</v>
      </c>
      <c r="J247" s="1" t="s">
        <v>683</v>
      </c>
      <c r="K247" s="1" t="s">
        <v>37</v>
      </c>
      <c r="L247" s="1" t="s">
        <v>684</v>
      </c>
      <c r="M247" s="2" t="s">
        <v>975</v>
      </c>
      <c r="N247" s="31">
        <v>45881</v>
      </c>
    </row>
    <row r="248" spans="1:14" ht="30" customHeight="1" x14ac:dyDescent="0.25">
      <c r="A248" s="29">
        <v>247</v>
      </c>
      <c r="B248" s="1" t="s">
        <v>686</v>
      </c>
      <c r="C248" s="36">
        <v>45947</v>
      </c>
      <c r="D248" s="1" t="s">
        <v>170</v>
      </c>
      <c r="E248" s="13" t="s">
        <v>976</v>
      </c>
      <c r="F248" s="1" t="s">
        <v>33</v>
      </c>
      <c r="G248" s="3" t="s">
        <v>255</v>
      </c>
      <c r="H248" s="3" t="s">
        <v>376</v>
      </c>
      <c r="I248" s="31">
        <v>46053</v>
      </c>
      <c r="J248" s="1" t="s">
        <v>257</v>
      </c>
      <c r="K248" s="1" t="s">
        <v>37</v>
      </c>
      <c r="L248" s="1" t="s">
        <v>688</v>
      </c>
      <c r="M248" s="2" t="s">
        <v>977</v>
      </c>
      <c r="N248" s="31">
        <v>45870</v>
      </c>
    </row>
    <row r="249" spans="1:14" x14ac:dyDescent="0.25">
      <c r="A249" s="29">
        <v>248</v>
      </c>
      <c r="B249" s="1" t="s">
        <v>153</v>
      </c>
      <c r="C249" s="36">
        <v>45765</v>
      </c>
      <c r="D249" s="12" t="s">
        <v>292</v>
      </c>
      <c r="E249" s="13" t="s">
        <v>978</v>
      </c>
      <c r="F249" s="1" t="s">
        <v>33</v>
      </c>
      <c r="G249" s="3" t="s">
        <v>691</v>
      </c>
      <c r="H249" s="3" t="s">
        <v>288</v>
      </c>
      <c r="I249" s="31">
        <v>45824</v>
      </c>
      <c r="J249" s="1" t="s">
        <v>181</v>
      </c>
      <c r="K249" s="1" t="s">
        <v>37</v>
      </c>
      <c r="L249" s="1" t="s">
        <v>692</v>
      </c>
      <c r="M249" s="2" t="s">
        <v>979</v>
      </c>
      <c r="N249" s="31">
        <v>45879</v>
      </c>
    </row>
    <row r="250" spans="1:14" ht="30" customHeight="1" x14ac:dyDescent="0.25">
      <c r="A250" s="29">
        <v>249</v>
      </c>
      <c r="B250" s="1" t="s">
        <v>694</v>
      </c>
      <c r="C250" s="36">
        <v>45887</v>
      </c>
      <c r="D250" s="1" t="s">
        <v>218</v>
      </c>
      <c r="E250" s="13" t="s">
        <v>980</v>
      </c>
      <c r="F250" s="1" t="s">
        <v>89</v>
      </c>
      <c r="G250" s="3" t="s">
        <v>220</v>
      </c>
      <c r="H250" s="3" t="s">
        <v>421</v>
      </c>
      <c r="I250" s="31">
        <v>45936</v>
      </c>
      <c r="J250" s="1" t="s">
        <v>60</v>
      </c>
      <c r="K250" s="1" t="s">
        <v>37</v>
      </c>
      <c r="L250" s="1" t="s">
        <v>696</v>
      </c>
      <c r="M250" s="2" t="s">
        <v>981</v>
      </c>
      <c r="N250" s="31">
        <v>45844</v>
      </c>
    </row>
    <row r="251" spans="1:14" x14ac:dyDescent="0.25">
      <c r="A251" s="29">
        <v>250</v>
      </c>
      <c r="B251" s="1" t="s">
        <v>419</v>
      </c>
      <c r="C251" s="36">
        <v>45686</v>
      </c>
      <c r="D251" s="1" t="s">
        <v>391</v>
      </c>
      <c r="E251" s="13" t="s">
        <v>982</v>
      </c>
      <c r="F251" s="1" t="s">
        <v>33</v>
      </c>
      <c r="G251" s="3" t="s">
        <v>310</v>
      </c>
      <c r="H251" s="3" t="s">
        <v>180</v>
      </c>
      <c r="I251" s="31">
        <v>45704</v>
      </c>
      <c r="J251" s="1" t="s">
        <v>699</v>
      </c>
      <c r="K251" s="1" t="s">
        <v>37</v>
      </c>
      <c r="L251" s="1" t="s">
        <v>700</v>
      </c>
      <c r="M251" s="2" t="s">
        <v>983</v>
      </c>
      <c r="N251" s="31">
        <v>45898</v>
      </c>
    </row>
    <row r="252" spans="1:14" x14ac:dyDescent="0.25">
      <c r="A252" s="29">
        <v>251</v>
      </c>
      <c r="B252" s="1" t="s">
        <v>666</v>
      </c>
      <c r="C252" s="36">
        <v>45768</v>
      </c>
      <c r="D252" s="1" t="s">
        <v>253</v>
      </c>
      <c r="E252" s="13" t="s">
        <v>984</v>
      </c>
      <c r="F252" s="1" t="s">
        <v>89</v>
      </c>
      <c r="G252" s="3" t="s">
        <v>561</v>
      </c>
      <c r="H252" s="3" t="s">
        <v>703</v>
      </c>
      <c r="I252" s="31">
        <v>45805</v>
      </c>
      <c r="J252" s="1" t="s">
        <v>135</v>
      </c>
      <c r="K252" s="1" t="s">
        <v>37</v>
      </c>
      <c r="L252" s="1" t="s">
        <v>704</v>
      </c>
      <c r="M252" s="2" t="s">
        <v>985</v>
      </c>
      <c r="N252" s="31">
        <v>45853</v>
      </c>
    </row>
    <row r="253" spans="1:14" ht="30" customHeight="1" x14ac:dyDescent="0.25">
      <c r="A253" s="29">
        <v>252</v>
      </c>
      <c r="B253" s="1" t="s">
        <v>117</v>
      </c>
      <c r="C253" s="36">
        <v>45701</v>
      </c>
      <c r="D253" s="1" t="s">
        <v>706</v>
      </c>
      <c r="E253" s="13" t="s">
        <v>986</v>
      </c>
      <c r="F253" s="1" t="s">
        <v>33</v>
      </c>
      <c r="G253" s="3" t="s">
        <v>98</v>
      </c>
      <c r="H253" s="3" t="s">
        <v>383</v>
      </c>
      <c r="I253" s="31">
        <v>45738</v>
      </c>
      <c r="J253" s="1" t="s">
        <v>428</v>
      </c>
      <c r="K253" s="1" t="s">
        <v>37</v>
      </c>
      <c r="L253" s="1" t="s">
        <v>708</v>
      </c>
      <c r="M253" s="2" t="s">
        <v>987</v>
      </c>
      <c r="N253" s="31">
        <v>45841</v>
      </c>
    </row>
    <row r="254" spans="1:14" x14ac:dyDescent="0.25">
      <c r="A254" s="29">
        <v>253</v>
      </c>
      <c r="B254" s="1" t="s">
        <v>710</v>
      </c>
      <c r="C254" s="36">
        <v>45709</v>
      </c>
      <c r="D254" s="1" t="s">
        <v>111</v>
      </c>
      <c r="E254" s="13" t="s">
        <v>988</v>
      </c>
      <c r="F254" s="1" t="s">
        <v>89</v>
      </c>
      <c r="G254" s="3" t="s">
        <v>712</v>
      </c>
      <c r="H254" s="3" t="s">
        <v>317</v>
      </c>
      <c r="I254" s="31">
        <v>45797</v>
      </c>
      <c r="J254" s="1" t="s">
        <v>598</v>
      </c>
      <c r="K254" s="1" t="s">
        <v>37</v>
      </c>
      <c r="L254" s="1" t="s">
        <v>713</v>
      </c>
      <c r="M254" s="2" t="s">
        <v>989</v>
      </c>
      <c r="N254" s="31">
        <v>45851</v>
      </c>
    </row>
    <row r="255" spans="1:14" x14ac:dyDescent="0.25">
      <c r="A255" s="29">
        <v>254</v>
      </c>
      <c r="B255" s="1" t="s">
        <v>30</v>
      </c>
      <c r="C255" s="36">
        <v>45811</v>
      </c>
      <c r="D255" s="1" t="s">
        <v>308</v>
      </c>
      <c r="E255" s="13" t="s">
        <v>990</v>
      </c>
      <c r="F255" s="1" t="s">
        <v>33</v>
      </c>
      <c r="G255" s="3" t="s">
        <v>248</v>
      </c>
      <c r="H255" s="3" t="s">
        <v>51</v>
      </c>
      <c r="I255" s="31">
        <v>45898</v>
      </c>
      <c r="J255" s="1" t="s">
        <v>263</v>
      </c>
      <c r="K255" s="1" t="s">
        <v>37</v>
      </c>
      <c r="L255" s="1" t="s">
        <v>716</v>
      </c>
      <c r="M255" s="2" t="s">
        <v>991</v>
      </c>
      <c r="N255" s="31">
        <v>45849</v>
      </c>
    </row>
    <row r="256" spans="1:14" x14ac:dyDescent="0.25">
      <c r="A256" s="29">
        <v>255</v>
      </c>
      <c r="B256" s="1" t="s">
        <v>710</v>
      </c>
      <c r="C256" s="36">
        <v>45699</v>
      </c>
      <c r="D256" s="1" t="s">
        <v>332</v>
      </c>
      <c r="E256" s="13" t="s">
        <v>992</v>
      </c>
      <c r="F256" s="1" t="s">
        <v>89</v>
      </c>
      <c r="G256" s="3" t="s">
        <v>316</v>
      </c>
      <c r="H256" s="3" t="s">
        <v>719</v>
      </c>
      <c r="I256" s="31">
        <v>45721</v>
      </c>
      <c r="J256" s="1" t="s">
        <v>720</v>
      </c>
      <c r="K256" s="1" t="s">
        <v>37</v>
      </c>
      <c r="L256" s="1" t="s">
        <v>721</v>
      </c>
      <c r="M256" s="2" t="s">
        <v>993</v>
      </c>
      <c r="N256" s="31">
        <v>45883</v>
      </c>
    </row>
    <row r="257" spans="1:14" ht="30" customHeight="1" x14ac:dyDescent="0.25">
      <c r="A257" s="29">
        <v>256</v>
      </c>
      <c r="B257" s="1" t="s">
        <v>723</v>
      </c>
      <c r="C257" s="36">
        <v>45945</v>
      </c>
      <c r="D257" s="1" t="s">
        <v>340</v>
      </c>
      <c r="E257" s="13" t="s">
        <v>994</v>
      </c>
      <c r="F257" s="1" t="s">
        <v>89</v>
      </c>
      <c r="G257" s="3" t="s">
        <v>74</v>
      </c>
      <c r="H257" s="3" t="s">
        <v>127</v>
      </c>
      <c r="I257" s="31">
        <v>46061</v>
      </c>
      <c r="J257" s="1" t="s">
        <v>725</v>
      </c>
      <c r="K257" s="1" t="s">
        <v>37</v>
      </c>
      <c r="L257" s="1" t="s">
        <v>726</v>
      </c>
      <c r="M257" s="2" t="s">
        <v>995</v>
      </c>
      <c r="N257" s="31">
        <v>45843</v>
      </c>
    </row>
    <row r="258" spans="1:14" x14ac:dyDescent="0.25">
      <c r="A258" s="29">
        <v>257</v>
      </c>
      <c r="B258" s="1" t="s">
        <v>274</v>
      </c>
      <c r="C258" s="36">
        <v>45736</v>
      </c>
      <c r="D258" s="1" t="s">
        <v>728</v>
      </c>
      <c r="E258" s="13" t="s">
        <v>996</v>
      </c>
      <c r="F258" s="1" t="s">
        <v>89</v>
      </c>
      <c r="G258" s="3" t="s">
        <v>66</v>
      </c>
      <c r="H258" s="3" t="s">
        <v>421</v>
      </c>
      <c r="I258" s="31">
        <v>45837</v>
      </c>
      <c r="J258" s="1" t="s">
        <v>52</v>
      </c>
      <c r="K258" s="1" t="s">
        <v>37</v>
      </c>
      <c r="L258" s="1" t="s">
        <v>730</v>
      </c>
      <c r="M258" s="2" t="s">
        <v>997</v>
      </c>
      <c r="N258" s="31">
        <v>45862</v>
      </c>
    </row>
    <row r="259" spans="1:14" x14ac:dyDescent="0.25">
      <c r="A259" s="29">
        <v>258</v>
      </c>
      <c r="B259" s="1" t="s">
        <v>325</v>
      </c>
      <c r="C259" s="36">
        <v>45828</v>
      </c>
      <c r="D259" s="1" t="s">
        <v>480</v>
      </c>
      <c r="E259" s="13" t="s">
        <v>998</v>
      </c>
      <c r="F259" s="1" t="s">
        <v>89</v>
      </c>
      <c r="G259" s="3" t="s">
        <v>81</v>
      </c>
      <c r="H259" s="3" t="s">
        <v>311</v>
      </c>
      <c r="I259" s="31">
        <v>45844</v>
      </c>
      <c r="J259" s="1" t="s">
        <v>463</v>
      </c>
      <c r="K259" s="1" t="s">
        <v>37</v>
      </c>
      <c r="L259" s="1" t="s">
        <v>733</v>
      </c>
      <c r="M259" s="2" t="s">
        <v>999</v>
      </c>
      <c r="N259" s="31">
        <v>45844</v>
      </c>
    </row>
    <row r="260" spans="1:14" x14ac:dyDescent="0.25">
      <c r="A260" s="29">
        <v>259</v>
      </c>
      <c r="B260" s="1" t="s">
        <v>735</v>
      </c>
      <c r="C260" s="36">
        <v>45838</v>
      </c>
      <c r="D260" s="1" t="s">
        <v>332</v>
      </c>
      <c r="E260" s="13" t="s">
        <v>1000</v>
      </c>
      <c r="F260" s="1" t="s">
        <v>89</v>
      </c>
      <c r="G260" s="3" t="s">
        <v>452</v>
      </c>
      <c r="H260" s="3" t="s">
        <v>719</v>
      </c>
      <c r="I260" s="31">
        <v>45918</v>
      </c>
      <c r="J260" s="1" t="s">
        <v>566</v>
      </c>
      <c r="K260" s="1" t="s">
        <v>37</v>
      </c>
      <c r="L260" s="1" t="s">
        <v>737</v>
      </c>
      <c r="M260" s="2" t="s">
        <v>1001</v>
      </c>
      <c r="N260" s="31">
        <v>45890</v>
      </c>
    </row>
    <row r="261" spans="1:14" x14ac:dyDescent="0.25">
      <c r="A261" s="29">
        <v>260</v>
      </c>
      <c r="B261" s="1" t="s">
        <v>739</v>
      </c>
      <c r="C261" s="36">
        <v>45900</v>
      </c>
      <c r="D261" s="1" t="s">
        <v>41</v>
      </c>
      <c r="E261" s="13" t="s">
        <v>1002</v>
      </c>
      <c r="F261" s="1" t="s">
        <v>89</v>
      </c>
      <c r="G261" s="3" t="s">
        <v>187</v>
      </c>
      <c r="H261" s="3" t="s">
        <v>188</v>
      </c>
      <c r="I261" s="31">
        <v>45984</v>
      </c>
      <c r="J261" s="1" t="s">
        <v>741</v>
      </c>
      <c r="K261" s="1" t="s">
        <v>37</v>
      </c>
      <c r="L261" s="1" t="s">
        <v>742</v>
      </c>
      <c r="M261" s="2" t="s">
        <v>1003</v>
      </c>
      <c r="N261" s="31">
        <v>45846</v>
      </c>
    </row>
    <row r="262" spans="1:14" x14ac:dyDescent="0.25">
      <c r="A262" s="29">
        <v>261</v>
      </c>
      <c r="B262" s="1" t="s">
        <v>30</v>
      </c>
      <c r="C262" s="36">
        <v>45953</v>
      </c>
      <c r="D262" s="1" t="s">
        <v>31</v>
      </c>
      <c r="E262" s="13" t="s">
        <v>1004</v>
      </c>
      <c r="F262" s="1" t="s">
        <v>33</v>
      </c>
      <c r="G262" s="3" t="s">
        <v>34</v>
      </c>
      <c r="H262" s="3" t="s">
        <v>35</v>
      </c>
      <c r="I262" s="31">
        <v>45959</v>
      </c>
      <c r="J262" s="1" t="s">
        <v>36</v>
      </c>
      <c r="K262" s="1" t="s">
        <v>37</v>
      </c>
      <c r="L262" s="1" t="s">
        <v>38</v>
      </c>
      <c r="M262" s="2" t="s">
        <v>1005</v>
      </c>
      <c r="N262" s="31">
        <v>45845</v>
      </c>
    </row>
    <row r="263" spans="1:14" x14ac:dyDescent="0.25">
      <c r="A263" s="29">
        <v>262</v>
      </c>
      <c r="B263" s="1" t="s">
        <v>40</v>
      </c>
      <c r="C263" s="36">
        <v>45774</v>
      </c>
      <c r="D263" s="1" t="s">
        <v>41</v>
      </c>
      <c r="E263" s="13" t="s">
        <v>1006</v>
      </c>
      <c r="F263" s="1" t="s">
        <v>33</v>
      </c>
      <c r="G263" s="3" t="s">
        <v>43</v>
      </c>
      <c r="H263" s="3" t="s">
        <v>44</v>
      </c>
      <c r="I263" s="31">
        <v>45805</v>
      </c>
      <c r="J263" s="1" t="s">
        <v>45</v>
      </c>
      <c r="K263" s="1" t="s">
        <v>37</v>
      </c>
      <c r="L263" s="1" t="s">
        <v>46</v>
      </c>
      <c r="M263" s="2" t="s">
        <v>1007</v>
      </c>
      <c r="N263" s="31">
        <v>45898</v>
      </c>
    </row>
    <row r="264" spans="1:14" x14ac:dyDescent="0.25">
      <c r="A264" s="29">
        <v>263</v>
      </c>
      <c r="B264" s="1" t="s">
        <v>48</v>
      </c>
      <c r="C264" s="36">
        <v>45936</v>
      </c>
      <c r="D264" s="1" t="s">
        <v>49</v>
      </c>
      <c r="E264" s="13" t="s">
        <v>1008</v>
      </c>
      <c r="F264" s="1" t="s">
        <v>33</v>
      </c>
      <c r="G264" s="3" t="s">
        <v>34</v>
      </c>
      <c r="H264" s="3" t="s">
        <v>51</v>
      </c>
      <c r="I264" s="31">
        <v>45992</v>
      </c>
      <c r="J264" s="1" t="s">
        <v>52</v>
      </c>
      <c r="K264" s="1" t="s">
        <v>37</v>
      </c>
      <c r="L264" s="1" t="s">
        <v>53</v>
      </c>
      <c r="M264" s="2" t="s">
        <v>1009</v>
      </c>
      <c r="N264" s="31">
        <v>45877</v>
      </c>
    </row>
    <row r="265" spans="1:14" x14ac:dyDescent="0.25">
      <c r="A265" s="29">
        <v>264</v>
      </c>
      <c r="B265" s="1" t="s">
        <v>55</v>
      </c>
      <c r="C265" s="36">
        <v>45743</v>
      </c>
      <c r="D265" s="1" t="s">
        <v>56</v>
      </c>
      <c r="E265" s="13" t="s">
        <v>1010</v>
      </c>
      <c r="F265" s="1" t="s">
        <v>33</v>
      </c>
      <c r="G265" s="3" t="s">
        <v>58</v>
      </c>
      <c r="H265" s="3" t="s">
        <v>59</v>
      </c>
      <c r="I265" s="31">
        <v>45754</v>
      </c>
      <c r="J265" s="1" t="s">
        <v>60</v>
      </c>
      <c r="K265" s="1" t="s">
        <v>37</v>
      </c>
      <c r="L265" s="1" t="s">
        <v>61</v>
      </c>
      <c r="M265" s="2" t="s">
        <v>1011</v>
      </c>
      <c r="N265" s="31">
        <v>45872</v>
      </c>
    </row>
    <row r="266" spans="1:14" x14ac:dyDescent="0.25">
      <c r="A266" s="29">
        <v>265</v>
      </c>
      <c r="B266" s="1" t="s">
        <v>63</v>
      </c>
      <c r="C266" s="36">
        <v>45950</v>
      </c>
      <c r="D266" s="1" t="s">
        <v>64</v>
      </c>
      <c r="E266" s="13" t="s">
        <v>1012</v>
      </c>
      <c r="F266" s="1" t="s">
        <v>33</v>
      </c>
      <c r="G266" s="3" t="s">
        <v>66</v>
      </c>
      <c r="H266" s="3" t="s">
        <v>67</v>
      </c>
      <c r="I266" s="31">
        <v>45969</v>
      </c>
      <c r="J266" s="1" t="s">
        <v>68</v>
      </c>
      <c r="K266" s="1" t="s">
        <v>37</v>
      </c>
      <c r="L266" s="1" t="s">
        <v>69</v>
      </c>
      <c r="M266" s="2" t="s">
        <v>1013</v>
      </c>
      <c r="N266" s="31">
        <v>45840</v>
      </c>
    </row>
    <row r="267" spans="1:14" x14ac:dyDescent="0.25">
      <c r="A267" s="29">
        <v>266</v>
      </c>
      <c r="B267" s="1" t="s">
        <v>71</v>
      </c>
      <c r="C267" s="36">
        <v>45659</v>
      </c>
      <c r="D267" s="1" t="s">
        <v>72</v>
      </c>
      <c r="E267" s="13" t="s">
        <v>1014</v>
      </c>
      <c r="F267" s="1" t="s">
        <v>33</v>
      </c>
      <c r="G267" s="3" t="s">
        <v>74</v>
      </c>
      <c r="H267" s="3" t="s">
        <v>44</v>
      </c>
      <c r="I267" s="31">
        <v>45686</v>
      </c>
      <c r="J267" s="1" t="s">
        <v>75</v>
      </c>
      <c r="K267" s="1" t="s">
        <v>37</v>
      </c>
      <c r="L267" s="1" t="s">
        <v>76</v>
      </c>
      <c r="M267" s="2" t="s">
        <v>1015</v>
      </c>
      <c r="N267" s="31">
        <v>45858</v>
      </c>
    </row>
    <row r="268" spans="1:14" ht="30" customHeight="1" x14ac:dyDescent="0.25">
      <c r="A268" s="29">
        <v>267</v>
      </c>
      <c r="B268" s="1" t="s">
        <v>78</v>
      </c>
      <c r="C268" s="36">
        <v>45841</v>
      </c>
      <c r="D268" s="1" t="s">
        <v>79</v>
      </c>
      <c r="E268" s="13" t="s">
        <v>1016</v>
      </c>
      <c r="F268" s="1" t="s">
        <v>33</v>
      </c>
      <c r="G268" s="3" t="s">
        <v>81</v>
      </c>
      <c r="H268" s="3" t="s">
        <v>82</v>
      </c>
      <c r="I268" s="31">
        <v>45924</v>
      </c>
      <c r="J268" s="1" t="s">
        <v>83</v>
      </c>
      <c r="K268" s="1" t="s">
        <v>37</v>
      </c>
      <c r="L268" s="1" t="s">
        <v>84</v>
      </c>
      <c r="M268" s="2" t="s">
        <v>1017</v>
      </c>
      <c r="N268" s="31">
        <v>45859</v>
      </c>
    </row>
    <row r="269" spans="1:14" x14ac:dyDescent="0.25">
      <c r="A269" s="29">
        <v>268</v>
      </c>
      <c r="B269" s="1" t="s">
        <v>86</v>
      </c>
      <c r="C269" s="36">
        <v>45835</v>
      </c>
      <c r="D269" s="1" t="s">
        <v>87</v>
      </c>
      <c r="E269" s="13" t="s">
        <v>1018</v>
      </c>
      <c r="F269" s="1" t="s">
        <v>89</v>
      </c>
      <c r="G269" s="3" t="s">
        <v>90</v>
      </c>
      <c r="H269" s="3" t="s">
        <v>91</v>
      </c>
      <c r="I269" s="31">
        <v>45893</v>
      </c>
      <c r="J269" s="1" t="s">
        <v>92</v>
      </c>
      <c r="K269" s="1" t="s">
        <v>37</v>
      </c>
      <c r="L269" s="1" t="s">
        <v>93</v>
      </c>
      <c r="M269" s="2" t="s">
        <v>1019</v>
      </c>
      <c r="N269" s="31">
        <v>45846</v>
      </c>
    </row>
    <row r="270" spans="1:14" x14ac:dyDescent="0.25">
      <c r="A270" s="29">
        <v>269</v>
      </c>
      <c r="B270" s="1" t="s">
        <v>95</v>
      </c>
      <c r="C270" s="36">
        <v>45926</v>
      </c>
      <c r="D270" s="1" t="s">
        <v>96</v>
      </c>
      <c r="E270" s="13" t="s">
        <v>1020</v>
      </c>
      <c r="F270" s="1" t="s">
        <v>89</v>
      </c>
      <c r="G270" s="3" t="s">
        <v>98</v>
      </c>
      <c r="H270" s="3" t="s">
        <v>99</v>
      </c>
      <c r="I270" s="31">
        <v>45969</v>
      </c>
      <c r="J270" s="1" t="s">
        <v>100</v>
      </c>
      <c r="K270" s="1" t="s">
        <v>37</v>
      </c>
      <c r="L270" s="1" t="s">
        <v>101</v>
      </c>
      <c r="M270" s="2" t="s">
        <v>1021</v>
      </c>
      <c r="N270" s="31">
        <v>45896</v>
      </c>
    </row>
    <row r="271" spans="1:14" x14ac:dyDescent="0.25">
      <c r="A271" s="29">
        <v>270</v>
      </c>
      <c r="B271" s="1" t="s">
        <v>103</v>
      </c>
      <c r="C271" s="36">
        <v>45663</v>
      </c>
      <c r="D271" s="1" t="s">
        <v>56</v>
      </c>
      <c r="E271" s="13" t="s">
        <v>1022</v>
      </c>
      <c r="F271" s="1" t="s">
        <v>33</v>
      </c>
      <c r="G271" s="3" t="s">
        <v>105</v>
      </c>
      <c r="H271" s="3" t="s">
        <v>106</v>
      </c>
      <c r="I271" s="31">
        <v>45730</v>
      </c>
      <c r="J271" s="1" t="s">
        <v>107</v>
      </c>
      <c r="K271" s="1" t="s">
        <v>37</v>
      </c>
      <c r="L271" s="1" t="s">
        <v>108</v>
      </c>
      <c r="M271" s="2" t="s">
        <v>1023</v>
      </c>
      <c r="N271" s="31">
        <v>45848</v>
      </c>
    </row>
    <row r="272" spans="1:14" x14ac:dyDescent="0.25">
      <c r="A272" s="29">
        <v>271</v>
      </c>
      <c r="B272" s="1" t="s">
        <v>110</v>
      </c>
      <c r="C272" s="36">
        <v>45706</v>
      </c>
      <c r="D272" s="1" t="s">
        <v>111</v>
      </c>
      <c r="E272" s="13" t="s">
        <v>1024</v>
      </c>
      <c r="F272" s="1" t="s">
        <v>89</v>
      </c>
      <c r="G272" s="3" t="s">
        <v>113</v>
      </c>
      <c r="H272" s="3" t="s">
        <v>35</v>
      </c>
      <c r="I272" s="31">
        <v>45815</v>
      </c>
      <c r="J272" s="1" t="s">
        <v>114</v>
      </c>
      <c r="K272" s="1" t="s">
        <v>37</v>
      </c>
      <c r="L272" s="1" t="s">
        <v>115</v>
      </c>
      <c r="M272" s="2" t="s">
        <v>1025</v>
      </c>
      <c r="N272" s="31">
        <v>45884</v>
      </c>
    </row>
    <row r="273" spans="1:14" x14ac:dyDescent="0.25">
      <c r="A273" s="29">
        <v>272</v>
      </c>
      <c r="B273" s="1" t="s">
        <v>117</v>
      </c>
      <c r="C273" s="36">
        <v>45854</v>
      </c>
      <c r="D273" s="1" t="s">
        <v>118</v>
      </c>
      <c r="E273" s="13" t="s">
        <v>1026</v>
      </c>
      <c r="F273" s="1" t="s">
        <v>33</v>
      </c>
      <c r="G273" s="3" t="s">
        <v>120</v>
      </c>
      <c r="H273" s="3" t="s">
        <v>121</v>
      </c>
      <c r="I273" s="31">
        <v>45971</v>
      </c>
      <c r="J273" s="1" t="s">
        <v>122</v>
      </c>
      <c r="K273" s="1" t="s">
        <v>37</v>
      </c>
      <c r="L273" s="1" t="s">
        <v>123</v>
      </c>
      <c r="M273" s="2" t="s">
        <v>1027</v>
      </c>
      <c r="N273" s="31">
        <v>45872</v>
      </c>
    </row>
    <row r="274" spans="1:14" x14ac:dyDescent="0.25">
      <c r="A274" s="29">
        <v>273</v>
      </c>
      <c r="B274" s="1" t="s">
        <v>125</v>
      </c>
      <c r="C274" s="36">
        <v>45946</v>
      </c>
      <c r="D274" s="1" t="s">
        <v>79</v>
      </c>
      <c r="E274" s="13" t="s">
        <v>1028</v>
      </c>
      <c r="F274" s="1" t="s">
        <v>33</v>
      </c>
      <c r="G274" s="3" t="s">
        <v>43</v>
      </c>
      <c r="H274" s="3" t="s">
        <v>127</v>
      </c>
      <c r="I274" s="31">
        <v>46009</v>
      </c>
      <c r="J274" s="1" t="s">
        <v>128</v>
      </c>
      <c r="K274" s="1" t="s">
        <v>37</v>
      </c>
      <c r="L274" s="1" t="s">
        <v>129</v>
      </c>
      <c r="M274" s="2" t="s">
        <v>1029</v>
      </c>
      <c r="N274" s="31">
        <v>45841</v>
      </c>
    </row>
    <row r="275" spans="1:14" x14ac:dyDescent="0.25">
      <c r="A275" s="29">
        <v>274</v>
      </c>
      <c r="B275" s="1" t="s">
        <v>131</v>
      </c>
      <c r="C275" s="36">
        <v>45940</v>
      </c>
      <c r="D275" s="1" t="s">
        <v>132</v>
      </c>
      <c r="E275" s="13" t="s">
        <v>1030</v>
      </c>
      <c r="F275" s="1" t="s">
        <v>89</v>
      </c>
      <c r="G275" s="3" t="s">
        <v>34</v>
      </c>
      <c r="H275" s="3" t="s">
        <v>134</v>
      </c>
      <c r="I275" s="31">
        <v>46053</v>
      </c>
      <c r="J275" s="1" t="s">
        <v>135</v>
      </c>
      <c r="K275" s="1" t="s">
        <v>37</v>
      </c>
      <c r="L275" s="1" t="s">
        <v>136</v>
      </c>
      <c r="M275" s="2" t="s">
        <v>1031</v>
      </c>
      <c r="N275" s="31">
        <v>45845</v>
      </c>
    </row>
    <row r="276" spans="1:14" x14ac:dyDescent="0.25">
      <c r="A276" s="29">
        <v>275</v>
      </c>
      <c r="B276" s="1" t="s">
        <v>138</v>
      </c>
      <c r="C276" s="36">
        <v>45698</v>
      </c>
      <c r="D276" s="1" t="s">
        <v>139</v>
      </c>
      <c r="E276" s="13" t="s">
        <v>1032</v>
      </c>
      <c r="F276" s="1" t="s">
        <v>89</v>
      </c>
      <c r="G276" s="3" t="s">
        <v>141</v>
      </c>
      <c r="H276" s="3" t="s">
        <v>142</v>
      </c>
      <c r="I276" s="31">
        <v>45746</v>
      </c>
      <c r="J276" s="1" t="s">
        <v>143</v>
      </c>
      <c r="K276" s="1" t="s">
        <v>37</v>
      </c>
      <c r="L276" s="1" t="s">
        <v>144</v>
      </c>
      <c r="M276" s="2" t="s">
        <v>1033</v>
      </c>
      <c r="N276" s="31">
        <v>45876</v>
      </c>
    </row>
    <row r="277" spans="1:14" x14ac:dyDescent="0.25">
      <c r="A277" s="29">
        <v>276</v>
      </c>
      <c r="B277" s="1" t="s">
        <v>146</v>
      </c>
      <c r="C277" s="36">
        <v>45786</v>
      </c>
      <c r="D277" s="1" t="s">
        <v>147</v>
      </c>
      <c r="E277" s="13" t="s">
        <v>1034</v>
      </c>
      <c r="F277" s="1" t="s">
        <v>33</v>
      </c>
      <c r="G277" s="3" t="s">
        <v>34</v>
      </c>
      <c r="H277" s="3" t="s">
        <v>149</v>
      </c>
      <c r="I277" s="31">
        <v>45815</v>
      </c>
      <c r="J277" s="1" t="s">
        <v>150</v>
      </c>
      <c r="K277" s="1" t="s">
        <v>37</v>
      </c>
      <c r="L277" s="1" t="s">
        <v>151</v>
      </c>
      <c r="M277" s="2" t="s">
        <v>1035</v>
      </c>
      <c r="N277" s="31">
        <v>45890</v>
      </c>
    </row>
    <row r="278" spans="1:14" x14ac:dyDescent="0.25">
      <c r="A278" s="29">
        <v>277</v>
      </c>
      <c r="B278" s="1" t="s">
        <v>153</v>
      </c>
      <c r="C278" s="36">
        <v>45828</v>
      </c>
      <c r="D278" s="1" t="s">
        <v>154</v>
      </c>
      <c r="E278" s="13" t="s">
        <v>1036</v>
      </c>
      <c r="F278" s="1" t="s">
        <v>33</v>
      </c>
      <c r="G278" s="3" t="s">
        <v>156</v>
      </c>
      <c r="H278" s="3" t="s">
        <v>157</v>
      </c>
      <c r="I278" s="31">
        <v>45852</v>
      </c>
      <c r="J278" s="1" t="s">
        <v>158</v>
      </c>
      <c r="K278" s="1" t="s">
        <v>37</v>
      </c>
      <c r="L278" s="1" t="s">
        <v>159</v>
      </c>
      <c r="M278" s="2" t="s">
        <v>1037</v>
      </c>
      <c r="N278" s="31">
        <v>45898</v>
      </c>
    </row>
    <row r="279" spans="1:14" x14ac:dyDescent="0.25">
      <c r="A279" s="29">
        <v>278</v>
      </c>
      <c r="B279" s="1" t="s">
        <v>161</v>
      </c>
      <c r="C279" s="36">
        <v>45699</v>
      </c>
      <c r="D279" s="1" t="s">
        <v>162</v>
      </c>
      <c r="E279" s="13" t="s">
        <v>1038</v>
      </c>
      <c r="F279" s="1" t="s">
        <v>33</v>
      </c>
      <c r="G279" s="3" t="s">
        <v>164</v>
      </c>
      <c r="H279" s="3" t="s">
        <v>165</v>
      </c>
      <c r="I279" s="31">
        <v>45809</v>
      </c>
      <c r="J279" s="1" t="s">
        <v>166</v>
      </c>
      <c r="K279" s="1" t="s">
        <v>37</v>
      </c>
      <c r="L279" s="1" t="s">
        <v>167</v>
      </c>
      <c r="M279" s="2" t="s">
        <v>1039</v>
      </c>
      <c r="N279" s="31">
        <v>45866</v>
      </c>
    </row>
    <row r="280" spans="1:14" ht="30" customHeight="1" x14ac:dyDescent="0.25">
      <c r="A280" s="29">
        <v>279</v>
      </c>
      <c r="B280" s="1" t="s">
        <v>169</v>
      </c>
      <c r="C280" s="36">
        <v>45703</v>
      </c>
      <c r="D280" s="1" t="s">
        <v>170</v>
      </c>
      <c r="E280" s="13" t="s">
        <v>1040</v>
      </c>
      <c r="F280" s="1" t="s">
        <v>33</v>
      </c>
      <c r="G280" s="3" t="s">
        <v>172</v>
      </c>
      <c r="H280" s="3" t="s">
        <v>173</v>
      </c>
      <c r="I280" s="31">
        <v>45820</v>
      </c>
      <c r="J280" s="1" t="s">
        <v>174</v>
      </c>
      <c r="K280" s="1" t="s">
        <v>37</v>
      </c>
      <c r="L280" s="1" t="s">
        <v>175</v>
      </c>
      <c r="M280" s="2" t="s">
        <v>1041</v>
      </c>
      <c r="N280" s="31">
        <v>45897</v>
      </c>
    </row>
    <row r="281" spans="1:14" x14ac:dyDescent="0.25">
      <c r="A281" s="29">
        <v>280</v>
      </c>
      <c r="B281" s="1" t="s">
        <v>177</v>
      </c>
      <c r="C281" s="36">
        <v>45737</v>
      </c>
      <c r="D281" s="1" t="s">
        <v>96</v>
      </c>
      <c r="E281" s="13" t="s">
        <v>1042</v>
      </c>
      <c r="F281" s="1" t="s">
        <v>89</v>
      </c>
      <c r="G281" s="3" t="s">
        <v>179</v>
      </c>
      <c r="H281" s="3" t="s">
        <v>180</v>
      </c>
      <c r="I281" s="31">
        <v>45800</v>
      </c>
      <c r="J281" s="1" t="s">
        <v>181</v>
      </c>
      <c r="K281" s="1" t="s">
        <v>37</v>
      </c>
      <c r="L281" s="1" t="s">
        <v>182</v>
      </c>
      <c r="M281" s="2" t="s">
        <v>1043</v>
      </c>
      <c r="N281" s="31">
        <v>45885</v>
      </c>
    </row>
    <row r="282" spans="1:14" x14ac:dyDescent="0.25">
      <c r="A282" s="29">
        <v>281</v>
      </c>
      <c r="B282" s="1" t="s">
        <v>184</v>
      </c>
      <c r="C282" s="36">
        <v>45955</v>
      </c>
      <c r="D282" s="1" t="s">
        <v>185</v>
      </c>
      <c r="E282" s="13" t="s">
        <v>1044</v>
      </c>
      <c r="F282" s="1" t="s">
        <v>89</v>
      </c>
      <c r="G282" s="3" t="s">
        <v>187</v>
      </c>
      <c r="H282" s="3" t="s">
        <v>188</v>
      </c>
      <c r="I282" s="31">
        <v>45983</v>
      </c>
      <c r="J282" s="1" t="s">
        <v>189</v>
      </c>
      <c r="K282" s="1" t="s">
        <v>37</v>
      </c>
      <c r="L282" s="1" t="s">
        <v>190</v>
      </c>
      <c r="M282" s="2" t="s">
        <v>1045</v>
      </c>
      <c r="N282" s="31">
        <v>45868</v>
      </c>
    </row>
    <row r="283" spans="1:14" x14ac:dyDescent="0.25">
      <c r="A283" s="29">
        <v>282</v>
      </c>
      <c r="B283" s="1" t="s">
        <v>192</v>
      </c>
      <c r="C283" s="36">
        <v>45826</v>
      </c>
      <c r="D283" s="1" t="s">
        <v>193</v>
      </c>
      <c r="E283" s="13" t="s">
        <v>1046</v>
      </c>
      <c r="F283" s="1" t="s">
        <v>89</v>
      </c>
      <c r="G283" s="3" t="s">
        <v>195</v>
      </c>
      <c r="H283" s="3" t="s">
        <v>196</v>
      </c>
      <c r="I283" s="31">
        <v>45840</v>
      </c>
      <c r="J283" s="1" t="s">
        <v>197</v>
      </c>
      <c r="K283" s="1" t="s">
        <v>37</v>
      </c>
      <c r="L283" s="1" t="s">
        <v>198</v>
      </c>
      <c r="M283" s="2" t="s">
        <v>1047</v>
      </c>
      <c r="N283" s="31">
        <v>45858</v>
      </c>
    </row>
    <row r="284" spans="1:14" ht="30" customHeight="1" x14ac:dyDescent="0.25">
      <c r="A284" s="29">
        <v>283</v>
      </c>
      <c r="B284" s="1" t="s">
        <v>48</v>
      </c>
      <c r="C284" s="36">
        <v>45782</v>
      </c>
      <c r="D284" s="1" t="s">
        <v>132</v>
      </c>
      <c r="E284" s="13" t="s">
        <v>1048</v>
      </c>
      <c r="F284" s="1" t="s">
        <v>33</v>
      </c>
      <c r="G284" s="3" t="s">
        <v>201</v>
      </c>
      <c r="H284" s="3" t="s">
        <v>202</v>
      </c>
      <c r="I284" s="31">
        <v>45787</v>
      </c>
      <c r="J284" s="1" t="s">
        <v>92</v>
      </c>
      <c r="K284" s="1" t="s">
        <v>37</v>
      </c>
      <c r="L284" s="1" t="s">
        <v>203</v>
      </c>
      <c r="M284" s="2" t="s">
        <v>1049</v>
      </c>
      <c r="N284" s="31">
        <v>45852</v>
      </c>
    </row>
    <row r="285" spans="1:14" ht="30" customHeight="1" x14ac:dyDescent="0.25">
      <c r="A285" s="29">
        <v>284</v>
      </c>
      <c r="B285" s="1" t="s">
        <v>205</v>
      </c>
      <c r="C285" s="34">
        <v>45754</v>
      </c>
      <c r="D285" s="12" t="s">
        <v>206</v>
      </c>
      <c r="E285" s="13" t="s">
        <v>1050</v>
      </c>
      <c r="F285" s="14" t="s">
        <v>89</v>
      </c>
      <c r="G285" s="12" t="s">
        <v>208</v>
      </c>
      <c r="H285" s="12" t="s">
        <v>196</v>
      </c>
      <c r="I285" s="19">
        <v>45765</v>
      </c>
      <c r="J285" s="14" t="s">
        <v>209</v>
      </c>
      <c r="K285" s="14" t="s">
        <v>37</v>
      </c>
      <c r="L285" s="14" t="s">
        <v>210</v>
      </c>
      <c r="M285" s="11" t="s">
        <v>1051</v>
      </c>
      <c r="N285" s="19">
        <v>45855</v>
      </c>
    </row>
    <row r="286" spans="1:14" x14ac:dyDescent="0.25">
      <c r="A286" s="29">
        <v>285</v>
      </c>
      <c r="B286" s="1" t="s">
        <v>212</v>
      </c>
      <c r="C286" s="34">
        <v>45951</v>
      </c>
      <c r="D286" s="12" t="s">
        <v>185</v>
      </c>
      <c r="E286" s="13" t="s">
        <v>1052</v>
      </c>
      <c r="F286" s="14" t="s">
        <v>89</v>
      </c>
      <c r="G286" s="12" t="s">
        <v>172</v>
      </c>
      <c r="H286" s="12" t="s">
        <v>173</v>
      </c>
      <c r="I286" s="19">
        <v>46031</v>
      </c>
      <c r="J286" s="14" t="s">
        <v>214</v>
      </c>
      <c r="K286" s="14" t="s">
        <v>37</v>
      </c>
      <c r="L286" s="14" t="s">
        <v>215</v>
      </c>
      <c r="M286" s="11" t="s">
        <v>1053</v>
      </c>
      <c r="N286" s="19">
        <v>45880</v>
      </c>
    </row>
    <row r="287" spans="1:14" x14ac:dyDescent="0.25">
      <c r="A287" s="29">
        <v>286</v>
      </c>
      <c r="B287" s="1" t="s">
        <v>217</v>
      </c>
      <c r="C287" s="34">
        <v>45804</v>
      </c>
      <c r="D287" s="14" t="s">
        <v>218</v>
      </c>
      <c r="E287" s="13" t="s">
        <v>1054</v>
      </c>
      <c r="F287" s="14" t="s">
        <v>89</v>
      </c>
      <c r="G287" s="12" t="s">
        <v>220</v>
      </c>
      <c r="H287" s="12" t="s">
        <v>67</v>
      </c>
      <c r="I287" s="19">
        <v>45918</v>
      </c>
      <c r="J287" s="14" t="s">
        <v>221</v>
      </c>
      <c r="K287" s="14" t="s">
        <v>37</v>
      </c>
      <c r="L287" s="14" t="s">
        <v>222</v>
      </c>
      <c r="M287" s="11" t="s">
        <v>1055</v>
      </c>
      <c r="N287" s="19">
        <v>45859</v>
      </c>
    </row>
    <row r="288" spans="1:14" x14ac:dyDescent="0.25">
      <c r="A288" s="29">
        <v>287</v>
      </c>
      <c r="B288" s="1" t="s">
        <v>224</v>
      </c>
      <c r="C288" s="34">
        <v>45908</v>
      </c>
      <c r="D288" s="14" t="s">
        <v>225</v>
      </c>
      <c r="E288" s="13" t="s">
        <v>1056</v>
      </c>
      <c r="F288" s="14" t="s">
        <v>33</v>
      </c>
      <c r="G288" s="12" t="s">
        <v>227</v>
      </c>
      <c r="H288" s="12" t="s">
        <v>228</v>
      </c>
      <c r="I288" s="19">
        <v>45915</v>
      </c>
      <c r="J288" s="14" t="s">
        <v>229</v>
      </c>
      <c r="K288" s="14" t="s">
        <v>37</v>
      </c>
      <c r="L288" s="14" t="s">
        <v>230</v>
      </c>
      <c r="M288" s="11" t="s">
        <v>1057</v>
      </c>
      <c r="N288" s="19">
        <v>45842</v>
      </c>
    </row>
    <row r="289" spans="1:14" ht="30" customHeight="1" x14ac:dyDescent="0.25">
      <c r="A289" s="29">
        <v>288</v>
      </c>
      <c r="B289" s="1" t="s">
        <v>232</v>
      </c>
      <c r="C289" s="34">
        <v>45692</v>
      </c>
      <c r="D289" s="12" t="s">
        <v>233</v>
      </c>
      <c r="E289" s="13" t="s">
        <v>1058</v>
      </c>
      <c r="F289" s="14" t="s">
        <v>33</v>
      </c>
      <c r="G289" s="12" t="s">
        <v>156</v>
      </c>
      <c r="H289" s="12" t="s">
        <v>235</v>
      </c>
      <c r="I289" s="19">
        <v>45717</v>
      </c>
      <c r="J289" s="14" t="s">
        <v>236</v>
      </c>
      <c r="K289" s="14" t="s">
        <v>37</v>
      </c>
      <c r="L289" s="14" t="s">
        <v>237</v>
      </c>
      <c r="M289" s="11" t="s">
        <v>1059</v>
      </c>
      <c r="N289" s="19">
        <v>45886</v>
      </c>
    </row>
    <row r="290" spans="1:14" x14ac:dyDescent="0.25">
      <c r="A290" s="29">
        <v>289</v>
      </c>
      <c r="B290" s="1" t="s">
        <v>239</v>
      </c>
      <c r="C290" s="34">
        <v>45695</v>
      </c>
      <c r="D290" s="14" t="s">
        <v>240</v>
      </c>
      <c r="E290" s="13" t="s">
        <v>1060</v>
      </c>
      <c r="F290" s="14" t="s">
        <v>89</v>
      </c>
      <c r="G290" s="12" t="s">
        <v>105</v>
      </c>
      <c r="H290" s="12" t="s">
        <v>242</v>
      </c>
      <c r="I290" s="19">
        <v>45747</v>
      </c>
      <c r="J290" s="14" t="s">
        <v>243</v>
      </c>
      <c r="K290" s="14" t="s">
        <v>37</v>
      </c>
      <c r="L290" s="14" t="s">
        <v>244</v>
      </c>
      <c r="M290" s="11" t="s">
        <v>1061</v>
      </c>
      <c r="N290" s="19">
        <v>45892</v>
      </c>
    </row>
    <row r="291" spans="1:14" x14ac:dyDescent="0.25">
      <c r="A291" s="29">
        <v>290</v>
      </c>
      <c r="B291" s="1" t="s">
        <v>48</v>
      </c>
      <c r="C291" s="34">
        <v>45833</v>
      </c>
      <c r="D291" s="14" t="s">
        <v>246</v>
      </c>
      <c r="E291" s="13" t="s">
        <v>1062</v>
      </c>
      <c r="F291" s="14" t="s">
        <v>33</v>
      </c>
      <c r="G291" s="12" t="s">
        <v>248</v>
      </c>
      <c r="H291" s="12" t="s">
        <v>134</v>
      </c>
      <c r="I291" s="19">
        <v>45856</v>
      </c>
      <c r="J291" s="14" t="s">
        <v>249</v>
      </c>
      <c r="K291" s="14" t="s">
        <v>37</v>
      </c>
      <c r="L291" s="14" t="s">
        <v>250</v>
      </c>
      <c r="M291" s="11" t="s">
        <v>1063</v>
      </c>
      <c r="N291" s="19">
        <v>45893</v>
      </c>
    </row>
    <row r="292" spans="1:14" ht="30" customHeight="1" x14ac:dyDescent="0.25">
      <c r="A292" s="29">
        <v>291</v>
      </c>
      <c r="B292" s="1" t="s">
        <v>252</v>
      </c>
      <c r="C292" s="34">
        <v>45812</v>
      </c>
      <c r="D292" s="14" t="s">
        <v>253</v>
      </c>
      <c r="E292" s="13" t="s">
        <v>1064</v>
      </c>
      <c r="F292" s="14" t="s">
        <v>33</v>
      </c>
      <c r="G292" s="12" t="s">
        <v>255</v>
      </c>
      <c r="H292" s="12" t="s">
        <v>256</v>
      </c>
      <c r="I292" s="19">
        <v>45931</v>
      </c>
      <c r="J292" s="14" t="s">
        <v>257</v>
      </c>
      <c r="K292" s="14" t="s">
        <v>37</v>
      </c>
      <c r="L292" s="14" t="s">
        <v>258</v>
      </c>
      <c r="M292" s="11" t="s">
        <v>1065</v>
      </c>
      <c r="N292" s="19">
        <v>45877</v>
      </c>
    </row>
    <row r="293" spans="1:14" x14ac:dyDescent="0.25">
      <c r="A293" s="29">
        <v>292</v>
      </c>
      <c r="B293" s="1" t="s">
        <v>110</v>
      </c>
      <c r="C293" s="34">
        <v>45833</v>
      </c>
      <c r="D293" s="14" t="s">
        <v>260</v>
      </c>
      <c r="E293" s="13" t="s">
        <v>1066</v>
      </c>
      <c r="F293" s="14" t="s">
        <v>89</v>
      </c>
      <c r="G293" s="12" t="s">
        <v>113</v>
      </c>
      <c r="H293" s="12" t="s">
        <v>262</v>
      </c>
      <c r="I293" s="19">
        <v>45935</v>
      </c>
      <c r="J293" s="14" t="s">
        <v>263</v>
      </c>
      <c r="K293" s="14" t="s">
        <v>37</v>
      </c>
      <c r="L293" s="14" t="s">
        <v>264</v>
      </c>
      <c r="M293" s="11" t="s">
        <v>1067</v>
      </c>
      <c r="N293" s="19">
        <v>45848</v>
      </c>
    </row>
    <row r="294" spans="1:14" ht="30" customHeight="1" x14ac:dyDescent="0.25">
      <c r="A294" s="29">
        <v>293</v>
      </c>
      <c r="B294" s="1" t="s">
        <v>266</v>
      </c>
      <c r="C294" s="34">
        <v>45834</v>
      </c>
      <c r="D294" s="14" t="s">
        <v>267</v>
      </c>
      <c r="E294" s="13" t="s">
        <v>1068</v>
      </c>
      <c r="F294" s="14" t="s">
        <v>89</v>
      </c>
      <c r="G294" s="12" t="s">
        <v>269</v>
      </c>
      <c r="H294" s="12" t="s">
        <v>270</v>
      </c>
      <c r="I294" s="19">
        <v>45866</v>
      </c>
      <c r="J294" s="14" t="s">
        <v>271</v>
      </c>
      <c r="K294" s="14" t="s">
        <v>37</v>
      </c>
      <c r="L294" s="14" t="s">
        <v>272</v>
      </c>
      <c r="M294" s="11" t="s">
        <v>1069</v>
      </c>
      <c r="N294" s="19">
        <v>45881</v>
      </c>
    </row>
    <row r="295" spans="1:14" x14ac:dyDescent="0.25">
      <c r="A295" s="29">
        <v>294</v>
      </c>
      <c r="B295" s="1" t="s">
        <v>274</v>
      </c>
      <c r="C295" s="34">
        <v>45787</v>
      </c>
      <c r="D295" s="12" t="s">
        <v>154</v>
      </c>
      <c r="E295" s="13" t="s">
        <v>1070</v>
      </c>
      <c r="F295" s="14" t="s">
        <v>89</v>
      </c>
      <c r="G295" s="12" t="s">
        <v>66</v>
      </c>
      <c r="H295" s="12" t="s">
        <v>82</v>
      </c>
      <c r="I295" s="19">
        <v>45833</v>
      </c>
      <c r="J295" s="14" t="s">
        <v>276</v>
      </c>
      <c r="K295" s="14" t="s">
        <v>37</v>
      </c>
      <c r="L295" s="14" t="s">
        <v>277</v>
      </c>
      <c r="M295" s="11" t="s">
        <v>1071</v>
      </c>
      <c r="N295" s="19">
        <v>45878</v>
      </c>
    </row>
    <row r="296" spans="1:14" x14ac:dyDescent="0.25">
      <c r="A296" s="29">
        <v>295</v>
      </c>
      <c r="B296" s="1" t="s">
        <v>279</v>
      </c>
      <c r="C296" s="34">
        <v>45667</v>
      </c>
      <c r="D296" s="14" t="s">
        <v>233</v>
      </c>
      <c r="E296" s="13" t="s">
        <v>1072</v>
      </c>
      <c r="F296" s="14" t="s">
        <v>89</v>
      </c>
      <c r="G296" s="12" t="s">
        <v>105</v>
      </c>
      <c r="H296" s="12" t="s">
        <v>256</v>
      </c>
      <c r="I296" s="19">
        <v>45721</v>
      </c>
      <c r="J296" s="14" t="s">
        <v>281</v>
      </c>
      <c r="K296" s="14" t="s">
        <v>37</v>
      </c>
      <c r="L296" s="14" t="s">
        <v>282</v>
      </c>
      <c r="M296" s="11" t="s">
        <v>1073</v>
      </c>
      <c r="N296" s="19">
        <v>45877</v>
      </c>
    </row>
    <row r="297" spans="1:14" x14ac:dyDescent="0.25">
      <c r="A297" s="29">
        <v>296</v>
      </c>
      <c r="B297" s="1" t="s">
        <v>284</v>
      </c>
      <c r="C297" s="34">
        <v>45956</v>
      </c>
      <c r="D297" s="14" t="s">
        <v>285</v>
      </c>
      <c r="E297" s="13" t="s">
        <v>1074</v>
      </c>
      <c r="F297" s="14" t="s">
        <v>33</v>
      </c>
      <c r="G297" s="12" t="s">
        <v>287</v>
      </c>
      <c r="H297" s="12" t="s">
        <v>288</v>
      </c>
      <c r="I297" s="19">
        <v>45962</v>
      </c>
      <c r="J297" s="12" t="s">
        <v>289</v>
      </c>
      <c r="K297" s="14" t="s">
        <v>37</v>
      </c>
      <c r="L297" s="14" t="s">
        <v>290</v>
      </c>
      <c r="M297" s="11" t="s">
        <v>1075</v>
      </c>
      <c r="N297" s="19">
        <v>45864</v>
      </c>
    </row>
    <row r="298" spans="1:14" ht="30" customHeight="1" x14ac:dyDescent="0.25">
      <c r="A298" s="29">
        <v>297</v>
      </c>
      <c r="B298" s="1" t="s">
        <v>177</v>
      </c>
      <c r="C298" s="34">
        <v>45901</v>
      </c>
      <c r="D298" s="12" t="s">
        <v>292</v>
      </c>
      <c r="E298" s="13" t="s">
        <v>1076</v>
      </c>
      <c r="F298" s="14" t="s">
        <v>89</v>
      </c>
      <c r="G298" s="12" t="s">
        <v>66</v>
      </c>
      <c r="H298" s="12" t="s">
        <v>67</v>
      </c>
      <c r="I298" s="19">
        <v>45941</v>
      </c>
      <c r="J298" s="14" t="s">
        <v>294</v>
      </c>
      <c r="K298" s="14" t="s">
        <v>37</v>
      </c>
      <c r="L298" s="14" t="s">
        <v>295</v>
      </c>
      <c r="M298" s="11" t="s">
        <v>1077</v>
      </c>
      <c r="N298" s="19">
        <v>45857</v>
      </c>
    </row>
    <row r="299" spans="1:14" ht="30" customHeight="1" x14ac:dyDescent="0.25">
      <c r="A299" s="29">
        <v>298</v>
      </c>
      <c r="B299" s="1" t="s">
        <v>131</v>
      </c>
      <c r="C299" s="34">
        <v>45860</v>
      </c>
      <c r="D299" s="12" t="s">
        <v>297</v>
      </c>
      <c r="E299" s="13" t="s">
        <v>1078</v>
      </c>
      <c r="F299" s="14" t="s">
        <v>89</v>
      </c>
      <c r="G299" s="12" t="s">
        <v>34</v>
      </c>
      <c r="H299" s="12" t="s">
        <v>299</v>
      </c>
      <c r="I299" s="19">
        <v>45905</v>
      </c>
      <c r="J299" s="14" t="s">
        <v>300</v>
      </c>
      <c r="K299" s="14" t="s">
        <v>37</v>
      </c>
      <c r="L299" s="14" t="s">
        <v>301</v>
      </c>
      <c r="M299" s="11" t="s">
        <v>1079</v>
      </c>
      <c r="N299" s="19">
        <v>45844</v>
      </c>
    </row>
    <row r="300" spans="1:14" x14ac:dyDescent="0.25">
      <c r="A300" s="29">
        <v>299</v>
      </c>
      <c r="B300" s="1" t="s">
        <v>303</v>
      </c>
      <c r="C300" s="34">
        <v>45828</v>
      </c>
      <c r="D300" s="12" t="s">
        <v>111</v>
      </c>
      <c r="E300" s="13" t="s">
        <v>1080</v>
      </c>
      <c r="F300" s="14" t="s">
        <v>33</v>
      </c>
      <c r="G300" s="12" t="s">
        <v>34</v>
      </c>
      <c r="H300" s="12" t="s">
        <v>134</v>
      </c>
      <c r="I300" s="19">
        <v>45872</v>
      </c>
      <c r="J300" s="14" t="s">
        <v>305</v>
      </c>
      <c r="K300" s="14" t="s">
        <v>37</v>
      </c>
      <c r="L300" s="14" t="s">
        <v>306</v>
      </c>
      <c r="M300" s="11" t="s">
        <v>1081</v>
      </c>
      <c r="N300" s="19">
        <v>45864</v>
      </c>
    </row>
    <row r="301" spans="1:14" x14ac:dyDescent="0.25">
      <c r="A301" s="29">
        <v>300</v>
      </c>
      <c r="B301" s="1" t="s">
        <v>274</v>
      </c>
      <c r="C301" s="34">
        <v>45775</v>
      </c>
      <c r="D301" s="12" t="s">
        <v>308</v>
      </c>
      <c r="E301" s="13" t="s">
        <v>1082</v>
      </c>
      <c r="F301" s="14" t="s">
        <v>89</v>
      </c>
      <c r="G301" s="12" t="s">
        <v>310</v>
      </c>
      <c r="H301" s="12" t="s">
        <v>311</v>
      </c>
      <c r="I301" s="19">
        <v>45873</v>
      </c>
      <c r="J301" s="14" t="s">
        <v>150</v>
      </c>
      <c r="K301" s="14" t="s">
        <v>37</v>
      </c>
      <c r="L301" s="14" t="s">
        <v>312</v>
      </c>
      <c r="M301" s="11" t="s">
        <v>1083</v>
      </c>
      <c r="N301" s="19">
        <v>45840</v>
      </c>
    </row>
    <row r="302" spans="1:14" x14ac:dyDescent="0.25">
      <c r="A302" s="29">
        <v>301</v>
      </c>
      <c r="B302" s="1" t="s">
        <v>314</v>
      </c>
      <c r="C302" s="34">
        <v>45733</v>
      </c>
      <c r="D302" s="14" t="s">
        <v>246</v>
      </c>
      <c r="E302" s="13" t="s">
        <v>1084</v>
      </c>
      <c r="F302" s="14" t="s">
        <v>89</v>
      </c>
      <c r="G302" s="12" t="s">
        <v>316</v>
      </c>
      <c r="H302" s="12" t="s">
        <v>317</v>
      </c>
      <c r="I302" s="19">
        <v>45786</v>
      </c>
      <c r="J302" s="14" t="s">
        <v>318</v>
      </c>
      <c r="K302" s="14" t="s">
        <v>37</v>
      </c>
      <c r="L302" s="14" t="s">
        <v>319</v>
      </c>
      <c r="M302" s="11" t="s">
        <v>1085</v>
      </c>
      <c r="N302" s="19">
        <v>45868</v>
      </c>
    </row>
    <row r="303" spans="1:14" x14ac:dyDescent="0.25">
      <c r="A303" s="29">
        <v>302</v>
      </c>
      <c r="B303" s="1" t="s">
        <v>103</v>
      </c>
      <c r="C303" s="34">
        <v>45813</v>
      </c>
      <c r="D303" s="14" t="s">
        <v>72</v>
      </c>
      <c r="E303" s="13" t="s">
        <v>1086</v>
      </c>
      <c r="F303" s="14" t="s">
        <v>33</v>
      </c>
      <c r="G303" s="12" t="s">
        <v>105</v>
      </c>
      <c r="H303" s="12" t="s">
        <v>242</v>
      </c>
      <c r="I303" s="19">
        <v>45881</v>
      </c>
      <c r="J303" s="14" t="s">
        <v>322</v>
      </c>
      <c r="K303" s="14" t="s">
        <v>37</v>
      </c>
      <c r="L303" s="14" t="s">
        <v>323</v>
      </c>
      <c r="M303" s="11" t="s">
        <v>1087</v>
      </c>
      <c r="N303" s="19">
        <v>45849</v>
      </c>
    </row>
    <row r="304" spans="1:14" x14ac:dyDescent="0.25">
      <c r="A304" s="29">
        <v>303</v>
      </c>
      <c r="B304" s="1" t="s">
        <v>325</v>
      </c>
      <c r="C304" s="34">
        <v>45884</v>
      </c>
      <c r="D304" s="14" t="s">
        <v>326</v>
      </c>
      <c r="E304" s="13" t="s">
        <v>1088</v>
      </c>
      <c r="F304" s="14" t="s">
        <v>89</v>
      </c>
      <c r="G304" s="12" t="s">
        <v>179</v>
      </c>
      <c r="H304" s="12" t="s">
        <v>82</v>
      </c>
      <c r="I304" s="19">
        <v>45929</v>
      </c>
      <c r="J304" s="14" t="s">
        <v>328</v>
      </c>
      <c r="K304" s="14" t="s">
        <v>37</v>
      </c>
      <c r="L304" s="14" t="s">
        <v>329</v>
      </c>
      <c r="M304" s="11" t="s">
        <v>1089</v>
      </c>
      <c r="N304" s="19">
        <v>45855</v>
      </c>
    </row>
    <row r="305" spans="1:14" x14ac:dyDescent="0.25">
      <c r="A305" s="29">
        <v>304</v>
      </c>
      <c r="B305" s="1" t="s">
        <v>331</v>
      </c>
      <c r="C305" s="34">
        <v>45922</v>
      </c>
      <c r="D305" s="14" t="s">
        <v>332</v>
      </c>
      <c r="E305" s="13" t="s">
        <v>1090</v>
      </c>
      <c r="F305" s="14" t="s">
        <v>89</v>
      </c>
      <c r="G305" s="12" t="s">
        <v>58</v>
      </c>
      <c r="H305" s="12" t="s">
        <v>127</v>
      </c>
      <c r="I305" s="19">
        <v>46024</v>
      </c>
      <c r="J305" s="14" t="s">
        <v>257</v>
      </c>
      <c r="K305" s="14" t="s">
        <v>37</v>
      </c>
      <c r="L305" s="14" t="s">
        <v>334</v>
      </c>
      <c r="M305" s="11" t="s">
        <v>1091</v>
      </c>
      <c r="N305" s="19">
        <v>45879</v>
      </c>
    </row>
    <row r="306" spans="1:14" ht="30" customHeight="1" x14ac:dyDescent="0.25">
      <c r="A306" s="29">
        <v>305</v>
      </c>
      <c r="B306" s="1" t="s">
        <v>86</v>
      </c>
      <c r="C306" s="34">
        <v>45768</v>
      </c>
      <c r="D306" s="14" t="s">
        <v>292</v>
      </c>
      <c r="E306" s="13" t="s">
        <v>1092</v>
      </c>
      <c r="F306" s="14" t="s">
        <v>89</v>
      </c>
      <c r="G306" s="12" t="s">
        <v>337</v>
      </c>
      <c r="H306" s="12" t="s">
        <v>91</v>
      </c>
      <c r="I306" s="19">
        <v>45776</v>
      </c>
      <c r="J306" s="14" t="s">
        <v>181</v>
      </c>
      <c r="K306" s="14" t="s">
        <v>37</v>
      </c>
      <c r="L306" s="14" t="s">
        <v>338</v>
      </c>
      <c r="M306" s="11" t="s">
        <v>1093</v>
      </c>
      <c r="N306" s="19">
        <v>45897</v>
      </c>
    </row>
    <row r="307" spans="1:14" ht="30" customHeight="1" x14ac:dyDescent="0.25">
      <c r="A307" s="29">
        <v>306</v>
      </c>
      <c r="B307" s="1" t="s">
        <v>169</v>
      </c>
      <c r="C307" s="34">
        <v>45957</v>
      </c>
      <c r="D307" s="14" t="s">
        <v>340</v>
      </c>
      <c r="E307" s="13" t="s">
        <v>1094</v>
      </c>
      <c r="F307" s="14" t="s">
        <v>33</v>
      </c>
      <c r="G307" s="12" t="s">
        <v>58</v>
      </c>
      <c r="H307" s="12" t="s">
        <v>91</v>
      </c>
      <c r="I307" s="19">
        <v>45976</v>
      </c>
      <c r="J307" s="14" t="s">
        <v>342</v>
      </c>
      <c r="K307" s="14" t="s">
        <v>37</v>
      </c>
      <c r="L307" s="14" t="s">
        <v>343</v>
      </c>
      <c r="M307" s="11" t="s">
        <v>1095</v>
      </c>
      <c r="N307" s="19">
        <v>45839</v>
      </c>
    </row>
    <row r="308" spans="1:14" ht="30" customHeight="1" x14ac:dyDescent="0.25">
      <c r="A308" s="29">
        <v>307</v>
      </c>
      <c r="B308" s="1" t="s">
        <v>40</v>
      </c>
      <c r="C308" s="34">
        <v>45849</v>
      </c>
      <c r="D308" s="14" t="s">
        <v>79</v>
      </c>
      <c r="E308" s="13" t="s">
        <v>1096</v>
      </c>
      <c r="F308" s="14" t="s">
        <v>33</v>
      </c>
      <c r="G308" s="12" t="s">
        <v>346</v>
      </c>
      <c r="H308" s="12" t="s">
        <v>59</v>
      </c>
      <c r="I308" s="19">
        <v>45956</v>
      </c>
      <c r="J308" s="14" t="s">
        <v>347</v>
      </c>
      <c r="K308" s="14" t="s">
        <v>37</v>
      </c>
      <c r="L308" s="14" t="s">
        <v>348</v>
      </c>
      <c r="M308" s="11" t="s">
        <v>1097</v>
      </c>
      <c r="N308" s="19">
        <v>45893</v>
      </c>
    </row>
    <row r="309" spans="1:14" ht="30" customHeight="1" x14ac:dyDescent="0.25">
      <c r="A309" s="29">
        <v>308</v>
      </c>
      <c r="B309" s="1" t="s">
        <v>350</v>
      </c>
      <c r="C309" s="34">
        <v>45704</v>
      </c>
      <c r="D309" s="14" t="s">
        <v>351</v>
      </c>
      <c r="E309" s="13" t="s">
        <v>1098</v>
      </c>
      <c r="F309" s="14" t="s">
        <v>89</v>
      </c>
      <c r="G309" s="12" t="s">
        <v>353</v>
      </c>
      <c r="H309" s="12" t="s">
        <v>82</v>
      </c>
      <c r="I309" s="19">
        <v>45773</v>
      </c>
      <c r="J309" s="14" t="s">
        <v>354</v>
      </c>
      <c r="K309" s="14" t="s">
        <v>37</v>
      </c>
      <c r="L309" s="14" t="s">
        <v>355</v>
      </c>
      <c r="M309" s="11" t="s">
        <v>1099</v>
      </c>
      <c r="N309" s="19">
        <v>45881</v>
      </c>
    </row>
    <row r="310" spans="1:14" ht="30" customHeight="1" x14ac:dyDescent="0.25">
      <c r="A310" s="29">
        <v>309</v>
      </c>
      <c r="B310" s="1" t="s">
        <v>357</v>
      </c>
      <c r="C310" s="34">
        <v>45702</v>
      </c>
      <c r="D310" s="14" t="s">
        <v>87</v>
      </c>
      <c r="E310" s="13" t="s">
        <v>1100</v>
      </c>
      <c r="F310" s="14" t="s">
        <v>89</v>
      </c>
      <c r="G310" s="12" t="s">
        <v>105</v>
      </c>
      <c r="H310" s="12" t="s">
        <v>359</v>
      </c>
      <c r="I310" s="19">
        <v>45741</v>
      </c>
      <c r="J310" s="14" t="s">
        <v>360</v>
      </c>
      <c r="K310" s="14" t="s">
        <v>37</v>
      </c>
      <c r="L310" s="14" t="s">
        <v>361</v>
      </c>
      <c r="M310" s="11" t="s">
        <v>1101</v>
      </c>
      <c r="N310" s="19">
        <v>45862</v>
      </c>
    </row>
    <row r="311" spans="1:14" x14ac:dyDescent="0.25">
      <c r="A311" s="29">
        <v>310</v>
      </c>
      <c r="B311" s="1" t="s">
        <v>177</v>
      </c>
      <c r="C311" s="34">
        <v>45917</v>
      </c>
      <c r="D311" s="14" t="s">
        <v>363</v>
      </c>
      <c r="E311" s="13" t="s">
        <v>1102</v>
      </c>
      <c r="F311" s="14" t="s">
        <v>89</v>
      </c>
      <c r="G311" s="12" t="s">
        <v>365</v>
      </c>
      <c r="H311" s="12" t="s">
        <v>366</v>
      </c>
      <c r="I311" s="19">
        <v>45969</v>
      </c>
      <c r="J311" s="14" t="s">
        <v>342</v>
      </c>
      <c r="K311" s="14" t="s">
        <v>37</v>
      </c>
      <c r="L311" s="14" t="s">
        <v>367</v>
      </c>
      <c r="M311" s="11" t="s">
        <v>1103</v>
      </c>
      <c r="N311" s="19">
        <v>45886</v>
      </c>
    </row>
    <row r="312" spans="1:14" x14ac:dyDescent="0.25">
      <c r="A312" s="29">
        <v>311</v>
      </c>
      <c r="B312" s="1" t="s">
        <v>30</v>
      </c>
      <c r="C312" s="34">
        <v>45671</v>
      </c>
      <c r="D312" s="14" t="s">
        <v>369</v>
      </c>
      <c r="E312" s="13" t="s">
        <v>1104</v>
      </c>
      <c r="F312" s="14" t="s">
        <v>33</v>
      </c>
      <c r="G312" s="12" t="s">
        <v>201</v>
      </c>
      <c r="H312" s="12" t="s">
        <v>202</v>
      </c>
      <c r="I312" s="19">
        <v>45780</v>
      </c>
      <c r="J312" s="14" t="s">
        <v>371</v>
      </c>
      <c r="K312" s="14" t="s">
        <v>37</v>
      </c>
      <c r="L312" s="14" t="s">
        <v>372</v>
      </c>
      <c r="M312" s="11" t="s">
        <v>1105</v>
      </c>
      <c r="N312" s="19">
        <v>45866</v>
      </c>
    </row>
    <row r="313" spans="1:14" x14ac:dyDescent="0.25">
      <c r="A313" s="29">
        <v>312</v>
      </c>
      <c r="B313" s="1" t="s">
        <v>266</v>
      </c>
      <c r="C313" s="34">
        <v>45800</v>
      </c>
      <c r="D313" s="14" t="s">
        <v>374</v>
      </c>
      <c r="E313" s="13" t="s">
        <v>1106</v>
      </c>
      <c r="F313" s="14" t="s">
        <v>89</v>
      </c>
      <c r="G313" s="12" t="s">
        <v>269</v>
      </c>
      <c r="H313" s="12" t="s">
        <v>376</v>
      </c>
      <c r="I313" s="19">
        <v>45822</v>
      </c>
      <c r="J313" s="14" t="s">
        <v>377</v>
      </c>
      <c r="K313" s="14" t="s">
        <v>37</v>
      </c>
      <c r="L313" s="14" t="s">
        <v>378</v>
      </c>
      <c r="M313" s="11" t="s">
        <v>1107</v>
      </c>
      <c r="N313" s="19">
        <v>45851</v>
      </c>
    </row>
    <row r="314" spans="1:14" x14ac:dyDescent="0.25">
      <c r="A314" s="29">
        <v>313</v>
      </c>
      <c r="B314" s="1" t="s">
        <v>380</v>
      </c>
      <c r="C314" s="34">
        <v>45932</v>
      </c>
      <c r="D314" s="14" t="s">
        <v>297</v>
      </c>
      <c r="E314" s="13" t="s">
        <v>1108</v>
      </c>
      <c r="F314" s="14" t="s">
        <v>33</v>
      </c>
      <c r="G314" s="12" t="s">
        <v>382</v>
      </c>
      <c r="H314" s="12" t="s">
        <v>383</v>
      </c>
      <c r="I314" s="19">
        <v>45950</v>
      </c>
      <c r="J314" s="14" t="s">
        <v>318</v>
      </c>
      <c r="K314" s="14" t="s">
        <v>37</v>
      </c>
      <c r="L314" s="14" t="s">
        <v>384</v>
      </c>
      <c r="M314" s="11" t="s">
        <v>1109</v>
      </c>
      <c r="N314" s="19">
        <v>45885</v>
      </c>
    </row>
    <row r="315" spans="1:14" ht="30" customHeight="1" x14ac:dyDescent="0.25">
      <c r="A315" s="29">
        <v>314</v>
      </c>
      <c r="B315" s="1" t="s">
        <v>386</v>
      </c>
      <c r="C315" s="34">
        <v>45775</v>
      </c>
      <c r="D315" s="14" t="s">
        <v>387</v>
      </c>
      <c r="E315" s="13" t="s">
        <v>1110</v>
      </c>
      <c r="F315" s="14" t="s">
        <v>33</v>
      </c>
      <c r="G315" s="12" t="s">
        <v>382</v>
      </c>
      <c r="H315" s="12" t="s">
        <v>383</v>
      </c>
      <c r="I315" s="19">
        <v>45864</v>
      </c>
      <c r="J315" s="14" t="s">
        <v>114</v>
      </c>
      <c r="K315" s="14" t="s">
        <v>37</v>
      </c>
      <c r="L315" s="14" t="s">
        <v>389</v>
      </c>
      <c r="M315" s="11" t="s">
        <v>1111</v>
      </c>
      <c r="N315" s="19">
        <v>45897</v>
      </c>
    </row>
    <row r="316" spans="1:14" x14ac:dyDescent="0.25">
      <c r="A316" s="29">
        <v>315</v>
      </c>
      <c r="B316" s="1" t="s">
        <v>125</v>
      </c>
      <c r="C316" s="34">
        <v>45942</v>
      </c>
      <c r="D316" s="14" t="s">
        <v>391</v>
      </c>
      <c r="E316" s="13" t="s">
        <v>1112</v>
      </c>
      <c r="F316" s="14" t="s">
        <v>33</v>
      </c>
      <c r="G316" s="12" t="s">
        <v>172</v>
      </c>
      <c r="H316" s="12" t="s">
        <v>393</v>
      </c>
      <c r="I316" s="19">
        <v>45975</v>
      </c>
      <c r="J316" s="14" t="s">
        <v>394</v>
      </c>
      <c r="K316" s="14" t="s">
        <v>37</v>
      </c>
      <c r="L316" s="14" t="s">
        <v>395</v>
      </c>
      <c r="M316" s="11" t="s">
        <v>1113</v>
      </c>
      <c r="N316" s="19">
        <v>45858</v>
      </c>
    </row>
    <row r="317" spans="1:14" x14ac:dyDescent="0.25">
      <c r="A317" s="29">
        <v>316</v>
      </c>
      <c r="B317" s="1" t="s">
        <v>397</v>
      </c>
      <c r="C317" s="34">
        <v>45664</v>
      </c>
      <c r="D317" s="14" t="s">
        <v>154</v>
      </c>
      <c r="E317" s="13" t="s">
        <v>1114</v>
      </c>
      <c r="F317" s="14" t="s">
        <v>89</v>
      </c>
      <c r="G317" s="12" t="s">
        <v>287</v>
      </c>
      <c r="H317" s="12" t="s">
        <v>235</v>
      </c>
      <c r="I317" s="19">
        <v>45725</v>
      </c>
      <c r="J317" s="14" t="s">
        <v>371</v>
      </c>
      <c r="K317" s="14" t="s">
        <v>37</v>
      </c>
      <c r="L317" s="14" t="s">
        <v>399</v>
      </c>
      <c r="M317" s="11" t="s">
        <v>1115</v>
      </c>
      <c r="N317" s="19">
        <v>45859</v>
      </c>
    </row>
    <row r="318" spans="1:14" x14ac:dyDescent="0.25">
      <c r="A318" s="29">
        <v>317</v>
      </c>
      <c r="B318" s="1" t="s">
        <v>401</v>
      </c>
      <c r="C318" s="34">
        <v>45894</v>
      </c>
      <c r="D318" s="14" t="s">
        <v>402</v>
      </c>
      <c r="E318" s="13" t="s">
        <v>1116</v>
      </c>
      <c r="F318" s="14" t="s">
        <v>89</v>
      </c>
      <c r="G318" s="12" t="s">
        <v>404</v>
      </c>
      <c r="H318" s="12" t="s">
        <v>405</v>
      </c>
      <c r="I318" s="19">
        <v>45951</v>
      </c>
      <c r="J318" s="14" t="s">
        <v>181</v>
      </c>
      <c r="K318" s="14" t="s">
        <v>37</v>
      </c>
      <c r="L318" s="14" t="s">
        <v>406</v>
      </c>
      <c r="M318" s="11" t="s">
        <v>1117</v>
      </c>
      <c r="N318" s="19">
        <v>45895</v>
      </c>
    </row>
    <row r="319" spans="1:14" x14ac:dyDescent="0.25">
      <c r="A319" s="29">
        <v>318</v>
      </c>
      <c r="B319" s="1" t="s">
        <v>103</v>
      </c>
      <c r="C319" s="34">
        <v>45891</v>
      </c>
      <c r="D319" s="14" t="s">
        <v>408</v>
      </c>
      <c r="E319" s="13" t="s">
        <v>1118</v>
      </c>
      <c r="F319" s="14" t="s">
        <v>33</v>
      </c>
      <c r="G319" s="12" t="s">
        <v>164</v>
      </c>
      <c r="H319" s="12" t="s">
        <v>106</v>
      </c>
      <c r="I319" s="19">
        <v>45934</v>
      </c>
      <c r="J319" s="14" t="s">
        <v>52</v>
      </c>
      <c r="K319" s="14" t="s">
        <v>37</v>
      </c>
      <c r="L319" s="14" t="s">
        <v>410</v>
      </c>
      <c r="M319" s="11" t="s">
        <v>1119</v>
      </c>
      <c r="N319" s="19">
        <v>45884</v>
      </c>
    </row>
    <row r="320" spans="1:14" x14ac:dyDescent="0.25">
      <c r="A320" s="29">
        <v>319</v>
      </c>
      <c r="B320" s="1" t="s">
        <v>412</v>
      </c>
      <c r="C320" s="34">
        <v>45681</v>
      </c>
      <c r="D320" s="14" t="s">
        <v>162</v>
      </c>
      <c r="E320" s="13" t="s">
        <v>1120</v>
      </c>
      <c r="F320" s="14" t="s">
        <v>33</v>
      </c>
      <c r="G320" s="12" t="s">
        <v>414</v>
      </c>
      <c r="H320" s="12" t="s">
        <v>415</v>
      </c>
      <c r="I320" s="19">
        <v>45731</v>
      </c>
      <c r="J320" s="14" t="s">
        <v>416</v>
      </c>
      <c r="K320" s="14" t="s">
        <v>37</v>
      </c>
      <c r="L320" s="14" t="s">
        <v>417</v>
      </c>
      <c r="M320" s="11" t="s">
        <v>1121</v>
      </c>
      <c r="N320" s="19">
        <v>45857</v>
      </c>
    </row>
    <row r="321" spans="1:14" ht="30" customHeight="1" x14ac:dyDescent="0.25">
      <c r="A321" s="29">
        <v>320</v>
      </c>
      <c r="B321" s="1" t="s">
        <v>419</v>
      </c>
      <c r="C321" s="34">
        <v>45792</v>
      </c>
      <c r="D321" s="14" t="s">
        <v>233</v>
      </c>
      <c r="E321" s="13" t="s">
        <v>1122</v>
      </c>
      <c r="F321" s="14" t="s">
        <v>33</v>
      </c>
      <c r="G321" s="12" t="s">
        <v>365</v>
      </c>
      <c r="H321" s="12" t="s">
        <v>421</v>
      </c>
      <c r="I321" s="19">
        <v>45804</v>
      </c>
      <c r="J321" s="14" t="s">
        <v>422</v>
      </c>
      <c r="K321" s="14" t="s">
        <v>37</v>
      </c>
      <c r="L321" s="14" t="s">
        <v>423</v>
      </c>
      <c r="M321" s="11" t="s">
        <v>1123</v>
      </c>
      <c r="N321" s="19">
        <v>45856</v>
      </c>
    </row>
    <row r="322" spans="1:14" x14ac:dyDescent="0.25">
      <c r="A322" s="29">
        <v>321</v>
      </c>
      <c r="B322" s="1" t="s">
        <v>425</v>
      </c>
      <c r="C322" s="34">
        <v>45720</v>
      </c>
      <c r="D322" s="14" t="s">
        <v>72</v>
      </c>
      <c r="E322" s="13" t="s">
        <v>1124</v>
      </c>
      <c r="F322" s="14" t="s">
        <v>89</v>
      </c>
      <c r="G322" s="12" t="s">
        <v>172</v>
      </c>
      <c r="H322" s="12" t="s">
        <v>427</v>
      </c>
      <c r="I322" s="19">
        <v>45828</v>
      </c>
      <c r="J322" s="14" t="s">
        <v>428</v>
      </c>
      <c r="K322" s="14" t="s">
        <v>37</v>
      </c>
      <c r="L322" s="14" t="s">
        <v>429</v>
      </c>
      <c r="M322" s="11" t="s">
        <v>1125</v>
      </c>
      <c r="N322" s="19">
        <v>45870</v>
      </c>
    </row>
    <row r="323" spans="1:14" x14ac:dyDescent="0.25">
      <c r="A323" s="29">
        <v>322</v>
      </c>
      <c r="B323" s="1" t="s">
        <v>431</v>
      </c>
      <c r="C323" s="34">
        <v>45902</v>
      </c>
      <c r="D323" s="14" t="s">
        <v>432</v>
      </c>
      <c r="E323" s="13" t="s">
        <v>1126</v>
      </c>
      <c r="F323" s="14" t="s">
        <v>33</v>
      </c>
      <c r="G323" s="12" t="s">
        <v>353</v>
      </c>
      <c r="H323" s="12" t="s">
        <v>82</v>
      </c>
      <c r="I323" s="19">
        <v>45948</v>
      </c>
      <c r="J323" s="14" t="s">
        <v>434</v>
      </c>
      <c r="K323" s="14" t="s">
        <v>37</v>
      </c>
      <c r="L323" s="14" t="s">
        <v>435</v>
      </c>
      <c r="M323" s="11" t="s">
        <v>1127</v>
      </c>
      <c r="N323" s="19">
        <v>45885</v>
      </c>
    </row>
    <row r="324" spans="1:14" x14ac:dyDescent="0.25">
      <c r="A324" s="29">
        <v>323</v>
      </c>
      <c r="B324" s="1" t="s">
        <v>437</v>
      </c>
      <c r="C324" s="34">
        <v>45772</v>
      </c>
      <c r="D324" s="14" t="s">
        <v>438</v>
      </c>
      <c r="E324" s="13" t="s">
        <v>1128</v>
      </c>
      <c r="F324" s="14" t="s">
        <v>89</v>
      </c>
      <c r="G324" s="12" t="s">
        <v>120</v>
      </c>
      <c r="H324" s="12" t="s">
        <v>121</v>
      </c>
      <c r="I324" s="19">
        <v>45866</v>
      </c>
      <c r="J324" s="14" t="s">
        <v>440</v>
      </c>
      <c r="K324" s="14" t="s">
        <v>37</v>
      </c>
      <c r="L324" s="14" t="s">
        <v>441</v>
      </c>
      <c r="M324" s="11" t="s">
        <v>1129</v>
      </c>
      <c r="N324" s="19">
        <v>45871</v>
      </c>
    </row>
    <row r="325" spans="1:14" ht="30" customHeight="1" x14ac:dyDescent="0.25">
      <c r="A325" s="29">
        <v>324</v>
      </c>
      <c r="B325" s="1" t="s">
        <v>443</v>
      </c>
      <c r="C325" s="34">
        <v>45877</v>
      </c>
      <c r="D325" s="14" t="s">
        <v>444</v>
      </c>
      <c r="E325" s="13" t="s">
        <v>1130</v>
      </c>
      <c r="F325" s="14" t="s">
        <v>89</v>
      </c>
      <c r="G325" s="12" t="s">
        <v>446</v>
      </c>
      <c r="H325" s="12" t="s">
        <v>44</v>
      </c>
      <c r="I325" s="19">
        <v>45911</v>
      </c>
      <c r="J325" s="14" t="s">
        <v>447</v>
      </c>
      <c r="K325" s="14" t="s">
        <v>37</v>
      </c>
      <c r="L325" s="14" t="s">
        <v>448</v>
      </c>
      <c r="M325" s="11" t="s">
        <v>1131</v>
      </c>
      <c r="N325" s="19">
        <v>45861</v>
      </c>
    </row>
    <row r="326" spans="1:14" x14ac:dyDescent="0.25">
      <c r="A326" s="29">
        <v>325</v>
      </c>
      <c r="B326" s="1" t="s">
        <v>450</v>
      </c>
      <c r="C326" s="34">
        <v>45719</v>
      </c>
      <c r="D326" s="14" t="s">
        <v>297</v>
      </c>
      <c r="E326" s="13" t="s">
        <v>1132</v>
      </c>
      <c r="F326" s="14" t="s">
        <v>33</v>
      </c>
      <c r="G326" s="12" t="s">
        <v>452</v>
      </c>
      <c r="H326" s="12" t="s">
        <v>453</v>
      </c>
      <c r="I326" s="19">
        <v>45770</v>
      </c>
      <c r="J326" s="14" t="s">
        <v>243</v>
      </c>
      <c r="K326" s="14" t="s">
        <v>37</v>
      </c>
      <c r="L326" s="14" t="s">
        <v>454</v>
      </c>
      <c r="M326" s="11" t="s">
        <v>1133</v>
      </c>
      <c r="N326" s="19">
        <v>45873</v>
      </c>
    </row>
    <row r="327" spans="1:14" x14ac:dyDescent="0.25">
      <c r="A327" s="29">
        <v>326</v>
      </c>
      <c r="B327" s="1" t="s">
        <v>456</v>
      </c>
      <c r="C327" s="34">
        <v>45744</v>
      </c>
      <c r="D327" s="14" t="s">
        <v>64</v>
      </c>
      <c r="E327" s="13" t="s">
        <v>1134</v>
      </c>
      <c r="F327" s="14" t="s">
        <v>89</v>
      </c>
      <c r="G327" s="12" t="s">
        <v>113</v>
      </c>
      <c r="H327" s="12" t="s">
        <v>299</v>
      </c>
      <c r="I327" s="19">
        <v>45788</v>
      </c>
      <c r="J327" s="14" t="s">
        <v>458</v>
      </c>
      <c r="K327" s="14" t="s">
        <v>37</v>
      </c>
      <c r="L327" s="14" t="s">
        <v>459</v>
      </c>
      <c r="M327" s="11" t="s">
        <v>1135</v>
      </c>
      <c r="N327" s="19">
        <v>45853</v>
      </c>
    </row>
    <row r="328" spans="1:14" x14ac:dyDescent="0.25">
      <c r="A328" s="29">
        <v>327</v>
      </c>
      <c r="B328" s="1" t="s">
        <v>461</v>
      </c>
      <c r="C328" s="34">
        <v>45825</v>
      </c>
      <c r="D328" s="14" t="s">
        <v>240</v>
      </c>
      <c r="E328" s="13" t="s">
        <v>1136</v>
      </c>
      <c r="F328" s="14" t="s">
        <v>89</v>
      </c>
      <c r="G328" s="12" t="s">
        <v>105</v>
      </c>
      <c r="H328" s="12" t="s">
        <v>256</v>
      </c>
      <c r="I328" s="19">
        <v>45852</v>
      </c>
      <c r="J328" s="14" t="s">
        <v>463</v>
      </c>
      <c r="K328" s="14" t="s">
        <v>37</v>
      </c>
      <c r="L328" s="14" t="s">
        <v>464</v>
      </c>
      <c r="M328" s="11" t="s">
        <v>1137</v>
      </c>
      <c r="N328" s="19">
        <v>45865</v>
      </c>
    </row>
    <row r="329" spans="1:14" x14ac:dyDescent="0.25">
      <c r="A329" s="29">
        <v>328</v>
      </c>
      <c r="B329" s="1" t="s">
        <v>466</v>
      </c>
      <c r="C329" s="34">
        <v>45917</v>
      </c>
      <c r="D329" s="14" t="s">
        <v>467</v>
      </c>
      <c r="E329" s="13" t="s">
        <v>1138</v>
      </c>
      <c r="F329" s="14" t="s">
        <v>89</v>
      </c>
      <c r="G329" s="12" t="s">
        <v>469</v>
      </c>
      <c r="H329" s="12" t="s">
        <v>470</v>
      </c>
      <c r="I329" s="19">
        <v>46021</v>
      </c>
      <c r="J329" s="14" t="s">
        <v>471</v>
      </c>
      <c r="K329" s="14" t="s">
        <v>37</v>
      </c>
      <c r="L329" s="14" t="s">
        <v>472</v>
      </c>
      <c r="M329" s="11" t="s">
        <v>1139</v>
      </c>
      <c r="N329" s="19">
        <v>45840</v>
      </c>
    </row>
    <row r="330" spans="1:14" x14ac:dyDescent="0.25">
      <c r="A330" s="29">
        <v>329</v>
      </c>
      <c r="B330" s="1" t="s">
        <v>466</v>
      </c>
      <c r="C330" s="31">
        <v>45872</v>
      </c>
      <c r="D330" s="1" t="s">
        <v>351</v>
      </c>
      <c r="E330" s="13" t="s">
        <v>1140</v>
      </c>
      <c r="F330" s="1" t="s">
        <v>89</v>
      </c>
      <c r="G330" s="1" t="s">
        <v>475</v>
      </c>
      <c r="H330" s="1" t="s">
        <v>453</v>
      </c>
      <c r="I330" s="31">
        <v>45939</v>
      </c>
      <c r="J330" s="1" t="s">
        <v>476</v>
      </c>
      <c r="K330" s="1" t="s">
        <v>37</v>
      </c>
      <c r="L330" s="1" t="s">
        <v>477</v>
      </c>
      <c r="M330" s="2" t="s">
        <v>1141</v>
      </c>
      <c r="N330" s="31">
        <v>45878</v>
      </c>
    </row>
    <row r="331" spans="1:14" ht="30" customHeight="1" x14ac:dyDescent="0.25">
      <c r="A331" s="29">
        <v>330</v>
      </c>
      <c r="B331" s="1" t="s">
        <v>479</v>
      </c>
      <c r="C331" s="31">
        <v>45678</v>
      </c>
      <c r="D331" s="1" t="s">
        <v>480</v>
      </c>
      <c r="E331" s="13" t="s">
        <v>1142</v>
      </c>
      <c r="F331" s="1" t="s">
        <v>89</v>
      </c>
      <c r="G331" s="1" t="s">
        <v>201</v>
      </c>
      <c r="H331" s="1" t="s">
        <v>202</v>
      </c>
      <c r="I331" s="31">
        <v>45741</v>
      </c>
      <c r="J331" s="1" t="s">
        <v>68</v>
      </c>
      <c r="K331" s="1" t="s">
        <v>37</v>
      </c>
      <c r="L331" s="1" t="s">
        <v>482</v>
      </c>
      <c r="M331" s="2" t="s">
        <v>1143</v>
      </c>
      <c r="N331" s="31">
        <v>45845</v>
      </c>
    </row>
    <row r="332" spans="1:14" x14ac:dyDescent="0.25">
      <c r="A332" s="29">
        <v>331</v>
      </c>
      <c r="B332" s="1" t="s">
        <v>71</v>
      </c>
      <c r="C332" s="31">
        <v>45871</v>
      </c>
      <c r="D332" s="1" t="s">
        <v>484</v>
      </c>
      <c r="E332" s="13" t="s">
        <v>1144</v>
      </c>
      <c r="F332" s="1" t="s">
        <v>33</v>
      </c>
      <c r="G332" s="1" t="s">
        <v>58</v>
      </c>
      <c r="H332" s="1" t="s">
        <v>91</v>
      </c>
      <c r="I332" s="31">
        <v>45877</v>
      </c>
      <c r="J332" s="1" t="s">
        <v>45</v>
      </c>
      <c r="K332" s="1" t="s">
        <v>37</v>
      </c>
      <c r="L332" s="1" t="s">
        <v>486</v>
      </c>
      <c r="M332" s="2" t="s">
        <v>1145</v>
      </c>
      <c r="N332" s="31">
        <v>45858</v>
      </c>
    </row>
    <row r="333" spans="1:14" x14ac:dyDescent="0.25">
      <c r="A333" s="29">
        <v>332</v>
      </c>
      <c r="B333" s="1" t="s">
        <v>488</v>
      </c>
      <c r="C333" s="31">
        <v>45678</v>
      </c>
      <c r="D333" s="1" t="s">
        <v>225</v>
      </c>
      <c r="E333" s="13" t="s">
        <v>1146</v>
      </c>
      <c r="F333" s="1" t="s">
        <v>33</v>
      </c>
      <c r="G333" s="1" t="s">
        <v>490</v>
      </c>
      <c r="H333" s="1" t="s">
        <v>383</v>
      </c>
      <c r="I333" s="31">
        <v>45723</v>
      </c>
      <c r="J333" s="1" t="s">
        <v>197</v>
      </c>
      <c r="K333" s="1" t="s">
        <v>37</v>
      </c>
      <c r="L333" s="1" t="s">
        <v>491</v>
      </c>
      <c r="M333" s="2" t="s">
        <v>1147</v>
      </c>
      <c r="N333" s="31">
        <v>45865</v>
      </c>
    </row>
    <row r="334" spans="1:14" x14ac:dyDescent="0.25">
      <c r="A334" s="29">
        <v>333</v>
      </c>
      <c r="B334" s="1" t="s">
        <v>161</v>
      </c>
      <c r="C334" s="31">
        <v>45759</v>
      </c>
      <c r="D334" s="1" t="s">
        <v>31</v>
      </c>
      <c r="E334" s="13" t="s">
        <v>1148</v>
      </c>
      <c r="F334" s="1" t="s">
        <v>33</v>
      </c>
      <c r="G334" s="1" t="s">
        <v>164</v>
      </c>
      <c r="H334" s="1" t="s">
        <v>165</v>
      </c>
      <c r="I334" s="31">
        <v>45784</v>
      </c>
      <c r="J334" s="1" t="s">
        <v>114</v>
      </c>
      <c r="K334" s="1" t="s">
        <v>37</v>
      </c>
      <c r="L334" s="1" t="s">
        <v>494</v>
      </c>
      <c r="M334" s="2" t="s">
        <v>1149</v>
      </c>
      <c r="N334" s="31">
        <v>45885</v>
      </c>
    </row>
    <row r="335" spans="1:14" x14ac:dyDescent="0.25">
      <c r="A335" s="29">
        <v>334</v>
      </c>
      <c r="B335" s="1" t="s">
        <v>184</v>
      </c>
      <c r="C335" s="31">
        <v>45922</v>
      </c>
      <c r="D335" s="1" t="s">
        <v>332</v>
      </c>
      <c r="E335" s="13" t="s">
        <v>1150</v>
      </c>
      <c r="F335" s="1" t="s">
        <v>89</v>
      </c>
      <c r="G335" s="1" t="s">
        <v>497</v>
      </c>
      <c r="H335" s="1" t="s">
        <v>121</v>
      </c>
      <c r="I335" s="31">
        <v>46001</v>
      </c>
      <c r="J335" s="1" t="s">
        <v>377</v>
      </c>
      <c r="K335" s="1" t="s">
        <v>37</v>
      </c>
      <c r="L335" s="1" t="s">
        <v>498</v>
      </c>
      <c r="M335" s="2" t="s">
        <v>1151</v>
      </c>
      <c r="N335" s="31">
        <v>45867</v>
      </c>
    </row>
    <row r="336" spans="1:14" x14ac:dyDescent="0.25">
      <c r="A336" s="29">
        <v>335</v>
      </c>
      <c r="B336" s="1" t="s">
        <v>40</v>
      </c>
      <c r="C336" s="31">
        <v>45951</v>
      </c>
      <c r="D336" s="1" t="s">
        <v>64</v>
      </c>
      <c r="E336" s="13" t="s">
        <v>1152</v>
      </c>
      <c r="F336" s="1" t="s">
        <v>33</v>
      </c>
      <c r="G336" s="1" t="s">
        <v>337</v>
      </c>
      <c r="H336" s="1" t="s">
        <v>427</v>
      </c>
      <c r="I336" s="31">
        <v>45996</v>
      </c>
      <c r="J336" s="1" t="s">
        <v>52</v>
      </c>
      <c r="K336" s="1" t="s">
        <v>37</v>
      </c>
      <c r="L336" s="1" t="s">
        <v>501</v>
      </c>
      <c r="M336" s="2" t="s">
        <v>1153</v>
      </c>
      <c r="N336" s="31">
        <v>45895</v>
      </c>
    </row>
    <row r="337" spans="1:14" x14ac:dyDescent="0.25">
      <c r="A337" s="29">
        <v>336</v>
      </c>
      <c r="B337" s="1" t="s">
        <v>503</v>
      </c>
      <c r="C337" s="31">
        <v>45810</v>
      </c>
      <c r="D337" s="1" t="s">
        <v>87</v>
      </c>
      <c r="E337" s="13" t="s">
        <v>1154</v>
      </c>
      <c r="F337" s="1" t="s">
        <v>33</v>
      </c>
      <c r="G337" s="1" t="s">
        <v>469</v>
      </c>
      <c r="H337" s="1" t="s">
        <v>317</v>
      </c>
      <c r="I337" s="31">
        <v>45883</v>
      </c>
      <c r="J337" s="1" t="s">
        <v>458</v>
      </c>
      <c r="K337" s="1" t="s">
        <v>37</v>
      </c>
      <c r="L337" s="1" t="s">
        <v>505</v>
      </c>
      <c r="M337" s="2" t="s">
        <v>1155</v>
      </c>
      <c r="N337" s="31">
        <v>45847</v>
      </c>
    </row>
    <row r="338" spans="1:14" x14ac:dyDescent="0.25">
      <c r="A338" s="29">
        <v>337</v>
      </c>
      <c r="B338" s="1" t="s">
        <v>103</v>
      </c>
      <c r="C338" s="31">
        <v>45803</v>
      </c>
      <c r="D338" s="1" t="s">
        <v>260</v>
      </c>
      <c r="E338" s="13" t="s">
        <v>1156</v>
      </c>
      <c r="F338" s="1" t="s">
        <v>33</v>
      </c>
      <c r="G338" s="1" t="s">
        <v>508</v>
      </c>
      <c r="H338" s="1" t="s">
        <v>376</v>
      </c>
      <c r="I338" s="31">
        <v>45810</v>
      </c>
      <c r="J338" s="1" t="s">
        <v>428</v>
      </c>
      <c r="K338" s="1" t="s">
        <v>37</v>
      </c>
      <c r="L338" s="1" t="s">
        <v>509</v>
      </c>
      <c r="M338" s="2" t="s">
        <v>1157</v>
      </c>
      <c r="N338" s="31">
        <v>45896</v>
      </c>
    </row>
    <row r="339" spans="1:14" x14ac:dyDescent="0.25">
      <c r="A339" s="29">
        <v>338</v>
      </c>
      <c r="B339" s="1" t="s">
        <v>511</v>
      </c>
      <c r="C339" s="31">
        <v>45745</v>
      </c>
      <c r="D339" s="1" t="s">
        <v>170</v>
      </c>
      <c r="E339" s="13" t="s">
        <v>1158</v>
      </c>
      <c r="F339" s="1" t="s">
        <v>89</v>
      </c>
      <c r="G339" s="1" t="s">
        <v>513</v>
      </c>
      <c r="H339" s="1" t="s">
        <v>196</v>
      </c>
      <c r="I339" s="31">
        <v>45765</v>
      </c>
      <c r="J339" s="1" t="s">
        <v>318</v>
      </c>
      <c r="K339" s="1" t="s">
        <v>37</v>
      </c>
      <c r="L339" s="1" t="s">
        <v>514</v>
      </c>
      <c r="M339" s="2" t="s">
        <v>1159</v>
      </c>
      <c r="N339" s="31">
        <v>45858</v>
      </c>
    </row>
    <row r="340" spans="1:14" ht="30" customHeight="1" x14ac:dyDescent="0.25">
      <c r="A340" s="29">
        <v>339</v>
      </c>
      <c r="B340" s="1" t="s">
        <v>516</v>
      </c>
      <c r="C340" s="31">
        <v>45710</v>
      </c>
      <c r="D340" s="1" t="s">
        <v>185</v>
      </c>
      <c r="E340" s="13" t="s">
        <v>1160</v>
      </c>
      <c r="F340" s="1" t="s">
        <v>33</v>
      </c>
      <c r="G340" s="1" t="s">
        <v>490</v>
      </c>
      <c r="H340" s="1" t="s">
        <v>99</v>
      </c>
      <c r="I340" s="31">
        <v>45826</v>
      </c>
      <c r="J340" s="1" t="s">
        <v>518</v>
      </c>
      <c r="K340" s="1" t="s">
        <v>37</v>
      </c>
      <c r="L340" s="1" t="s">
        <v>519</v>
      </c>
      <c r="M340" s="2" t="s">
        <v>1161</v>
      </c>
      <c r="N340" s="31">
        <v>45869</v>
      </c>
    </row>
    <row r="341" spans="1:14" x14ac:dyDescent="0.25">
      <c r="A341" s="29">
        <v>340</v>
      </c>
      <c r="B341" s="1" t="s">
        <v>521</v>
      </c>
      <c r="C341" s="31">
        <v>45924</v>
      </c>
      <c r="D341" s="1" t="s">
        <v>154</v>
      </c>
      <c r="E341" s="13" t="s">
        <v>1162</v>
      </c>
      <c r="F341" s="1" t="s">
        <v>89</v>
      </c>
      <c r="G341" s="1" t="s">
        <v>490</v>
      </c>
      <c r="H341" s="1" t="s">
        <v>523</v>
      </c>
      <c r="I341" s="31">
        <v>45978</v>
      </c>
      <c r="J341" s="1" t="s">
        <v>428</v>
      </c>
      <c r="K341" s="1" t="s">
        <v>37</v>
      </c>
      <c r="L341" s="1" t="s">
        <v>524</v>
      </c>
      <c r="M341" s="2" t="s">
        <v>1163</v>
      </c>
      <c r="N341" s="31">
        <v>45853</v>
      </c>
    </row>
    <row r="342" spans="1:14" x14ac:dyDescent="0.25">
      <c r="A342" s="29">
        <v>341</v>
      </c>
      <c r="B342" s="1" t="s">
        <v>526</v>
      </c>
      <c r="C342" s="31">
        <v>45884</v>
      </c>
      <c r="D342" s="1" t="s">
        <v>527</v>
      </c>
      <c r="E342" s="13" t="s">
        <v>1164</v>
      </c>
      <c r="F342" s="1" t="s">
        <v>89</v>
      </c>
      <c r="G342" s="1" t="s">
        <v>113</v>
      </c>
      <c r="H342" s="1" t="s">
        <v>262</v>
      </c>
      <c r="I342" s="31">
        <v>45993</v>
      </c>
      <c r="J342" s="1" t="s">
        <v>529</v>
      </c>
      <c r="K342" s="1" t="s">
        <v>37</v>
      </c>
      <c r="L342" s="1" t="s">
        <v>530</v>
      </c>
      <c r="M342" s="2" t="s">
        <v>1165</v>
      </c>
      <c r="N342" s="31">
        <v>45893</v>
      </c>
    </row>
    <row r="343" spans="1:14" x14ac:dyDescent="0.25">
      <c r="A343" s="29">
        <v>342</v>
      </c>
      <c r="B343" s="1" t="s">
        <v>532</v>
      </c>
      <c r="C343" s="31">
        <v>45849</v>
      </c>
      <c r="D343" s="1" t="s">
        <v>432</v>
      </c>
      <c r="E343" s="13" t="s">
        <v>1166</v>
      </c>
      <c r="F343" s="1" t="s">
        <v>33</v>
      </c>
      <c r="G343" s="1" t="s">
        <v>534</v>
      </c>
      <c r="H343" s="1" t="s">
        <v>311</v>
      </c>
      <c r="I343" s="31">
        <v>45947</v>
      </c>
      <c r="J343" s="1" t="s">
        <v>535</v>
      </c>
      <c r="K343" s="1" t="s">
        <v>37</v>
      </c>
      <c r="L343" s="1" t="s">
        <v>536</v>
      </c>
      <c r="M343" s="2" t="s">
        <v>1167</v>
      </c>
      <c r="N343" s="31">
        <v>45868</v>
      </c>
    </row>
    <row r="344" spans="1:14" x14ac:dyDescent="0.25">
      <c r="A344" s="29">
        <v>343</v>
      </c>
      <c r="B344" s="1" t="s">
        <v>538</v>
      </c>
      <c r="C344" s="31">
        <v>45828</v>
      </c>
      <c r="D344" s="1" t="s">
        <v>233</v>
      </c>
      <c r="E344" s="13" t="s">
        <v>1168</v>
      </c>
      <c r="F344" s="1" t="s">
        <v>33</v>
      </c>
      <c r="G344" s="1" t="s">
        <v>90</v>
      </c>
      <c r="H344" s="1" t="s">
        <v>91</v>
      </c>
      <c r="I344" s="31">
        <v>45920</v>
      </c>
      <c r="J344" s="1" t="s">
        <v>540</v>
      </c>
      <c r="K344" s="1" t="s">
        <v>37</v>
      </c>
      <c r="L344" s="1" t="s">
        <v>541</v>
      </c>
      <c r="M344" s="2" t="s">
        <v>1169</v>
      </c>
      <c r="N344" s="31">
        <v>45885</v>
      </c>
    </row>
    <row r="345" spans="1:14" ht="30" customHeight="1" x14ac:dyDescent="0.25">
      <c r="A345" s="29">
        <v>344</v>
      </c>
      <c r="B345" s="1" t="s">
        <v>543</v>
      </c>
      <c r="C345" s="31">
        <v>45846</v>
      </c>
      <c r="D345" s="1" t="s">
        <v>56</v>
      </c>
      <c r="E345" s="13" t="s">
        <v>1170</v>
      </c>
      <c r="F345" s="1" t="s">
        <v>89</v>
      </c>
      <c r="G345" s="1" t="s">
        <v>195</v>
      </c>
      <c r="H345" s="1" t="s">
        <v>196</v>
      </c>
      <c r="I345" s="31">
        <v>45910</v>
      </c>
      <c r="J345" s="1" t="s">
        <v>545</v>
      </c>
      <c r="K345" s="1" t="s">
        <v>37</v>
      </c>
      <c r="L345" s="1" t="s">
        <v>546</v>
      </c>
      <c r="M345" s="2" t="s">
        <v>1171</v>
      </c>
      <c r="N345" s="31">
        <v>45878</v>
      </c>
    </row>
    <row r="346" spans="1:14" ht="30" customHeight="1" x14ac:dyDescent="0.25">
      <c r="A346" s="29">
        <v>345</v>
      </c>
      <c r="B346" s="1" t="s">
        <v>284</v>
      </c>
      <c r="C346" s="31">
        <v>45841</v>
      </c>
      <c r="D346" s="1" t="s">
        <v>56</v>
      </c>
      <c r="E346" s="13" t="s">
        <v>1172</v>
      </c>
      <c r="F346" s="1" t="s">
        <v>33</v>
      </c>
      <c r="G346" s="1" t="s">
        <v>287</v>
      </c>
      <c r="H346" s="1" t="s">
        <v>415</v>
      </c>
      <c r="I346" s="31">
        <v>45873</v>
      </c>
      <c r="J346" s="1" t="s">
        <v>549</v>
      </c>
      <c r="K346" s="1" t="s">
        <v>37</v>
      </c>
      <c r="L346" s="1" t="s">
        <v>550</v>
      </c>
      <c r="M346" s="2" t="s">
        <v>1173</v>
      </c>
      <c r="N346" s="31">
        <v>45854</v>
      </c>
    </row>
    <row r="347" spans="1:14" ht="30" customHeight="1" x14ac:dyDescent="0.25">
      <c r="A347" s="29">
        <v>346</v>
      </c>
      <c r="B347" s="1" t="s">
        <v>350</v>
      </c>
      <c r="C347" s="31">
        <v>45922</v>
      </c>
      <c r="D347" s="1" t="s">
        <v>552</v>
      </c>
      <c r="E347" s="13" t="s">
        <v>1174</v>
      </c>
      <c r="F347" s="1" t="s">
        <v>89</v>
      </c>
      <c r="G347" s="1" t="s">
        <v>534</v>
      </c>
      <c r="H347" s="1" t="s">
        <v>366</v>
      </c>
      <c r="I347" s="31">
        <v>45983</v>
      </c>
      <c r="J347" s="1" t="s">
        <v>318</v>
      </c>
      <c r="K347" s="1" t="s">
        <v>37</v>
      </c>
      <c r="L347" s="1" t="s">
        <v>554</v>
      </c>
      <c r="M347" s="2" t="s">
        <v>1175</v>
      </c>
      <c r="N347" s="31">
        <v>45844</v>
      </c>
    </row>
    <row r="348" spans="1:14" x14ac:dyDescent="0.25">
      <c r="A348" s="29">
        <v>347</v>
      </c>
      <c r="B348" s="1" t="s">
        <v>437</v>
      </c>
      <c r="C348" s="31">
        <v>45721</v>
      </c>
      <c r="D348" s="1" t="s">
        <v>308</v>
      </c>
      <c r="E348" s="13" t="s">
        <v>1176</v>
      </c>
      <c r="F348" s="1" t="s">
        <v>89</v>
      </c>
      <c r="G348" s="1" t="s">
        <v>141</v>
      </c>
      <c r="H348" s="1" t="s">
        <v>557</v>
      </c>
      <c r="I348" s="31">
        <v>45744</v>
      </c>
      <c r="J348" s="1" t="s">
        <v>128</v>
      </c>
      <c r="K348" s="1" t="s">
        <v>37</v>
      </c>
      <c r="L348" s="1" t="s">
        <v>558</v>
      </c>
      <c r="M348" s="2" t="s">
        <v>1177</v>
      </c>
      <c r="N348" s="31">
        <v>45885</v>
      </c>
    </row>
    <row r="349" spans="1:14" ht="30" customHeight="1" x14ac:dyDescent="0.25">
      <c r="A349" s="29">
        <v>348</v>
      </c>
      <c r="B349" s="1" t="s">
        <v>450</v>
      </c>
      <c r="C349" s="31">
        <v>45751</v>
      </c>
      <c r="D349" s="1" t="s">
        <v>552</v>
      </c>
      <c r="E349" s="13" t="s">
        <v>1178</v>
      </c>
      <c r="F349" s="1" t="s">
        <v>33</v>
      </c>
      <c r="G349" s="1" t="s">
        <v>561</v>
      </c>
      <c r="H349" s="1" t="s">
        <v>453</v>
      </c>
      <c r="I349" s="31">
        <v>45763</v>
      </c>
      <c r="J349" s="1" t="s">
        <v>562</v>
      </c>
      <c r="K349" s="1" t="s">
        <v>37</v>
      </c>
      <c r="L349" s="1" t="s">
        <v>563</v>
      </c>
      <c r="M349" s="2" t="s">
        <v>1179</v>
      </c>
      <c r="N349" s="31">
        <v>45891</v>
      </c>
    </row>
    <row r="350" spans="1:14" x14ac:dyDescent="0.25">
      <c r="A350" s="29">
        <v>349</v>
      </c>
      <c r="B350" s="1" t="s">
        <v>212</v>
      </c>
      <c r="C350" s="31">
        <v>45863</v>
      </c>
      <c r="D350" s="1" t="s">
        <v>308</v>
      </c>
      <c r="E350" s="13" t="s">
        <v>1180</v>
      </c>
      <c r="F350" s="1" t="s">
        <v>89</v>
      </c>
      <c r="G350" s="1" t="s">
        <v>58</v>
      </c>
      <c r="H350" s="1" t="s">
        <v>44</v>
      </c>
      <c r="I350" s="31">
        <v>45879</v>
      </c>
      <c r="J350" s="1" t="s">
        <v>566</v>
      </c>
      <c r="K350" s="1" t="s">
        <v>37</v>
      </c>
      <c r="L350" s="1" t="s">
        <v>567</v>
      </c>
      <c r="M350" s="2" t="s">
        <v>1181</v>
      </c>
      <c r="N350" s="31">
        <v>45847</v>
      </c>
    </row>
    <row r="351" spans="1:14" x14ac:dyDescent="0.25">
      <c r="A351" s="29">
        <v>350</v>
      </c>
      <c r="B351" s="1" t="s">
        <v>569</v>
      </c>
      <c r="C351" s="31">
        <v>45678</v>
      </c>
      <c r="D351" s="1" t="s">
        <v>552</v>
      </c>
      <c r="E351" s="13" t="s">
        <v>1182</v>
      </c>
      <c r="F351" s="1" t="s">
        <v>89</v>
      </c>
      <c r="G351" s="1" t="s">
        <v>120</v>
      </c>
      <c r="H351" s="1" t="s">
        <v>383</v>
      </c>
      <c r="I351" s="31">
        <v>45709</v>
      </c>
      <c r="J351" s="1" t="s">
        <v>571</v>
      </c>
      <c r="K351" s="1" t="s">
        <v>37</v>
      </c>
      <c r="L351" s="1" t="s">
        <v>572</v>
      </c>
      <c r="M351" s="2" t="s">
        <v>1183</v>
      </c>
      <c r="N351" s="31">
        <v>45884</v>
      </c>
    </row>
    <row r="352" spans="1:14" x14ac:dyDescent="0.25">
      <c r="A352" s="29">
        <v>351</v>
      </c>
      <c r="B352" s="1" t="s">
        <v>425</v>
      </c>
      <c r="C352" s="31">
        <v>45815</v>
      </c>
      <c r="D352" s="1" t="s">
        <v>480</v>
      </c>
      <c r="E352" s="13" t="s">
        <v>1184</v>
      </c>
      <c r="F352" s="1" t="s">
        <v>89</v>
      </c>
      <c r="G352" s="1" t="s">
        <v>346</v>
      </c>
      <c r="H352" s="1" t="s">
        <v>427</v>
      </c>
      <c r="I352" s="31">
        <v>45869</v>
      </c>
      <c r="J352" s="1" t="s">
        <v>575</v>
      </c>
      <c r="K352" s="1" t="s">
        <v>37</v>
      </c>
      <c r="L352" s="1" t="s">
        <v>576</v>
      </c>
      <c r="M352" s="2" t="s">
        <v>1185</v>
      </c>
      <c r="N352" s="31">
        <v>45873</v>
      </c>
    </row>
    <row r="353" spans="1:14" x14ac:dyDescent="0.25">
      <c r="A353" s="29">
        <v>352</v>
      </c>
      <c r="B353" s="1" t="s">
        <v>578</v>
      </c>
      <c r="C353" s="31">
        <v>45851</v>
      </c>
      <c r="D353" s="1" t="s">
        <v>170</v>
      </c>
      <c r="E353" s="13" t="s">
        <v>1186</v>
      </c>
      <c r="F353" s="1" t="s">
        <v>33</v>
      </c>
      <c r="G353" s="1" t="s">
        <v>475</v>
      </c>
      <c r="H353" s="1" t="s">
        <v>580</v>
      </c>
      <c r="I353" s="31">
        <v>45889</v>
      </c>
      <c r="J353" s="1" t="s">
        <v>581</v>
      </c>
      <c r="K353" s="1" t="s">
        <v>37</v>
      </c>
      <c r="L353" s="1" t="s">
        <v>582</v>
      </c>
      <c r="M353" s="2" t="s">
        <v>1187</v>
      </c>
      <c r="N353" s="31">
        <v>45844</v>
      </c>
    </row>
    <row r="354" spans="1:14" ht="30" customHeight="1" x14ac:dyDescent="0.25">
      <c r="A354" s="29">
        <v>353</v>
      </c>
      <c r="B354" s="1" t="s">
        <v>169</v>
      </c>
      <c r="C354" s="31">
        <v>45825</v>
      </c>
      <c r="D354" s="1" t="s">
        <v>240</v>
      </c>
      <c r="E354" s="13" t="s">
        <v>1188</v>
      </c>
      <c r="F354" s="1" t="s">
        <v>33</v>
      </c>
      <c r="G354" s="1" t="s">
        <v>172</v>
      </c>
      <c r="H354" s="1" t="s">
        <v>44</v>
      </c>
      <c r="I354" s="31">
        <v>45844</v>
      </c>
      <c r="J354" s="1" t="s">
        <v>585</v>
      </c>
      <c r="K354" s="1" t="s">
        <v>37</v>
      </c>
      <c r="L354" s="1" t="s">
        <v>586</v>
      </c>
      <c r="M354" s="2" t="s">
        <v>1189</v>
      </c>
      <c r="N354" s="31">
        <v>45887</v>
      </c>
    </row>
    <row r="355" spans="1:14" ht="30" customHeight="1" x14ac:dyDescent="0.25">
      <c r="A355" s="29">
        <v>354</v>
      </c>
      <c r="B355" s="1" t="s">
        <v>177</v>
      </c>
      <c r="C355" s="31">
        <v>45685</v>
      </c>
      <c r="D355" s="1" t="s">
        <v>72</v>
      </c>
      <c r="E355" s="13" t="s">
        <v>1190</v>
      </c>
      <c r="F355" s="1" t="s">
        <v>89</v>
      </c>
      <c r="G355" s="1" t="s">
        <v>220</v>
      </c>
      <c r="H355" s="1" t="s">
        <v>421</v>
      </c>
      <c r="I355" s="31">
        <v>45709</v>
      </c>
      <c r="J355" s="1" t="s">
        <v>589</v>
      </c>
      <c r="K355" s="1" t="s">
        <v>37</v>
      </c>
      <c r="L355" s="1" t="s">
        <v>590</v>
      </c>
      <c r="M355" s="2" t="s">
        <v>1191</v>
      </c>
      <c r="N355" s="31">
        <v>45858</v>
      </c>
    </row>
    <row r="356" spans="1:14" x14ac:dyDescent="0.25">
      <c r="A356" s="29">
        <v>355</v>
      </c>
      <c r="B356" s="1" t="s">
        <v>450</v>
      </c>
      <c r="C356" s="31">
        <v>45841</v>
      </c>
      <c r="D356" s="1" t="s">
        <v>233</v>
      </c>
      <c r="E356" s="13" t="s">
        <v>1192</v>
      </c>
      <c r="F356" s="1" t="s">
        <v>33</v>
      </c>
      <c r="G356" s="1" t="s">
        <v>469</v>
      </c>
      <c r="H356" s="1" t="s">
        <v>580</v>
      </c>
      <c r="I356" s="31">
        <v>45884</v>
      </c>
      <c r="J356" s="1" t="s">
        <v>214</v>
      </c>
      <c r="K356" s="1" t="s">
        <v>37</v>
      </c>
      <c r="L356" s="1" t="s">
        <v>593</v>
      </c>
      <c r="M356" s="2" t="s">
        <v>1193</v>
      </c>
      <c r="N356" s="31">
        <v>45860</v>
      </c>
    </row>
    <row r="357" spans="1:14" x14ac:dyDescent="0.25">
      <c r="A357" s="29">
        <v>356</v>
      </c>
      <c r="B357" s="1" t="s">
        <v>48</v>
      </c>
      <c r="C357" s="31">
        <v>45815</v>
      </c>
      <c r="D357" s="1" t="s">
        <v>391</v>
      </c>
      <c r="E357" s="13" t="s">
        <v>1194</v>
      </c>
      <c r="F357" s="1" t="s">
        <v>33</v>
      </c>
      <c r="G357" s="1" t="s">
        <v>596</v>
      </c>
      <c r="H357" s="1" t="s">
        <v>597</v>
      </c>
      <c r="I357" s="31">
        <v>45833</v>
      </c>
      <c r="J357" s="1" t="s">
        <v>598</v>
      </c>
      <c r="K357" s="1" t="s">
        <v>37</v>
      </c>
      <c r="L357" s="1" t="s">
        <v>599</v>
      </c>
      <c r="M357" s="2" t="s">
        <v>1195</v>
      </c>
      <c r="N357" s="31">
        <v>45870</v>
      </c>
    </row>
    <row r="358" spans="1:14" x14ac:dyDescent="0.25">
      <c r="A358" s="29">
        <v>357</v>
      </c>
      <c r="B358" s="1" t="s">
        <v>252</v>
      </c>
      <c r="C358" s="31">
        <v>45803</v>
      </c>
      <c r="D358" s="1" t="s">
        <v>79</v>
      </c>
      <c r="E358" s="13" t="s">
        <v>1196</v>
      </c>
      <c r="F358" s="1" t="s">
        <v>33</v>
      </c>
      <c r="G358" s="1" t="s">
        <v>164</v>
      </c>
      <c r="H358" s="1" t="s">
        <v>256</v>
      </c>
      <c r="I358" s="31">
        <v>45882</v>
      </c>
      <c r="J358" s="1" t="s">
        <v>602</v>
      </c>
      <c r="K358" s="1" t="s">
        <v>37</v>
      </c>
      <c r="L358" s="1" t="s">
        <v>603</v>
      </c>
      <c r="M358" s="2" t="s">
        <v>1197</v>
      </c>
      <c r="N358" s="31">
        <v>45866</v>
      </c>
    </row>
    <row r="359" spans="1:14" x14ac:dyDescent="0.25">
      <c r="A359" s="29">
        <v>358</v>
      </c>
      <c r="B359" s="1" t="s">
        <v>466</v>
      </c>
      <c r="C359" s="31">
        <v>45729</v>
      </c>
      <c r="D359" s="1" t="s">
        <v>56</v>
      </c>
      <c r="E359" s="13" t="s">
        <v>1198</v>
      </c>
      <c r="F359" s="1" t="s">
        <v>89</v>
      </c>
      <c r="G359" s="1" t="s">
        <v>606</v>
      </c>
      <c r="H359" s="1" t="s">
        <v>453</v>
      </c>
      <c r="I359" s="31">
        <v>45792</v>
      </c>
      <c r="J359" s="1" t="s">
        <v>607</v>
      </c>
      <c r="K359" s="1" t="s">
        <v>37</v>
      </c>
      <c r="L359" s="1" t="s">
        <v>608</v>
      </c>
      <c r="M359" s="2" t="s">
        <v>1199</v>
      </c>
      <c r="N359" s="31">
        <v>45858</v>
      </c>
    </row>
    <row r="360" spans="1:14" x14ac:dyDescent="0.25">
      <c r="A360" s="29">
        <v>359</v>
      </c>
      <c r="B360" s="1" t="s">
        <v>610</v>
      </c>
      <c r="C360" s="31">
        <v>45794</v>
      </c>
      <c r="D360" s="1" t="s">
        <v>611</v>
      </c>
      <c r="E360" s="13" t="s">
        <v>1200</v>
      </c>
      <c r="F360" s="1" t="s">
        <v>33</v>
      </c>
      <c r="G360" s="1" t="s">
        <v>497</v>
      </c>
      <c r="H360" s="1" t="s">
        <v>557</v>
      </c>
      <c r="I360" s="31">
        <v>45856</v>
      </c>
      <c r="J360" s="1" t="s">
        <v>613</v>
      </c>
      <c r="K360" s="1" t="s">
        <v>37</v>
      </c>
      <c r="L360" s="1" t="s">
        <v>614</v>
      </c>
      <c r="M360" s="2" t="s">
        <v>1201</v>
      </c>
      <c r="N360" s="31">
        <v>45880</v>
      </c>
    </row>
    <row r="361" spans="1:14" x14ac:dyDescent="0.25">
      <c r="A361" s="29">
        <v>360</v>
      </c>
      <c r="B361" s="1" t="s">
        <v>71</v>
      </c>
      <c r="C361" s="31">
        <v>45942</v>
      </c>
      <c r="D361" s="1" t="s">
        <v>444</v>
      </c>
      <c r="E361" s="13" t="s">
        <v>1202</v>
      </c>
      <c r="F361" s="1" t="s">
        <v>33</v>
      </c>
      <c r="G361" s="1" t="s">
        <v>337</v>
      </c>
      <c r="H361" s="1" t="s">
        <v>427</v>
      </c>
      <c r="I361" s="31">
        <v>45968</v>
      </c>
      <c r="J361" s="1" t="s">
        <v>617</v>
      </c>
      <c r="K361" s="1" t="s">
        <v>37</v>
      </c>
      <c r="L361" s="1" t="s">
        <v>618</v>
      </c>
      <c r="M361" s="2" t="s">
        <v>1203</v>
      </c>
      <c r="N361" s="31">
        <v>45878</v>
      </c>
    </row>
    <row r="362" spans="1:14" x14ac:dyDescent="0.25">
      <c r="A362" s="29">
        <v>361</v>
      </c>
      <c r="B362" s="1" t="s">
        <v>620</v>
      </c>
      <c r="C362" s="31">
        <v>45910</v>
      </c>
      <c r="D362" s="1" t="s">
        <v>246</v>
      </c>
      <c r="E362" s="13" t="s">
        <v>1204</v>
      </c>
      <c r="F362" s="1" t="s">
        <v>33</v>
      </c>
      <c r="G362" s="1" t="s">
        <v>43</v>
      </c>
      <c r="H362" s="1" t="s">
        <v>127</v>
      </c>
      <c r="I362" s="31">
        <v>45999</v>
      </c>
      <c r="J362" s="1" t="s">
        <v>622</v>
      </c>
      <c r="K362" s="1" t="s">
        <v>37</v>
      </c>
      <c r="L362" s="1" t="s">
        <v>623</v>
      </c>
      <c r="M362" s="2" t="s">
        <v>1205</v>
      </c>
      <c r="N362" s="31">
        <v>45895</v>
      </c>
    </row>
    <row r="363" spans="1:14" x14ac:dyDescent="0.25">
      <c r="A363" s="29">
        <v>362</v>
      </c>
      <c r="B363" s="1" t="s">
        <v>63</v>
      </c>
      <c r="C363" s="31">
        <v>45912</v>
      </c>
      <c r="D363" s="1" t="s">
        <v>552</v>
      </c>
      <c r="E363" s="13" t="s">
        <v>1206</v>
      </c>
      <c r="F363" s="1" t="s">
        <v>33</v>
      </c>
      <c r="G363" s="1" t="s">
        <v>179</v>
      </c>
      <c r="H363" s="1" t="s">
        <v>421</v>
      </c>
      <c r="I363" s="31">
        <v>45979</v>
      </c>
      <c r="J363" s="1" t="s">
        <v>107</v>
      </c>
      <c r="K363" s="1" t="s">
        <v>37</v>
      </c>
      <c r="L363" s="1" t="s">
        <v>626</v>
      </c>
      <c r="M363" s="2" t="s">
        <v>1207</v>
      </c>
      <c r="N363" s="31">
        <v>45894</v>
      </c>
    </row>
    <row r="364" spans="1:14" x14ac:dyDescent="0.25">
      <c r="A364" s="29">
        <v>363</v>
      </c>
      <c r="B364" s="1" t="s">
        <v>205</v>
      </c>
      <c r="C364" s="31">
        <v>45743</v>
      </c>
      <c r="D364" s="1" t="s">
        <v>285</v>
      </c>
      <c r="E364" s="13" t="s">
        <v>1208</v>
      </c>
      <c r="F364" s="1" t="s">
        <v>89</v>
      </c>
      <c r="G364" s="1" t="s">
        <v>208</v>
      </c>
      <c r="H364" s="1" t="s">
        <v>415</v>
      </c>
      <c r="I364" s="31">
        <v>45808</v>
      </c>
      <c r="J364" s="1" t="s">
        <v>236</v>
      </c>
      <c r="K364" s="1" t="s">
        <v>37</v>
      </c>
      <c r="L364" s="1" t="s">
        <v>629</v>
      </c>
      <c r="M364" s="2" t="s">
        <v>1209</v>
      </c>
      <c r="N364" s="31">
        <v>45846</v>
      </c>
    </row>
    <row r="365" spans="1:14" x14ac:dyDescent="0.25">
      <c r="A365" s="29">
        <v>364</v>
      </c>
      <c r="B365" s="1" t="s">
        <v>631</v>
      </c>
      <c r="C365" s="31">
        <v>45749</v>
      </c>
      <c r="D365" s="1" t="s">
        <v>41</v>
      </c>
      <c r="E365" s="13" t="s">
        <v>1210</v>
      </c>
      <c r="F365" s="1" t="s">
        <v>89</v>
      </c>
      <c r="G365" s="1" t="s">
        <v>513</v>
      </c>
      <c r="H365" s="1" t="s">
        <v>235</v>
      </c>
      <c r="I365" s="31">
        <v>45786</v>
      </c>
      <c r="J365" s="1" t="s">
        <v>602</v>
      </c>
      <c r="K365" s="1" t="s">
        <v>37</v>
      </c>
      <c r="L365" s="1" t="s">
        <v>633</v>
      </c>
      <c r="M365" s="2" t="s">
        <v>1211</v>
      </c>
      <c r="N365" s="31">
        <v>45862</v>
      </c>
    </row>
    <row r="366" spans="1:14" ht="30" customHeight="1" x14ac:dyDescent="0.25">
      <c r="A366" s="29">
        <v>365</v>
      </c>
      <c r="B366" s="1" t="s">
        <v>635</v>
      </c>
      <c r="C366" s="31">
        <v>45800</v>
      </c>
      <c r="D366" s="1" t="s">
        <v>267</v>
      </c>
      <c r="E366" s="13" t="s">
        <v>1212</v>
      </c>
      <c r="F366" s="1" t="s">
        <v>89</v>
      </c>
      <c r="G366" s="1" t="s">
        <v>561</v>
      </c>
      <c r="H366" s="1" t="s">
        <v>453</v>
      </c>
      <c r="I366" s="31">
        <v>45873</v>
      </c>
      <c r="J366" s="1" t="s">
        <v>637</v>
      </c>
      <c r="K366" s="1" t="s">
        <v>37</v>
      </c>
      <c r="L366" s="1" t="s">
        <v>638</v>
      </c>
      <c r="M366" s="2" t="s">
        <v>1213</v>
      </c>
      <c r="N366" s="31">
        <v>45878</v>
      </c>
    </row>
    <row r="367" spans="1:14" ht="30" customHeight="1" x14ac:dyDescent="0.25">
      <c r="A367" s="29">
        <v>366</v>
      </c>
      <c r="B367" s="1" t="s">
        <v>437</v>
      </c>
      <c r="C367" s="31">
        <v>45819</v>
      </c>
      <c r="D367" s="1" t="s">
        <v>363</v>
      </c>
      <c r="E367" s="13" t="s">
        <v>1214</v>
      </c>
      <c r="F367" s="1" t="s">
        <v>89</v>
      </c>
      <c r="G367" s="1" t="s">
        <v>187</v>
      </c>
      <c r="H367" s="1" t="s">
        <v>641</v>
      </c>
      <c r="I367" s="31">
        <v>45937</v>
      </c>
      <c r="J367" s="1" t="s">
        <v>562</v>
      </c>
      <c r="K367" s="1" t="s">
        <v>37</v>
      </c>
      <c r="L367" s="1" t="s">
        <v>642</v>
      </c>
      <c r="M367" s="2" t="s">
        <v>1215</v>
      </c>
      <c r="N367" s="31">
        <v>45895</v>
      </c>
    </row>
    <row r="368" spans="1:14" ht="30" customHeight="1" x14ac:dyDescent="0.25">
      <c r="A368" s="29">
        <v>367</v>
      </c>
      <c r="B368" s="1" t="s">
        <v>610</v>
      </c>
      <c r="C368" s="31">
        <v>45778</v>
      </c>
      <c r="D368" s="1" t="s">
        <v>387</v>
      </c>
      <c r="E368" s="13" t="s">
        <v>1216</v>
      </c>
      <c r="F368" s="1" t="s">
        <v>33</v>
      </c>
      <c r="G368" s="1" t="s">
        <v>120</v>
      </c>
      <c r="H368" s="1" t="s">
        <v>99</v>
      </c>
      <c r="I368" s="31">
        <v>45790</v>
      </c>
      <c r="J368" s="1" t="s">
        <v>645</v>
      </c>
      <c r="K368" s="1" t="s">
        <v>37</v>
      </c>
      <c r="L368" s="1" t="s">
        <v>646</v>
      </c>
      <c r="M368" s="2" t="s">
        <v>1217</v>
      </c>
      <c r="N368" s="31">
        <v>45844</v>
      </c>
    </row>
    <row r="369" spans="1:14" ht="30" customHeight="1" x14ac:dyDescent="0.25">
      <c r="A369" s="29">
        <v>368</v>
      </c>
      <c r="B369" s="1" t="s">
        <v>125</v>
      </c>
      <c r="C369" s="31">
        <v>45735</v>
      </c>
      <c r="D369" s="1" t="s">
        <v>648</v>
      </c>
      <c r="E369" s="13" t="s">
        <v>1218</v>
      </c>
      <c r="F369" s="1" t="s">
        <v>33</v>
      </c>
      <c r="G369" s="1" t="s">
        <v>337</v>
      </c>
      <c r="H369" s="1" t="s">
        <v>59</v>
      </c>
      <c r="I369" s="31">
        <v>45767</v>
      </c>
      <c r="J369" s="1" t="s">
        <v>422</v>
      </c>
      <c r="K369" s="1" t="s">
        <v>37</v>
      </c>
      <c r="L369" s="1" t="s">
        <v>650</v>
      </c>
      <c r="M369" s="2" t="s">
        <v>1219</v>
      </c>
      <c r="N369" s="31">
        <v>45872</v>
      </c>
    </row>
    <row r="370" spans="1:14" x14ac:dyDescent="0.25">
      <c r="A370" s="29">
        <v>369</v>
      </c>
      <c r="B370" s="1" t="s">
        <v>652</v>
      </c>
      <c r="C370" s="31">
        <v>45865</v>
      </c>
      <c r="D370" s="1" t="s">
        <v>363</v>
      </c>
      <c r="E370" s="13" t="s">
        <v>1220</v>
      </c>
      <c r="F370" s="1" t="s">
        <v>33</v>
      </c>
      <c r="G370" s="1" t="s">
        <v>269</v>
      </c>
      <c r="H370" s="1" t="s">
        <v>654</v>
      </c>
      <c r="I370" s="31">
        <v>45873</v>
      </c>
      <c r="J370" s="1" t="s">
        <v>655</v>
      </c>
      <c r="K370" s="1" t="s">
        <v>37</v>
      </c>
      <c r="L370" s="1" t="s">
        <v>656</v>
      </c>
      <c r="M370" s="2" t="s">
        <v>1221</v>
      </c>
      <c r="N370" s="31">
        <v>45852</v>
      </c>
    </row>
    <row r="371" spans="1:14" ht="30" customHeight="1" x14ac:dyDescent="0.25">
      <c r="A371" s="29">
        <v>370</v>
      </c>
      <c r="B371" s="1" t="s">
        <v>516</v>
      </c>
      <c r="C371" s="31">
        <v>45874</v>
      </c>
      <c r="D371" s="1" t="s">
        <v>552</v>
      </c>
      <c r="E371" s="13" t="s">
        <v>1222</v>
      </c>
      <c r="F371" s="1" t="s">
        <v>33</v>
      </c>
      <c r="G371" s="1" t="s">
        <v>187</v>
      </c>
      <c r="H371" s="1" t="s">
        <v>121</v>
      </c>
      <c r="I371" s="31">
        <v>45926</v>
      </c>
      <c r="J371" s="1" t="s">
        <v>659</v>
      </c>
      <c r="K371" s="1" t="s">
        <v>37</v>
      </c>
      <c r="L371" s="1" t="s">
        <v>660</v>
      </c>
      <c r="M371" s="2" t="s">
        <v>1223</v>
      </c>
      <c r="N371" s="31">
        <v>45873</v>
      </c>
    </row>
    <row r="372" spans="1:14" x14ac:dyDescent="0.25">
      <c r="A372" s="29">
        <v>371</v>
      </c>
      <c r="B372" s="1" t="s">
        <v>153</v>
      </c>
      <c r="C372" s="31">
        <v>45670</v>
      </c>
      <c r="D372" s="1" t="s">
        <v>374</v>
      </c>
      <c r="E372" s="13" t="s">
        <v>1224</v>
      </c>
      <c r="F372" s="1" t="s">
        <v>33</v>
      </c>
      <c r="G372" s="1" t="s">
        <v>208</v>
      </c>
      <c r="H372" s="1" t="s">
        <v>196</v>
      </c>
      <c r="I372" s="31">
        <v>45679</v>
      </c>
      <c r="J372" s="1" t="s">
        <v>663</v>
      </c>
      <c r="K372" s="1" t="s">
        <v>37</v>
      </c>
      <c r="L372" s="1" t="s">
        <v>664</v>
      </c>
      <c r="M372" s="2" t="s">
        <v>1225</v>
      </c>
      <c r="N372" s="31">
        <v>45844</v>
      </c>
    </row>
    <row r="373" spans="1:14" x14ac:dyDescent="0.25">
      <c r="A373" s="29">
        <v>372</v>
      </c>
      <c r="B373" s="1" t="s">
        <v>666</v>
      </c>
      <c r="C373" s="31">
        <v>45874</v>
      </c>
      <c r="D373" s="1" t="s">
        <v>467</v>
      </c>
      <c r="E373" s="13" t="s">
        <v>1226</v>
      </c>
      <c r="F373" s="1" t="s">
        <v>89</v>
      </c>
      <c r="G373" s="1" t="s">
        <v>227</v>
      </c>
      <c r="H373" s="1" t="s">
        <v>580</v>
      </c>
      <c r="I373" s="31">
        <v>45982</v>
      </c>
      <c r="J373" s="1" t="s">
        <v>668</v>
      </c>
      <c r="K373" s="1" t="s">
        <v>37</v>
      </c>
      <c r="L373" s="1" t="s">
        <v>669</v>
      </c>
      <c r="M373" s="2" t="s">
        <v>1227</v>
      </c>
      <c r="N373" s="31">
        <v>45897</v>
      </c>
    </row>
    <row r="374" spans="1:14" x14ac:dyDescent="0.25">
      <c r="A374" s="29">
        <v>373</v>
      </c>
      <c r="B374" s="1" t="s">
        <v>671</v>
      </c>
      <c r="C374" s="31">
        <v>45783</v>
      </c>
      <c r="D374" s="1" t="s">
        <v>49</v>
      </c>
      <c r="E374" s="13" t="s">
        <v>1228</v>
      </c>
      <c r="F374" s="1" t="s">
        <v>33</v>
      </c>
      <c r="G374" s="1" t="s">
        <v>337</v>
      </c>
      <c r="H374" s="1" t="s">
        <v>427</v>
      </c>
      <c r="I374" s="31">
        <v>45863</v>
      </c>
      <c r="J374" s="1" t="s">
        <v>673</v>
      </c>
      <c r="K374" s="1" t="s">
        <v>37</v>
      </c>
      <c r="L374" s="1" t="s">
        <v>674</v>
      </c>
      <c r="M374" s="2" t="s">
        <v>1229</v>
      </c>
      <c r="N374" s="31">
        <v>45862</v>
      </c>
    </row>
    <row r="375" spans="1:14" x14ac:dyDescent="0.25">
      <c r="A375" s="29">
        <v>374</v>
      </c>
      <c r="B375" s="1" t="s">
        <v>437</v>
      </c>
      <c r="C375" s="31">
        <v>45945</v>
      </c>
      <c r="D375" s="1" t="s">
        <v>351</v>
      </c>
      <c r="E375" s="13" t="s">
        <v>1230</v>
      </c>
      <c r="F375" s="1" t="s">
        <v>89</v>
      </c>
      <c r="G375" s="1" t="s">
        <v>490</v>
      </c>
      <c r="H375" s="1" t="s">
        <v>188</v>
      </c>
      <c r="I375" s="31">
        <v>45955</v>
      </c>
      <c r="J375" s="1" t="s">
        <v>45</v>
      </c>
      <c r="K375" s="1" t="s">
        <v>37</v>
      </c>
      <c r="L375" s="1" t="s">
        <v>677</v>
      </c>
      <c r="M375" s="2" t="s">
        <v>1231</v>
      </c>
      <c r="N375" s="31">
        <v>45850</v>
      </c>
    </row>
    <row r="376" spans="1:14" ht="30" customHeight="1" x14ac:dyDescent="0.25">
      <c r="A376" s="29">
        <v>375</v>
      </c>
      <c r="B376" s="1" t="s">
        <v>48</v>
      </c>
      <c r="C376" s="31">
        <v>45679</v>
      </c>
      <c r="D376" s="1" t="s">
        <v>154</v>
      </c>
      <c r="E376" s="13" t="s">
        <v>1232</v>
      </c>
      <c r="F376" s="1" t="s">
        <v>33</v>
      </c>
      <c r="G376" s="1" t="s">
        <v>34</v>
      </c>
      <c r="H376" s="1" t="s">
        <v>597</v>
      </c>
      <c r="I376" s="31">
        <v>45704</v>
      </c>
      <c r="J376" s="1" t="s">
        <v>354</v>
      </c>
      <c r="K376" s="1" t="s">
        <v>37</v>
      </c>
      <c r="L376" s="1" t="s">
        <v>680</v>
      </c>
      <c r="M376" s="2" t="s">
        <v>1233</v>
      </c>
      <c r="N376" s="31">
        <v>45888</v>
      </c>
    </row>
    <row r="377" spans="1:14" x14ac:dyDescent="0.25">
      <c r="A377" s="29">
        <v>376</v>
      </c>
      <c r="B377" s="1" t="s">
        <v>532</v>
      </c>
      <c r="C377" s="31">
        <v>45928</v>
      </c>
      <c r="D377" s="1" t="s">
        <v>480</v>
      </c>
      <c r="E377" s="13" t="s">
        <v>1234</v>
      </c>
      <c r="F377" s="1" t="s">
        <v>33</v>
      </c>
      <c r="G377" s="1" t="s">
        <v>179</v>
      </c>
      <c r="H377" s="1" t="s">
        <v>180</v>
      </c>
      <c r="I377" s="31">
        <v>45960</v>
      </c>
      <c r="J377" s="1" t="s">
        <v>683</v>
      </c>
      <c r="K377" s="1" t="s">
        <v>37</v>
      </c>
      <c r="L377" s="1" t="s">
        <v>684</v>
      </c>
      <c r="M377" s="2" t="s">
        <v>1235</v>
      </c>
      <c r="N377" s="31">
        <v>45881</v>
      </c>
    </row>
    <row r="378" spans="1:14" x14ac:dyDescent="0.25">
      <c r="A378" s="29">
        <v>377</v>
      </c>
      <c r="B378" s="1" t="s">
        <v>686</v>
      </c>
      <c r="C378" s="31">
        <v>45947</v>
      </c>
      <c r="D378" s="1" t="s">
        <v>170</v>
      </c>
      <c r="E378" s="13" t="s">
        <v>1236</v>
      </c>
      <c r="F378" s="1" t="s">
        <v>33</v>
      </c>
      <c r="G378" s="1" t="s">
        <v>255</v>
      </c>
      <c r="H378" s="1" t="s">
        <v>376</v>
      </c>
      <c r="I378" s="31">
        <v>46053</v>
      </c>
      <c r="J378" s="1" t="s">
        <v>257</v>
      </c>
      <c r="K378" s="1" t="s">
        <v>37</v>
      </c>
      <c r="L378" s="1" t="s">
        <v>688</v>
      </c>
      <c r="M378" s="2" t="s">
        <v>1237</v>
      </c>
      <c r="N378" s="31">
        <v>45870</v>
      </c>
    </row>
    <row r="379" spans="1:14" x14ac:dyDescent="0.25">
      <c r="A379" s="29">
        <v>378</v>
      </c>
      <c r="B379" s="1" t="s">
        <v>153</v>
      </c>
      <c r="C379" s="31">
        <v>45765</v>
      </c>
      <c r="D379" s="1" t="s">
        <v>292</v>
      </c>
      <c r="E379" s="13" t="s">
        <v>1238</v>
      </c>
      <c r="F379" s="1" t="s">
        <v>33</v>
      </c>
      <c r="G379" s="1" t="s">
        <v>691</v>
      </c>
      <c r="H379" s="1" t="s">
        <v>288</v>
      </c>
      <c r="I379" s="31">
        <v>45824</v>
      </c>
      <c r="J379" s="1" t="s">
        <v>181</v>
      </c>
      <c r="K379" s="1" t="s">
        <v>37</v>
      </c>
      <c r="L379" s="1" t="s">
        <v>692</v>
      </c>
      <c r="M379" s="2" t="s">
        <v>1239</v>
      </c>
      <c r="N379" s="31">
        <v>45879</v>
      </c>
    </row>
    <row r="380" spans="1:14" x14ac:dyDescent="0.25">
      <c r="A380" s="29">
        <v>379</v>
      </c>
      <c r="B380" s="1" t="s">
        <v>694</v>
      </c>
      <c r="C380" s="31">
        <v>45887</v>
      </c>
      <c r="D380" s="1" t="s">
        <v>218</v>
      </c>
      <c r="E380" s="13" t="s">
        <v>1240</v>
      </c>
      <c r="F380" s="1" t="s">
        <v>89</v>
      </c>
      <c r="G380" s="1" t="s">
        <v>220</v>
      </c>
      <c r="H380" s="1" t="s">
        <v>421</v>
      </c>
      <c r="I380" s="31">
        <v>45936</v>
      </c>
      <c r="J380" s="1" t="s">
        <v>60</v>
      </c>
      <c r="K380" s="1" t="s">
        <v>37</v>
      </c>
      <c r="L380" s="1" t="s">
        <v>696</v>
      </c>
      <c r="M380" s="2" t="s">
        <v>1241</v>
      </c>
      <c r="N380" s="31">
        <v>45844</v>
      </c>
    </row>
    <row r="381" spans="1:14" ht="30" customHeight="1" x14ac:dyDescent="0.25">
      <c r="A381" s="29">
        <v>380</v>
      </c>
      <c r="B381" s="1" t="s">
        <v>419</v>
      </c>
      <c r="C381" s="31">
        <v>45686</v>
      </c>
      <c r="D381" s="1" t="s">
        <v>391</v>
      </c>
      <c r="E381" s="13" t="s">
        <v>1242</v>
      </c>
      <c r="F381" s="1" t="s">
        <v>33</v>
      </c>
      <c r="G381" s="1" t="s">
        <v>310</v>
      </c>
      <c r="H381" s="1" t="s">
        <v>180</v>
      </c>
      <c r="I381" s="31">
        <v>45704</v>
      </c>
      <c r="J381" s="1" t="s">
        <v>699</v>
      </c>
      <c r="K381" s="1" t="s">
        <v>37</v>
      </c>
      <c r="L381" s="1" t="s">
        <v>700</v>
      </c>
      <c r="M381" s="2" t="s">
        <v>1243</v>
      </c>
      <c r="N381" s="31">
        <v>45898</v>
      </c>
    </row>
    <row r="382" spans="1:14" ht="30" customHeight="1" x14ac:dyDescent="0.25">
      <c r="A382" s="29">
        <v>381</v>
      </c>
      <c r="B382" s="1" t="s">
        <v>666</v>
      </c>
      <c r="C382" s="31">
        <v>45768</v>
      </c>
      <c r="D382" s="1" t="s">
        <v>253</v>
      </c>
      <c r="E382" s="13" t="s">
        <v>1244</v>
      </c>
      <c r="F382" s="1" t="s">
        <v>89</v>
      </c>
      <c r="G382" s="1" t="s">
        <v>561</v>
      </c>
      <c r="H382" s="1" t="s">
        <v>703</v>
      </c>
      <c r="I382" s="31">
        <v>45805</v>
      </c>
      <c r="J382" s="1" t="s">
        <v>135</v>
      </c>
      <c r="K382" s="1" t="s">
        <v>37</v>
      </c>
      <c r="L382" s="1" t="s">
        <v>704</v>
      </c>
      <c r="M382" s="2" t="s">
        <v>1245</v>
      </c>
      <c r="N382" s="31">
        <v>45853</v>
      </c>
    </row>
    <row r="383" spans="1:14" x14ac:dyDescent="0.25">
      <c r="A383" s="29">
        <v>382</v>
      </c>
      <c r="B383" s="1" t="s">
        <v>117</v>
      </c>
      <c r="C383" s="31">
        <v>45701</v>
      </c>
      <c r="D383" s="1" t="s">
        <v>706</v>
      </c>
      <c r="E383" s="13" t="s">
        <v>1246</v>
      </c>
      <c r="F383" s="1" t="s">
        <v>33</v>
      </c>
      <c r="G383" s="1" t="s">
        <v>98</v>
      </c>
      <c r="H383" s="1" t="s">
        <v>383</v>
      </c>
      <c r="I383" s="31">
        <v>45738</v>
      </c>
      <c r="J383" s="1" t="s">
        <v>428</v>
      </c>
      <c r="K383" s="1" t="s">
        <v>37</v>
      </c>
      <c r="L383" s="1" t="s">
        <v>708</v>
      </c>
      <c r="M383" s="2" t="s">
        <v>1247</v>
      </c>
      <c r="N383" s="31">
        <v>45841</v>
      </c>
    </row>
    <row r="384" spans="1:14" x14ac:dyDescent="0.25">
      <c r="A384" s="29">
        <v>383</v>
      </c>
      <c r="B384" s="1" t="s">
        <v>710</v>
      </c>
      <c r="C384" s="31">
        <v>45709</v>
      </c>
      <c r="D384" s="1" t="s">
        <v>111</v>
      </c>
      <c r="E384" s="13" t="s">
        <v>1248</v>
      </c>
      <c r="F384" s="1" t="s">
        <v>89</v>
      </c>
      <c r="G384" s="1" t="s">
        <v>712</v>
      </c>
      <c r="H384" s="1" t="s">
        <v>317</v>
      </c>
      <c r="I384" s="31">
        <v>45797</v>
      </c>
      <c r="J384" s="1" t="s">
        <v>598</v>
      </c>
      <c r="K384" s="1" t="s">
        <v>37</v>
      </c>
      <c r="L384" s="1" t="s">
        <v>713</v>
      </c>
      <c r="M384" s="2" t="s">
        <v>1249</v>
      </c>
      <c r="N384" s="31">
        <v>45851</v>
      </c>
    </row>
    <row r="385" spans="1:14" x14ac:dyDescent="0.25">
      <c r="A385" s="29">
        <v>384</v>
      </c>
      <c r="B385" s="1" t="s">
        <v>30</v>
      </c>
      <c r="C385" s="31">
        <v>45811</v>
      </c>
      <c r="D385" s="1" t="s">
        <v>308</v>
      </c>
      <c r="E385" s="13" t="s">
        <v>1250</v>
      </c>
      <c r="F385" s="1" t="s">
        <v>33</v>
      </c>
      <c r="G385" s="1" t="s">
        <v>248</v>
      </c>
      <c r="H385" s="1" t="s">
        <v>51</v>
      </c>
      <c r="I385" s="31">
        <v>45898</v>
      </c>
      <c r="J385" s="1" t="s">
        <v>263</v>
      </c>
      <c r="K385" s="1" t="s">
        <v>37</v>
      </c>
      <c r="L385" s="1" t="s">
        <v>716</v>
      </c>
      <c r="M385" s="2" t="s">
        <v>1251</v>
      </c>
      <c r="N385" s="31">
        <v>45849</v>
      </c>
    </row>
    <row r="386" spans="1:14" x14ac:dyDescent="0.25">
      <c r="A386" s="29">
        <v>385</v>
      </c>
      <c r="B386" s="1" t="s">
        <v>710</v>
      </c>
      <c r="C386" s="31">
        <v>45699</v>
      </c>
      <c r="D386" s="1" t="s">
        <v>332</v>
      </c>
      <c r="E386" s="13" t="s">
        <v>1252</v>
      </c>
      <c r="F386" s="1" t="s">
        <v>89</v>
      </c>
      <c r="G386" s="1" t="s">
        <v>316</v>
      </c>
      <c r="H386" s="1" t="s">
        <v>719</v>
      </c>
      <c r="I386" s="31">
        <v>45721</v>
      </c>
      <c r="J386" s="1" t="s">
        <v>720</v>
      </c>
      <c r="K386" s="1" t="s">
        <v>37</v>
      </c>
      <c r="L386" s="1" t="s">
        <v>721</v>
      </c>
      <c r="M386" s="2" t="s">
        <v>1253</v>
      </c>
      <c r="N386" s="31">
        <v>45883</v>
      </c>
    </row>
    <row r="387" spans="1:14" x14ac:dyDescent="0.25">
      <c r="A387" s="29">
        <v>386</v>
      </c>
      <c r="B387" s="1" t="s">
        <v>723</v>
      </c>
      <c r="C387" s="31">
        <v>45945</v>
      </c>
      <c r="D387" s="1" t="s">
        <v>340</v>
      </c>
      <c r="E387" s="13" t="s">
        <v>1254</v>
      </c>
      <c r="F387" s="1" t="s">
        <v>89</v>
      </c>
      <c r="G387" s="1" t="s">
        <v>74</v>
      </c>
      <c r="H387" s="1" t="s">
        <v>127</v>
      </c>
      <c r="I387" s="31">
        <v>46061</v>
      </c>
      <c r="J387" s="1" t="s">
        <v>725</v>
      </c>
      <c r="K387" s="1" t="s">
        <v>37</v>
      </c>
      <c r="L387" s="1" t="s">
        <v>726</v>
      </c>
      <c r="M387" s="2" t="s">
        <v>1255</v>
      </c>
      <c r="N387" s="31">
        <v>45843</v>
      </c>
    </row>
    <row r="388" spans="1:14" x14ac:dyDescent="0.25">
      <c r="A388" s="29">
        <v>387</v>
      </c>
      <c r="B388" s="1" t="s">
        <v>274</v>
      </c>
      <c r="C388" s="31">
        <v>45736</v>
      </c>
      <c r="D388" s="1" t="s">
        <v>728</v>
      </c>
      <c r="E388" s="13" t="s">
        <v>1256</v>
      </c>
      <c r="F388" s="1" t="s">
        <v>89</v>
      </c>
      <c r="G388" s="1" t="s">
        <v>66</v>
      </c>
      <c r="H388" s="1" t="s">
        <v>421</v>
      </c>
      <c r="I388" s="31">
        <v>45837</v>
      </c>
      <c r="J388" s="1" t="s">
        <v>52</v>
      </c>
      <c r="K388" s="1" t="s">
        <v>37</v>
      </c>
      <c r="L388" s="1" t="s">
        <v>730</v>
      </c>
      <c r="M388" s="2" t="s">
        <v>1257</v>
      </c>
      <c r="N388" s="31">
        <v>45862</v>
      </c>
    </row>
    <row r="389" spans="1:14" x14ac:dyDescent="0.25">
      <c r="A389" s="29">
        <v>388</v>
      </c>
      <c r="B389" s="1" t="s">
        <v>325</v>
      </c>
      <c r="C389" s="31">
        <v>45828</v>
      </c>
      <c r="D389" s="1" t="s">
        <v>480</v>
      </c>
      <c r="E389" s="13" t="s">
        <v>1258</v>
      </c>
      <c r="F389" s="1" t="s">
        <v>89</v>
      </c>
      <c r="G389" s="1" t="s">
        <v>81</v>
      </c>
      <c r="H389" s="1" t="s">
        <v>311</v>
      </c>
      <c r="I389" s="31">
        <v>45844</v>
      </c>
      <c r="J389" s="1" t="s">
        <v>463</v>
      </c>
      <c r="K389" s="1" t="s">
        <v>37</v>
      </c>
      <c r="L389" s="1" t="s">
        <v>733</v>
      </c>
      <c r="M389" s="2" t="s">
        <v>1259</v>
      </c>
      <c r="N389" s="31">
        <v>45844</v>
      </c>
    </row>
    <row r="390" spans="1:14" ht="30" customHeight="1" x14ac:dyDescent="0.25">
      <c r="A390" s="29">
        <v>389</v>
      </c>
      <c r="B390" s="1" t="s">
        <v>735</v>
      </c>
      <c r="C390" s="31">
        <v>45838</v>
      </c>
      <c r="D390" s="1" t="s">
        <v>332</v>
      </c>
      <c r="E390" s="13" t="s">
        <v>1260</v>
      </c>
      <c r="F390" s="1" t="s">
        <v>89</v>
      </c>
      <c r="G390" s="1" t="s">
        <v>452</v>
      </c>
      <c r="H390" s="1" t="s">
        <v>719</v>
      </c>
      <c r="I390" s="31">
        <v>45918</v>
      </c>
      <c r="J390" s="1" t="s">
        <v>566</v>
      </c>
      <c r="K390" s="1" t="s">
        <v>37</v>
      </c>
      <c r="L390" s="1" t="s">
        <v>737</v>
      </c>
      <c r="M390" s="2" t="s">
        <v>1261</v>
      </c>
      <c r="N390" s="31">
        <v>45890</v>
      </c>
    </row>
    <row r="391" spans="1:14" x14ac:dyDescent="0.25">
      <c r="A391" s="29">
        <v>390</v>
      </c>
      <c r="B391" s="1" t="s">
        <v>739</v>
      </c>
      <c r="C391" s="31">
        <v>45900</v>
      </c>
      <c r="D391" s="1" t="s">
        <v>41</v>
      </c>
      <c r="E391" s="13" t="s">
        <v>1262</v>
      </c>
      <c r="F391" s="1" t="s">
        <v>89</v>
      </c>
      <c r="G391" s="1" t="s">
        <v>187</v>
      </c>
      <c r="H391" s="1" t="s">
        <v>188</v>
      </c>
      <c r="I391" s="31">
        <v>45984</v>
      </c>
      <c r="J391" s="1" t="s">
        <v>741</v>
      </c>
      <c r="K391" s="1" t="s">
        <v>37</v>
      </c>
      <c r="L391" s="1" t="s">
        <v>742</v>
      </c>
      <c r="M391" s="2" t="s">
        <v>1263</v>
      </c>
      <c r="N391" s="31">
        <v>45846</v>
      </c>
    </row>
    <row r="392" spans="1:14" x14ac:dyDescent="0.25">
      <c r="A392" s="29">
        <v>391</v>
      </c>
      <c r="B392" s="1" t="s">
        <v>30</v>
      </c>
      <c r="C392" s="31">
        <v>45953</v>
      </c>
      <c r="D392" s="1" t="s">
        <v>31</v>
      </c>
      <c r="E392" s="13" t="s">
        <v>1264</v>
      </c>
      <c r="F392" s="1" t="s">
        <v>33</v>
      </c>
      <c r="G392" s="1" t="s">
        <v>34</v>
      </c>
      <c r="H392" s="1" t="s">
        <v>35</v>
      </c>
      <c r="I392" s="31">
        <v>45959</v>
      </c>
      <c r="J392" s="1" t="s">
        <v>36</v>
      </c>
      <c r="K392" s="1" t="s">
        <v>37</v>
      </c>
      <c r="L392" s="1" t="s">
        <v>38</v>
      </c>
      <c r="M392" s="2" t="s">
        <v>1265</v>
      </c>
      <c r="N392" s="31">
        <v>45845</v>
      </c>
    </row>
    <row r="393" spans="1:14" x14ac:dyDescent="0.25">
      <c r="A393" s="29">
        <v>392</v>
      </c>
      <c r="B393" s="1" t="s">
        <v>40</v>
      </c>
      <c r="C393" s="31">
        <v>45774</v>
      </c>
      <c r="D393" s="1" t="s">
        <v>41</v>
      </c>
      <c r="E393" s="13" t="s">
        <v>1266</v>
      </c>
      <c r="F393" s="1" t="s">
        <v>33</v>
      </c>
      <c r="G393" s="1" t="s">
        <v>43</v>
      </c>
      <c r="H393" s="1" t="s">
        <v>44</v>
      </c>
      <c r="I393" s="31">
        <v>45805</v>
      </c>
      <c r="J393" s="1" t="s">
        <v>45</v>
      </c>
      <c r="K393" s="1" t="s">
        <v>37</v>
      </c>
      <c r="L393" s="1" t="s">
        <v>46</v>
      </c>
      <c r="M393" s="2" t="s">
        <v>1267</v>
      </c>
      <c r="N393" s="31">
        <v>45898</v>
      </c>
    </row>
    <row r="394" spans="1:14" x14ac:dyDescent="0.25">
      <c r="A394" s="29">
        <v>393</v>
      </c>
      <c r="B394" s="1" t="s">
        <v>48</v>
      </c>
      <c r="C394" s="31">
        <v>45936</v>
      </c>
      <c r="D394" s="1" t="s">
        <v>49</v>
      </c>
      <c r="E394" s="13" t="s">
        <v>1268</v>
      </c>
      <c r="F394" s="1" t="s">
        <v>33</v>
      </c>
      <c r="G394" s="1" t="s">
        <v>34</v>
      </c>
      <c r="H394" s="1" t="s">
        <v>51</v>
      </c>
      <c r="I394" s="31">
        <v>45992</v>
      </c>
      <c r="J394" s="1" t="s">
        <v>52</v>
      </c>
      <c r="K394" s="1" t="s">
        <v>37</v>
      </c>
      <c r="L394" s="1" t="s">
        <v>53</v>
      </c>
      <c r="M394" s="2" t="s">
        <v>1269</v>
      </c>
      <c r="N394" s="31">
        <v>45877</v>
      </c>
    </row>
    <row r="395" spans="1:14" ht="30" customHeight="1" x14ac:dyDescent="0.25">
      <c r="A395" s="29">
        <v>394</v>
      </c>
      <c r="B395" s="1" t="s">
        <v>55</v>
      </c>
      <c r="C395" s="31">
        <v>45743</v>
      </c>
      <c r="D395" s="1" t="s">
        <v>56</v>
      </c>
      <c r="E395" s="13" t="s">
        <v>1270</v>
      </c>
      <c r="F395" s="1" t="s">
        <v>33</v>
      </c>
      <c r="G395" s="1" t="s">
        <v>58</v>
      </c>
      <c r="H395" s="1" t="s">
        <v>59</v>
      </c>
      <c r="I395" s="31">
        <v>45754</v>
      </c>
      <c r="J395" s="1" t="s">
        <v>60</v>
      </c>
      <c r="K395" s="1" t="s">
        <v>37</v>
      </c>
      <c r="L395" s="1" t="s">
        <v>61</v>
      </c>
      <c r="M395" s="2" t="s">
        <v>1271</v>
      </c>
      <c r="N395" s="31">
        <v>45872</v>
      </c>
    </row>
    <row r="396" spans="1:14" x14ac:dyDescent="0.25">
      <c r="A396" s="29">
        <v>395</v>
      </c>
      <c r="B396" s="1" t="s">
        <v>63</v>
      </c>
      <c r="C396" s="31">
        <v>45950</v>
      </c>
      <c r="D396" s="1" t="s">
        <v>64</v>
      </c>
      <c r="E396" s="13" t="s">
        <v>1272</v>
      </c>
      <c r="F396" s="1" t="s">
        <v>33</v>
      </c>
      <c r="G396" s="1" t="s">
        <v>66</v>
      </c>
      <c r="H396" s="1" t="s">
        <v>67</v>
      </c>
      <c r="I396" s="31">
        <v>45969</v>
      </c>
      <c r="J396" s="1" t="s">
        <v>68</v>
      </c>
      <c r="K396" s="1" t="s">
        <v>37</v>
      </c>
      <c r="L396" s="1" t="s">
        <v>69</v>
      </c>
      <c r="M396" s="2" t="s">
        <v>1273</v>
      </c>
      <c r="N396" s="31">
        <v>45840</v>
      </c>
    </row>
    <row r="397" spans="1:14" x14ac:dyDescent="0.25">
      <c r="A397" s="29">
        <v>396</v>
      </c>
      <c r="B397" s="1" t="s">
        <v>71</v>
      </c>
      <c r="C397" s="31">
        <v>45659</v>
      </c>
      <c r="D397" s="1" t="s">
        <v>72</v>
      </c>
      <c r="E397" s="13" t="s">
        <v>1274</v>
      </c>
      <c r="F397" s="1" t="s">
        <v>33</v>
      </c>
      <c r="G397" s="1" t="s">
        <v>74</v>
      </c>
      <c r="H397" s="1" t="s">
        <v>44</v>
      </c>
      <c r="I397" s="31">
        <v>45686</v>
      </c>
      <c r="J397" s="1" t="s">
        <v>75</v>
      </c>
      <c r="K397" s="1" t="s">
        <v>37</v>
      </c>
      <c r="L397" s="1" t="s">
        <v>76</v>
      </c>
      <c r="M397" s="2" t="s">
        <v>1275</v>
      </c>
      <c r="N397" s="31">
        <v>45858</v>
      </c>
    </row>
    <row r="398" spans="1:14" x14ac:dyDescent="0.25">
      <c r="A398" s="29">
        <v>397</v>
      </c>
      <c r="B398" s="1" t="s">
        <v>78</v>
      </c>
      <c r="C398" s="31">
        <v>45841</v>
      </c>
      <c r="D398" s="1" t="s">
        <v>79</v>
      </c>
      <c r="E398" s="13" t="s">
        <v>1276</v>
      </c>
      <c r="F398" s="1" t="s">
        <v>33</v>
      </c>
      <c r="G398" s="1" t="s">
        <v>81</v>
      </c>
      <c r="H398" s="1" t="s">
        <v>82</v>
      </c>
      <c r="I398" s="31">
        <v>45924</v>
      </c>
      <c r="J398" s="1" t="s">
        <v>83</v>
      </c>
      <c r="K398" s="1" t="s">
        <v>37</v>
      </c>
      <c r="L398" s="1" t="s">
        <v>84</v>
      </c>
      <c r="M398" s="2" t="s">
        <v>1277</v>
      </c>
      <c r="N398" s="31">
        <v>45859</v>
      </c>
    </row>
    <row r="399" spans="1:14" x14ac:dyDescent="0.25">
      <c r="A399" s="29">
        <v>398</v>
      </c>
      <c r="B399" s="1" t="s">
        <v>86</v>
      </c>
      <c r="C399" s="31">
        <v>45835</v>
      </c>
      <c r="D399" s="1" t="s">
        <v>87</v>
      </c>
      <c r="E399" s="13" t="s">
        <v>1278</v>
      </c>
      <c r="F399" s="1" t="s">
        <v>89</v>
      </c>
      <c r="G399" s="1" t="s">
        <v>90</v>
      </c>
      <c r="H399" s="1" t="s">
        <v>91</v>
      </c>
      <c r="I399" s="31">
        <v>45893</v>
      </c>
      <c r="J399" s="1" t="s">
        <v>92</v>
      </c>
      <c r="K399" s="1" t="s">
        <v>37</v>
      </c>
      <c r="L399" s="1" t="s">
        <v>93</v>
      </c>
      <c r="M399" s="2" t="s">
        <v>1279</v>
      </c>
      <c r="N399" s="31">
        <v>45846</v>
      </c>
    </row>
    <row r="400" spans="1:14" x14ac:dyDescent="0.25">
      <c r="A400" s="29">
        <v>399</v>
      </c>
      <c r="B400" s="1" t="s">
        <v>95</v>
      </c>
      <c r="C400" s="31">
        <v>45926</v>
      </c>
      <c r="D400" s="1" t="s">
        <v>96</v>
      </c>
      <c r="E400" s="13" t="s">
        <v>1280</v>
      </c>
      <c r="F400" s="1" t="s">
        <v>89</v>
      </c>
      <c r="G400" s="1" t="s">
        <v>98</v>
      </c>
      <c r="H400" s="1" t="s">
        <v>99</v>
      </c>
      <c r="I400" s="31">
        <v>45969</v>
      </c>
      <c r="J400" s="1" t="s">
        <v>100</v>
      </c>
      <c r="K400" s="1" t="s">
        <v>37</v>
      </c>
      <c r="L400" s="1" t="s">
        <v>101</v>
      </c>
      <c r="M400" s="2" t="s">
        <v>1281</v>
      </c>
      <c r="N400" s="31">
        <v>45896</v>
      </c>
    </row>
    <row r="401" spans="1:14" x14ac:dyDescent="0.25">
      <c r="A401" s="29">
        <v>400</v>
      </c>
      <c r="B401" s="1" t="s">
        <v>103</v>
      </c>
      <c r="C401" s="31">
        <v>45663</v>
      </c>
      <c r="D401" s="1" t="s">
        <v>56</v>
      </c>
      <c r="E401" s="13" t="s">
        <v>1282</v>
      </c>
      <c r="F401" s="1" t="s">
        <v>33</v>
      </c>
      <c r="G401" s="1" t="s">
        <v>105</v>
      </c>
      <c r="H401" s="1" t="s">
        <v>106</v>
      </c>
      <c r="I401" s="31">
        <v>45730</v>
      </c>
      <c r="J401" s="1" t="s">
        <v>107</v>
      </c>
      <c r="K401" s="1" t="s">
        <v>37</v>
      </c>
      <c r="L401" s="1" t="s">
        <v>108</v>
      </c>
      <c r="M401" s="2" t="s">
        <v>1283</v>
      </c>
      <c r="N401" s="31">
        <v>45848</v>
      </c>
    </row>
    <row r="402" spans="1:14" ht="30" customHeight="1" x14ac:dyDescent="0.25">
      <c r="A402" s="29">
        <v>401</v>
      </c>
      <c r="B402" s="1" t="s">
        <v>110</v>
      </c>
      <c r="C402" s="31">
        <v>45706</v>
      </c>
      <c r="D402" s="1" t="s">
        <v>111</v>
      </c>
      <c r="E402" s="13" t="s">
        <v>1284</v>
      </c>
      <c r="F402" s="1" t="s">
        <v>89</v>
      </c>
      <c r="G402" s="1" t="s">
        <v>113</v>
      </c>
      <c r="H402" s="1" t="s">
        <v>35</v>
      </c>
      <c r="I402" s="31">
        <v>45815</v>
      </c>
      <c r="J402" s="1" t="s">
        <v>114</v>
      </c>
      <c r="K402" s="1" t="s">
        <v>37</v>
      </c>
      <c r="L402" s="1" t="s">
        <v>115</v>
      </c>
      <c r="M402" s="2" t="s">
        <v>1285</v>
      </c>
      <c r="N402" s="31">
        <v>45884</v>
      </c>
    </row>
    <row r="403" spans="1:14" ht="30" customHeight="1" x14ac:dyDescent="0.25">
      <c r="A403" s="29">
        <v>402</v>
      </c>
      <c r="B403" s="1" t="s">
        <v>117</v>
      </c>
      <c r="C403" s="31">
        <v>45854</v>
      </c>
      <c r="D403" s="1" t="s">
        <v>118</v>
      </c>
      <c r="E403" s="13" t="s">
        <v>1286</v>
      </c>
      <c r="F403" s="1" t="s">
        <v>33</v>
      </c>
      <c r="G403" s="1" t="s">
        <v>120</v>
      </c>
      <c r="H403" s="1" t="s">
        <v>121</v>
      </c>
      <c r="I403" s="31">
        <v>45971</v>
      </c>
      <c r="J403" s="1" t="s">
        <v>122</v>
      </c>
      <c r="K403" s="1" t="s">
        <v>37</v>
      </c>
      <c r="L403" s="1" t="s">
        <v>123</v>
      </c>
      <c r="M403" s="2" t="s">
        <v>1287</v>
      </c>
      <c r="N403" s="31">
        <v>45872</v>
      </c>
    </row>
    <row r="404" spans="1:14" ht="30" customHeight="1" x14ac:dyDescent="0.25">
      <c r="A404" s="29">
        <v>403</v>
      </c>
      <c r="B404" s="1" t="s">
        <v>125</v>
      </c>
      <c r="C404" s="31">
        <v>45946</v>
      </c>
      <c r="D404" s="1" t="s">
        <v>79</v>
      </c>
      <c r="E404" s="13" t="s">
        <v>1288</v>
      </c>
      <c r="F404" s="1" t="s">
        <v>33</v>
      </c>
      <c r="G404" s="1" t="s">
        <v>43</v>
      </c>
      <c r="H404" s="1" t="s">
        <v>127</v>
      </c>
      <c r="I404" s="31">
        <v>46009</v>
      </c>
      <c r="J404" s="1" t="s">
        <v>128</v>
      </c>
      <c r="K404" s="1" t="s">
        <v>37</v>
      </c>
      <c r="L404" s="1" t="s">
        <v>129</v>
      </c>
      <c r="M404" s="2" t="s">
        <v>1289</v>
      </c>
      <c r="N404" s="31">
        <v>45841</v>
      </c>
    </row>
    <row r="405" spans="1:14" ht="30" customHeight="1" x14ac:dyDescent="0.25">
      <c r="A405" s="29">
        <v>404</v>
      </c>
      <c r="B405" s="1" t="s">
        <v>131</v>
      </c>
      <c r="C405" s="31">
        <v>45940</v>
      </c>
      <c r="D405" s="1" t="s">
        <v>132</v>
      </c>
      <c r="E405" s="13" t="s">
        <v>1290</v>
      </c>
      <c r="F405" s="1" t="s">
        <v>89</v>
      </c>
      <c r="G405" s="1" t="s">
        <v>34</v>
      </c>
      <c r="H405" s="1" t="s">
        <v>134</v>
      </c>
      <c r="I405" s="31">
        <v>46053</v>
      </c>
      <c r="J405" s="1" t="s">
        <v>135</v>
      </c>
      <c r="K405" s="1" t="s">
        <v>37</v>
      </c>
      <c r="L405" s="1" t="s">
        <v>136</v>
      </c>
      <c r="M405" s="2" t="s">
        <v>1291</v>
      </c>
      <c r="N405" s="31">
        <v>45845</v>
      </c>
    </row>
    <row r="406" spans="1:14" ht="30" customHeight="1" x14ac:dyDescent="0.25">
      <c r="A406" s="29">
        <v>405</v>
      </c>
      <c r="B406" s="1" t="s">
        <v>138</v>
      </c>
      <c r="C406" s="31">
        <v>45698</v>
      </c>
      <c r="D406" s="1" t="s">
        <v>139</v>
      </c>
      <c r="E406" s="13" t="s">
        <v>1292</v>
      </c>
      <c r="F406" s="1" t="s">
        <v>89</v>
      </c>
      <c r="G406" s="1" t="s">
        <v>141</v>
      </c>
      <c r="H406" s="1" t="s">
        <v>142</v>
      </c>
      <c r="I406" s="31">
        <v>45746</v>
      </c>
      <c r="J406" s="1" t="s">
        <v>143</v>
      </c>
      <c r="K406" s="1" t="s">
        <v>37</v>
      </c>
      <c r="L406" s="1" t="s">
        <v>144</v>
      </c>
      <c r="M406" s="2" t="s">
        <v>1293</v>
      </c>
      <c r="N406" s="31">
        <v>45876</v>
      </c>
    </row>
    <row r="407" spans="1:14" x14ac:dyDescent="0.25">
      <c r="A407" s="29">
        <v>406</v>
      </c>
      <c r="B407" s="1" t="s">
        <v>146</v>
      </c>
      <c r="C407" s="31">
        <v>45786</v>
      </c>
      <c r="D407" s="1" t="s">
        <v>147</v>
      </c>
      <c r="E407" s="13" t="s">
        <v>1294</v>
      </c>
      <c r="F407" s="1" t="s">
        <v>33</v>
      </c>
      <c r="G407" s="1" t="s">
        <v>34</v>
      </c>
      <c r="H407" s="1" t="s">
        <v>149</v>
      </c>
      <c r="I407" s="31">
        <v>45815</v>
      </c>
      <c r="J407" s="1" t="s">
        <v>150</v>
      </c>
      <c r="K407" s="1" t="s">
        <v>37</v>
      </c>
      <c r="L407" s="1" t="s">
        <v>151</v>
      </c>
      <c r="M407" s="2" t="s">
        <v>1295</v>
      </c>
      <c r="N407" s="31">
        <v>45890</v>
      </c>
    </row>
    <row r="408" spans="1:14" x14ac:dyDescent="0.25">
      <c r="A408" s="29">
        <v>407</v>
      </c>
      <c r="B408" s="1" t="s">
        <v>153</v>
      </c>
      <c r="C408" s="31">
        <v>45828</v>
      </c>
      <c r="D408" s="1" t="s">
        <v>154</v>
      </c>
      <c r="E408" s="13" t="s">
        <v>1296</v>
      </c>
      <c r="F408" s="1" t="s">
        <v>33</v>
      </c>
      <c r="G408" s="1" t="s">
        <v>156</v>
      </c>
      <c r="H408" s="1" t="s">
        <v>157</v>
      </c>
      <c r="I408" s="31">
        <v>45852</v>
      </c>
      <c r="J408" s="1" t="s">
        <v>158</v>
      </c>
      <c r="K408" s="1" t="s">
        <v>37</v>
      </c>
      <c r="L408" s="1" t="s">
        <v>159</v>
      </c>
      <c r="M408" s="2" t="s">
        <v>1297</v>
      </c>
      <c r="N408" s="31">
        <v>45898</v>
      </c>
    </row>
    <row r="409" spans="1:14" x14ac:dyDescent="0.25">
      <c r="A409" s="29">
        <v>408</v>
      </c>
      <c r="B409" s="1" t="s">
        <v>161</v>
      </c>
      <c r="C409" s="31">
        <v>45699</v>
      </c>
      <c r="D409" s="1" t="s">
        <v>162</v>
      </c>
      <c r="E409" s="13" t="s">
        <v>1298</v>
      </c>
      <c r="F409" s="1" t="s">
        <v>33</v>
      </c>
      <c r="G409" s="1" t="s">
        <v>164</v>
      </c>
      <c r="H409" s="1" t="s">
        <v>165</v>
      </c>
      <c r="I409" s="31">
        <v>45809</v>
      </c>
      <c r="J409" s="1" t="s">
        <v>166</v>
      </c>
      <c r="K409" s="1" t="s">
        <v>37</v>
      </c>
      <c r="L409" s="1" t="s">
        <v>167</v>
      </c>
      <c r="M409" s="2" t="s">
        <v>1299</v>
      </c>
      <c r="N409" s="31">
        <v>45866</v>
      </c>
    </row>
    <row r="410" spans="1:14" x14ac:dyDescent="0.25">
      <c r="A410" s="29">
        <v>409</v>
      </c>
      <c r="B410" s="1" t="s">
        <v>169</v>
      </c>
      <c r="C410" s="31">
        <v>45703</v>
      </c>
      <c r="D410" s="1" t="s">
        <v>170</v>
      </c>
      <c r="E410" s="13" t="s">
        <v>1300</v>
      </c>
      <c r="F410" s="1" t="s">
        <v>33</v>
      </c>
      <c r="G410" s="1" t="s">
        <v>172</v>
      </c>
      <c r="H410" s="1" t="s">
        <v>173</v>
      </c>
      <c r="I410" s="31">
        <v>45820</v>
      </c>
      <c r="J410" s="1" t="s">
        <v>174</v>
      </c>
      <c r="K410" s="1" t="s">
        <v>37</v>
      </c>
      <c r="L410" s="1" t="s">
        <v>175</v>
      </c>
      <c r="M410" s="2" t="s">
        <v>1301</v>
      </c>
      <c r="N410" s="31">
        <v>45897</v>
      </c>
    </row>
    <row r="411" spans="1:14" x14ac:dyDescent="0.25">
      <c r="A411" s="29">
        <v>410</v>
      </c>
      <c r="B411" s="1" t="s">
        <v>177</v>
      </c>
      <c r="C411" s="31">
        <v>45737</v>
      </c>
      <c r="D411" s="1" t="s">
        <v>96</v>
      </c>
      <c r="E411" s="13" t="s">
        <v>1302</v>
      </c>
      <c r="F411" s="1" t="s">
        <v>89</v>
      </c>
      <c r="G411" s="1" t="s">
        <v>179</v>
      </c>
      <c r="H411" s="1" t="s">
        <v>180</v>
      </c>
      <c r="I411" s="31">
        <v>45800</v>
      </c>
      <c r="J411" s="1" t="s">
        <v>181</v>
      </c>
      <c r="K411" s="1" t="s">
        <v>37</v>
      </c>
      <c r="L411" s="1" t="s">
        <v>182</v>
      </c>
      <c r="M411" s="2" t="s">
        <v>1303</v>
      </c>
      <c r="N411" s="31">
        <v>45885</v>
      </c>
    </row>
    <row r="412" spans="1:14" x14ac:dyDescent="0.25">
      <c r="A412" s="29">
        <v>411</v>
      </c>
      <c r="B412" s="1" t="s">
        <v>184</v>
      </c>
      <c r="C412" s="31">
        <v>45955</v>
      </c>
      <c r="D412" s="1" t="s">
        <v>185</v>
      </c>
      <c r="E412" s="13" t="s">
        <v>1304</v>
      </c>
      <c r="F412" s="1" t="s">
        <v>89</v>
      </c>
      <c r="G412" s="1" t="s">
        <v>187</v>
      </c>
      <c r="H412" s="1" t="s">
        <v>188</v>
      </c>
      <c r="I412" s="31">
        <v>45983</v>
      </c>
      <c r="J412" s="1" t="s">
        <v>189</v>
      </c>
      <c r="K412" s="1" t="s">
        <v>37</v>
      </c>
      <c r="L412" s="1" t="s">
        <v>190</v>
      </c>
      <c r="M412" s="2" t="s">
        <v>1305</v>
      </c>
      <c r="N412" s="31">
        <v>45868</v>
      </c>
    </row>
    <row r="413" spans="1:14" x14ac:dyDescent="0.25">
      <c r="A413" s="29">
        <v>412</v>
      </c>
      <c r="B413" s="1" t="s">
        <v>192</v>
      </c>
      <c r="C413" s="31">
        <v>45826</v>
      </c>
      <c r="D413" s="1" t="s">
        <v>193</v>
      </c>
      <c r="E413" s="13" t="s">
        <v>1306</v>
      </c>
      <c r="F413" s="1" t="s">
        <v>89</v>
      </c>
      <c r="G413" s="1" t="s">
        <v>195</v>
      </c>
      <c r="H413" s="1" t="s">
        <v>196</v>
      </c>
      <c r="I413" s="31">
        <v>45840</v>
      </c>
      <c r="J413" s="1" t="s">
        <v>197</v>
      </c>
      <c r="K413" s="1" t="s">
        <v>37</v>
      </c>
      <c r="L413" s="1" t="s">
        <v>198</v>
      </c>
      <c r="M413" s="2" t="s">
        <v>1307</v>
      </c>
      <c r="N413" s="31">
        <v>45858</v>
      </c>
    </row>
    <row r="414" spans="1:14" x14ac:dyDescent="0.25">
      <c r="A414" s="29">
        <v>413</v>
      </c>
      <c r="B414" s="1" t="s">
        <v>48</v>
      </c>
      <c r="C414" s="31">
        <v>45782</v>
      </c>
      <c r="D414" s="1" t="s">
        <v>132</v>
      </c>
      <c r="E414" s="13" t="s">
        <v>1308</v>
      </c>
      <c r="F414" s="1" t="s">
        <v>33</v>
      </c>
      <c r="G414" s="1" t="s">
        <v>201</v>
      </c>
      <c r="H414" s="1" t="s">
        <v>202</v>
      </c>
      <c r="I414" s="31">
        <v>45787</v>
      </c>
      <c r="J414" s="1" t="s">
        <v>92</v>
      </c>
      <c r="K414" s="1" t="s">
        <v>37</v>
      </c>
      <c r="L414" s="1" t="s">
        <v>203</v>
      </c>
      <c r="M414" s="2" t="s">
        <v>1309</v>
      </c>
      <c r="N414" s="31">
        <v>45852</v>
      </c>
    </row>
    <row r="415" spans="1:14" x14ac:dyDescent="0.25">
      <c r="A415" s="29">
        <v>414</v>
      </c>
      <c r="B415" s="1" t="s">
        <v>205</v>
      </c>
      <c r="C415" s="31">
        <v>45754</v>
      </c>
      <c r="D415" s="1" t="s">
        <v>206</v>
      </c>
      <c r="E415" s="13" t="s">
        <v>1310</v>
      </c>
      <c r="F415" s="1" t="s">
        <v>89</v>
      </c>
      <c r="G415" s="1" t="s">
        <v>208</v>
      </c>
      <c r="H415" s="1" t="s">
        <v>196</v>
      </c>
      <c r="I415" s="31">
        <v>45765</v>
      </c>
      <c r="J415" s="1" t="s">
        <v>209</v>
      </c>
      <c r="K415" s="1" t="s">
        <v>37</v>
      </c>
      <c r="L415" s="1" t="s">
        <v>210</v>
      </c>
      <c r="M415" s="2" t="s">
        <v>1311</v>
      </c>
      <c r="N415" s="31">
        <v>45855</v>
      </c>
    </row>
    <row r="416" spans="1:14" x14ac:dyDescent="0.25">
      <c r="A416" s="29">
        <v>415</v>
      </c>
      <c r="B416" s="1" t="s">
        <v>212</v>
      </c>
      <c r="C416" s="31">
        <v>45951</v>
      </c>
      <c r="D416" s="1" t="s">
        <v>185</v>
      </c>
      <c r="E416" s="13" t="s">
        <v>1312</v>
      </c>
      <c r="F416" s="1" t="s">
        <v>89</v>
      </c>
      <c r="G416" s="1" t="s">
        <v>172</v>
      </c>
      <c r="H416" s="1" t="s">
        <v>173</v>
      </c>
      <c r="I416" s="31">
        <v>46031</v>
      </c>
      <c r="J416" s="1" t="s">
        <v>214</v>
      </c>
      <c r="K416" s="1" t="s">
        <v>37</v>
      </c>
      <c r="L416" s="1" t="s">
        <v>215</v>
      </c>
      <c r="M416" s="2" t="s">
        <v>1313</v>
      </c>
      <c r="N416" s="31">
        <v>45880</v>
      </c>
    </row>
    <row r="417" spans="1:14" x14ac:dyDescent="0.25">
      <c r="A417" s="29">
        <v>416</v>
      </c>
      <c r="B417" s="1" t="s">
        <v>217</v>
      </c>
      <c r="C417" s="31">
        <v>45804</v>
      </c>
      <c r="D417" s="1" t="s">
        <v>218</v>
      </c>
      <c r="E417" s="13" t="s">
        <v>1314</v>
      </c>
      <c r="F417" s="1" t="s">
        <v>89</v>
      </c>
      <c r="G417" s="1" t="s">
        <v>220</v>
      </c>
      <c r="H417" s="1" t="s">
        <v>67</v>
      </c>
      <c r="I417" s="31">
        <v>45918</v>
      </c>
      <c r="J417" s="1" t="s">
        <v>221</v>
      </c>
      <c r="K417" s="1" t="s">
        <v>37</v>
      </c>
      <c r="L417" s="1" t="s">
        <v>222</v>
      </c>
      <c r="M417" s="2" t="s">
        <v>1315</v>
      </c>
      <c r="N417" s="31">
        <v>45859</v>
      </c>
    </row>
    <row r="418" spans="1:14" x14ac:dyDescent="0.25">
      <c r="A418" s="29">
        <v>417</v>
      </c>
      <c r="B418" s="1" t="s">
        <v>224</v>
      </c>
      <c r="C418" s="31">
        <v>45908</v>
      </c>
      <c r="D418" s="1" t="s">
        <v>225</v>
      </c>
      <c r="E418" s="13" t="s">
        <v>1316</v>
      </c>
      <c r="F418" s="1" t="s">
        <v>33</v>
      </c>
      <c r="G418" s="1" t="s">
        <v>227</v>
      </c>
      <c r="H418" s="1" t="s">
        <v>228</v>
      </c>
      <c r="I418" s="31">
        <v>45915</v>
      </c>
      <c r="J418" s="1" t="s">
        <v>229</v>
      </c>
      <c r="K418" s="1" t="s">
        <v>37</v>
      </c>
      <c r="L418" s="1" t="s">
        <v>230</v>
      </c>
      <c r="M418" s="2" t="s">
        <v>1317</v>
      </c>
      <c r="N418" s="31">
        <v>45842</v>
      </c>
    </row>
    <row r="419" spans="1:14" x14ac:dyDescent="0.25">
      <c r="A419" s="29">
        <v>418</v>
      </c>
      <c r="B419" s="1" t="s">
        <v>232</v>
      </c>
      <c r="C419" s="31">
        <v>45692</v>
      </c>
      <c r="D419" s="1" t="s">
        <v>233</v>
      </c>
      <c r="E419" s="13" t="s">
        <v>1318</v>
      </c>
      <c r="F419" s="1" t="s">
        <v>33</v>
      </c>
      <c r="G419" s="1" t="s">
        <v>156</v>
      </c>
      <c r="H419" s="1" t="s">
        <v>235</v>
      </c>
      <c r="I419" s="31">
        <v>45717</v>
      </c>
      <c r="J419" s="1" t="s">
        <v>236</v>
      </c>
      <c r="K419" s="1" t="s">
        <v>37</v>
      </c>
      <c r="L419" s="1" t="s">
        <v>237</v>
      </c>
      <c r="M419" s="2" t="s">
        <v>1319</v>
      </c>
      <c r="N419" s="31">
        <v>45886</v>
      </c>
    </row>
    <row r="420" spans="1:14" x14ac:dyDescent="0.25">
      <c r="A420" s="29">
        <v>419</v>
      </c>
      <c r="B420" s="1" t="s">
        <v>239</v>
      </c>
      <c r="C420" s="31">
        <v>45695</v>
      </c>
      <c r="D420" s="1" t="s">
        <v>240</v>
      </c>
      <c r="E420" s="13" t="s">
        <v>1320</v>
      </c>
      <c r="F420" s="1" t="s">
        <v>89</v>
      </c>
      <c r="G420" s="1" t="s">
        <v>105</v>
      </c>
      <c r="H420" s="1" t="s">
        <v>242</v>
      </c>
      <c r="I420" s="31">
        <v>45747</v>
      </c>
      <c r="J420" s="1" t="s">
        <v>243</v>
      </c>
      <c r="K420" s="1" t="s">
        <v>37</v>
      </c>
      <c r="L420" s="1" t="s">
        <v>244</v>
      </c>
      <c r="M420" s="2" t="s">
        <v>1321</v>
      </c>
      <c r="N420" s="31">
        <v>45892</v>
      </c>
    </row>
    <row r="421" spans="1:14" x14ac:dyDescent="0.25">
      <c r="A421" s="29">
        <v>420</v>
      </c>
      <c r="B421" s="1" t="s">
        <v>48</v>
      </c>
      <c r="C421" s="31">
        <v>45833</v>
      </c>
      <c r="D421" s="1" t="s">
        <v>246</v>
      </c>
      <c r="E421" s="13" t="s">
        <v>1322</v>
      </c>
      <c r="F421" s="1" t="s">
        <v>33</v>
      </c>
      <c r="G421" s="1" t="s">
        <v>248</v>
      </c>
      <c r="H421" s="1" t="s">
        <v>134</v>
      </c>
      <c r="I421" s="31">
        <v>45856</v>
      </c>
      <c r="J421" s="1" t="s">
        <v>249</v>
      </c>
      <c r="K421" s="1" t="s">
        <v>37</v>
      </c>
      <c r="L421" s="1" t="s">
        <v>250</v>
      </c>
      <c r="M421" s="2" t="s">
        <v>1323</v>
      </c>
      <c r="N421" s="31">
        <v>45893</v>
      </c>
    </row>
    <row r="422" spans="1:14" x14ac:dyDescent="0.25">
      <c r="A422" s="29">
        <v>421</v>
      </c>
      <c r="B422" s="1" t="s">
        <v>252</v>
      </c>
      <c r="C422" s="31">
        <v>45812</v>
      </c>
      <c r="D422" s="1" t="s">
        <v>253</v>
      </c>
      <c r="E422" s="13" t="s">
        <v>1324</v>
      </c>
      <c r="F422" s="1" t="s">
        <v>33</v>
      </c>
      <c r="G422" s="1" t="s">
        <v>255</v>
      </c>
      <c r="H422" s="1" t="s">
        <v>256</v>
      </c>
      <c r="I422" s="31">
        <v>45931</v>
      </c>
      <c r="J422" s="1" t="s">
        <v>257</v>
      </c>
      <c r="K422" s="1" t="s">
        <v>37</v>
      </c>
      <c r="L422" s="1" t="s">
        <v>258</v>
      </c>
      <c r="M422" s="2" t="s">
        <v>1325</v>
      </c>
      <c r="N422" s="31">
        <v>45877</v>
      </c>
    </row>
    <row r="423" spans="1:14" x14ac:dyDescent="0.25">
      <c r="A423" s="29">
        <v>422</v>
      </c>
      <c r="B423" s="1" t="s">
        <v>110</v>
      </c>
      <c r="C423" s="31">
        <v>45833</v>
      </c>
      <c r="D423" s="1" t="s">
        <v>260</v>
      </c>
      <c r="E423" s="13" t="s">
        <v>1326</v>
      </c>
      <c r="F423" s="1" t="s">
        <v>89</v>
      </c>
      <c r="G423" s="1" t="s">
        <v>113</v>
      </c>
      <c r="H423" s="1" t="s">
        <v>262</v>
      </c>
      <c r="I423" s="31">
        <v>45935</v>
      </c>
      <c r="J423" s="1" t="s">
        <v>263</v>
      </c>
      <c r="K423" s="1" t="s">
        <v>37</v>
      </c>
      <c r="L423" s="1" t="s">
        <v>264</v>
      </c>
      <c r="M423" s="2" t="s">
        <v>1327</v>
      </c>
      <c r="N423" s="31">
        <v>45848</v>
      </c>
    </row>
    <row r="424" spans="1:14" x14ac:dyDescent="0.25">
      <c r="A424" s="29">
        <v>423</v>
      </c>
      <c r="B424" s="1" t="s">
        <v>266</v>
      </c>
      <c r="C424" s="31">
        <v>45834</v>
      </c>
      <c r="D424" s="1" t="s">
        <v>267</v>
      </c>
      <c r="E424" s="13" t="s">
        <v>1328</v>
      </c>
      <c r="F424" s="1" t="s">
        <v>89</v>
      </c>
      <c r="G424" s="1" t="s">
        <v>269</v>
      </c>
      <c r="H424" s="1" t="s">
        <v>270</v>
      </c>
      <c r="I424" s="31">
        <v>45866</v>
      </c>
      <c r="J424" s="1" t="s">
        <v>271</v>
      </c>
      <c r="K424" s="1" t="s">
        <v>37</v>
      </c>
      <c r="L424" s="1" t="s">
        <v>272</v>
      </c>
      <c r="M424" s="2" t="s">
        <v>1329</v>
      </c>
      <c r="N424" s="31">
        <v>45881</v>
      </c>
    </row>
    <row r="425" spans="1:14" x14ac:dyDescent="0.25">
      <c r="A425" s="29">
        <v>424</v>
      </c>
      <c r="B425" s="1" t="s">
        <v>274</v>
      </c>
      <c r="C425" s="31">
        <v>45787</v>
      </c>
      <c r="D425" s="1" t="s">
        <v>154</v>
      </c>
      <c r="E425" s="13" t="s">
        <v>1330</v>
      </c>
      <c r="F425" s="1" t="s">
        <v>89</v>
      </c>
      <c r="G425" s="1" t="s">
        <v>66</v>
      </c>
      <c r="H425" s="1" t="s">
        <v>82</v>
      </c>
      <c r="I425" s="31">
        <v>45833</v>
      </c>
      <c r="J425" s="1" t="s">
        <v>276</v>
      </c>
      <c r="K425" s="1" t="s">
        <v>37</v>
      </c>
      <c r="L425" s="1" t="s">
        <v>277</v>
      </c>
      <c r="M425" s="2" t="s">
        <v>1331</v>
      </c>
      <c r="N425" s="31">
        <v>45878</v>
      </c>
    </row>
    <row r="426" spans="1:14" x14ac:dyDescent="0.25">
      <c r="A426" s="29">
        <v>425</v>
      </c>
      <c r="B426" s="1" t="s">
        <v>279</v>
      </c>
      <c r="C426" s="31">
        <v>45667</v>
      </c>
      <c r="D426" s="1" t="s">
        <v>233</v>
      </c>
      <c r="E426" s="13" t="s">
        <v>1332</v>
      </c>
      <c r="F426" s="1" t="s">
        <v>89</v>
      </c>
      <c r="G426" s="1" t="s">
        <v>105</v>
      </c>
      <c r="H426" s="1" t="s">
        <v>256</v>
      </c>
      <c r="I426" s="31">
        <v>45721</v>
      </c>
      <c r="J426" s="1" t="s">
        <v>281</v>
      </c>
      <c r="K426" s="1" t="s">
        <v>37</v>
      </c>
      <c r="L426" s="1" t="s">
        <v>282</v>
      </c>
      <c r="M426" s="2" t="s">
        <v>1333</v>
      </c>
      <c r="N426" s="31">
        <v>45877</v>
      </c>
    </row>
    <row r="427" spans="1:14" x14ac:dyDescent="0.25">
      <c r="A427" s="29">
        <v>426</v>
      </c>
      <c r="B427" s="1" t="s">
        <v>284</v>
      </c>
      <c r="C427" s="31">
        <v>45956</v>
      </c>
      <c r="D427" s="1" t="s">
        <v>285</v>
      </c>
      <c r="E427" s="13" t="s">
        <v>1334</v>
      </c>
      <c r="F427" s="1" t="s">
        <v>33</v>
      </c>
      <c r="G427" s="1" t="s">
        <v>287</v>
      </c>
      <c r="H427" s="1" t="s">
        <v>288</v>
      </c>
      <c r="I427" s="31">
        <v>45962</v>
      </c>
      <c r="J427" s="1" t="s">
        <v>289</v>
      </c>
      <c r="K427" s="1" t="s">
        <v>37</v>
      </c>
      <c r="L427" s="1" t="s">
        <v>290</v>
      </c>
      <c r="M427" s="2" t="s">
        <v>1335</v>
      </c>
      <c r="N427" s="31">
        <v>45864</v>
      </c>
    </row>
    <row r="428" spans="1:14" x14ac:dyDescent="0.25">
      <c r="A428" s="29">
        <v>427</v>
      </c>
      <c r="B428" s="1" t="s">
        <v>177</v>
      </c>
      <c r="C428" s="31">
        <v>45901</v>
      </c>
      <c r="D428" s="1" t="s">
        <v>292</v>
      </c>
      <c r="E428" s="13" t="s">
        <v>1336</v>
      </c>
      <c r="F428" s="1" t="s">
        <v>89</v>
      </c>
      <c r="G428" s="1" t="s">
        <v>66</v>
      </c>
      <c r="H428" s="1" t="s">
        <v>67</v>
      </c>
      <c r="I428" s="31">
        <v>45941</v>
      </c>
      <c r="J428" s="1" t="s">
        <v>294</v>
      </c>
      <c r="K428" s="1" t="s">
        <v>37</v>
      </c>
      <c r="L428" s="1" t="s">
        <v>295</v>
      </c>
      <c r="M428" s="2" t="s">
        <v>1337</v>
      </c>
      <c r="N428" s="31">
        <v>45857</v>
      </c>
    </row>
    <row r="429" spans="1:14" x14ac:dyDescent="0.25">
      <c r="A429" s="29">
        <v>428</v>
      </c>
      <c r="B429" s="1" t="s">
        <v>131</v>
      </c>
      <c r="C429" s="31">
        <v>45860</v>
      </c>
      <c r="D429" s="1" t="s">
        <v>297</v>
      </c>
      <c r="E429" s="13" t="s">
        <v>1338</v>
      </c>
      <c r="F429" s="1" t="s">
        <v>89</v>
      </c>
      <c r="G429" s="1" t="s">
        <v>34</v>
      </c>
      <c r="H429" s="1" t="s">
        <v>299</v>
      </c>
      <c r="I429" s="31">
        <v>45905</v>
      </c>
      <c r="J429" s="1" t="s">
        <v>300</v>
      </c>
      <c r="K429" s="1" t="s">
        <v>37</v>
      </c>
      <c r="L429" s="1" t="s">
        <v>301</v>
      </c>
      <c r="M429" s="2" t="s">
        <v>1339</v>
      </c>
      <c r="N429" s="31">
        <v>45844</v>
      </c>
    </row>
    <row r="430" spans="1:14" x14ac:dyDescent="0.25">
      <c r="A430" s="29">
        <v>429</v>
      </c>
      <c r="B430" s="1" t="s">
        <v>303</v>
      </c>
      <c r="C430" s="31">
        <v>45828</v>
      </c>
      <c r="D430" s="1" t="s">
        <v>111</v>
      </c>
      <c r="E430" s="13" t="s">
        <v>1340</v>
      </c>
      <c r="F430" s="1" t="s">
        <v>33</v>
      </c>
      <c r="G430" s="1" t="s">
        <v>34</v>
      </c>
      <c r="H430" s="1" t="s">
        <v>134</v>
      </c>
      <c r="I430" s="31">
        <v>45872</v>
      </c>
      <c r="J430" s="1" t="s">
        <v>305</v>
      </c>
      <c r="K430" s="1" t="s">
        <v>37</v>
      </c>
      <c r="L430" s="1" t="s">
        <v>306</v>
      </c>
      <c r="M430" s="2" t="s">
        <v>1341</v>
      </c>
      <c r="N430" s="31">
        <v>45864</v>
      </c>
    </row>
    <row r="431" spans="1:14" x14ac:dyDescent="0.25">
      <c r="A431" s="29">
        <v>430</v>
      </c>
      <c r="B431" s="1" t="s">
        <v>274</v>
      </c>
      <c r="C431" s="31">
        <v>45775</v>
      </c>
      <c r="D431" s="1" t="s">
        <v>308</v>
      </c>
      <c r="E431" s="13" t="s">
        <v>1342</v>
      </c>
      <c r="F431" s="1" t="s">
        <v>89</v>
      </c>
      <c r="G431" s="1" t="s">
        <v>310</v>
      </c>
      <c r="H431" s="1" t="s">
        <v>311</v>
      </c>
      <c r="I431" s="31">
        <v>45873</v>
      </c>
      <c r="J431" s="1" t="s">
        <v>150</v>
      </c>
      <c r="K431" s="1" t="s">
        <v>37</v>
      </c>
      <c r="L431" s="1" t="s">
        <v>312</v>
      </c>
      <c r="M431" s="2" t="s">
        <v>1343</v>
      </c>
      <c r="N431" s="31">
        <v>45840</v>
      </c>
    </row>
    <row r="432" spans="1:14" x14ac:dyDescent="0.25">
      <c r="A432" s="29">
        <v>431</v>
      </c>
      <c r="B432" s="1" t="s">
        <v>314</v>
      </c>
      <c r="C432" s="31">
        <v>45733</v>
      </c>
      <c r="D432" s="1" t="s">
        <v>246</v>
      </c>
      <c r="E432" s="13" t="s">
        <v>1344</v>
      </c>
      <c r="F432" s="1" t="s">
        <v>89</v>
      </c>
      <c r="G432" s="1" t="s">
        <v>316</v>
      </c>
      <c r="H432" s="1" t="s">
        <v>317</v>
      </c>
      <c r="I432" s="31">
        <v>45786</v>
      </c>
      <c r="J432" s="1" t="s">
        <v>318</v>
      </c>
      <c r="K432" s="1" t="s">
        <v>37</v>
      </c>
      <c r="L432" s="1" t="s">
        <v>319</v>
      </c>
      <c r="M432" s="2" t="s">
        <v>1345</v>
      </c>
      <c r="N432" s="31">
        <v>45868</v>
      </c>
    </row>
    <row r="433" spans="1:14" x14ac:dyDescent="0.25">
      <c r="A433" s="29">
        <v>432</v>
      </c>
      <c r="B433" s="1" t="s">
        <v>103</v>
      </c>
      <c r="C433" s="31">
        <v>45813</v>
      </c>
      <c r="D433" s="1" t="s">
        <v>72</v>
      </c>
      <c r="E433" s="13" t="s">
        <v>1346</v>
      </c>
      <c r="F433" s="1" t="s">
        <v>33</v>
      </c>
      <c r="G433" s="1" t="s">
        <v>105</v>
      </c>
      <c r="H433" s="1" t="s">
        <v>242</v>
      </c>
      <c r="I433" s="31">
        <v>45881</v>
      </c>
      <c r="J433" s="1" t="s">
        <v>322</v>
      </c>
      <c r="K433" s="1" t="s">
        <v>37</v>
      </c>
      <c r="L433" s="1" t="s">
        <v>323</v>
      </c>
      <c r="M433" s="2" t="s">
        <v>1347</v>
      </c>
      <c r="N433" s="31">
        <v>45849</v>
      </c>
    </row>
    <row r="434" spans="1:14" x14ac:dyDescent="0.25">
      <c r="A434" s="29">
        <v>433</v>
      </c>
      <c r="B434" s="1" t="s">
        <v>325</v>
      </c>
      <c r="C434" s="31">
        <v>45884</v>
      </c>
      <c r="D434" s="1" t="s">
        <v>326</v>
      </c>
      <c r="E434" s="13" t="s">
        <v>1348</v>
      </c>
      <c r="F434" s="1" t="s">
        <v>89</v>
      </c>
      <c r="G434" s="1" t="s">
        <v>179</v>
      </c>
      <c r="H434" s="1" t="s">
        <v>82</v>
      </c>
      <c r="I434" s="31">
        <v>45929</v>
      </c>
      <c r="J434" s="1" t="s">
        <v>328</v>
      </c>
      <c r="K434" s="1" t="s">
        <v>37</v>
      </c>
      <c r="L434" s="1" t="s">
        <v>329</v>
      </c>
      <c r="M434" s="2" t="s">
        <v>1349</v>
      </c>
      <c r="N434" s="31">
        <v>45855</v>
      </c>
    </row>
    <row r="435" spans="1:14" x14ac:dyDescent="0.25">
      <c r="A435" s="29">
        <v>434</v>
      </c>
      <c r="B435" s="1" t="s">
        <v>331</v>
      </c>
      <c r="C435" s="31">
        <v>45922</v>
      </c>
      <c r="D435" s="1" t="s">
        <v>332</v>
      </c>
      <c r="E435" s="13" t="s">
        <v>1350</v>
      </c>
      <c r="F435" s="1" t="s">
        <v>89</v>
      </c>
      <c r="G435" s="1" t="s">
        <v>58</v>
      </c>
      <c r="H435" s="1" t="s">
        <v>127</v>
      </c>
      <c r="I435" s="31">
        <v>46024</v>
      </c>
      <c r="J435" s="1" t="s">
        <v>257</v>
      </c>
      <c r="K435" s="1" t="s">
        <v>37</v>
      </c>
      <c r="L435" s="1" t="s">
        <v>334</v>
      </c>
      <c r="M435" s="2" t="s">
        <v>1351</v>
      </c>
      <c r="N435" s="31">
        <v>45879</v>
      </c>
    </row>
    <row r="436" spans="1:14" x14ac:dyDescent="0.25">
      <c r="A436" s="29">
        <v>435</v>
      </c>
      <c r="B436" s="1" t="s">
        <v>86</v>
      </c>
      <c r="C436" s="31">
        <v>45768</v>
      </c>
      <c r="D436" s="1" t="s">
        <v>292</v>
      </c>
      <c r="E436" s="13" t="s">
        <v>1352</v>
      </c>
      <c r="F436" s="1" t="s">
        <v>89</v>
      </c>
      <c r="G436" s="1" t="s">
        <v>337</v>
      </c>
      <c r="H436" s="1" t="s">
        <v>91</v>
      </c>
      <c r="I436" s="31">
        <v>45776</v>
      </c>
      <c r="J436" s="1" t="s">
        <v>181</v>
      </c>
      <c r="K436" s="1" t="s">
        <v>37</v>
      </c>
      <c r="L436" s="1" t="s">
        <v>338</v>
      </c>
      <c r="M436" s="2" t="s">
        <v>1353</v>
      </c>
      <c r="N436" s="31">
        <v>45897</v>
      </c>
    </row>
    <row r="437" spans="1:14" x14ac:dyDescent="0.25">
      <c r="A437" s="29">
        <v>436</v>
      </c>
      <c r="B437" s="1" t="s">
        <v>169</v>
      </c>
      <c r="C437" s="31">
        <v>45957</v>
      </c>
      <c r="D437" s="1" t="s">
        <v>340</v>
      </c>
      <c r="E437" s="13" t="s">
        <v>1354</v>
      </c>
      <c r="F437" s="1" t="s">
        <v>33</v>
      </c>
      <c r="G437" s="1" t="s">
        <v>58</v>
      </c>
      <c r="H437" s="1" t="s">
        <v>91</v>
      </c>
      <c r="I437" s="31">
        <v>45976</v>
      </c>
      <c r="J437" s="1" t="s">
        <v>342</v>
      </c>
      <c r="K437" s="1" t="s">
        <v>37</v>
      </c>
      <c r="L437" s="1" t="s">
        <v>343</v>
      </c>
      <c r="M437" s="2" t="s">
        <v>1355</v>
      </c>
      <c r="N437" s="31">
        <v>45839</v>
      </c>
    </row>
    <row r="438" spans="1:14" x14ac:dyDescent="0.25">
      <c r="A438" s="29">
        <v>437</v>
      </c>
      <c r="B438" s="1" t="s">
        <v>40</v>
      </c>
      <c r="C438" s="31">
        <v>45849</v>
      </c>
      <c r="D438" s="1" t="s">
        <v>79</v>
      </c>
      <c r="E438" s="13" t="s">
        <v>1356</v>
      </c>
      <c r="F438" s="1" t="s">
        <v>33</v>
      </c>
      <c r="G438" s="1" t="s">
        <v>346</v>
      </c>
      <c r="H438" s="1" t="s">
        <v>59</v>
      </c>
      <c r="I438" s="31">
        <v>45956</v>
      </c>
      <c r="J438" s="1" t="s">
        <v>347</v>
      </c>
      <c r="K438" s="1" t="s">
        <v>37</v>
      </c>
      <c r="L438" s="1" t="s">
        <v>348</v>
      </c>
      <c r="M438" s="2" t="s">
        <v>1357</v>
      </c>
      <c r="N438" s="31">
        <v>45893</v>
      </c>
    </row>
    <row r="439" spans="1:14" x14ac:dyDescent="0.25">
      <c r="A439" s="29">
        <v>438</v>
      </c>
      <c r="B439" s="1" t="s">
        <v>350</v>
      </c>
      <c r="C439" s="31">
        <v>45704</v>
      </c>
      <c r="D439" s="1" t="s">
        <v>351</v>
      </c>
      <c r="E439" s="13" t="s">
        <v>1358</v>
      </c>
      <c r="F439" s="1" t="s">
        <v>89</v>
      </c>
      <c r="G439" s="1" t="s">
        <v>353</v>
      </c>
      <c r="H439" s="1" t="s">
        <v>82</v>
      </c>
      <c r="I439" s="31">
        <v>45773</v>
      </c>
      <c r="J439" s="1" t="s">
        <v>354</v>
      </c>
      <c r="K439" s="1" t="s">
        <v>37</v>
      </c>
      <c r="L439" s="1" t="s">
        <v>355</v>
      </c>
      <c r="M439" s="2" t="s">
        <v>1359</v>
      </c>
      <c r="N439" s="31">
        <v>45881</v>
      </c>
    </row>
    <row r="440" spans="1:14" x14ac:dyDescent="0.25">
      <c r="A440" s="29">
        <v>439</v>
      </c>
      <c r="B440" s="1" t="s">
        <v>357</v>
      </c>
      <c r="C440" s="31">
        <v>45702</v>
      </c>
      <c r="D440" s="1" t="s">
        <v>87</v>
      </c>
      <c r="E440" s="13" t="s">
        <v>1360</v>
      </c>
      <c r="F440" s="1" t="s">
        <v>89</v>
      </c>
      <c r="G440" s="1" t="s">
        <v>105</v>
      </c>
      <c r="H440" s="1" t="s">
        <v>359</v>
      </c>
      <c r="I440" s="31">
        <v>45741</v>
      </c>
      <c r="J440" s="1" t="s">
        <v>360</v>
      </c>
      <c r="K440" s="1" t="s">
        <v>37</v>
      </c>
      <c r="L440" s="1" t="s">
        <v>361</v>
      </c>
      <c r="M440" s="2" t="s">
        <v>1361</v>
      </c>
      <c r="N440" s="31">
        <v>45862</v>
      </c>
    </row>
    <row r="441" spans="1:14" x14ac:dyDescent="0.25">
      <c r="A441" s="29">
        <v>440</v>
      </c>
      <c r="B441" s="1" t="s">
        <v>177</v>
      </c>
      <c r="C441" s="31">
        <v>45917</v>
      </c>
      <c r="D441" s="1" t="s">
        <v>363</v>
      </c>
      <c r="E441" s="13" t="s">
        <v>1362</v>
      </c>
      <c r="F441" s="1" t="s">
        <v>89</v>
      </c>
      <c r="G441" s="1" t="s">
        <v>365</v>
      </c>
      <c r="H441" s="1" t="s">
        <v>366</v>
      </c>
      <c r="I441" s="31">
        <v>45969</v>
      </c>
      <c r="J441" s="1" t="s">
        <v>342</v>
      </c>
      <c r="K441" s="1" t="s">
        <v>37</v>
      </c>
      <c r="L441" s="1" t="s">
        <v>367</v>
      </c>
      <c r="M441" s="2" t="s">
        <v>1363</v>
      </c>
      <c r="N441" s="31">
        <v>45886</v>
      </c>
    </row>
    <row r="442" spans="1:14" x14ac:dyDescent="0.25">
      <c r="A442" s="29">
        <v>441</v>
      </c>
      <c r="B442" s="1" t="s">
        <v>30</v>
      </c>
      <c r="C442" s="31">
        <v>45671</v>
      </c>
      <c r="D442" s="1" t="s">
        <v>369</v>
      </c>
      <c r="E442" s="13" t="s">
        <v>1364</v>
      </c>
      <c r="F442" s="1" t="s">
        <v>33</v>
      </c>
      <c r="G442" s="1" t="s">
        <v>201</v>
      </c>
      <c r="H442" s="1" t="s">
        <v>202</v>
      </c>
      <c r="I442" s="31">
        <v>45780</v>
      </c>
      <c r="J442" s="1" t="s">
        <v>371</v>
      </c>
      <c r="K442" s="1" t="s">
        <v>37</v>
      </c>
      <c r="L442" s="1" t="s">
        <v>372</v>
      </c>
      <c r="M442" s="2" t="s">
        <v>1365</v>
      </c>
      <c r="N442" s="31">
        <v>45866</v>
      </c>
    </row>
    <row r="443" spans="1:14" x14ac:dyDescent="0.25">
      <c r="A443" s="29">
        <v>442</v>
      </c>
      <c r="B443" s="1" t="s">
        <v>266</v>
      </c>
      <c r="C443" s="31">
        <v>45800</v>
      </c>
      <c r="D443" s="1" t="s">
        <v>374</v>
      </c>
      <c r="E443" s="13" t="s">
        <v>1366</v>
      </c>
      <c r="F443" s="1" t="s">
        <v>89</v>
      </c>
      <c r="G443" s="1" t="s">
        <v>269</v>
      </c>
      <c r="H443" s="1" t="s">
        <v>376</v>
      </c>
      <c r="I443" s="31">
        <v>45822</v>
      </c>
      <c r="J443" s="1" t="s">
        <v>377</v>
      </c>
      <c r="K443" s="1" t="s">
        <v>37</v>
      </c>
      <c r="L443" s="1" t="s">
        <v>378</v>
      </c>
      <c r="M443" s="2" t="s">
        <v>1367</v>
      </c>
      <c r="N443" s="31">
        <v>45851</v>
      </c>
    </row>
    <row r="444" spans="1:14" x14ac:dyDescent="0.25">
      <c r="A444" s="29">
        <v>443</v>
      </c>
      <c r="B444" s="1" t="s">
        <v>380</v>
      </c>
      <c r="C444" s="31">
        <v>45932</v>
      </c>
      <c r="D444" s="1" t="s">
        <v>297</v>
      </c>
      <c r="E444" s="13" t="s">
        <v>1368</v>
      </c>
      <c r="F444" s="1" t="s">
        <v>33</v>
      </c>
      <c r="G444" s="1" t="s">
        <v>382</v>
      </c>
      <c r="H444" s="1" t="s">
        <v>383</v>
      </c>
      <c r="I444" s="31">
        <v>45950</v>
      </c>
      <c r="J444" s="1" t="s">
        <v>318</v>
      </c>
      <c r="K444" s="1" t="s">
        <v>37</v>
      </c>
      <c r="L444" s="1" t="s">
        <v>384</v>
      </c>
      <c r="M444" s="2" t="s">
        <v>1369</v>
      </c>
      <c r="N444" s="31">
        <v>45885</v>
      </c>
    </row>
    <row r="445" spans="1:14" x14ac:dyDescent="0.25">
      <c r="A445" s="29">
        <v>444</v>
      </c>
      <c r="B445" s="1" t="s">
        <v>386</v>
      </c>
      <c r="C445" s="31">
        <v>45775</v>
      </c>
      <c r="D445" s="1" t="s">
        <v>387</v>
      </c>
      <c r="E445" s="13" t="s">
        <v>1370</v>
      </c>
      <c r="F445" s="1" t="s">
        <v>33</v>
      </c>
      <c r="G445" s="1" t="s">
        <v>382</v>
      </c>
      <c r="H445" s="1" t="s">
        <v>383</v>
      </c>
      <c r="I445" s="31">
        <v>45864</v>
      </c>
      <c r="J445" s="1" t="s">
        <v>114</v>
      </c>
      <c r="K445" s="1" t="s">
        <v>37</v>
      </c>
      <c r="L445" s="1" t="s">
        <v>389</v>
      </c>
      <c r="M445" s="2" t="s">
        <v>1371</v>
      </c>
      <c r="N445" s="31">
        <v>45897</v>
      </c>
    </row>
    <row r="446" spans="1:14" x14ac:dyDescent="0.25">
      <c r="A446" s="29">
        <v>445</v>
      </c>
      <c r="B446" s="1" t="s">
        <v>125</v>
      </c>
      <c r="C446" s="31">
        <v>45942</v>
      </c>
      <c r="D446" s="1" t="s">
        <v>391</v>
      </c>
      <c r="E446" s="13" t="s">
        <v>1372</v>
      </c>
      <c r="F446" s="1" t="s">
        <v>33</v>
      </c>
      <c r="G446" s="1" t="s">
        <v>172</v>
      </c>
      <c r="H446" s="1" t="s">
        <v>393</v>
      </c>
      <c r="I446" s="31">
        <v>45975</v>
      </c>
      <c r="J446" s="1" t="s">
        <v>394</v>
      </c>
      <c r="K446" s="1" t="s">
        <v>37</v>
      </c>
      <c r="L446" s="1" t="s">
        <v>395</v>
      </c>
      <c r="M446" s="2" t="s">
        <v>1373</v>
      </c>
      <c r="N446" s="31">
        <v>45858</v>
      </c>
    </row>
    <row r="447" spans="1:14" x14ac:dyDescent="0.25">
      <c r="A447" s="29">
        <v>446</v>
      </c>
      <c r="B447" s="1" t="s">
        <v>397</v>
      </c>
      <c r="C447" s="31">
        <v>45664</v>
      </c>
      <c r="D447" s="1" t="s">
        <v>154</v>
      </c>
      <c r="E447" s="13" t="s">
        <v>1374</v>
      </c>
      <c r="F447" s="1" t="s">
        <v>89</v>
      </c>
      <c r="G447" s="1" t="s">
        <v>287</v>
      </c>
      <c r="H447" s="1" t="s">
        <v>235</v>
      </c>
      <c r="I447" s="31">
        <v>45725</v>
      </c>
      <c r="J447" s="1" t="s">
        <v>371</v>
      </c>
      <c r="K447" s="1" t="s">
        <v>37</v>
      </c>
      <c r="L447" s="1" t="s">
        <v>399</v>
      </c>
      <c r="M447" s="2" t="s">
        <v>1375</v>
      </c>
      <c r="N447" s="31">
        <v>45859</v>
      </c>
    </row>
    <row r="448" spans="1:14" x14ac:dyDescent="0.25">
      <c r="A448" s="29">
        <v>447</v>
      </c>
      <c r="B448" s="1" t="s">
        <v>401</v>
      </c>
      <c r="C448" s="31">
        <v>45894</v>
      </c>
      <c r="D448" s="1" t="s">
        <v>402</v>
      </c>
      <c r="E448" s="13" t="s">
        <v>1376</v>
      </c>
      <c r="F448" s="1" t="s">
        <v>89</v>
      </c>
      <c r="G448" s="1" t="s">
        <v>404</v>
      </c>
      <c r="H448" s="1" t="s">
        <v>405</v>
      </c>
      <c r="I448" s="31">
        <v>45951</v>
      </c>
      <c r="J448" s="1" t="s">
        <v>181</v>
      </c>
      <c r="K448" s="1" t="s">
        <v>37</v>
      </c>
      <c r="L448" s="1" t="s">
        <v>406</v>
      </c>
      <c r="M448" s="2" t="s">
        <v>1377</v>
      </c>
      <c r="N448" s="31">
        <v>45895</v>
      </c>
    </row>
    <row r="449" spans="1:14" x14ac:dyDescent="0.25">
      <c r="A449" s="29">
        <v>448</v>
      </c>
      <c r="B449" s="1" t="s">
        <v>103</v>
      </c>
      <c r="C449" s="31">
        <v>45891</v>
      </c>
      <c r="D449" s="1" t="s">
        <v>408</v>
      </c>
      <c r="E449" s="13" t="s">
        <v>1378</v>
      </c>
      <c r="F449" s="1" t="s">
        <v>33</v>
      </c>
      <c r="G449" s="1" t="s">
        <v>164</v>
      </c>
      <c r="H449" s="1" t="s">
        <v>106</v>
      </c>
      <c r="I449" s="31">
        <v>45934</v>
      </c>
      <c r="J449" s="1" t="s">
        <v>52</v>
      </c>
      <c r="K449" s="1" t="s">
        <v>37</v>
      </c>
      <c r="L449" s="1" t="s">
        <v>410</v>
      </c>
      <c r="M449" s="2" t="s">
        <v>1379</v>
      </c>
      <c r="N449" s="31">
        <v>45884</v>
      </c>
    </row>
    <row r="450" spans="1:14" x14ac:dyDescent="0.25">
      <c r="A450" s="29">
        <v>449</v>
      </c>
      <c r="B450" s="1" t="s">
        <v>412</v>
      </c>
      <c r="C450" s="31">
        <v>45681</v>
      </c>
      <c r="D450" s="1" t="s">
        <v>162</v>
      </c>
      <c r="E450" s="13" t="s">
        <v>1380</v>
      </c>
      <c r="F450" s="1" t="s">
        <v>33</v>
      </c>
      <c r="G450" s="1" t="s">
        <v>414</v>
      </c>
      <c r="H450" s="1" t="s">
        <v>415</v>
      </c>
      <c r="I450" s="31">
        <v>45731</v>
      </c>
      <c r="J450" s="1" t="s">
        <v>416</v>
      </c>
      <c r="K450" s="1" t="s">
        <v>37</v>
      </c>
      <c r="L450" s="1" t="s">
        <v>417</v>
      </c>
      <c r="M450" s="2" t="s">
        <v>1381</v>
      </c>
      <c r="N450" s="31">
        <v>45857</v>
      </c>
    </row>
    <row r="451" spans="1:14" x14ac:dyDescent="0.25">
      <c r="A451" s="29">
        <v>450</v>
      </c>
      <c r="B451" s="1" t="s">
        <v>419</v>
      </c>
      <c r="C451" s="31">
        <v>45792</v>
      </c>
      <c r="D451" s="1" t="s">
        <v>233</v>
      </c>
      <c r="E451" s="13" t="s">
        <v>1382</v>
      </c>
      <c r="F451" s="1" t="s">
        <v>33</v>
      </c>
      <c r="G451" s="1" t="s">
        <v>365</v>
      </c>
      <c r="H451" s="1" t="s">
        <v>421</v>
      </c>
      <c r="I451" s="31">
        <v>45804</v>
      </c>
      <c r="J451" s="1" t="s">
        <v>422</v>
      </c>
      <c r="K451" s="1" t="s">
        <v>37</v>
      </c>
      <c r="L451" s="1" t="s">
        <v>423</v>
      </c>
      <c r="M451" s="2" t="s">
        <v>1383</v>
      </c>
      <c r="N451" s="31">
        <v>45856</v>
      </c>
    </row>
    <row r="452" spans="1:14" x14ac:dyDescent="0.25">
      <c r="A452" s="29">
        <v>451</v>
      </c>
      <c r="B452" s="1" t="s">
        <v>425</v>
      </c>
      <c r="C452" s="31">
        <v>45720</v>
      </c>
      <c r="D452" s="1" t="s">
        <v>72</v>
      </c>
      <c r="E452" s="13" t="s">
        <v>1384</v>
      </c>
      <c r="F452" s="1" t="s">
        <v>89</v>
      </c>
      <c r="G452" s="1" t="s">
        <v>172</v>
      </c>
      <c r="H452" s="1" t="s">
        <v>427</v>
      </c>
      <c r="I452" s="31">
        <v>45828</v>
      </c>
      <c r="J452" s="1" t="s">
        <v>428</v>
      </c>
      <c r="K452" s="1" t="s">
        <v>37</v>
      </c>
      <c r="L452" s="1" t="s">
        <v>429</v>
      </c>
      <c r="M452" s="2" t="s">
        <v>1385</v>
      </c>
      <c r="N452" s="31">
        <v>45870</v>
      </c>
    </row>
    <row r="453" spans="1:14" x14ac:dyDescent="0.25">
      <c r="A453" s="29">
        <v>452</v>
      </c>
      <c r="B453" s="1" t="s">
        <v>431</v>
      </c>
      <c r="C453" s="31">
        <v>45902</v>
      </c>
      <c r="D453" s="1" t="s">
        <v>432</v>
      </c>
      <c r="E453" s="13" t="s">
        <v>1386</v>
      </c>
      <c r="F453" s="1" t="s">
        <v>33</v>
      </c>
      <c r="G453" s="1" t="s">
        <v>353</v>
      </c>
      <c r="H453" s="1" t="s">
        <v>82</v>
      </c>
      <c r="I453" s="31">
        <v>45948</v>
      </c>
      <c r="J453" s="1" t="s">
        <v>434</v>
      </c>
      <c r="K453" s="1" t="s">
        <v>37</v>
      </c>
      <c r="L453" s="1" t="s">
        <v>435</v>
      </c>
      <c r="M453" s="2" t="s">
        <v>1387</v>
      </c>
      <c r="N453" s="31">
        <v>45885</v>
      </c>
    </row>
    <row r="454" spans="1:14" x14ac:dyDescent="0.25">
      <c r="A454" s="29">
        <v>453</v>
      </c>
      <c r="B454" s="1" t="s">
        <v>437</v>
      </c>
      <c r="C454" s="31">
        <v>45772</v>
      </c>
      <c r="D454" s="1" t="s">
        <v>438</v>
      </c>
      <c r="E454" s="13" t="s">
        <v>1388</v>
      </c>
      <c r="F454" s="1" t="s">
        <v>89</v>
      </c>
      <c r="G454" s="1" t="s">
        <v>120</v>
      </c>
      <c r="H454" s="1" t="s">
        <v>121</v>
      </c>
      <c r="I454" s="31">
        <v>45866</v>
      </c>
      <c r="J454" s="1" t="s">
        <v>440</v>
      </c>
      <c r="K454" s="1" t="s">
        <v>37</v>
      </c>
      <c r="L454" s="1" t="s">
        <v>441</v>
      </c>
      <c r="M454" s="2" t="s">
        <v>1389</v>
      </c>
      <c r="N454" s="31">
        <v>45871</v>
      </c>
    </row>
    <row r="455" spans="1:14" x14ac:dyDescent="0.25">
      <c r="A455" s="29">
        <v>454</v>
      </c>
      <c r="B455" s="1" t="s">
        <v>443</v>
      </c>
      <c r="C455" s="31">
        <v>45877</v>
      </c>
      <c r="D455" s="1" t="s">
        <v>444</v>
      </c>
      <c r="E455" s="13" t="s">
        <v>1390</v>
      </c>
      <c r="F455" s="1" t="s">
        <v>89</v>
      </c>
      <c r="G455" s="1" t="s">
        <v>446</v>
      </c>
      <c r="H455" s="1" t="s">
        <v>44</v>
      </c>
      <c r="I455" s="31">
        <v>45911</v>
      </c>
      <c r="J455" s="1" t="s">
        <v>447</v>
      </c>
      <c r="K455" s="1" t="s">
        <v>37</v>
      </c>
      <c r="L455" s="1" t="s">
        <v>448</v>
      </c>
      <c r="M455" s="2" t="s">
        <v>1391</v>
      </c>
      <c r="N455" s="31">
        <v>45861</v>
      </c>
    </row>
    <row r="456" spans="1:14" x14ac:dyDescent="0.25">
      <c r="A456" s="29">
        <v>455</v>
      </c>
      <c r="B456" s="1" t="s">
        <v>450</v>
      </c>
      <c r="C456" s="31">
        <v>45719</v>
      </c>
      <c r="D456" s="1" t="s">
        <v>297</v>
      </c>
      <c r="E456" s="13" t="s">
        <v>1392</v>
      </c>
      <c r="F456" s="1" t="s">
        <v>33</v>
      </c>
      <c r="G456" s="1" t="s">
        <v>452</v>
      </c>
      <c r="H456" s="1" t="s">
        <v>453</v>
      </c>
      <c r="I456" s="31">
        <v>45770</v>
      </c>
      <c r="J456" s="1" t="s">
        <v>243</v>
      </c>
      <c r="K456" s="1" t="s">
        <v>37</v>
      </c>
      <c r="L456" s="1" t="s">
        <v>454</v>
      </c>
      <c r="M456" s="2" t="s">
        <v>1393</v>
      </c>
      <c r="N456" s="31">
        <v>45873</v>
      </c>
    </row>
    <row r="457" spans="1:14" x14ac:dyDescent="0.25">
      <c r="A457" s="29">
        <v>456</v>
      </c>
      <c r="B457" s="1" t="s">
        <v>456</v>
      </c>
      <c r="C457" s="31">
        <v>45744</v>
      </c>
      <c r="D457" s="1" t="s">
        <v>64</v>
      </c>
      <c r="E457" s="13" t="s">
        <v>1394</v>
      </c>
      <c r="F457" s="1" t="s">
        <v>89</v>
      </c>
      <c r="G457" s="1" t="s">
        <v>113</v>
      </c>
      <c r="H457" s="1" t="s">
        <v>299</v>
      </c>
      <c r="I457" s="31">
        <v>45788</v>
      </c>
      <c r="J457" s="1" t="s">
        <v>458</v>
      </c>
      <c r="K457" s="1" t="s">
        <v>37</v>
      </c>
      <c r="L457" s="1" t="s">
        <v>459</v>
      </c>
      <c r="M457" s="2" t="s">
        <v>1395</v>
      </c>
      <c r="N457" s="31">
        <v>45853</v>
      </c>
    </row>
    <row r="458" spans="1:14" x14ac:dyDescent="0.25">
      <c r="A458" s="29">
        <v>457</v>
      </c>
      <c r="B458" s="1" t="s">
        <v>461</v>
      </c>
      <c r="C458" s="31">
        <v>45825</v>
      </c>
      <c r="D458" s="1" t="s">
        <v>240</v>
      </c>
      <c r="E458" s="13" t="s">
        <v>1396</v>
      </c>
      <c r="F458" s="1" t="s">
        <v>89</v>
      </c>
      <c r="G458" s="1" t="s">
        <v>105</v>
      </c>
      <c r="H458" s="1" t="s">
        <v>256</v>
      </c>
      <c r="I458" s="31">
        <v>45852</v>
      </c>
      <c r="J458" s="1" t="s">
        <v>463</v>
      </c>
      <c r="K458" s="1" t="s">
        <v>37</v>
      </c>
      <c r="L458" s="1" t="s">
        <v>464</v>
      </c>
      <c r="M458" s="2" t="s">
        <v>1397</v>
      </c>
      <c r="N458" s="31">
        <v>45865</v>
      </c>
    </row>
    <row r="459" spans="1:14" x14ac:dyDescent="0.25">
      <c r="A459" s="29">
        <v>458</v>
      </c>
      <c r="B459" s="1" t="s">
        <v>466</v>
      </c>
      <c r="C459" s="31">
        <v>45917</v>
      </c>
      <c r="D459" s="1" t="s">
        <v>467</v>
      </c>
      <c r="E459" s="13" t="s">
        <v>1398</v>
      </c>
      <c r="F459" s="1" t="s">
        <v>89</v>
      </c>
      <c r="G459" s="1" t="s">
        <v>469</v>
      </c>
      <c r="H459" s="1" t="s">
        <v>470</v>
      </c>
      <c r="I459" s="31">
        <v>46021</v>
      </c>
      <c r="J459" s="1" t="s">
        <v>471</v>
      </c>
      <c r="K459" s="1" t="s">
        <v>37</v>
      </c>
      <c r="L459" s="1" t="s">
        <v>472</v>
      </c>
      <c r="M459" s="2" t="s">
        <v>1399</v>
      </c>
      <c r="N459" s="31">
        <v>45840</v>
      </c>
    </row>
    <row r="460" spans="1:14" x14ac:dyDescent="0.25">
      <c r="A460" s="29">
        <v>459</v>
      </c>
      <c r="B460" s="1" t="s">
        <v>466</v>
      </c>
      <c r="C460" s="31">
        <v>45872</v>
      </c>
      <c r="D460" s="1" t="s">
        <v>351</v>
      </c>
      <c r="E460" s="13" t="s">
        <v>1400</v>
      </c>
      <c r="F460" s="1" t="s">
        <v>89</v>
      </c>
      <c r="G460" s="1" t="s">
        <v>475</v>
      </c>
      <c r="H460" s="1" t="s">
        <v>453</v>
      </c>
      <c r="I460" s="31">
        <v>45939</v>
      </c>
      <c r="J460" s="1" t="s">
        <v>476</v>
      </c>
      <c r="K460" s="1" t="s">
        <v>37</v>
      </c>
      <c r="L460" s="1" t="s">
        <v>477</v>
      </c>
      <c r="M460" s="2" t="s">
        <v>1401</v>
      </c>
      <c r="N460" s="31">
        <v>45878</v>
      </c>
    </row>
    <row r="461" spans="1:14" x14ac:dyDescent="0.25">
      <c r="A461" s="29">
        <v>460</v>
      </c>
      <c r="B461" s="1" t="s">
        <v>479</v>
      </c>
      <c r="C461" s="31">
        <v>45678</v>
      </c>
      <c r="D461" s="1" t="s">
        <v>480</v>
      </c>
      <c r="E461" s="13" t="s">
        <v>1402</v>
      </c>
      <c r="F461" s="1" t="s">
        <v>89</v>
      </c>
      <c r="G461" s="1" t="s">
        <v>201</v>
      </c>
      <c r="H461" s="1" t="s">
        <v>202</v>
      </c>
      <c r="I461" s="31">
        <v>45741</v>
      </c>
      <c r="J461" s="1" t="s">
        <v>68</v>
      </c>
      <c r="K461" s="1" t="s">
        <v>37</v>
      </c>
      <c r="L461" s="1" t="s">
        <v>482</v>
      </c>
      <c r="M461" s="2" t="s">
        <v>1403</v>
      </c>
      <c r="N461" s="31">
        <v>45845</v>
      </c>
    </row>
    <row r="462" spans="1:14" x14ac:dyDescent="0.25">
      <c r="A462" s="29">
        <v>461</v>
      </c>
      <c r="B462" s="1" t="s">
        <v>71</v>
      </c>
      <c r="C462" s="31">
        <v>45871</v>
      </c>
      <c r="D462" s="1" t="s">
        <v>484</v>
      </c>
      <c r="E462" s="13" t="s">
        <v>1404</v>
      </c>
      <c r="F462" s="1" t="s">
        <v>33</v>
      </c>
      <c r="G462" s="1" t="s">
        <v>58</v>
      </c>
      <c r="H462" s="1" t="s">
        <v>91</v>
      </c>
      <c r="I462" s="31">
        <v>45877</v>
      </c>
      <c r="J462" s="1" t="s">
        <v>45</v>
      </c>
      <c r="K462" s="1" t="s">
        <v>37</v>
      </c>
      <c r="L462" s="1" t="s">
        <v>486</v>
      </c>
      <c r="M462" s="2" t="s">
        <v>1405</v>
      </c>
      <c r="N462" s="31">
        <v>45858</v>
      </c>
    </row>
    <row r="463" spans="1:14" x14ac:dyDescent="0.25">
      <c r="A463" s="29">
        <v>462</v>
      </c>
      <c r="B463" s="1" t="s">
        <v>488</v>
      </c>
      <c r="C463" s="31">
        <v>45678</v>
      </c>
      <c r="D463" s="1" t="s">
        <v>225</v>
      </c>
      <c r="E463" s="13" t="s">
        <v>1406</v>
      </c>
      <c r="F463" s="1" t="s">
        <v>33</v>
      </c>
      <c r="G463" s="1" t="s">
        <v>490</v>
      </c>
      <c r="H463" s="1" t="s">
        <v>383</v>
      </c>
      <c r="I463" s="31">
        <v>45723</v>
      </c>
      <c r="J463" s="1" t="s">
        <v>197</v>
      </c>
      <c r="K463" s="1" t="s">
        <v>37</v>
      </c>
      <c r="L463" s="1" t="s">
        <v>491</v>
      </c>
      <c r="M463" s="2" t="s">
        <v>1407</v>
      </c>
      <c r="N463" s="31">
        <v>45865</v>
      </c>
    </row>
    <row r="464" spans="1:14" x14ac:dyDescent="0.25">
      <c r="A464" s="29">
        <v>463</v>
      </c>
      <c r="B464" s="1" t="s">
        <v>161</v>
      </c>
      <c r="C464" s="31">
        <v>45759</v>
      </c>
      <c r="D464" s="1" t="s">
        <v>31</v>
      </c>
      <c r="E464" s="13" t="s">
        <v>1408</v>
      </c>
      <c r="F464" s="1" t="s">
        <v>33</v>
      </c>
      <c r="G464" s="1" t="s">
        <v>164</v>
      </c>
      <c r="H464" s="1" t="s">
        <v>165</v>
      </c>
      <c r="I464" s="31">
        <v>45784</v>
      </c>
      <c r="J464" s="1" t="s">
        <v>114</v>
      </c>
      <c r="K464" s="1" t="s">
        <v>37</v>
      </c>
      <c r="L464" s="1" t="s">
        <v>494</v>
      </c>
      <c r="M464" s="2" t="s">
        <v>1409</v>
      </c>
      <c r="N464" s="31">
        <v>45885</v>
      </c>
    </row>
    <row r="465" spans="1:14" x14ac:dyDescent="0.25">
      <c r="A465" s="29">
        <v>464</v>
      </c>
      <c r="B465" s="1" t="s">
        <v>184</v>
      </c>
      <c r="C465" s="31">
        <v>45922</v>
      </c>
      <c r="D465" s="1" t="s">
        <v>332</v>
      </c>
      <c r="E465" s="13" t="s">
        <v>1410</v>
      </c>
      <c r="F465" s="1" t="s">
        <v>89</v>
      </c>
      <c r="G465" s="1" t="s">
        <v>497</v>
      </c>
      <c r="H465" s="1" t="s">
        <v>121</v>
      </c>
      <c r="I465" s="31">
        <v>46001</v>
      </c>
      <c r="J465" s="1" t="s">
        <v>377</v>
      </c>
      <c r="K465" s="1" t="s">
        <v>37</v>
      </c>
      <c r="L465" s="1" t="s">
        <v>498</v>
      </c>
      <c r="M465" s="2" t="s">
        <v>1411</v>
      </c>
      <c r="N465" s="31">
        <v>45867</v>
      </c>
    </row>
    <row r="466" spans="1:14" x14ac:dyDescent="0.25">
      <c r="A466" s="29">
        <v>465</v>
      </c>
      <c r="B466" s="1" t="s">
        <v>40</v>
      </c>
      <c r="C466" s="31">
        <v>45951</v>
      </c>
      <c r="D466" s="1" t="s">
        <v>64</v>
      </c>
      <c r="E466" s="13" t="s">
        <v>1412</v>
      </c>
      <c r="F466" s="1" t="s">
        <v>33</v>
      </c>
      <c r="G466" s="1" t="s">
        <v>337</v>
      </c>
      <c r="H466" s="1" t="s">
        <v>427</v>
      </c>
      <c r="I466" s="31">
        <v>45996</v>
      </c>
      <c r="J466" s="1" t="s">
        <v>52</v>
      </c>
      <c r="K466" s="1" t="s">
        <v>37</v>
      </c>
      <c r="L466" s="1" t="s">
        <v>501</v>
      </c>
      <c r="M466" s="2" t="s">
        <v>1413</v>
      </c>
      <c r="N466" s="31">
        <v>45895</v>
      </c>
    </row>
    <row r="467" spans="1:14" x14ac:dyDescent="0.25">
      <c r="A467" s="29">
        <v>466</v>
      </c>
      <c r="B467" s="1" t="s">
        <v>503</v>
      </c>
      <c r="C467" s="31">
        <v>45810</v>
      </c>
      <c r="D467" s="1" t="s">
        <v>87</v>
      </c>
      <c r="E467" s="13" t="s">
        <v>1414</v>
      </c>
      <c r="F467" s="1" t="s">
        <v>33</v>
      </c>
      <c r="G467" s="1" t="s">
        <v>469</v>
      </c>
      <c r="H467" s="1" t="s">
        <v>317</v>
      </c>
      <c r="I467" s="31">
        <v>45883</v>
      </c>
      <c r="J467" s="1" t="s">
        <v>458</v>
      </c>
      <c r="K467" s="1" t="s">
        <v>37</v>
      </c>
      <c r="L467" s="1" t="s">
        <v>505</v>
      </c>
      <c r="M467" s="2" t="s">
        <v>1415</v>
      </c>
      <c r="N467" s="31">
        <v>45847</v>
      </c>
    </row>
    <row r="468" spans="1:14" x14ac:dyDescent="0.25">
      <c r="A468" s="29">
        <v>467</v>
      </c>
      <c r="B468" s="1" t="s">
        <v>103</v>
      </c>
      <c r="C468" s="31">
        <v>45803</v>
      </c>
      <c r="D468" s="1" t="s">
        <v>260</v>
      </c>
      <c r="E468" s="13" t="s">
        <v>1416</v>
      </c>
      <c r="F468" s="1" t="s">
        <v>33</v>
      </c>
      <c r="G468" s="1" t="s">
        <v>508</v>
      </c>
      <c r="H468" s="1" t="s">
        <v>376</v>
      </c>
      <c r="I468" s="31">
        <v>45810</v>
      </c>
      <c r="J468" s="1" t="s">
        <v>428</v>
      </c>
      <c r="K468" s="1" t="s">
        <v>37</v>
      </c>
      <c r="L468" s="1" t="s">
        <v>509</v>
      </c>
      <c r="M468" s="2" t="s">
        <v>1417</v>
      </c>
      <c r="N468" s="31">
        <v>45896</v>
      </c>
    </row>
    <row r="469" spans="1:14" x14ac:dyDescent="0.25">
      <c r="A469" s="29">
        <v>468</v>
      </c>
      <c r="B469" s="1" t="s">
        <v>511</v>
      </c>
      <c r="C469" s="31">
        <v>45745</v>
      </c>
      <c r="D469" s="1" t="s">
        <v>170</v>
      </c>
      <c r="E469" s="13" t="s">
        <v>1418</v>
      </c>
      <c r="F469" s="1" t="s">
        <v>89</v>
      </c>
      <c r="G469" s="1" t="s">
        <v>513</v>
      </c>
      <c r="H469" s="1" t="s">
        <v>196</v>
      </c>
      <c r="I469" s="31">
        <v>45765</v>
      </c>
      <c r="J469" s="1" t="s">
        <v>318</v>
      </c>
      <c r="K469" s="1" t="s">
        <v>37</v>
      </c>
      <c r="L469" s="1" t="s">
        <v>514</v>
      </c>
      <c r="M469" s="2" t="s">
        <v>1419</v>
      </c>
      <c r="N469" s="31">
        <v>45858</v>
      </c>
    </row>
    <row r="470" spans="1:14" x14ac:dyDescent="0.25">
      <c r="A470" s="29">
        <v>469</v>
      </c>
      <c r="B470" s="1" t="s">
        <v>516</v>
      </c>
      <c r="C470" s="31">
        <v>45710</v>
      </c>
      <c r="D470" s="1" t="s">
        <v>185</v>
      </c>
      <c r="E470" s="13" t="s">
        <v>1420</v>
      </c>
      <c r="F470" s="1" t="s">
        <v>33</v>
      </c>
      <c r="G470" s="1" t="s">
        <v>490</v>
      </c>
      <c r="H470" s="1" t="s">
        <v>99</v>
      </c>
      <c r="I470" s="31">
        <v>45826</v>
      </c>
      <c r="J470" s="1" t="s">
        <v>518</v>
      </c>
      <c r="K470" s="1" t="s">
        <v>37</v>
      </c>
      <c r="L470" s="1" t="s">
        <v>519</v>
      </c>
      <c r="M470" s="2" t="s">
        <v>1421</v>
      </c>
      <c r="N470" s="31">
        <v>45869</v>
      </c>
    </row>
    <row r="471" spans="1:14" x14ac:dyDescent="0.25">
      <c r="A471" s="29">
        <v>470</v>
      </c>
      <c r="B471" s="1" t="s">
        <v>521</v>
      </c>
      <c r="C471" s="31">
        <v>45924</v>
      </c>
      <c r="D471" s="1" t="s">
        <v>154</v>
      </c>
      <c r="E471" s="13" t="s">
        <v>1422</v>
      </c>
      <c r="F471" s="1" t="s">
        <v>89</v>
      </c>
      <c r="G471" s="1" t="s">
        <v>490</v>
      </c>
      <c r="H471" s="1" t="s">
        <v>523</v>
      </c>
      <c r="I471" s="31">
        <v>45978</v>
      </c>
      <c r="J471" s="1" t="s">
        <v>428</v>
      </c>
      <c r="K471" s="1" t="s">
        <v>37</v>
      </c>
      <c r="L471" s="1" t="s">
        <v>524</v>
      </c>
      <c r="M471" s="2" t="s">
        <v>1423</v>
      </c>
      <c r="N471" s="31">
        <v>45853</v>
      </c>
    </row>
    <row r="472" spans="1:14" x14ac:dyDescent="0.25">
      <c r="A472" s="29">
        <v>471</v>
      </c>
      <c r="B472" s="1" t="s">
        <v>526</v>
      </c>
      <c r="C472" s="31">
        <v>45884</v>
      </c>
      <c r="D472" s="1" t="s">
        <v>527</v>
      </c>
      <c r="E472" s="13" t="s">
        <v>1424</v>
      </c>
      <c r="F472" s="1" t="s">
        <v>89</v>
      </c>
      <c r="G472" s="1" t="s">
        <v>113</v>
      </c>
      <c r="H472" s="1" t="s">
        <v>262</v>
      </c>
      <c r="I472" s="31">
        <v>45993</v>
      </c>
      <c r="J472" s="1" t="s">
        <v>529</v>
      </c>
      <c r="K472" s="1" t="s">
        <v>37</v>
      </c>
      <c r="L472" s="1" t="s">
        <v>530</v>
      </c>
      <c r="M472" s="2" t="s">
        <v>1425</v>
      </c>
      <c r="N472" s="31">
        <v>45893</v>
      </c>
    </row>
    <row r="473" spans="1:14" x14ac:dyDescent="0.25">
      <c r="A473" s="29">
        <v>472</v>
      </c>
      <c r="B473" s="1" t="s">
        <v>532</v>
      </c>
      <c r="C473" s="31">
        <v>45849</v>
      </c>
      <c r="D473" s="1" t="s">
        <v>432</v>
      </c>
      <c r="E473" s="13" t="s">
        <v>1426</v>
      </c>
      <c r="F473" s="1" t="s">
        <v>33</v>
      </c>
      <c r="G473" s="1" t="s">
        <v>534</v>
      </c>
      <c r="H473" s="1" t="s">
        <v>311</v>
      </c>
      <c r="I473" s="31">
        <v>45947</v>
      </c>
      <c r="J473" s="1" t="s">
        <v>535</v>
      </c>
      <c r="K473" s="1" t="s">
        <v>37</v>
      </c>
      <c r="L473" s="1" t="s">
        <v>536</v>
      </c>
      <c r="M473" s="2" t="s">
        <v>1427</v>
      </c>
      <c r="N473" s="31">
        <v>45868</v>
      </c>
    </row>
    <row r="474" spans="1:14" x14ac:dyDescent="0.25">
      <c r="A474" s="29">
        <v>473</v>
      </c>
      <c r="B474" s="1" t="s">
        <v>538</v>
      </c>
      <c r="C474" s="31">
        <v>45828</v>
      </c>
      <c r="D474" s="1" t="s">
        <v>233</v>
      </c>
      <c r="E474" s="13" t="s">
        <v>1428</v>
      </c>
      <c r="F474" s="1" t="s">
        <v>33</v>
      </c>
      <c r="G474" s="1" t="s">
        <v>90</v>
      </c>
      <c r="H474" s="1" t="s">
        <v>91</v>
      </c>
      <c r="I474" s="31">
        <v>45920</v>
      </c>
      <c r="J474" s="1" t="s">
        <v>540</v>
      </c>
      <c r="K474" s="1" t="s">
        <v>37</v>
      </c>
      <c r="L474" s="1" t="s">
        <v>541</v>
      </c>
      <c r="M474" s="2" t="s">
        <v>1429</v>
      </c>
      <c r="N474" s="31">
        <v>45885</v>
      </c>
    </row>
    <row r="475" spans="1:14" x14ac:dyDescent="0.25">
      <c r="A475" s="29">
        <v>474</v>
      </c>
      <c r="B475" s="1" t="s">
        <v>543</v>
      </c>
      <c r="C475" s="31">
        <v>45846</v>
      </c>
      <c r="D475" s="1" t="s">
        <v>56</v>
      </c>
      <c r="E475" s="13" t="s">
        <v>1430</v>
      </c>
      <c r="F475" s="1" t="s">
        <v>89</v>
      </c>
      <c r="G475" s="1" t="s">
        <v>195</v>
      </c>
      <c r="H475" s="1" t="s">
        <v>196</v>
      </c>
      <c r="I475" s="31">
        <v>45910</v>
      </c>
      <c r="J475" s="1" t="s">
        <v>545</v>
      </c>
      <c r="K475" s="1" t="s">
        <v>37</v>
      </c>
      <c r="L475" s="1" t="s">
        <v>546</v>
      </c>
      <c r="M475" s="2" t="s">
        <v>1431</v>
      </c>
      <c r="N475" s="31">
        <v>45878</v>
      </c>
    </row>
    <row r="476" spans="1:14" x14ac:dyDescent="0.25">
      <c r="A476" s="29">
        <v>475</v>
      </c>
      <c r="B476" s="1" t="s">
        <v>284</v>
      </c>
      <c r="C476" s="31">
        <v>45841</v>
      </c>
      <c r="D476" s="1" t="s">
        <v>56</v>
      </c>
      <c r="E476" s="13" t="s">
        <v>1432</v>
      </c>
      <c r="F476" s="1" t="s">
        <v>33</v>
      </c>
      <c r="G476" s="1" t="s">
        <v>287</v>
      </c>
      <c r="H476" s="1" t="s">
        <v>415</v>
      </c>
      <c r="I476" s="31">
        <v>45873</v>
      </c>
      <c r="J476" s="1" t="s">
        <v>549</v>
      </c>
      <c r="K476" s="1" t="s">
        <v>37</v>
      </c>
      <c r="L476" s="1" t="s">
        <v>550</v>
      </c>
      <c r="M476" s="2" t="s">
        <v>1433</v>
      </c>
      <c r="N476" s="31">
        <v>45854</v>
      </c>
    </row>
    <row r="477" spans="1:14" x14ac:dyDescent="0.25">
      <c r="A477" s="29">
        <v>476</v>
      </c>
      <c r="B477" s="1" t="s">
        <v>350</v>
      </c>
      <c r="C477" s="31">
        <v>45922</v>
      </c>
      <c r="D477" s="1" t="s">
        <v>552</v>
      </c>
      <c r="E477" s="13" t="s">
        <v>1434</v>
      </c>
      <c r="F477" s="1" t="s">
        <v>89</v>
      </c>
      <c r="G477" s="1" t="s">
        <v>534</v>
      </c>
      <c r="H477" s="1" t="s">
        <v>366</v>
      </c>
      <c r="I477" s="31">
        <v>45983</v>
      </c>
      <c r="J477" s="1" t="s">
        <v>318</v>
      </c>
      <c r="K477" s="1" t="s">
        <v>37</v>
      </c>
      <c r="L477" s="1" t="s">
        <v>554</v>
      </c>
      <c r="M477" s="2" t="s">
        <v>1435</v>
      </c>
      <c r="N477" s="31">
        <v>45844</v>
      </c>
    </row>
    <row r="478" spans="1:14" x14ac:dyDescent="0.25">
      <c r="A478" s="29">
        <v>477</v>
      </c>
      <c r="B478" s="1" t="s">
        <v>437</v>
      </c>
      <c r="C478" s="31">
        <v>45721</v>
      </c>
      <c r="D478" s="1" t="s">
        <v>308</v>
      </c>
      <c r="E478" s="13" t="s">
        <v>1436</v>
      </c>
      <c r="F478" s="1" t="s">
        <v>89</v>
      </c>
      <c r="G478" s="1" t="s">
        <v>141</v>
      </c>
      <c r="H478" s="1" t="s">
        <v>557</v>
      </c>
      <c r="I478" s="31">
        <v>45744</v>
      </c>
      <c r="J478" s="1" t="s">
        <v>128</v>
      </c>
      <c r="K478" s="1" t="s">
        <v>37</v>
      </c>
      <c r="L478" s="1" t="s">
        <v>558</v>
      </c>
      <c r="M478" s="2" t="s">
        <v>1437</v>
      </c>
      <c r="N478" s="31">
        <v>45885</v>
      </c>
    </row>
    <row r="479" spans="1:14" x14ac:dyDescent="0.25">
      <c r="A479" s="29">
        <v>478</v>
      </c>
      <c r="B479" s="1" t="s">
        <v>450</v>
      </c>
      <c r="C479" s="31">
        <v>45751</v>
      </c>
      <c r="D479" s="1" t="s">
        <v>552</v>
      </c>
      <c r="E479" s="13" t="s">
        <v>1438</v>
      </c>
      <c r="F479" s="1" t="s">
        <v>33</v>
      </c>
      <c r="G479" s="1" t="s">
        <v>561</v>
      </c>
      <c r="H479" s="1" t="s">
        <v>453</v>
      </c>
      <c r="I479" s="31">
        <v>45763</v>
      </c>
      <c r="J479" s="1" t="s">
        <v>562</v>
      </c>
      <c r="K479" s="1" t="s">
        <v>37</v>
      </c>
      <c r="L479" s="1" t="s">
        <v>563</v>
      </c>
      <c r="M479" s="2" t="s">
        <v>1439</v>
      </c>
      <c r="N479" s="31">
        <v>45891</v>
      </c>
    </row>
    <row r="480" spans="1:14" x14ac:dyDescent="0.25">
      <c r="A480" s="29">
        <v>479</v>
      </c>
      <c r="B480" s="1" t="s">
        <v>212</v>
      </c>
      <c r="C480" s="31">
        <v>45863</v>
      </c>
      <c r="D480" s="1" t="s">
        <v>308</v>
      </c>
      <c r="E480" s="13" t="s">
        <v>1440</v>
      </c>
      <c r="F480" s="1" t="s">
        <v>89</v>
      </c>
      <c r="G480" s="1" t="s">
        <v>58</v>
      </c>
      <c r="H480" s="1" t="s">
        <v>44</v>
      </c>
      <c r="I480" s="31">
        <v>45879</v>
      </c>
      <c r="J480" s="1" t="s">
        <v>566</v>
      </c>
      <c r="K480" s="1" t="s">
        <v>37</v>
      </c>
      <c r="L480" s="1" t="s">
        <v>567</v>
      </c>
      <c r="M480" s="2" t="s">
        <v>1441</v>
      </c>
      <c r="N480" s="31">
        <v>45847</v>
      </c>
    </row>
    <row r="481" spans="1:14" x14ac:dyDescent="0.25">
      <c r="A481" s="29">
        <v>480</v>
      </c>
      <c r="B481" s="1" t="s">
        <v>569</v>
      </c>
      <c r="C481" s="31">
        <v>45678</v>
      </c>
      <c r="D481" s="1" t="s">
        <v>552</v>
      </c>
      <c r="E481" s="13" t="s">
        <v>1442</v>
      </c>
      <c r="F481" s="1" t="s">
        <v>89</v>
      </c>
      <c r="G481" s="1" t="s">
        <v>120</v>
      </c>
      <c r="H481" s="1" t="s">
        <v>383</v>
      </c>
      <c r="I481" s="31">
        <v>45709</v>
      </c>
      <c r="J481" s="1" t="s">
        <v>571</v>
      </c>
      <c r="K481" s="1" t="s">
        <v>37</v>
      </c>
      <c r="L481" s="1" t="s">
        <v>572</v>
      </c>
      <c r="M481" s="2" t="s">
        <v>1443</v>
      </c>
      <c r="N481" s="31">
        <v>45884</v>
      </c>
    </row>
    <row r="482" spans="1:14" x14ac:dyDescent="0.25">
      <c r="A482" s="29">
        <v>481</v>
      </c>
      <c r="B482" s="1" t="s">
        <v>425</v>
      </c>
      <c r="C482" s="31">
        <v>45815</v>
      </c>
      <c r="D482" s="1" t="s">
        <v>480</v>
      </c>
      <c r="E482" s="13" t="s">
        <v>1444</v>
      </c>
      <c r="F482" s="1" t="s">
        <v>89</v>
      </c>
      <c r="G482" s="1" t="s">
        <v>346</v>
      </c>
      <c r="H482" s="1" t="s">
        <v>427</v>
      </c>
      <c r="I482" s="31">
        <v>45869</v>
      </c>
      <c r="J482" s="1" t="s">
        <v>575</v>
      </c>
      <c r="K482" s="1" t="s">
        <v>37</v>
      </c>
      <c r="L482" s="1" t="s">
        <v>576</v>
      </c>
      <c r="M482" s="2" t="s">
        <v>1445</v>
      </c>
      <c r="N482" s="31">
        <v>45873</v>
      </c>
    </row>
    <row r="483" spans="1:14" x14ac:dyDescent="0.25">
      <c r="A483" s="29">
        <v>482</v>
      </c>
      <c r="B483" s="1" t="s">
        <v>578</v>
      </c>
      <c r="C483" s="31">
        <v>45851</v>
      </c>
      <c r="D483" s="1" t="s">
        <v>170</v>
      </c>
      <c r="E483" s="13" t="s">
        <v>1446</v>
      </c>
      <c r="F483" s="1" t="s">
        <v>33</v>
      </c>
      <c r="G483" s="1" t="s">
        <v>475</v>
      </c>
      <c r="H483" s="1" t="s">
        <v>580</v>
      </c>
      <c r="I483" s="31">
        <v>45889</v>
      </c>
      <c r="J483" s="1" t="s">
        <v>581</v>
      </c>
      <c r="K483" s="1" t="s">
        <v>37</v>
      </c>
      <c r="L483" s="1" t="s">
        <v>582</v>
      </c>
      <c r="M483" s="2" t="s">
        <v>1447</v>
      </c>
      <c r="N483" s="31">
        <v>45844</v>
      </c>
    </row>
    <row r="484" spans="1:14" x14ac:dyDescent="0.25">
      <c r="A484" s="29">
        <v>483</v>
      </c>
      <c r="B484" s="1" t="s">
        <v>169</v>
      </c>
      <c r="C484" s="31">
        <v>45825</v>
      </c>
      <c r="D484" s="1" t="s">
        <v>240</v>
      </c>
      <c r="E484" s="13" t="s">
        <v>1448</v>
      </c>
      <c r="F484" s="1" t="s">
        <v>33</v>
      </c>
      <c r="G484" s="1" t="s">
        <v>172</v>
      </c>
      <c r="H484" s="1" t="s">
        <v>44</v>
      </c>
      <c r="I484" s="31">
        <v>45844</v>
      </c>
      <c r="J484" s="1" t="s">
        <v>585</v>
      </c>
      <c r="K484" s="1" t="s">
        <v>37</v>
      </c>
      <c r="L484" s="1" t="s">
        <v>586</v>
      </c>
      <c r="M484" s="2" t="s">
        <v>1449</v>
      </c>
      <c r="N484" s="31">
        <v>45887</v>
      </c>
    </row>
    <row r="485" spans="1:14" x14ac:dyDescent="0.25">
      <c r="A485" s="29">
        <v>484</v>
      </c>
      <c r="B485" s="1" t="s">
        <v>177</v>
      </c>
      <c r="C485" s="31">
        <v>45685</v>
      </c>
      <c r="D485" s="1" t="s">
        <v>72</v>
      </c>
      <c r="E485" s="13" t="s">
        <v>1450</v>
      </c>
      <c r="F485" s="1" t="s">
        <v>89</v>
      </c>
      <c r="G485" s="1" t="s">
        <v>220</v>
      </c>
      <c r="H485" s="1" t="s">
        <v>421</v>
      </c>
      <c r="I485" s="31">
        <v>45709</v>
      </c>
      <c r="J485" s="1" t="s">
        <v>589</v>
      </c>
      <c r="K485" s="1" t="s">
        <v>37</v>
      </c>
      <c r="L485" s="1" t="s">
        <v>590</v>
      </c>
      <c r="M485" s="2" t="s">
        <v>1451</v>
      </c>
      <c r="N485" s="31">
        <v>45858</v>
      </c>
    </row>
    <row r="486" spans="1:14" x14ac:dyDescent="0.25">
      <c r="A486" s="29">
        <v>485</v>
      </c>
      <c r="B486" s="1" t="s">
        <v>450</v>
      </c>
      <c r="C486" s="31">
        <v>45841</v>
      </c>
      <c r="D486" s="1" t="s">
        <v>233</v>
      </c>
      <c r="E486" s="13" t="s">
        <v>1452</v>
      </c>
      <c r="F486" s="1" t="s">
        <v>33</v>
      </c>
      <c r="G486" s="1" t="s">
        <v>469</v>
      </c>
      <c r="H486" s="1" t="s">
        <v>580</v>
      </c>
      <c r="I486" s="31">
        <v>45884</v>
      </c>
      <c r="J486" s="1" t="s">
        <v>214</v>
      </c>
      <c r="K486" s="1" t="s">
        <v>37</v>
      </c>
      <c r="L486" s="1" t="s">
        <v>593</v>
      </c>
      <c r="M486" s="2" t="s">
        <v>1453</v>
      </c>
      <c r="N486" s="31">
        <v>45860</v>
      </c>
    </row>
    <row r="487" spans="1:14" x14ac:dyDescent="0.25">
      <c r="A487" s="29">
        <v>486</v>
      </c>
      <c r="B487" s="1" t="s">
        <v>48</v>
      </c>
      <c r="C487" s="31">
        <v>45815</v>
      </c>
      <c r="D487" s="1" t="s">
        <v>391</v>
      </c>
      <c r="E487" s="13" t="s">
        <v>1454</v>
      </c>
      <c r="F487" s="1" t="s">
        <v>33</v>
      </c>
      <c r="G487" s="1" t="s">
        <v>596</v>
      </c>
      <c r="H487" s="1" t="s">
        <v>597</v>
      </c>
      <c r="I487" s="31">
        <v>45833</v>
      </c>
      <c r="J487" s="1" t="s">
        <v>598</v>
      </c>
      <c r="K487" s="1" t="s">
        <v>37</v>
      </c>
      <c r="L487" s="1" t="s">
        <v>599</v>
      </c>
      <c r="M487" s="2" t="s">
        <v>1455</v>
      </c>
      <c r="N487" s="31">
        <v>45870</v>
      </c>
    </row>
    <row r="488" spans="1:14" x14ac:dyDescent="0.25">
      <c r="A488" s="29">
        <v>487</v>
      </c>
      <c r="B488" s="1" t="s">
        <v>252</v>
      </c>
      <c r="C488" s="31">
        <v>45803</v>
      </c>
      <c r="D488" s="1" t="s">
        <v>79</v>
      </c>
      <c r="E488" s="13" t="s">
        <v>1456</v>
      </c>
      <c r="F488" s="1" t="s">
        <v>33</v>
      </c>
      <c r="G488" s="1" t="s">
        <v>164</v>
      </c>
      <c r="H488" s="1" t="s">
        <v>256</v>
      </c>
      <c r="I488" s="31">
        <v>45882</v>
      </c>
      <c r="J488" s="1" t="s">
        <v>602</v>
      </c>
      <c r="K488" s="1" t="s">
        <v>37</v>
      </c>
      <c r="L488" s="1" t="s">
        <v>603</v>
      </c>
      <c r="M488" s="2" t="s">
        <v>1457</v>
      </c>
      <c r="N488" s="31">
        <v>45866</v>
      </c>
    </row>
    <row r="489" spans="1:14" x14ac:dyDescent="0.25">
      <c r="A489" s="29">
        <v>488</v>
      </c>
      <c r="B489" s="1" t="s">
        <v>466</v>
      </c>
      <c r="C489" s="31">
        <v>45729</v>
      </c>
      <c r="D489" s="1" t="s">
        <v>56</v>
      </c>
      <c r="E489" s="13" t="s">
        <v>1458</v>
      </c>
      <c r="F489" s="1" t="s">
        <v>89</v>
      </c>
      <c r="G489" s="1" t="s">
        <v>606</v>
      </c>
      <c r="H489" s="1" t="s">
        <v>453</v>
      </c>
      <c r="I489" s="31">
        <v>45792</v>
      </c>
      <c r="J489" s="1" t="s">
        <v>607</v>
      </c>
      <c r="K489" s="1" t="s">
        <v>37</v>
      </c>
      <c r="L489" s="1" t="s">
        <v>608</v>
      </c>
      <c r="M489" s="2" t="s">
        <v>1459</v>
      </c>
      <c r="N489" s="31">
        <v>45858</v>
      </c>
    </row>
    <row r="490" spans="1:14" x14ac:dyDescent="0.25">
      <c r="A490" s="29">
        <v>489</v>
      </c>
      <c r="B490" s="1" t="s">
        <v>610</v>
      </c>
      <c r="C490" s="31">
        <v>45794</v>
      </c>
      <c r="D490" s="1" t="s">
        <v>611</v>
      </c>
      <c r="E490" s="13" t="s">
        <v>1460</v>
      </c>
      <c r="F490" s="1" t="s">
        <v>33</v>
      </c>
      <c r="G490" s="1" t="s">
        <v>497</v>
      </c>
      <c r="H490" s="1" t="s">
        <v>557</v>
      </c>
      <c r="I490" s="31">
        <v>45856</v>
      </c>
      <c r="J490" s="1" t="s">
        <v>613</v>
      </c>
      <c r="K490" s="1" t="s">
        <v>37</v>
      </c>
      <c r="L490" s="1" t="s">
        <v>614</v>
      </c>
      <c r="M490" s="2" t="s">
        <v>1461</v>
      </c>
      <c r="N490" s="31">
        <v>45880</v>
      </c>
    </row>
    <row r="491" spans="1:14" x14ac:dyDescent="0.25">
      <c r="A491" s="29">
        <v>490</v>
      </c>
      <c r="B491" s="1" t="s">
        <v>71</v>
      </c>
      <c r="C491" s="31">
        <v>45942</v>
      </c>
      <c r="D491" s="1" t="s">
        <v>444</v>
      </c>
      <c r="E491" s="13" t="s">
        <v>1462</v>
      </c>
      <c r="F491" s="1" t="s">
        <v>33</v>
      </c>
      <c r="G491" s="1" t="s">
        <v>337</v>
      </c>
      <c r="H491" s="1" t="s">
        <v>427</v>
      </c>
      <c r="I491" s="31">
        <v>45968</v>
      </c>
      <c r="J491" s="1" t="s">
        <v>617</v>
      </c>
      <c r="K491" s="1" t="s">
        <v>37</v>
      </c>
      <c r="L491" s="1" t="s">
        <v>618</v>
      </c>
      <c r="M491" s="2" t="s">
        <v>1463</v>
      </c>
      <c r="N491" s="31">
        <v>45878</v>
      </c>
    </row>
    <row r="492" spans="1:14" x14ac:dyDescent="0.25">
      <c r="A492" s="29">
        <v>491</v>
      </c>
      <c r="B492" s="1" t="s">
        <v>620</v>
      </c>
      <c r="C492" s="31">
        <v>45910</v>
      </c>
      <c r="D492" s="1" t="s">
        <v>246</v>
      </c>
      <c r="E492" s="13" t="s">
        <v>1464</v>
      </c>
      <c r="F492" s="1" t="s">
        <v>33</v>
      </c>
      <c r="G492" s="1" t="s">
        <v>43</v>
      </c>
      <c r="H492" s="1" t="s">
        <v>127</v>
      </c>
      <c r="I492" s="31">
        <v>45999</v>
      </c>
      <c r="J492" s="1" t="s">
        <v>622</v>
      </c>
      <c r="K492" s="1" t="s">
        <v>37</v>
      </c>
      <c r="L492" s="1" t="s">
        <v>623</v>
      </c>
      <c r="M492" s="2" t="s">
        <v>1465</v>
      </c>
      <c r="N492" s="31">
        <v>45895</v>
      </c>
    </row>
    <row r="493" spans="1:14" x14ac:dyDescent="0.25">
      <c r="A493" s="29">
        <v>492</v>
      </c>
      <c r="B493" s="1" t="s">
        <v>63</v>
      </c>
      <c r="C493" s="31">
        <v>45912</v>
      </c>
      <c r="D493" s="1" t="s">
        <v>552</v>
      </c>
      <c r="E493" s="13" t="s">
        <v>1466</v>
      </c>
      <c r="F493" s="1" t="s">
        <v>33</v>
      </c>
      <c r="G493" s="1" t="s">
        <v>179</v>
      </c>
      <c r="H493" s="1" t="s">
        <v>421</v>
      </c>
      <c r="I493" s="31">
        <v>45979</v>
      </c>
      <c r="J493" s="1" t="s">
        <v>107</v>
      </c>
      <c r="K493" s="1" t="s">
        <v>37</v>
      </c>
      <c r="L493" s="1" t="s">
        <v>626</v>
      </c>
      <c r="M493" s="2" t="s">
        <v>1467</v>
      </c>
      <c r="N493" s="31">
        <v>45894</v>
      </c>
    </row>
    <row r="494" spans="1:14" x14ac:dyDescent="0.25">
      <c r="A494" s="29">
        <v>493</v>
      </c>
      <c r="B494" s="1" t="s">
        <v>205</v>
      </c>
      <c r="C494" s="31">
        <v>45743</v>
      </c>
      <c r="D494" s="1" t="s">
        <v>285</v>
      </c>
      <c r="E494" s="13" t="s">
        <v>1468</v>
      </c>
      <c r="F494" s="1" t="s">
        <v>89</v>
      </c>
      <c r="G494" s="1" t="s">
        <v>208</v>
      </c>
      <c r="H494" s="1" t="s">
        <v>415</v>
      </c>
      <c r="I494" s="31">
        <v>45808</v>
      </c>
      <c r="J494" s="1" t="s">
        <v>236</v>
      </c>
      <c r="K494" s="1" t="s">
        <v>37</v>
      </c>
      <c r="L494" s="1" t="s">
        <v>629</v>
      </c>
      <c r="M494" s="2" t="s">
        <v>1469</v>
      </c>
      <c r="N494" s="31">
        <v>45846</v>
      </c>
    </row>
    <row r="495" spans="1:14" x14ac:dyDescent="0.25">
      <c r="A495" s="29">
        <v>494</v>
      </c>
      <c r="B495" s="1" t="s">
        <v>631</v>
      </c>
      <c r="C495" s="31">
        <v>45749</v>
      </c>
      <c r="D495" s="1" t="s">
        <v>41</v>
      </c>
      <c r="E495" s="13" t="s">
        <v>1470</v>
      </c>
      <c r="F495" s="1" t="s">
        <v>89</v>
      </c>
      <c r="G495" s="1" t="s">
        <v>513</v>
      </c>
      <c r="H495" s="1" t="s">
        <v>235</v>
      </c>
      <c r="I495" s="31">
        <v>45786</v>
      </c>
      <c r="J495" s="1" t="s">
        <v>602</v>
      </c>
      <c r="K495" s="1" t="s">
        <v>37</v>
      </c>
      <c r="L495" s="1" t="s">
        <v>633</v>
      </c>
      <c r="M495" s="2" t="s">
        <v>1471</v>
      </c>
      <c r="N495" s="31">
        <v>45862</v>
      </c>
    </row>
    <row r="496" spans="1:14" x14ac:dyDescent="0.25">
      <c r="A496" s="29">
        <v>495</v>
      </c>
      <c r="B496" s="1" t="s">
        <v>635</v>
      </c>
      <c r="C496" s="31">
        <v>45800</v>
      </c>
      <c r="D496" s="1" t="s">
        <v>267</v>
      </c>
      <c r="E496" s="13" t="s">
        <v>1472</v>
      </c>
      <c r="F496" s="1" t="s">
        <v>89</v>
      </c>
      <c r="G496" s="1" t="s">
        <v>561</v>
      </c>
      <c r="H496" s="1" t="s">
        <v>453</v>
      </c>
      <c r="I496" s="31">
        <v>45873</v>
      </c>
      <c r="J496" s="1" t="s">
        <v>637</v>
      </c>
      <c r="K496" s="1" t="s">
        <v>37</v>
      </c>
      <c r="L496" s="1" t="s">
        <v>638</v>
      </c>
      <c r="M496" s="2" t="s">
        <v>1473</v>
      </c>
      <c r="N496" s="31">
        <v>45878</v>
      </c>
    </row>
    <row r="497" spans="1:14" x14ac:dyDescent="0.25">
      <c r="A497" s="29">
        <v>496</v>
      </c>
      <c r="B497" s="1" t="s">
        <v>437</v>
      </c>
      <c r="C497" s="31">
        <v>45819</v>
      </c>
      <c r="D497" s="1" t="s">
        <v>363</v>
      </c>
      <c r="E497" s="13" t="s">
        <v>1474</v>
      </c>
      <c r="F497" s="1" t="s">
        <v>89</v>
      </c>
      <c r="G497" s="1" t="s">
        <v>187</v>
      </c>
      <c r="H497" s="1" t="s">
        <v>641</v>
      </c>
      <c r="I497" s="31">
        <v>45937</v>
      </c>
      <c r="J497" s="1" t="s">
        <v>562</v>
      </c>
      <c r="K497" s="1" t="s">
        <v>37</v>
      </c>
      <c r="L497" s="1" t="s">
        <v>642</v>
      </c>
      <c r="M497" s="2" t="s">
        <v>1475</v>
      </c>
      <c r="N497" s="31">
        <v>45895</v>
      </c>
    </row>
    <row r="498" spans="1:14" x14ac:dyDescent="0.25">
      <c r="A498" s="29">
        <v>497</v>
      </c>
      <c r="B498" s="1" t="s">
        <v>610</v>
      </c>
      <c r="C498" s="31">
        <v>45778</v>
      </c>
      <c r="D498" s="1" t="s">
        <v>387</v>
      </c>
      <c r="E498" s="13" t="s">
        <v>1476</v>
      </c>
      <c r="F498" s="1" t="s">
        <v>33</v>
      </c>
      <c r="G498" s="1" t="s">
        <v>120</v>
      </c>
      <c r="H498" s="1" t="s">
        <v>99</v>
      </c>
      <c r="I498" s="31">
        <v>45790</v>
      </c>
      <c r="J498" s="1" t="s">
        <v>645</v>
      </c>
      <c r="K498" s="1" t="s">
        <v>37</v>
      </c>
      <c r="L498" s="1" t="s">
        <v>646</v>
      </c>
      <c r="M498" s="2" t="s">
        <v>1477</v>
      </c>
      <c r="N498" s="31">
        <v>45844</v>
      </c>
    </row>
    <row r="499" spans="1:14" x14ac:dyDescent="0.25">
      <c r="A499" s="29">
        <v>498</v>
      </c>
      <c r="B499" s="1" t="s">
        <v>125</v>
      </c>
      <c r="C499" s="31">
        <v>45735</v>
      </c>
      <c r="D499" s="1" t="s">
        <v>648</v>
      </c>
      <c r="E499" s="13" t="s">
        <v>1478</v>
      </c>
      <c r="F499" s="1" t="s">
        <v>33</v>
      </c>
      <c r="G499" s="1" t="s">
        <v>337</v>
      </c>
      <c r="H499" s="1" t="s">
        <v>59</v>
      </c>
      <c r="I499" s="31">
        <v>45767</v>
      </c>
      <c r="J499" s="1" t="s">
        <v>422</v>
      </c>
      <c r="K499" s="1" t="s">
        <v>37</v>
      </c>
      <c r="L499" s="1" t="s">
        <v>650</v>
      </c>
      <c r="M499" s="2" t="s">
        <v>1479</v>
      </c>
      <c r="N499" s="31">
        <v>45872</v>
      </c>
    </row>
    <row r="500" spans="1:14" x14ac:dyDescent="0.25">
      <c r="A500" s="29">
        <v>499</v>
      </c>
      <c r="B500" s="1" t="s">
        <v>652</v>
      </c>
      <c r="C500" s="31">
        <v>45865</v>
      </c>
      <c r="D500" s="1" t="s">
        <v>363</v>
      </c>
      <c r="E500" s="13" t="s">
        <v>1480</v>
      </c>
      <c r="F500" s="1" t="s">
        <v>33</v>
      </c>
      <c r="G500" s="1" t="s">
        <v>269</v>
      </c>
      <c r="H500" s="1" t="s">
        <v>654</v>
      </c>
      <c r="I500" s="31">
        <v>45873</v>
      </c>
      <c r="J500" s="1" t="s">
        <v>655</v>
      </c>
      <c r="K500" s="1" t="s">
        <v>37</v>
      </c>
      <c r="L500" s="1" t="s">
        <v>656</v>
      </c>
      <c r="M500" s="2" t="s">
        <v>1481</v>
      </c>
      <c r="N500" s="31">
        <v>45852</v>
      </c>
    </row>
    <row r="501" spans="1:14" x14ac:dyDescent="0.25">
      <c r="A501" s="29">
        <v>500</v>
      </c>
      <c r="B501" s="1" t="s">
        <v>516</v>
      </c>
      <c r="C501" s="31">
        <v>45874</v>
      </c>
      <c r="D501" s="1" t="s">
        <v>552</v>
      </c>
      <c r="E501" s="13" t="s">
        <v>1482</v>
      </c>
      <c r="F501" s="1" t="s">
        <v>33</v>
      </c>
      <c r="G501" s="1" t="s">
        <v>187</v>
      </c>
      <c r="H501" s="1" t="s">
        <v>121</v>
      </c>
      <c r="I501" s="31">
        <v>45926</v>
      </c>
      <c r="J501" s="1" t="s">
        <v>659</v>
      </c>
      <c r="K501" s="1" t="s">
        <v>37</v>
      </c>
      <c r="L501" s="1" t="s">
        <v>660</v>
      </c>
      <c r="M501" s="2" t="s">
        <v>1483</v>
      </c>
      <c r="N501" s="31">
        <v>45873</v>
      </c>
    </row>
    <row r="502" spans="1:14" x14ac:dyDescent="0.25">
      <c r="A502" s="29">
        <v>501</v>
      </c>
      <c r="B502" s="1" t="s">
        <v>153</v>
      </c>
      <c r="C502" s="31">
        <v>45670</v>
      </c>
      <c r="D502" s="1" t="s">
        <v>374</v>
      </c>
      <c r="E502" s="13" t="s">
        <v>1484</v>
      </c>
      <c r="F502" s="1" t="s">
        <v>33</v>
      </c>
      <c r="G502" s="1" t="s">
        <v>208</v>
      </c>
      <c r="H502" s="1" t="s">
        <v>196</v>
      </c>
      <c r="I502" s="31">
        <v>45679</v>
      </c>
      <c r="J502" s="1" t="s">
        <v>663</v>
      </c>
      <c r="K502" s="1" t="s">
        <v>37</v>
      </c>
      <c r="L502" s="1" t="s">
        <v>664</v>
      </c>
      <c r="M502" s="2" t="s">
        <v>1485</v>
      </c>
      <c r="N502" s="31">
        <v>45844</v>
      </c>
    </row>
    <row r="503" spans="1:14" x14ac:dyDescent="0.25">
      <c r="A503" s="29">
        <v>502</v>
      </c>
      <c r="B503" s="1" t="s">
        <v>666</v>
      </c>
      <c r="C503" s="31">
        <v>45874</v>
      </c>
      <c r="D503" s="1" t="s">
        <v>467</v>
      </c>
      <c r="E503" s="13" t="s">
        <v>1486</v>
      </c>
      <c r="F503" s="1" t="s">
        <v>89</v>
      </c>
      <c r="G503" s="1" t="s">
        <v>227</v>
      </c>
      <c r="H503" s="1" t="s">
        <v>580</v>
      </c>
      <c r="I503" s="31">
        <v>45982</v>
      </c>
      <c r="J503" s="1" t="s">
        <v>668</v>
      </c>
      <c r="K503" s="1" t="s">
        <v>37</v>
      </c>
      <c r="L503" s="1" t="s">
        <v>669</v>
      </c>
      <c r="M503" s="2" t="s">
        <v>1487</v>
      </c>
      <c r="N503" s="31">
        <v>45897</v>
      </c>
    </row>
    <row r="504" spans="1:14" x14ac:dyDescent="0.25">
      <c r="A504" s="29">
        <v>503</v>
      </c>
      <c r="B504" s="1" t="s">
        <v>671</v>
      </c>
      <c r="C504" s="31">
        <v>45783</v>
      </c>
      <c r="D504" s="1" t="s">
        <v>49</v>
      </c>
      <c r="E504" s="13" t="s">
        <v>1488</v>
      </c>
      <c r="F504" s="1" t="s">
        <v>33</v>
      </c>
      <c r="G504" s="1" t="s">
        <v>337</v>
      </c>
      <c r="H504" s="1" t="s">
        <v>427</v>
      </c>
      <c r="I504" s="31">
        <v>45863</v>
      </c>
      <c r="J504" s="1" t="s">
        <v>673</v>
      </c>
      <c r="K504" s="1" t="s">
        <v>37</v>
      </c>
      <c r="L504" s="1" t="s">
        <v>674</v>
      </c>
      <c r="M504" s="2" t="s">
        <v>1489</v>
      </c>
      <c r="N504" s="31">
        <v>45862</v>
      </c>
    </row>
    <row r="505" spans="1:14" x14ac:dyDescent="0.25">
      <c r="A505" s="29">
        <v>504</v>
      </c>
      <c r="B505" s="1" t="s">
        <v>437</v>
      </c>
      <c r="C505" s="31">
        <v>45945</v>
      </c>
      <c r="D505" s="1" t="s">
        <v>351</v>
      </c>
      <c r="E505" s="13" t="s">
        <v>1490</v>
      </c>
      <c r="F505" s="1" t="s">
        <v>89</v>
      </c>
      <c r="G505" s="1" t="s">
        <v>490</v>
      </c>
      <c r="H505" s="1" t="s">
        <v>188</v>
      </c>
      <c r="I505" s="31">
        <v>45955</v>
      </c>
      <c r="J505" s="1" t="s">
        <v>45</v>
      </c>
      <c r="K505" s="1" t="s">
        <v>37</v>
      </c>
      <c r="L505" s="1" t="s">
        <v>677</v>
      </c>
      <c r="M505" s="2" t="s">
        <v>1491</v>
      </c>
      <c r="N505" s="31">
        <v>45850</v>
      </c>
    </row>
    <row r="506" spans="1:14" x14ac:dyDescent="0.25">
      <c r="A506" s="29">
        <v>505</v>
      </c>
      <c r="B506" s="1" t="s">
        <v>48</v>
      </c>
      <c r="C506" s="31">
        <v>45679</v>
      </c>
      <c r="D506" s="1" t="s">
        <v>154</v>
      </c>
      <c r="E506" s="13" t="s">
        <v>1492</v>
      </c>
      <c r="F506" s="1" t="s">
        <v>33</v>
      </c>
      <c r="G506" s="1" t="s">
        <v>34</v>
      </c>
      <c r="H506" s="1" t="s">
        <v>597</v>
      </c>
      <c r="I506" s="31">
        <v>45704</v>
      </c>
      <c r="J506" s="1" t="s">
        <v>354</v>
      </c>
      <c r="K506" s="1" t="s">
        <v>37</v>
      </c>
      <c r="L506" s="1" t="s">
        <v>680</v>
      </c>
      <c r="M506" s="2" t="s">
        <v>1493</v>
      </c>
      <c r="N506" s="31">
        <v>45888</v>
      </c>
    </row>
    <row r="507" spans="1:14" x14ac:dyDescent="0.25">
      <c r="A507" s="29">
        <v>506</v>
      </c>
      <c r="B507" s="1" t="s">
        <v>532</v>
      </c>
      <c r="C507" s="31">
        <v>45928</v>
      </c>
      <c r="D507" s="1" t="s">
        <v>480</v>
      </c>
      <c r="E507" s="13" t="s">
        <v>1494</v>
      </c>
      <c r="F507" s="1" t="s">
        <v>33</v>
      </c>
      <c r="G507" s="1" t="s">
        <v>179</v>
      </c>
      <c r="H507" s="1" t="s">
        <v>180</v>
      </c>
      <c r="I507" s="31">
        <v>45960</v>
      </c>
      <c r="J507" s="1" t="s">
        <v>683</v>
      </c>
      <c r="K507" s="1" t="s">
        <v>37</v>
      </c>
      <c r="L507" s="1" t="s">
        <v>684</v>
      </c>
      <c r="M507" s="2" t="s">
        <v>1495</v>
      </c>
      <c r="N507" s="31">
        <v>45881</v>
      </c>
    </row>
    <row r="508" spans="1:14" x14ac:dyDescent="0.25">
      <c r="A508" s="29">
        <v>507</v>
      </c>
      <c r="B508" s="1" t="s">
        <v>686</v>
      </c>
      <c r="C508" s="31">
        <v>45947</v>
      </c>
      <c r="D508" s="1" t="s">
        <v>170</v>
      </c>
      <c r="E508" s="13" t="s">
        <v>1496</v>
      </c>
      <c r="F508" s="1" t="s">
        <v>33</v>
      </c>
      <c r="G508" s="1" t="s">
        <v>255</v>
      </c>
      <c r="H508" s="1" t="s">
        <v>376</v>
      </c>
      <c r="I508" s="31">
        <v>46053</v>
      </c>
      <c r="J508" s="1" t="s">
        <v>257</v>
      </c>
      <c r="K508" s="1" t="s">
        <v>37</v>
      </c>
      <c r="L508" s="1" t="s">
        <v>688</v>
      </c>
      <c r="M508" s="2" t="s">
        <v>1497</v>
      </c>
      <c r="N508" s="31">
        <v>45870</v>
      </c>
    </row>
    <row r="509" spans="1:14" x14ac:dyDescent="0.25">
      <c r="A509" s="29">
        <v>508</v>
      </c>
      <c r="B509" s="1" t="s">
        <v>153</v>
      </c>
      <c r="C509" s="31">
        <v>45765</v>
      </c>
      <c r="D509" s="1" t="s">
        <v>292</v>
      </c>
      <c r="E509" s="13" t="s">
        <v>1498</v>
      </c>
      <c r="F509" s="1" t="s">
        <v>33</v>
      </c>
      <c r="G509" s="1" t="s">
        <v>691</v>
      </c>
      <c r="H509" s="1" t="s">
        <v>288</v>
      </c>
      <c r="I509" s="31">
        <v>45824</v>
      </c>
      <c r="J509" s="1" t="s">
        <v>181</v>
      </c>
      <c r="K509" s="1" t="s">
        <v>37</v>
      </c>
      <c r="L509" s="1" t="s">
        <v>692</v>
      </c>
      <c r="M509" s="2" t="s">
        <v>1499</v>
      </c>
      <c r="N509" s="31">
        <v>45879</v>
      </c>
    </row>
    <row r="510" spans="1:14" x14ac:dyDescent="0.25">
      <c r="A510" s="29">
        <v>509</v>
      </c>
      <c r="B510" s="1" t="s">
        <v>694</v>
      </c>
      <c r="C510" s="31">
        <v>45887</v>
      </c>
      <c r="D510" s="1" t="s">
        <v>218</v>
      </c>
      <c r="E510" s="13" t="s">
        <v>1500</v>
      </c>
      <c r="F510" s="1" t="s">
        <v>89</v>
      </c>
      <c r="G510" s="1" t="s">
        <v>220</v>
      </c>
      <c r="H510" s="1" t="s">
        <v>421</v>
      </c>
      <c r="I510" s="31">
        <v>45936</v>
      </c>
      <c r="J510" s="1" t="s">
        <v>60</v>
      </c>
      <c r="K510" s="1" t="s">
        <v>37</v>
      </c>
      <c r="L510" s="1" t="s">
        <v>696</v>
      </c>
      <c r="M510" s="2" t="s">
        <v>1501</v>
      </c>
      <c r="N510" s="31">
        <v>45844</v>
      </c>
    </row>
    <row r="511" spans="1:14" x14ac:dyDescent="0.25">
      <c r="A511" s="29">
        <v>510</v>
      </c>
      <c r="B511" s="1" t="s">
        <v>419</v>
      </c>
      <c r="C511" s="31">
        <v>45686</v>
      </c>
      <c r="D511" s="1" t="s">
        <v>391</v>
      </c>
      <c r="E511" s="13" t="s">
        <v>1502</v>
      </c>
      <c r="F511" s="1" t="s">
        <v>33</v>
      </c>
      <c r="G511" s="1" t="s">
        <v>310</v>
      </c>
      <c r="H511" s="1" t="s">
        <v>180</v>
      </c>
      <c r="I511" s="31">
        <v>45704</v>
      </c>
      <c r="J511" s="1" t="s">
        <v>699</v>
      </c>
      <c r="K511" s="1" t="s">
        <v>37</v>
      </c>
      <c r="L511" s="1" t="s">
        <v>700</v>
      </c>
      <c r="M511" s="2" t="s">
        <v>1503</v>
      </c>
      <c r="N511" s="31">
        <v>45898</v>
      </c>
    </row>
    <row r="512" spans="1:14" x14ac:dyDescent="0.25">
      <c r="A512" s="29">
        <v>511</v>
      </c>
      <c r="B512" s="1" t="s">
        <v>666</v>
      </c>
      <c r="C512" s="31">
        <v>45768</v>
      </c>
      <c r="D512" s="1" t="s">
        <v>253</v>
      </c>
      <c r="E512" s="13" t="s">
        <v>1504</v>
      </c>
      <c r="F512" s="1" t="s">
        <v>89</v>
      </c>
      <c r="G512" s="1" t="s">
        <v>561</v>
      </c>
      <c r="H512" s="1" t="s">
        <v>703</v>
      </c>
      <c r="I512" s="31">
        <v>45805</v>
      </c>
      <c r="J512" s="1" t="s">
        <v>135</v>
      </c>
      <c r="K512" s="1" t="s">
        <v>37</v>
      </c>
      <c r="L512" s="1" t="s">
        <v>704</v>
      </c>
      <c r="M512" s="2" t="s">
        <v>1505</v>
      </c>
      <c r="N512" s="31">
        <v>45853</v>
      </c>
    </row>
    <row r="513" spans="1:14" x14ac:dyDescent="0.25">
      <c r="A513" s="29">
        <v>512</v>
      </c>
      <c r="B513" s="1" t="s">
        <v>117</v>
      </c>
      <c r="C513" s="31">
        <v>45701</v>
      </c>
      <c r="D513" s="1" t="s">
        <v>706</v>
      </c>
      <c r="E513" s="13" t="s">
        <v>1506</v>
      </c>
      <c r="F513" s="1" t="s">
        <v>33</v>
      </c>
      <c r="G513" s="1" t="s">
        <v>98</v>
      </c>
      <c r="H513" s="1" t="s">
        <v>383</v>
      </c>
      <c r="I513" s="31">
        <v>45738</v>
      </c>
      <c r="J513" s="1" t="s">
        <v>428</v>
      </c>
      <c r="K513" s="1" t="s">
        <v>37</v>
      </c>
      <c r="L513" s="1" t="s">
        <v>708</v>
      </c>
      <c r="M513" s="2" t="s">
        <v>1507</v>
      </c>
      <c r="N513" s="31">
        <v>45841</v>
      </c>
    </row>
    <row r="514" spans="1:14" x14ac:dyDescent="0.25">
      <c r="A514" s="29">
        <v>513</v>
      </c>
      <c r="B514" s="1" t="s">
        <v>710</v>
      </c>
      <c r="C514" s="31">
        <v>45709</v>
      </c>
      <c r="D514" s="1" t="s">
        <v>111</v>
      </c>
      <c r="E514" s="13" t="s">
        <v>1508</v>
      </c>
      <c r="F514" s="1" t="s">
        <v>89</v>
      </c>
      <c r="G514" s="1" t="s">
        <v>712</v>
      </c>
      <c r="H514" s="1" t="s">
        <v>317</v>
      </c>
      <c r="I514" s="31">
        <v>45797</v>
      </c>
      <c r="J514" s="1" t="s">
        <v>598</v>
      </c>
      <c r="K514" s="1" t="s">
        <v>37</v>
      </c>
      <c r="L514" s="1" t="s">
        <v>713</v>
      </c>
      <c r="M514" s="2" t="s">
        <v>1509</v>
      </c>
      <c r="N514" s="31">
        <v>45851</v>
      </c>
    </row>
    <row r="515" spans="1:14" x14ac:dyDescent="0.25">
      <c r="A515" s="29">
        <v>514</v>
      </c>
      <c r="B515" s="1" t="s">
        <v>30</v>
      </c>
      <c r="C515" s="31">
        <v>45811</v>
      </c>
      <c r="D515" s="1" t="s">
        <v>308</v>
      </c>
      <c r="E515" s="13" t="s">
        <v>1510</v>
      </c>
      <c r="F515" s="1" t="s">
        <v>33</v>
      </c>
      <c r="G515" s="1" t="s">
        <v>248</v>
      </c>
      <c r="H515" s="1" t="s">
        <v>51</v>
      </c>
      <c r="I515" s="31">
        <v>45898</v>
      </c>
      <c r="J515" s="1" t="s">
        <v>263</v>
      </c>
      <c r="K515" s="1" t="s">
        <v>37</v>
      </c>
      <c r="L515" s="1" t="s">
        <v>716</v>
      </c>
      <c r="M515" s="2" t="s">
        <v>1511</v>
      </c>
      <c r="N515" s="31">
        <v>45849</v>
      </c>
    </row>
    <row r="516" spans="1:14" x14ac:dyDescent="0.25">
      <c r="A516" s="29">
        <v>515</v>
      </c>
      <c r="B516" s="1" t="s">
        <v>710</v>
      </c>
      <c r="C516" s="31">
        <v>45699</v>
      </c>
      <c r="D516" s="1" t="s">
        <v>332</v>
      </c>
      <c r="E516" s="13" t="s">
        <v>1512</v>
      </c>
      <c r="F516" s="1" t="s">
        <v>89</v>
      </c>
      <c r="G516" s="1" t="s">
        <v>316</v>
      </c>
      <c r="H516" s="1" t="s">
        <v>719</v>
      </c>
      <c r="I516" s="31">
        <v>45721</v>
      </c>
      <c r="J516" s="1" t="s">
        <v>720</v>
      </c>
      <c r="K516" s="1" t="s">
        <v>37</v>
      </c>
      <c r="L516" s="1" t="s">
        <v>721</v>
      </c>
      <c r="M516" s="2" t="s">
        <v>1513</v>
      </c>
      <c r="N516" s="31">
        <v>45883</v>
      </c>
    </row>
    <row r="517" spans="1:14" x14ac:dyDescent="0.25">
      <c r="A517" s="29">
        <v>516</v>
      </c>
      <c r="B517" s="1" t="s">
        <v>723</v>
      </c>
      <c r="C517" s="31">
        <v>45945</v>
      </c>
      <c r="D517" s="1" t="s">
        <v>340</v>
      </c>
      <c r="E517" s="13" t="s">
        <v>1514</v>
      </c>
      <c r="F517" s="1" t="s">
        <v>89</v>
      </c>
      <c r="G517" s="1" t="s">
        <v>74</v>
      </c>
      <c r="H517" s="1" t="s">
        <v>127</v>
      </c>
      <c r="I517" s="31">
        <v>46061</v>
      </c>
      <c r="J517" s="1" t="s">
        <v>725</v>
      </c>
      <c r="K517" s="1" t="s">
        <v>37</v>
      </c>
      <c r="L517" s="1" t="s">
        <v>726</v>
      </c>
      <c r="M517" s="2" t="s">
        <v>1515</v>
      </c>
      <c r="N517" s="31">
        <v>45843</v>
      </c>
    </row>
    <row r="518" spans="1:14" x14ac:dyDescent="0.25">
      <c r="A518" s="29">
        <v>517</v>
      </c>
      <c r="B518" s="1" t="s">
        <v>274</v>
      </c>
      <c r="C518" s="31">
        <v>45736</v>
      </c>
      <c r="D518" s="1" t="s">
        <v>728</v>
      </c>
      <c r="E518" s="13" t="s">
        <v>1516</v>
      </c>
      <c r="F518" s="1" t="s">
        <v>89</v>
      </c>
      <c r="G518" s="1" t="s">
        <v>66</v>
      </c>
      <c r="H518" s="1" t="s">
        <v>421</v>
      </c>
      <c r="I518" s="31">
        <v>45837</v>
      </c>
      <c r="J518" s="1" t="s">
        <v>52</v>
      </c>
      <c r="K518" s="1" t="s">
        <v>37</v>
      </c>
      <c r="L518" s="1" t="s">
        <v>730</v>
      </c>
      <c r="M518" s="2" t="s">
        <v>1517</v>
      </c>
      <c r="N518" s="31">
        <v>45862</v>
      </c>
    </row>
    <row r="519" spans="1:14" x14ac:dyDescent="0.25">
      <c r="A519" s="29">
        <v>518</v>
      </c>
      <c r="B519" s="1" t="s">
        <v>325</v>
      </c>
      <c r="C519" s="31">
        <v>45828</v>
      </c>
      <c r="D519" s="1" t="s">
        <v>480</v>
      </c>
      <c r="E519" s="13" t="s">
        <v>1518</v>
      </c>
      <c r="F519" s="1" t="s">
        <v>89</v>
      </c>
      <c r="G519" s="1" t="s">
        <v>81</v>
      </c>
      <c r="H519" s="1" t="s">
        <v>311</v>
      </c>
      <c r="I519" s="31">
        <v>45844</v>
      </c>
      <c r="J519" s="1" t="s">
        <v>463</v>
      </c>
      <c r="K519" s="1" t="s">
        <v>37</v>
      </c>
      <c r="L519" s="1" t="s">
        <v>733</v>
      </c>
      <c r="M519" s="2" t="s">
        <v>1519</v>
      </c>
      <c r="N519" s="31">
        <v>45844</v>
      </c>
    </row>
    <row r="520" spans="1:14" x14ac:dyDescent="0.25">
      <c r="A520" s="29">
        <v>519</v>
      </c>
      <c r="B520" s="1" t="s">
        <v>735</v>
      </c>
      <c r="C520" s="31">
        <v>45838</v>
      </c>
      <c r="D520" s="1" t="s">
        <v>332</v>
      </c>
      <c r="E520" s="13" t="s">
        <v>1520</v>
      </c>
      <c r="F520" s="1" t="s">
        <v>89</v>
      </c>
      <c r="G520" s="1" t="s">
        <v>452</v>
      </c>
      <c r="H520" s="1" t="s">
        <v>719</v>
      </c>
      <c r="I520" s="31">
        <v>45918</v>
      </c>
      <c r="J520" s="1" t="s">
        <v>566</v>
      </c>
      <c r="K520" s="1" t="s">
        <v>37</v>
      </c>
      <c r="L520" s="1" t="s">
        <v>737</v>
      </c>
      <c r="M520" s="2" t="s">
        <v>1521</v>
      </c>
      <c r="N520" s="31">
        <v>45890</v>
      </c>
    </row>
    <row r="521" spans="1:14" x14ac:dyDescent="0.25">
      <c r="A521" s="29">
        <v>520</v>
      </c>
      <c r="B521" s="1" t="s">
        <v>739</v>
      </c>
      <c r="C521" s="31">
        <v>45900</v>
      </c>
      <c r="D521" s="1" t="s">
        <v>41</v>
      </c>
      <c r="E521" s="13" t="s">
        <v>1522</v>
      </c>
      <c r="F521" s="1" t="s">
        <v>89</v>
      </c>
      <c r="G521" s="1" t="s">
        <v>187</v>
      </c>
      <c r="H521" s="1" t="s">
        <v>188</v>
      </c>
      <c r="I521" s="31">
        <v>45984</v>
      </c>
      <c r="J521" s="1" t="s">
        <v>741</v>
      </c>
      <c r="K521" s="1" t="s">
        <v>37</v>
      </c>
      <c r="L521" s="1" t="s">
        <v>742</v>
      </c>
      <c r="M521" s="2" t="s">
        <v>1523</v>
      </c>
      <c r="N521" s="31">
        <v>45846</v>
      </c>
    </row>
    <row r="522" spans="1:14" x14ac:dyDescent="0.25">
      <c r="A522" s="29">
        <v>521</v>
      </c>
      <c r="B522" s="1" t="s">
        <v>30</v>
      </c>
      <c r="C522" s="31">
        <v>45953</v>
      </c>
      <c r="D522" s="1" t="s">
        <v>31</v>
      </c>
      <c r="E522" s="13" t="s">
        <v>1524</v>
      </c>
      <c r="F522" s="1" t="s">
        <v>33</v>
      </c>
      <c r="G522" s="1" t="s">
        <v>34</v>
      </c>
      <c r="H522" s="1" t="s">
        <v>35</v>
      </c>
      <c r="I522" s="31">
        <v>45959</v>
      </c>
      <c r="J522" s="1" t="s">
        <v>36</v>
      </c>
      <c r="K522" s="1" t="s">
        <v>37</v>
      </c>
      <c r="L522" s="1" t="s">
        <v>38</v>
      </c>
      <c r="M522" s="2" t="s">
        <v>1525</v>
      </c>
      <c r="N522" s="31">
        <v>45845</v>
      </c>
    </row>
    <row r="523" spans="1:14" x14ac:dyDescent="0.25">
      <c r="A523" s="29">
        <v>522</v>
      </c>
      <c r="B523" s="1" t="s">
        <v>40</v>
      </c>
      <c r="C523" s="31">
        <v>45774</v>
      </c>
      <c r="D523" s="1" t="s">
        <v>41</v>
      </c>
      <c r="E523" s="13" t="s">
        <v>1526</v>
      </c>
      <c r="F523" s="1" t="s">
        <v>33</v>
      </c>
      <c r="G523" s="1" t="s">
        <v>43</v>
      </c>
      <c r="H523" s="1" t="s">
        <v>44</v>
      </c>
      <c r="I523" s="31">
        <v>45805</v>
      </c>
      <c r="J523" s="1" t="s">
        <v>45</v>
      </c>
      <c r="K523" s="1" t="s">
        <v>37</v>
      </c>
      <c r="L523" s="1" t="s">
        <v>46</v>
      </c>
      <c r="M523" s="2" t="s">
        <v>1527</v>
      </c>
      <c r="N523" s="31">
        <v>45898</v>
      </c>
    </row>
    <row r="524" spans="1:14" x14ac:dyDescent="0.25">
      <c r="A524" s="29">
        <v>523</v>
      </c>
      <c r="B524" s="1" t="s">
        <v>48</v>
      </c>
      <c r="C524" s="31">
        <v>45936</v>
      </c>
      <c r="D524" s="1" t="s">
        <v>49</v>
      </c>
      <c r="E524" s="13" t="s">
        <v>1528</v>
      </c>
      <c r="F524" s="1" t="s">
        <v>33</v>
      </c>
      <c r="G524" s="1" t="s">
        <v>34</v>
      </c>
      <c r="H524" s="1" t="s">
        <v>51</v>
      </c>
      <c r="I524" s="31">
        <v>45992</v>
      </c>
      <c r="J524" s="1" t="s">
        <v>52</v>
      </c>
      <c r="K524" s="1" t="s">
        <v>37</v>
      </c>
      <c r="L524" s="1" t="s">
        <v>53</v>
      </c>
      <c r="M524" s="2" t="s">
        <v>1529</v>
      </c>
      <c r="N524" s="31">
        <v>45877</v>
      </c>
    </row>
    <row r="525" spans="1:14" x14ac:dyDescent="0.25">
      <c r="A525" s="29">
        <v>524</v>
      </c>
      <c r="B525" s="1" t="s">
        <v>55</v>
      </c>
      <c r="C525" s="31">
        <v>45743</v>
      </c>
      <c r="D525" s="1" t="s">
        <v>56</v>
      </c>
      <c r="E525" s="13" t="s">
        <v>1530</v>
      </c>
      <c r="F525" s="1" t="s">
        <v>33</v>
      </c>
      <c r="G525" s="1" t="s">
        <v>58</v>
      </c>
      <c r="H525" s="1" t="s">
        <v>59</v>
      </c>
      <c r="I525" s="31">
        <v>45754</v>
      </c>
      <c r="J525" s="1" t="s">
        <v>60</v>
      </c>
      <c r="K525" s="1" t="s">
        <v>37</v>
      </c>
      <c r="L525" s="1" t="s">
        <v>61</v>
      </c>
      <c r="M525" s="2" t="s">
        <v>1531</v>
      </c>
      <c r="N525" s="31">
        <v>45872</v>
      </c>
    </row>
    <row r="526" spans="1:14" x14ac:dyDescent="0.25">
      <c r="A526" s="29">
        <v>525</v>
      </c>
      <c r="B526" s="1" t="s">
        <v>63</v>
      </c>
      <c r="C526" s="31">
        <v>45950</v>
      </c>
      <c r="D526" s="1" t="s">
        <v>64</v>
      </c>
      <c r="E526" s="13" t="s">
        <v>1532</v>
      </c>
      <c r="F526" s="1" t="s">
        <v>33</v>
      </c>
      <c r="G526" s="1" t="s">
        <v>66</v>
      </c>
      <c r="H526" s="1" t="s">
        <v>67</v>
      </c>
      <c r="I526" s="31">
        <v>45969</v>
      </c>
      <c r="J526" s="1" t="s">
        <v>68</v>
      </c>
      <c r="K526" s="1" t="s">
        <v>37</v>
      </c>
      <c r="L526" s="1" t="s">
        <v>69</v>
      </c>
      <c r="M526" s="2" t="s">
        <v>1533</v>
      </c>
      <c r="N526" s="31">
        <v>45840</v>
      </c>
    </row>
    <row r="527" spans="1:14" x14ac:dyDescent="0.25">
      <c r="A527" s="29">
        <v>526</v>
      </c>
      <c r="B527" s="1" t="s">
        <v>71</v>
      </c>
      <c r="C527" s="31">
        <v>45659</v>
      </c>
      <c r="D527" s="1" t="s">
        <v>72</v>
      </c>
      <c r="E527" s="13" t="s">
        <v>1534</v>
      </c>
      <c r="F527" s="1" t="s">
        <v>33</v>
      </c>
      <c r="G527" s="1" t="s">
        <v>74</v>
      </c>
      <c r="H527" s="1" t="s">
        <v>44</v>
      </c>
      <c r="I527" s="31">
        <v>45686</v>
      </c>
      <c r="J527" s="1" t="s">
        <v>75</v>
      </c>
      <c r="K527" s="1" t="s">
        <v>37</v>
      </c>
      <c r="L527" s="1" t="s">
        <v>76</v>
      </c>
      <c r="M527" s="2" t="s">
        <v>1535</v>
      </c>
      <c r="N527" s="31">
        <v>45858</v>
      </c>
    </row>
    <row r="528" spans="1:14" x14ac:dyDescent="0.25">
      <c r="A528" s="29">
        <v>527</v>
      </c>
      <c r="B528" s="1" t="s">
        <v>78</v>
      </c>
      <c r="C528" s="31">
        <v>45841</v>
      </c>
      <c r="D528" s="1" t="s">
        <v>79</v>
      </c>
      <c r="E528" s="13" t="s">
        <v>1536</v>
      </c>
      <c r="F528" s="1" t="s">
        <v>33</v>
      </c>
      <c r="G528" s="1" t="s">
        <v>81</v>
      </c>
      <c r="H528" s="1" t="s">
        <v>82</v>
      </c>
      <c r="I528" s="31">
        <v>45924</v>
      </c>
      <c r="J528" s="1" t="s">
        <v>83</v>
      </c>
      <c r="K528" s="1" t="s">
        <v>37</v>
      </c>
      <c r="L528" s="1" t="s">
        <v>84</v>
      </c>
      <c r="M528" s="2" t="s">
        <v>1537</v>
      </c>
      <c r="N528" s="31">
        <v>45859</v>
      </c>
    </row>
    <row r="529" spans="1:14" x14ac:dyDescent="0.25">
      <c r="A529" s="29">
        <v>528</v>
      </c>
      <c r="B529" s="1" t="s">
        <v>86</v>
      </c>
      <c r="C529" s="31">
        <v>45835</v>
      </c>
      <c r="D529" s="1" t="s">
        <v>87</v>
      </c>
      <c r="E529" s="13" t="s">
        <v>1538</v>
      </c>
      <c r="F529" s="1" t="s">
        <v>89</v>
      </c>
      <c r="G529" s="1" t="s">
        <v>90</v>
      </c>
      <c r="H529" s="1" t="s">
        <v>91</v>
      </c>
      <c r="I529" s="31">
        <v>45893</v>
      </c>
      <c r="J529" s="1" t="s">
        <v>92</v>
      </c>
      <c r="K529" s="1" t="s">
        <v>37</v>
      </c>
      <c r="L529" s="1" t="s">
        <v>93</v>
      </c>
      <c r="M529" s="2" t="s">
        <v>1539</v>
      </c>
      <c r="N529" s="31">
        <v>45846</v>
      </c>
    </row>
    <row r="530" spans="1:14" x14ac:dyDescent="0.25">
      <c r="A530" s="29">
        <v>529</v>
      </c>
      <c r="B530" s="1" t="s">
        <v>95</v>
      </c>
      <c r="C530" s="31">
        <v>45926</v>
      </c>
      <c r="D530" s="1" t="s">
        <v>96</v>
      </c>
      <c r="E530" s="13" t="s">
        <v>1540</v>
      </c>
      <c r="F530" s="1" t="s">
        <v>89</v>
      </c>
      <c r="G530" s="1" t="s">
        <v>98</v>
      </c>
      <c r="H530" s="1" t="s">
        <v>99</v>
      </c>
      <c r="I530" s="31">
        <v>45969</v>
      </c>
      <c r="J530" s="1" t="s">
        <v>100</v>
      </c>
      <c r="K530" s="1" t="s">
        <v>37</v>
      </c>
      <c r="L530" s="1" t="s">
        <v>101</v>
      </c>
      <c r="M530" s="2" t="s">
        <v>1541</v>
      </c>
      <c r="N530" s="31">
        <v>45896</v>
      </c>
    </row>
    <row r="531" spans="1:14" x14ac:dyDescent="0.25">
      <c r="A531" s="29">
        <v>530</v>
      </c>
      <c r="B531" s="1" t="s">
        <v>103</v>
      </c>
      <c r="C531" s="31">
        <v>45663</v>
      </c>
      <c r="D531" s="1" t="s">
        <v>56</v>
      </c>
      <c r="E531" s="13" t="s">
        <v>1542</v>
      </c>
      <c r="F531" s="1" t="s">
        <v>33</v>
      </c>
      <c r="G531" s="1" t="s">
        <v>105</v>
      </c>
      <c r="H531" s="1" t="s">
        <v>106</v>
      </c>
      <c r="I531" s="31">
        <v>45730</v>
      </c>
      <c r="J531" s="1" t="s">
        <v>107</v>
      </c>
      <c r="K531" s="1" t="s">
        <v>37</v>
      </c>
      <c r="L531" s="1" t="s">
        <v>108</v>
      </c>
      <c r="M531" s="2" t="s">
        <v>1543</v>
      </c>
      <c r="N531" s="31">
        <v>45848</v>
      </c>
    </row>
    <row r="532" spans="1:14" x14ac:dyDescent="0.25">
      <c r="A532" s="29">
        <v>531</v>
      </c>
      <c r="B532" s="1" t="s">
        <v>110</v>
      </c>
      <c r="C532" s="31">
        <v>45706</v>
      </c>
      <c r="D532" s="1" t="s">
        <v>111</v>
      </c>
      <c r="E532" s="13" t="s">
        <v>1544</v>
      </c>
      <c r="F532" s="1" t="s">
        <v>89</v>
      </c>
      <c r="G532" s="1" t="s">
        <v>113</v>
      </c>
      <c r="H532" s="1" t="s">
        <v>35</v>
      </c>
      <c r="I532" s="31">
        <v>45815</v>
      </c>
      <c r="J532" s="1" t="s">
        <v>114</v>
      </c>
      <c r="K532" s="1" t="s">
        <v>37</v>
      </c>
      <c r="L532" s="1" t="s">
        <v>115</v>
      </c>
      <c r="M532" s="2" t="s">
        <v>1545</v>
      </c>
      <c r="N532" s="31">
        <v>45884</v>
      </c>
    </row>
    <row r="533" spans="1:14" x14ac:dyDescent="0.25">
      <c r="A533" s="29">
        <v>532</v>
      </c>
      <c r="B533" s="1" t="s">
        <v>117</v>
      </c>
      <c r="C533" s="31">
        <v>45854</v>
      </c>
      <c r="D533" s="1" t="s">
        <v>118</v>
      </c>
      <c r="E533" s="13" t="s">
        <v>1546</v>
      </c>
      <c r="F533" s="1" t="s">
        <v>33</v>
      </c>
      <c r="G533" s="1" t="s">
        <v>120</v>
      </c>
      <c r="H533" s="1" t="s">
        <v>121</v>
      </c>
      <c r="I533" s="31">
        <v>45971</v>
      </c>
      <c r="J533" s="1" t="s">
        <v>122</v>
      </c>
      <c r="K533" s="1" t="s">
        <v>37</v>
      </c>
      <c r="L533" s="1" t="s">
        <v>123</v>
      </c>
      <c r="M533" s="2" t="s">
        <v>1547</v>
      </c>
      <c r="N533" s="31">
        <v>45872</v>
      </c>
    </row>
    <row r="534" spans="1:14" x14ac:dyDescent="0.25">
      <c r="A534" s="29">
        <v>533</v>
      </c>
      <c r="B534" s="1" t="s">
        <v>125</v>
      </c>
      <c r="C534" s="31">
        <v>45946</v>
      </c>
      <c r="D534" s="1" t="s">
        <v>79</v>
      </c>
      <c r="E534" s="13" t="s">
        <v>1548</v>
      </c>
      <c r="F534" s="1" t="s">
        <v>33</v>
      </c>
      <c r="G534" s="1" t="s">
        <v>43</v>
      </c>
      <c r="H534" s="1" t="s">
        <v>127</v>
      </c>
      <c r="I534" s="31">
        <v>46009</v>
      </c>
      <c r="J534" s="1" t="s">
        <v>128</v>
      </c>
      <c r="K534" s="1" t="s">
        <v>37</v>
      </c>
      <c r="L534" s="1" t="s">
        <v>129</v>
      </c>
      <c r="M534" s="2" t="s">
        <v>1549</v>
      </c>
      <c r="N534" s="31">
        <v>45841</v>
      </c>
    </row>
    <row r="535" spans="1:14" x14ac:dyDescent="0.25">
      <c r="A535" s="29">
        <v>534</v>
      </c>
      <c r="B535" s="1" t="s">
        <v>131</v>
      </c>
      <c r="C535" s="31">
        <v>45940</v>
      </c>
      <c r="D535" s="1" t="s">
        <v>132</v>
      </c>
      <c r="E535" s="13" t="s">
        <v>1550</v>
      </c>
      <c r="F535" s="1" t="s">
        <v>89</v>
      </c>
      <c r="G535" s="1" t="s">
        <v>34</v>
      </c>
      <c r="H535" s="1" t="s">
        <v>134</v>
      </c>
      <c r="I535" s="31">
        <v>46053</v>
      </c>
      <c r="J535" s="1" t="s">
        <v>135</v>
      </c>
      <c r="K535" s="1" t="s">
        <v>37</v>
      </c>
      <c r="L535" s="1" t="s">
        <v>136</v>
      </c>
      <c r="M535" s="2" t="s">
        <v>1551</v>
      </c>
      <c r="N535" s="31">
        <v>45845</v>
      </c>
    </row>
    <row r="536" spans="1:14" x14ac:dyDescent="0.25">
      <c r="A536" s="29">
        <v>535</v>
      </c>
      <c r="B536" s="1" t="s">
        <v>138</v>
      </c>
      <c r="C536" s="31">
        <v>45698</v>
      </c>
      <c r="D536" s="1" t="s">
        <v>139</v>
      </c>
      <c r="E536" s="13" t="s">
        <v>1552</v>
      </c>
      <c r="F536" s="1" t="s">
        <v>89</v>
      </c>
      <c r="G536" s="1" t="s">
        <v>141</v>
      </c>
      <c r="H536" s="1" t="s">
        <v>142</v>
      </c>
      <c r="I536" s="31">
        <v>45746</v>
      </c>
      <c r="J536" s="1" t="s">
        <v>143</v>
      </c>
      <c r="K536" s="1" t="s">
        <v>37</v>
      </c>
      <c r="L536" s="1" t="s">
        <v>144</v>
      </c>
      <c r="M536" s="2" t="s">
        <v>1553</v>
      </c>
      <c r="N536" s="31">
        <v>45876</v>
      </c>
    </row>
    <row r="537" spans="1:14" x14ac:dyDescent="0.25">
      <c r="A537" s="29">
        <v>536</v>
      </c>
      <c r="B537" s="1" t="s">
        <v>146</v>
      </c>
      <c r="C537" s="31">
        <v>45786</v>
      </c>
      <c r="D537" s="1" t="s">
        <v>147</v>
      </c>
      <c r="E537" s="13" t="s">
        <v>1554</v>
      </c>
      <c r="F537" s="1" t="s">
        <v>33</v>
      </c>
      <c r="G537" s="1" t="s">
        <v>34</v>
      </c>
      <c r="H537" s="1" t="s">
        <v>149</v>
      </c>
      <c r="I537" s="31">
        <v>45815</v>
      </c>
      <c r="J537" s="1" t="s">
        <v>150</v>
      </c>
      <c r="K537" s="1" t="s">
        <v>37</v>
      </c>
      <c r="L537" s="1" t="s">
        <v>151</v>
      </c>
      <c r="M537" s="2" t="s">
        <v>1555</v>
      </c>
      <c r="N537" s="31">
        <v>45890</v>
      </c>
    </row>
    <row r="538" spans="1:14" x14ac:dyDescent="0.25">
      <c r="A538" s="29">
        <v>537</v>
      </c>
      <c r="B538" s="1" t="s">
        <v>153</v>
      </c>
      <c r="C538" s="31">
        <v>45828</v>
      </c>
      <c r="D538" s="1" t="s">
        <v>154</v>
      </c>
      <c r="E538" s="13" t="s">
        <v>1556</v>
      </c>
      <c r="F538" s="1" t="s">
        <v>33</v>
      </c>
      <c r="G538" s="1" t="s">
        <v>156</v>
      </c>
      <c r="H538" s="1" t="s">
        <v>157</v>
      </c>
      <c r="I538" s="31">
        <v>45852</v>
      </c>
      <c r="J538" s="1" t="s">
        <v>158</v>
      </c>
      <c r="K538" s="1" t="s">
        <v>37</v>
      </c>
      <c r="L538" s="1" t="s">
        <v>159</v>
      </c>
      <c r="M538" s="2" t="s">
        <v>1557</v>
      </c>
      <c r="N538" s="31">
        <v>45898</v>
      </c>
    </row>
    <row r="539" spans="1:14" x14ac:dyDescent="0.25">
      <c r="A539" s="29">
        <v>538</v>
      </c>
      <c r="B539" s="1" t="s">
        <v>161</v>
      </c>
      <c r="C539" s="31">
        <v>45699</v>
      </c>
      <c r="D539" s="1" t="s">
        <v>162</v>
      </c>
      <c r="E539" s="13" t="s">
        <v>1558</v>
      </c>
      <c r="F539" s="1" t="s">
        <v>33</v>
      </c>
      <c r="G539" s="1" t="s">
        <v>164</v>
      </c>
      <c r="H539" s="1" t="s">
        <v>165</v>
      </c>
      <c r="I539" s="31">
        <v>45809</v>
      </c>
      <c r="J539" s="1" t="s">
        <v>166</v>
      </c>
      <c r="K539" s="1" t="s">
        <v>37</v>
      </c>
      <c r="L539" s="1" t="s">
        <v>167</v>
      </c>
      <c r="M539" s="2" t="s">
        <v>1559</v>
      </c>
      <c r="N539" s="31">
        <v>45866</v>
      </c>
    </row>
    <row r="540" spans="1:14" x14ac:dyDescent="0.25">
      <c r="A540" s="29">
        <v>539</v>
      </c>
      <c r="B540" s="1" t="s">
        <v>169</v>
      </c>
      <c r="C540" s="31">
        <v>45703</v>
      </c>
      <c r="D540" s="1" t="s">
        <v>170</v>
      </c>
      <c r="E540" s="13" t="s">
        <v>1560</v>
      </c>
      <c r="F540" s="1" t="s">
        <v>33</v>
      </c>
      <c r="G540" s="1" t="s">
        <v>172</v>
      </c>
      <c r="H540" s="1" t="s">
        <v>173</v>
      </c>
      <c r="I540" s="31">
        <v>45820</v>
      </c>
      <c r="J540" s="1" t="s">
        <v>174</v>
      </c>
      <c r="K540" s="1" t="s">
        <v>37</v>
      </c>
      <c r="L540" s="1" t="s">
        <v>175</v>
      </c>
      <c r="M540" s="2" t="s">
        <v>1561</v>
      </c>
      <c r="N540" s="31">
        <v>45897</v>
      </c>
    </row>
    <row r="541" spans="1:14" x14ac:dyDescent="0.25">
      <c r="A541" s="29">
        <v>540</v>
      </c>
      <c r="B541" s="1" t="s">
        <v>177</v>
      </c>
      <c r="C541" s="31">
        <v>45737</v>
      </c>
      <c r="D541" s="1" t="s">
        <v>96</v>
      </c>
      <c r="E541" s="13" t="s">
        <v>1562</v>
      </c>
      <c r="F541" s="1" t="s">
        <v>89</v>
      </c>
      <c r="G541" s="1" t="s">
        <v>179</v>
      </c>
      <c r="H541" s="1" t="s">
        <v>180</v>
      </c>
      <c r="I541" s="31">
        <v>45800</v>
      </c>
      <c r="J541" s="1" t="s">
        <v>181</v>
      </c>
      <c r="K541" s="1" t="s">
        <v>37</v>
      </c>
      <c r="L541" s="1" t="s">
        <v>182</v>
      </c>
      <c r="M541" s="2" t="s">
        <v>1563</v>
      </c>
      <c r="N541" s="31">
        <v>45885</v>
      </c>
    </row>
    <row r="542" spans="1:14" x14ac:dyDescent="0.25">
      <c r="A542" s="29">
        <v>541</v>
      </c>
      <c r="B542" s="1" t="s">
        <v>184</v>
      </c>
      <c r="C542" s="31">
        <v>45955</v>
      </c>
      <c r="D542" s="1" t="s">
        <v>185</v>
      </c>
      <c r="E542" s="13" t="s">
        <v>1564</v>
      </c>
      <c r="F542" s="1" t="s">
        <v>89</v>
      </c>
      <c r="G542" s="1" t="s">
        <v>187</v>
      </c>
      <c r="H542" s="1" t="s">
        <v>188</v>
      </c>
      <c r="I542" s="31">
        <v>45983</v>
      </c>
      <c r="J542" s="1" t="s">
        <v>189</v>
      </c>
      <c r="K542" s="1" t="s">
        <v>37</v>
      </c>
      <c r="L542" s="1" t="s">
        <v>190</v>
      </c>
      <c r="M542" s="2" t="s">
        <v>1565</v>
      </c>
      <c r="N542" s="31">
        <v>45868</v>
      </c>
    </row>
    <row r="543" spans="1:14" x14ac:dyDescent="0.25">
      <c r="A543" s="29">
        <v>542</v>
      </c>
      <c r="B543" s="1" t="s">
        <v>192</v>
      </c>
      <c r="C543" s="31">
        <v>45826</v>
      </c>
      <c r="D543" s="1" t="s">
        <v>193</v>
      </c>
      <c r="E543" s="13" t="s">
        <v>1566</v>
      </c>
      <c r="F543" s="1" t="s">
        <v>89</v>
      </c>
      <c r="G543" s="1" t="s">
        <v>195</v>
      </c>
      <c r="H543" s="1" t="s">
        <v>196</v>
      </c>
      <c r="I543" s="31">
        <v>45840</v>
      </c>
      <c r="J543" s="1" t="s">
        <v>197</v>
      </c>
      <c r="K543" s="1" t="s">
        <v>37</v>
      </c>
      <c r="L543" s="1" t="s">
        <v>198</v>
      </c>
      <c r="M543" s="2" t="s">
        <v>1567</v>
      </c>
      <c r="N543" s="31">
        <v>45858</v>
      </c>
    </row>
    <row r="544" spans="1:14" x14ac:dyDescent="0.25">
      <c r="A544" s="29">
        <v>543</v>
      </c>
      <c r="B544" s="1" t="s">
        <v>48</v>
      </c>
      <c r="C544" s="31">
        <v>45782</v>
      </c>
      <c r="D544" s="1" t="s">
        <v>132</v>
      </c>
      <c r="E544" s="13" t="s">
        <v>1568</v>
      </c>
      <c r="F544" s="1" t="s">
        <v>33</v>
      </c>
      <c r="G544" s="1" t="s">
        <v>201</v>
      </c>
      <c r="H544" s="1" t="s">
        <v>202</v>
      </c>
      <c r="I544" s="31">
        <v>45787</v>
      </c>
      <c r="J544" s="1" t="s">
        <v>92</v>
      </c>
      <c r="K544" s="1" t="s">
        <v>37</v>
      </c>
      <c r="L544" s="1" t="s">
        <v>203</v>
      </c>
      <c r="M544" s="2" t="s">
        <v>1569</v>
      </c>
      <c r="N544" s="31">
        <v>45852</v>
      </c>
    </row>
    <row r="545" spans="1:14" x14ac:dyDescent="0.25">
      <c r="A545" s="29">
        <v>544</v>
      </c>
      <c r="B545" s="1" t="s">
        <v>205</v>
      </c>
      <c r="C545" s="31">
        <v>45754</v>
      </c>
      <c r="D545" s="1" t="s">
        <v>206</v>
      </c>
      <c r="E545" s="13" t="s">
        <v>1570</v>
      </c>
      <c r="F545" s="1" t="s">
        <v>89</v>
      </c>
      <c r="G545" s="1" t="s">
        <v>208</v>
      </c>
      <c r="H545" s="1" t="s">
        <v>196</v>
      </c>
      <c r="I545" s="31">
        <v>45765</v>
      </c>
      <c r="J545" s="1" t="s">
        <v>209</v>
      </c>
      <c r="K545" s="1" t="s">
        <v>37</v>
      </c>
      <c r="L545" s="1" t="s">
        <v>210</v>
      </c>
      <c r="M545" s="2" t="s">
        <v>1571</v>
      </c>
      <c r="N545" s="31">
        <v>45855</v>
      </c>
    </row>
    <row r="546" spans="1:14" x14ac:dyDescent="0.25">
      <c r="A546" s="29">
        <v>545</v>
      </c>
      <c r="B546" s="1" t="s">
        <v>212</v>
      </c>
      <c r="C546" s="31">
        <v>45951</v>
      </c>
      <c r="D546" s="1" t="s">
        <v>185</v>
      </c>
      <c r="E546" s="13" t="s">
        <v>1572</v>
      </c>
      <c r="F546" s="1" t="s">
        <v>89</v>
      </c>
      <c r="G546" s="1" t="s">
        <v>172</v>
      </c>
      <c r="H546" s="1" t="s">
        <v>173</v>
      </c>
      <c r="I546" s="31">
        <v>46031</v>
      </c>
      <c r="J546" s="1" t="s">
        <v>214</v>
      </c>
      <c r="K546" s="1" t="s">
        <v>37</v>
      </c>
      <c r="L546" s="1" t="s">
        <v>215</v>
      </c>
      <c r="M546" s="2" t="s">
        <v>1573</v>
      </c>
      <c r="N546" s="31">
        <v>45880</v>
      </c>
    </row>
    <row r="547" spans="1:14" x14ac:dyDescent="0.25">
      <c r="A547" s="29">
        <v>546</v>
      </c>
      <c r="B547" s="1" t="s">
        <v>217</v>
      </c>
      <c r="C547" s="31">
        <v>45804</v>
      </c>
      <c r="D547" s="1" t="s">
        <v>218</v>
      </c>
      <c r="E547" s="13" t="s">
        <v>1574</v>
      </c>
      <c r="F547" s="1" t="s">
        <v>89</v>
      </c>
      <c r="G547" s="1" t="s">
        <v>220</v>
      </c>
      <c r="H547" s="1" t="s">
        <v>67</v>
      </c>
      <c r="I547" s="31">
        <v>45918</v>
      </c>
      <c r="J547" s="1" t="s">
        <v>221</v>
      </c>
      <c r="K547" s="1" t="s">
        <v>37</v>
      </c>
      <c r="L547" s="1" t="s">
        <v>222</v>
      </c>
      <c r="M547" s="2" t="s">
        <v>1575</v>
      </c>
      <c r="N547" s="31">
        <v>45859</v>
      </c>
    </row>
    <row r="548" spans="1:14" x14ac:dyDescent="0.25">
      <c r="A548" s="29">
        <v>547</v>
      </c>
      <c r="B548" s="1" t="s">
        <v>224</v>
      </c>
      <c r="C548" s="31">
        <v>45908</v>
      </c>
      <c r="D548" s="1" t="s">
        <v>225</v>
      </c>
      <c r="E548" s="13" t="s">
        <v>1576</v>
      </c>
      <c r="F548" s="1" t="s">
        <v>33</v>
      </c>
      <c r="G548" s="1" t="s">
        <v>227</v>
      </c>
      <c r="H548" s="1" t="s">
        <v>228</v>
      </c>
      <c r="I548" s="31">
        <v>45915</v>
      </c>
      <c r="J548" s="1" t="s">
        <v>229</v>
      </c>
      <c r="K548" s="1" t="s">
        <v>37</v>
      </c>
      <c r="L548" s="1" t="s">
        <v>230</v>
      </c>
      <c r="M548" s="2" t="s">
        <v>1577</v>
      </c>
      <c r="N548" s="31">
        <v>45842</v>
      </c>
    </row>
    <row r="549" spans="1:14" x14ac:dyDescent="0.25">
      <c r="A549" s="29">
        <v>548</v>
      </c>
      <c r="B549" s="1" t="s">
        <v>232</v>
      </c>
      <c r="C549" s="31">
        <v>45692</v>
      </c>
      <c r="D549" s="1" t="s">
        <v>233</v>
      </c>
      <c r="E549" s="13" t="s">
        <v>1578</v>
      </c>
      <c r="F549" s="1" t="s">
        <v>33</v>
      </c>
      <c r="G549" s="1" t="s">
        <v>156</v>
      </c>
      <c r="H549" s="1" t="s">
        <v>235</v>
      </c>
      <c r="I549" s="31">
        <v>45717</v>
      </c>
      <c r="J549" s="1" t="s">
        <v>236</v>
      </c>
      <c r="K549" s="1" t="s">
        <v>37</v>
      </c>
      <c r="L549" s="1" t="s">
        <v>237</v>
      </c>
      <c r="M549" s="2" t="s">
        <v>1579</v>
      </c>
      <c r="N549" s="31">
        <v>45886</v>
      </c>
    </row>
    <row r="550" spans="1:14" x14ac:dyDescent="0.25">
      <c r="A550" s="29">
        <v>549</v>
      </c>
      <c r="B550" s="1" t="s">
        <v>239</v>
      </c>
      <c r="C550" s="31">
        <v>45695</v>
      </c>
      <c r="D550" s="1" t="s">
        <v>240</v>
      </c>
      <c r="E550" s="13" t="s">
        <v>1580</v>
      </c>
      <c r="F550" s="1" t="s">
        <v>89</v>
      </c>
      <c r="G550" s="1" t="s">
        <v>105</v>
      </c>
      <c r="H550" s="1" t="s">
        <v>242</v>
      </c>
      <c r="I550" s="31">
        <v>45747</v>
      </c>
      <c r="J550" s="1" t="s">
        <v>243</v>
      </c>
      <c r="K550" s="1" t="s">
        <v>37</v>
      </c>
      <c r="L550" s="1" t="s">
        <v>244</v>
      </c>
      <c r="M550" s="2" t="s">
        <v>1581</v>
      </c>
      <c r="N550" s="31">
        <v>45892</v>
      </c>
    </row>
    <row r="551" spans="1:14" x14ac:dyDescent="0.25">
      <c r="A551" s="29">
        <v>550</v>
      </c>
      <c r="B551" s="1" t="s">
        <v>48</v>
      </c>
      <c r="C551" s="31">
        <v>45833</v>
      </c>
      <c r="D551" s="1" t="s">
        <v>246</v>
      </c>
      <c r="E551" s="13" t="s">
        <v>1582</v>
      </c>
      <c r="F551" s="1" t="s">
        <v>33</v>
      </c>
      <c r="G551" s="1" t="s">
        <v>248</v>
      </c>
      <c r="H551" s="1" t="s">
        <v>134</v>
      </c>
      <c r="I551" s="31">
        <v>45856</v>
      </c>
      <c r="J551" s="1" t="s">
        <v>249</v>
      </c>
      <c r="K551" s="1" t="s">
        <v>37</v>
      </c>
      <c r="L551" s="1" t="s">
        <v>250</v>
      </c>
      <c r="M551" s="2" t="s">
        <v>1583</v>
      </c>
      <c r="N551" s="31">
        <v>45893</v>
      </c>
    </row>
    <row r="552" spans="1:14" x14ac:dyDescent="0.25">
      <c r="A552" s="29">
        <v>551</v>
      </c>
      <c r="B552" s="1" t="s">
        <v>252</v>
      </c>
      <c r="C552" s="31">
        <v>45812</v>
      </c>
      <c r="D552" s="1" t="s">
        <v>253</v>
      </c>
      <c r="E552" s="13" t="s">
        <v>1584</v>
      </c>
      <c r="F552" s="1" t="s">
        <v>33</v>
      </c>
      <c r="G552" s="1" t="s">
        <v>255</v>
      </c>
      <c r="H552" s="1" t="s">
        <v>256</v>
      </c>
      <c r="I552" s="31">
        <v>45931</v>
      </c>
      <c r="J552" s="1" t="s">
        <v>257</v>
      </c>
      <c r="K552" s="1" t="s">
        <v>37</v>
      </c>
      <c r="L552" s="1" t="s">
        <v>258</v>
      </c>
      <c r="M552" s="2" t="s">
        <v>1585</v>
      </c>
      <c r="N552" s="31">
        <v>45877</v>
      </c>
    </row>
    <row r="553" spans="1:14" x14ac:dyDescent="0.25">
      <c r="A553" s="29">
        <v>552</v>
      </c>
      <c r="B553" s="1" t="s">
        <v>110</v>
      </c>
      <c r="C553" s="31">
        <v>45833</v>
      </c>
      <c r="D553" s="1" t="s">
        <v>260</v>
      </c>
      <c r="E553" s="13" t="s">
        <v>1586</v>
      </c>
      <c r="F553" s="1" t="s">
        <v>89</v>
      </c>
      <c r="G553" s="1" t="s">
        <v>113</v>
      </c>
      <c r="H553" s="1" t="s">
        <v>262</v>
      </c>
      <c r="I553" s="31">
        <v>45935</v>
      </c>
      <c r="J553" s="1" t="s">
        <v>263</v>
      </c>
      <c r="K553" s="1" t="s">
        <v>37</v>
      </c>
      <c r="L553" s="1" t="s">
        <v>264</v>
      </c>
      <c r="M553" s="2" t="s">
        <v>1587</v>
      </c>
      <c r="N553" s="31">
        <v>45848</v>
      </c>
    </row>
    <row r="554" spans="1:14" x14ac:dyDescent="0.25">
      <c r="A554" s="29">
        <v>553</v>
      </c>
      <c r="B554" s="1" t="s">
        <v>266</v>
      </c>
      <c r="C554" s="31">
        <v>45834</v>
      </c>
      <c r="D554" s="1" t="s">
        <v>267</v>
      </c>
      <c r="E554" s="13" t="s">
        <v>1588</v>
      </c>
      <c r="F554" s="1" t="s">
        <v>89</v>
      </c>
      <c r="G554" s="1" t="s">
        <v>269</v>
      </c>
      <c r="H554" s="1" t="s">
        <v>270</v>
      </c>
      <c r="I554" s="31">
        <v>45866</v>
      </c>
      <c r="J554" s="1" t="s">
        <v>271</v>
      </c>
      <c r="K554" s="1" t="s">
        <v>37</v>
      </c>
      <c r="L554" s="1" t="s">
        <v>272</v>
      </c>
      <c r="M554" s="2" t="s">
        <v>1589</v>
      </c>
      <c r="N554" s="31">
        <v>45881</v>
      </c>
    </row>
    <row r="555" spans="1:14" x14ac:dyDescent="0.25">
      <c r="A555" s="29">
        <v>554</v>
      </c>
      <c r="B555" s="1" t="s">
        <v>274</v>
      </c>
      <c r="C555" s="31">
        <v>45787</v>
      </c>
      <c r="D555" s="1" t="s">
        <v>154</v>
      </c>
      <c r="E555" s="13" t="s">
        <v>1590</v>
      </c>
      <c r="F555" s="1" t="s">
        <v>89</v>
      </c>
      <c r="G555" s="1" t="s">
        <v>66</v>
      </c>
      <c r="H555" s="1" t="s">
        <v>82</v>
      </c>
      <c r="I555" s="31">
        <v>45833</v>
      </c>
      <c r="J555" s="1" t="s">
        <v>276</v>
      </c>
      <c r="K555" s="1" t="s">
        <v>37</v>
      </c>
      <c r="L555" s="1" t="s">
        <v>277</v>
      </c>
      <c r="M555" s="2" t="s">
        <v>1591</v>
      </c>
      <c r="N555" s="31">
        <v>45878</v>
      </c>
    </row>
    <row r="556" spans="1:14" x14ac:dyDescent="0.25">
      <c r="A556" s="29">
        <v>555</v>
      </c>
      <c r="B556" s="1" t="s">
        <v>279</v>
      </c>
      <c r="C556" s="31">
        <v>45667</v>
      </c>
      <c r="D556" s="1" t="s">
        <v>233</v>
      </c>
      <c r="E556" s="13" t="s">
        <v>1592</v>
      </c>
      <c r="F556" s="1" t="s">
        <v>89</v>
      </c>
      <c r="G556" s="1" t="s">
        <v>105</v>
      </c>
      <c r="H556" s="1" t="s">
        <v>256</v>
      </c>
      <c r="I556" s="31">
        <v>45721</v>
      </c>
      <c r="J556" s="1" t="s">
        <v>281</v>
      </c>
      <c r="K556" s="1" t="s">
        <v>37</v>
      </c>
      <c r="L556" s="1" t="s">
        <v>282</v>
      </c>
      <c r="M556" s="2" t="s">
        <v>1593</v>
      </c>
      <c r="N556" s="31">
        <v>45877</v>
      </c>
    </row>
    <row r="557" spans="1:14" x14ac:dyDescent="0.25">
      <c r="A557" s="29">
        <v>556</v>
      </c>
      <c r="B557" s="1" t="s">
        <v>284</v>
      </c>
      <c r="C557" s="31">
        <v>45956</v>
      </c>
      <c r="D557" s="1" t="s">
        <v>285</v>
      </c>
      <c r="E557" s="13" t="s">
        <v>1594</v>
      </c>
      <c r="F557" s="1" t="s">
        <v>33</v>
      </c>
      <c r="G557" s="1" t="s">
        <v>287</v>
      </c>
      <c r="H557" s="1" t="s">
        <v>288</v>
      </c>
      <c r="I557" s="31">
        <v>45962</v>
      </c>
      <c r="J557" s="1" t="s">
        <v>289</v>
      </c>
      <c r="K557" s="1" t="s">
        <v>37</v>
      </c>
      <c r="L557" s="1" t="s">
        <v>290</v>
      </c>
      <c r="M557" s="2" t="s">
        <v>1595</v>
      </c>
      <c r="N557" s="31">
        <v>45864</v>
      </c>
    </row>
    <row r="558" spans="1:14" x14ac:dyDescent="0.25">
      <c r="A558" s="29">
        <v>557</v>
      </c>
      <c r="B558" s="1" t="s">
        <v>177</v>
      </c>
      <c r="C558" s="31">
        <v>45901</v>
      </c>
      <c r="D558" s="1" t="s">
        <v>292</v>
      </c>
      <c r="E558" s="13" t="s">
        <v>1596</v>
      </c>
      <c r="F558" s="1" t="s">
        <v>89</v>
      </c>
      <c r="G558" s="1" t="s">
        <v>66</v>
      </c>
      <c r="H558" s="1" t="s">
        <v>67</v>
      </c>
      <c r="I558" s="31">
        <v>45941</v>
      </c>
      <c r="J558" s="1" t="s">
        <v>294</v>
      </c>
      <c r="K558" s="1" t="s">
        <v>37</v>
      </c>
      <c r="L558" s="1" t="s">
        <v>295</v>
      </c>
      <c r="M558" s="2" t="s">
        <v>1597</v>
      </c>
      <c r="N558" s="31">
        <v>45857</v>
      </c>
    </row>
    <row r="559" spans="1:14" x14ac:dyDescent="0.25">
      <c r="A559" s="29">
        <v>558</v>
      </c>
      <c r="B559" s="1" t="s">
        <v>131</v>
      </c>
      <c r="C559" s="31">
        <v>45860</v>
      </c>
      <c r="D559" s="1" t="s">
        <v>297</v>
      </c>
      <c r="E559" s="13" t="s">
        <v>1598</v>
      </c>
      <c r="F559" s="1" t="s">
        <v>89</v>
      </c>
      <c r="G559" s="1" t="s">
        <v>34</v>
      </c>
      <c r="H559" s="1" t="s">
        <v>299</v>
      </c>
      <c r="I559" s="31">
        <v>45905</v>
      </c>
      <c r="J559" s="1" t="s">
        <v>300</v>
      </c>
      <c r="K559" s="1" t="s">
        <v>37</v>
      </c>
      <c r="L559" s="1" t="s">
        <v>301</v>
      </c>
      <c r="M559" s="2" t="s">
        <v>1599</v>
      </c>
      <c r="N559" s="31">
        <v>45844</v>
      </c>
    </row>
    <row r="560" spans="1:14" x14ac:dyDescent="0.25">
      <c r="A560" s="29">
        <v>559</v>
      </c>
      <c r="B560" s="1" t="s">
        <v>303</v>
      </c>
      <c r="C560" s="31">
        <v>45828</v>
      </c>
      <c r="D560" s="1" t="s">
        <v>111</v>
      </c>
      <c r="E560" s="13" t="s">
        <v>1600</v>
      </c>
      <c r="F560" s="1" t="s">
        <v>33</v>
      </c>
      <c r="G560" s="1" t="s">
        <v>34</v>
      </c>
      <c r="H560" s="1" t="s">
        <v>134</v>
      </c>
      <c r="I560" s="31">
        <v>45872</v>
      </c>
      <c r="J560" s="1" t="s">
        <v>305</v>
      </c>
      <c r="K560" s="1" t="s">
        <v>37</v>
      </c>
      <c r="L560" s="1" t="s">
        <v>306</v>
      </c>
      <c r="M560" s="2" t="s">
        <v>1601</v>
      </c>
      <c r="N560" s="31">
        <v>45864</v>
      </c>
    </row>
    <row r="561" spans="1:14" x14ac:dyDescent="0.25">
      <c r="A561" s="29">
        <v>560</v>
      </c>
      <c r="B561" s="1" t="s">
        <v>274</v>
      </c>
      <c r="C561" s="31">
        <v>45775</v>
      </c>
      <c r="D561" s="1" t="s">
        <v>308</v>
      </c>
      <c r="E561" s="13" t="s">
        <v>1602</v>
      </c>
      <c r="F561" s="1" t="s">
        <v>89</v>
      </c>
      <c r="G561" s="1" t="s">
        <v>310</v>
      </c>
      <c r="H561" s="1" t="s">
        <v>311</v>
      </c>
      <c r="I561" s="31">
        <v>45873</v>
      </c>
      <c r="J561" s="1" t="s">
        <v>150</v>
      </c>
      <c r="K561" s="1" t="s">
        <v>37</v>
      </c>
      <c r="L561" s="1" t="s">
        <v>312</v>
      </c>
      <c r="M561" s="2" t="s">
        <v>1603</v>
      </c>
      <c r="N561" s="31">
        <v>45840</v>
      </c>
    </row>
    <row r="562" spans="1:14" x14ac:dyDescent="0.25">
      <c r="A562" s="29">
        <v>561</v>
      </c>
      <c r="B562" s="1" t="s">
        <v>314</v>
      </c>
      <c r="C562" s="31">
        <v>45733</v>
      </c>
      <c r="D562" s="1" t="s">
        <v>246</v>
      </c>
      <c r="E562" s="13" t="s">
        <v>1604</v>
      </c>
      <c r="F562" s="1" t="s">
        <v>89</v>
      </c>
      <c r="G562" s="1" t="s">
        <v>316</v>
      </c>
      <c r="H562" s="1" t="s">
        <v>317</v>
      </c>
      <c r="I562" s="31">
        <v>45786</v>
      </c>
      <c r="J562" s="1" t="s">
        <v>318</v>
      </c>
      <c r="K562" s="1" t="s">
        <v>37</v>
      </c>
      <c r="L562" s="1" t="s">
        <v>319</v>
      </c>
      <c r="M562" s="2" t="s">
        <v>1605</v>
      </c>
      <c r="N562" s="31">
        <v>45868</v>
      </c>
    </row>
    <row r="563" spans="1:14" x14ac:dyDescent="0.25">
      <c r="A563" s="29">
        <v>562</v>
      </c>
      <c r="B563" s="1" t="s">
        <v>103</v>
      </c>
      <c r="C563" s="31">
        <v>45813</v>
      </c>
      <c r="D563" s="1" t="s">
        <v>72</v>
      </c>
      <c r="E563" s="13" t="s">
        <v>1606</v>
      </c>
      <c r="F563" s="1" t="s">
        <v>33</v>
      </c>
      <c r="G563" s="1" t="s">
        <v>105</v>
      </c>
      <c r="H563" s="1" t="s">
        <v>242</v>
      </c>
      <c r="I563" s="31">
        <v>45881</v>
      </c>
      <c r="J563" s="1" t="s">
        <v>322</v>
      </c>
      <c r="K563" s="1" t="s">
        <v>37</v>
      </c>
      <c r="L563" s="1" t="s">
        <v>323</v>
      </c>
      <c r="M563" s="2" t="s">
        <v>1607</v>
      </c>
      <c r="N563" s="31">
        <v>45849</v>
      </c>
    </row>
    <row r="564" spans="1:14" x14ac:dyDescent="0.25">
      <c r="A564" s="29">
        <v>563</v>
      </c>
      <c r="B564" s="1" t="s">
        <v>325</v>
      </c>
      <c r="C564" s="31">
        <v>45884</v>
      </c>
      <c r="D564" s="1" t="s">
        <v>326</v>
      </c>
      <c r="E564" s="13" t="s">
        <v>1608</v>
      </c>
      <c r="F564" s="1" t="s">
        <v>89</v>
      </c>
      <c r="G564" s="1" t="s">
        <v>179</v>
      </c>
      <c r="H564" s="1" t="s">
        <v>82</v>
      </c>
      <c r="I564" s="31">
        <v>45929</v>
      </c>
      <c r="J564" s="1" t="s">
        <v>328</v>
      </c>
      <c r="K564" s="1" t="s">
        <v>37</v>
      </c>
      <c r="L564" s="1" t="s">
        <v>329</v>
      </c>
      <c r="M564" s="2" t="s">
        <v>1609</v>
      </c>
      <c r="N564" s="31">
        <v>45855</v>
      </c>
    </row>
    <row r="565" spans="1:14" x14ac:dyDescent="0.25">
      <c r="A565" s="29">
        <v>564</v>
      </c>
      <c r="B565" s="1" t="s">
        <v>331</v>
      </c>
      <c r="C565" s="31">
        <v>45922</v>
      </c>
      <c r="D565" s="1" t="s">
        <v>332</v>
      </c>
      <c r="E565" s="13" t="s">
        <v>1610</v>
      </c>
      <c r="F565" s="1" t="s">
        <v>89</v>
      </c>
      <c r="G565" s="1" t="s">
        <v>58</v>
      </c>
      <c r="H565" s="1" t="s">
        <v>127</v>
      </c>
      <c r="I565" s="31">
        <v>46024</v>
      </c>
      <c r="J565" s="1" t="s">
        <v>257</v>
      </c>
      <c r="K565" s="1" t="s">
        <v>37</v>
      </c>
      <c r="L565" s="1" t="s">
        <v>334</v>
      </c>
      <c r="M565" s="2" t="s">
        <v>1611</v>
      </c>
      <c r="N565" s="31">
        <v>45879</v>
      </c>
    </row>
    <row r="566" spans="1:14" x14ac:dyDescent="0.25">
      <c r="A566" s="29">
        <v>565</v>
      </c>
      <c r="B566" s="1" t="s">
        <v>86</v>
      </c>
      <c r="C566" s="31">
        <v>45768</v>
      </c>
      <c r="D566" s="1" t="s">
        <v>292</v>
      </c>
      <c r="E566" s="13" t="s">
        <v>1612</v>
      </c>
      <c r="F566" s="1" t="s">
        <v>89</v>
      </c>
      <c r="G566" s="1" t="s">
        <v>337</v>
      </c>
      <c r="H566" s="1" t="s">
        <v>91</v>
      </c>
      <c r="I566" s="31">
        <v>45776</v>
      </c>
      <c r="J566" s="1" t="s">
        <v>181</v>
      </c>
      <c r="K566" s="1" t="s">
        <v>37</v>
      </c>
      <c r="L566" s="1" t="s">
        <v>338</v>
      </c>
      <c r="M566" s="2" t="s">
        <v>1613</v>
      </c>
      <c r="N566" s="31">
        <v>45897</v>
      </c>
    </row>
    <row r="567" spans="1:14" x14ac:dyDescent="0.25">
      <c r="A567" s="29">
        <v>566</v>
      </c>
      <c r="B567" s="1" t="s">
        <v>169</v>
      </c>
      <c r="C567" s="31">
        <v>45957</v>
      </c>
      <c r="D567" s="1" t="s">
        <v>340</v>
      </c>
      <c r="E567" s="13" t="s">
        <v>1614</v>
      </c>
      <c r="F567" s="1" t="s">
        <v>33</v>
      </c>
      <c r="G567" s="1" t="s">
        <v>58</v>
      </c>
      <c r="H567" s="1" t="s">
        <v>91</v>
      </c>
      <c r="I567" s="31">
        <v>45976</v>
      </c>
      <c r="J567" s="1" t="s">
        <v>342</v>
      </c>
      <c r="K567" s="1" t="s">
        <v>37</v>
      </c>
      <c r="L567" s="1" t="s">
        <v>343</v>
      </c>
      <c r="M567" s="2" t="s">
        <v>1615</v>
      </c>
      <c r="N567" s="31">
        <v>45839</v>
      </c>
    </row>
    <row r="568" spans="1:14" x14ac:dyDescent="0.25">
      <c r="A568" s="29">
        <v>567</v>
      </c>
      <c r="B568" s="1" t="s">
        <v>40</v>
      </c>
      <c r="C568" s="31">
        <v>45849</v>
      </c>
      <c r="D568" s="1" t="s">
        <v>79</v>
      </c>
      <c r="E568" s="13" t="s">
        <v>1616</v>
      </c>
      <c r="F568" s="1" t="s">
        <v>33</v>
      </c>
      <c r="G568" s="1" t="s">
        <v>346</v>
      </c>
      <c r="H568" s="1" t="s">
        <v>59</v>
      </c>
      <c r="I568" s="31">
        <v>45956</v>
      </c>
      <c r="J568" s="1" t="s">
        <v>347</v>
      </c>
      <c r="K568" s="1" t="s">
        <v>37</v>
      </c>
      <c r="L568" s="1" t="s">
        <v>348</v>
      </c>
      <c r="M568" s="2" t="s">
        <v>1617</v>
      </c>
      <c r="N568" s="31">
        <v>45893</v>
      </c>
    </row>
    <row r="569" spans="1:14" x14ac:dyDescent="0.25">
      <c r="A569" s="29">
        <v>568</v>
      </c>
      <c r="B569" s="1" t="s">
        <v>350</v>
      </c>
      <c r="C569" s="31">
        <v>45704</v>
      </c>
      <c r="D569" s="1" t="s">
        <v>351</v>
      </c>
      <c r="E569" s="13" t="s">
        <v>1618</v>
      </c>
      <c r="F569" s="1" t="s">
        <v>89</v>
      </c>
      <c r="G569" s="1" t="s">
        <v>353</v>
      </c>
      <c r="H569" s="1" t="s">
        <v>82</v>
      </c>
      <c r="I569" s="31">
        <v>45773</v>
      </c>
      <c r="J569" s="1" t="s">
        <v>354</v>
      </c>
      <c r="K569" s="1" t="s">
        <v>37</v>
      </c>
      <c r="L569" s="1" t="s">
        <v>355</v>
      </c>
      <c r="M569" s="2" t="s">
        <v>1619</v>
      </c>
      <c r="N569" s="31">
        <v>45881</v>
      </c>
    </row>
    <row r="570" spans="1:14" x14ac:dyDescent="0.25">
      <c r="A570" s="29">
        <v>569</v>
      </c>
      <c r="B570" s="1" t="s">
        <v>357</v>
      </c>
      <c r="C570" s="31">
        <v>45702</v>
      </c>
      <c r="D570" s="1" t="s">
        <v>87</v>
      </c>
      <c r="E570" s="13" t="s">
        <v>1620</v>
      </c>
      <c r="F570" s="1" t="s">
        <v>89</v>
      </c>
      <c r="G570" s="1" t="s">
        <v>105</v>
      </c>
      <c r="H570" s="1" t="s">
        <v>359</v>
      </c>
      <c r="I570" s="31">
        <v>45741</v>
      </c>
      <c r="J570" s="1" t="s">
        <v>360</v>
      </c>
      <c r="K570" s="1" t="s">
        <v>37</v>
      </c>
      <c r="L570" s="1" t="s">
        <v>361</v>
      </c>
      <c r="M570" s="2" t="s">
        <v>1621</v>
      </c>
      <c r="N570" s="31">
        <v>45862</v>
      </c>
    </row>
    <row r="571" spans="1:14" x14ac:dyDescent="0.25">
      <c r="A571" s="29">
        <v>570</v>
      </c>
      <c r="B571" s="1" t="s">
        <v>177</v>
      </c>
      <c r="C571" s="31">
        <v>45917</v>
      </c>
      <c r="D571" s="1" t="s">
        <v>363</v>
      </c>
      <c r="E571" s="13" t="s">
        <v>1622</v>
      </c>
      <c r="F571" s="1" t="s">
        <v>89</v>
      </c>
      <c r="G571" s="1" t="s">
        <v>365</v>
      </c>
      <c r="H571" s="1" t="s">
        <v>366</v>
      </c>
      <c r="I571" s="31">
        <v>45969</v>
      </c>
      <c r="J571" s="1" t="s">
        <v>342</v>
      </c>
      <c r="K571" s="1" t="s">
        <v>37</v>
      </c>
      <c r="L571" s="1" t="s">
        <v>367</v>
      </c>
      <c r="M571" s="2" t="s">
        <v>1623</v>
      </c>
      <c r="N571" s="31">
        <v>45886</v>
      </c>
    </row>
    <row r="572" spans="1:14" x14ac:dyDescent="0.25">
      <c r="A572" s="29">
        <v>571</v>
      </c>
      <c r="B572" s="1" t="s">
        <v>30</v>
      </c>
      <c r="C572" s="31">
        <v>45671</v>
      </c>
      <c r="D572" s="1" t="s">
        <v>369</v>
      </c>
      <c r="E572" s="13" t="s">
        <v>1624</v>
      </c>
      <c r="F572" s="1" t="s">
        <v>33</v>
      </c>
      <c r="G572" s="1" t="s">
        <v>201</v>
      </c>
      <c r="H572" s="1" t="s">
        <v>202</v>
      </c>
      <c r="I572" s="31">
        <v>45780</v>
      </c>
      <c r="J572" s="1" t="s">
        <v>371</v>
      </c>
      <c r="K572" s="1" t="s">
        <v>37</v>
      </c>
      <c r="L572" s="1" t="s">
        <v>372</v>
      </c>
      <c r="M572" s="2" t="s">
        <v>1625</v>
      </c>
      <c r="N572" s="31">
        <v>45866</v>
      </c>
    </row>
    <row r="573" spans="1:14" x14ac:dyDescent="0.25">
      <c r="A573" s="29">
        <v>572</v>
      </c>
      <c r="B573" s="1" t="s">
        <v>266</v>
      </c>
      <c r="C573" s="31">
        <v>45800</v>
      </c>
      <c r="D573" s="1" t="s">
        <v>374</v>
      </c>
      <c r="E573" s="13" t="s">
        <v>1626</v>
      </c>
      <c r="F573" s="1" t="s">
        <v>89</v>
      </c>
      <c r="G573" s="1" t="s">
        <v>269</v>
      </c>
      <c r="H573" s="1" t="s">
        <v>376</v>
      </c>
      <c r="I573" s="31">
        <v>45822</v>
      </c>
      <c r="J573" s="1" t="s">
        <v>377</v>
      </c>
      <c r="K573" s="1" t="s">
        <v>37</v>
      </c>
      <c r="L573" s="1" t="s">
        <v>378</v>
      </c>
      <c r="M573" s="2" t="s">
        <v>1627</v>
      </c>
      <c r="N573" s="31">
        <v>45851</v>
      </c>
    </row>
    <row r="574" spans="1:14" x14ac:dyDescent="0.25">
      <c r="A574" s="29">
        <v>573</v>
      </c>
      <c r="B574" s="1" t="s">
        <v>380</v>
      </c>
      <c r="C574" s="31">
        <v>45932</v>
      </c>
      <c r="D574" s="1" t="s">
        <v>297</v>
      </c>
      <c r="E574" s="13" t="s">
        <v>1628</v>
      </c>
      <c r="F574" s="1" t="s">
        <v>33</v>
      </c>
      <c r="G574" s="1" t="s">
        <v>382</v>
      </c>
      <c r="H574" s="1" t="s">
        <v>383</v>
      </c>
      <c r="I574" s="31">
        <v>45950</v>
      </c>
      <c r="J574" s="1" t="s">
        <v>318</v>
      </c>
      <c r="K574" s="1" t="s">
        <v>37</v>
      </c>
      <c r="L574" s="1" t="s">
        <v>384</v>
      </c>
      <c r="M574" s="2" t="s">
        <v>1629</v>
      </c>
      <c r="N574" s="31">
        <v>45885</v>
      </c>
    </row>
    <row r="575" spans="1:14" x14ac:dyDescent="0.25">
      <c r="A575" s="29">
        <v>574</v>
      </c>
      <c r="B575" s="1" t="s">
        <v>386</v>
      </c>
      <c r="C575" s="31">
        <v>45775</v>
      </c>
      <c r="D575" s="1" t="s">
        <v>387</v>
      </c>
      <c r="E575" s="13" t="s">
        <v>1630</v>
      </c>
      <c r="F575" s="1" t="s">
        <v>33</v>
      </c>
      <c r="G575" s="1" t="s">
        <v>382</v>
      </c>
      <c r="H575" s="1" t="s">
        <v>383</v>
      </c>
      <c r="I575" s="31">
        <v>45864</v>
      </c>
      <c r="J575" s="1" t="s">
        <v>114</v>
      </c>
      <c r="K575" s="1" t="s">
        <v>37</v>
      </c>
      <c r="L575" s="1" t="s">
        <v>389</v>
      </c>
      <c r="M575" s="2" t="s">
        <v>1631</v>
      </c>
      <c r="N575" s="31">
        <v>45897</v>
      </c>
    </row>
    <row r="576" spans="1:14" x14ac:dyDescent="0.25">
      <c r="A576" s="29">
        <v>575</v>
      </c>
      <c r="B576" s="1" t="s">
        <v>125</v>
      </c>
      <c r="C576" s="31">
        <v>45942</v>
      </c>
      <c r="D576" s="1" t="s">
        <v>391</v>
      </c>
      <c r="E576" s="13" t="s">
        <v>1632</v>
      </c>
      <c r="F576" s="1" t="s">
        <v>33</v>
      </c>
      <c r="G576" s="1" t="s">
        <v>172</v>
      </c>
      <c r="H576" s="1" t="s">
        <v>393</v>
      </c>
      <c r="I576" s="31">
        <v>45975</v>
      </c>
      <c r="J576" s="1" t="s">
        <v>394</v>
      </c>
      <c r="K576" s="1" t="s">
        <v>37</v>
      </c>
      <c r="L576" s="1" t="s">
        <v>395</v>
      </c>
      <c r="M576" s="2" t="s">
        <v>1633</v>
      </c>
      <c r="N576" s="31">
        <v>45858</v>
      </c>
    </row>
    <row r="577" spans="1:14" x14ac:dyDescent="0.25">
      <c r="A577" s="29">
        <v>576</v>
      </c>
      <c r="B577" s="1" t="s">
        <v>397</v>
      </c>
      <c r="C577" s="31">
        <v>45664</v>
      </c>
      <c r="D577" s="1" t="s">
        <v>154</v>
      </c>
      <c r="E577" s="13" t="s">
        <v>1634</v>
      </c>
      <c r="F577" s="1" t="s">
        <v>89</v>
      </c>
      <c r="G577" s="1" t="s">
        <v>287</v>
      </c>
      <c r="H577" s="1" t="s">
        <v>235</v>
      </c>
      <c r="I577" s="31">
        <v>45725</v>
      </c>
      <c r="J577" s="1" t="s">
        <v>371</v>
      </c>
      <c r="K577" s="1" t="s">
        <v>37</v>
      </c>
      <c r="L577" s="1" t="s">
        <v>399</v>
      </c>
      <c r="M577" s="2" t="s">
        <v>1635</v>
      </c>
      <c r="N577" s="31">
        <v>45859</v>
      </c>
    </row>
    <row r="578" spans="1:14" x14ac:dyDescent="0.25">
      <c r="A578" s="29">
        <v>577</v>
      </c>
      <c r="B578" s="1" t="s">
        <v>401</v>
      </c>
      <c r="C578" s="31">
        <v>45894</v>
      </c>
      <c r="D578" s="1" t="s">
        <v>402</v>
      </c>
      <c r="E578" s="13" t="s">
        <v>1636</v>
      </c>
      <c r="F578" s="1" t="s">
        <v>89</v>
      </c>
      <c r="G578" s="1" t="s">
        <v>404</v>
      </c>
      <c r="H578" s="1" t="s">
        <v>405</v>
      </c>
      <c r="I578" s="31">
        <v>45951</v>
      </c>
      <c r="J578" s="1" t="s">
        <v>181</v>
      </c>
      <c r="K578" s="1" t="s">
        <v>37</v>
      </c>
      <c r="L578" s="1" t="s">
        <v>406</v>
      </c>
      <c r="M578" s="2" t="s">
        <v>1637</v>
      </c>
      <c r="N578" s="31">
        <v>45895</v>
      </c>
    </row>
    <row r="579" spans="1:14" x14ac:dyDescent="0.25">
      <c r="A579" s="29">
        <v>578</v>
      </c>
      <c r="B579" s="1" t="s">
        <v>103</v>
      </c>
      <c r="C579" s="31">
        <v>45891</v>
      </c>
      <c r="D579" s="1" t="s">
        <v>408</v>
      </c>
      <c r="E579" s="13" t="s">
        <v>1638</v>
      </c>
      <c r="F579" s="1" t="s">
        <v>33</v>
      </c>
      <c r="G579" s="1" t="s">
        <v>164</v>
      </c>
      <c r="H579" s="1" t="s">
        <v>106</v>
      </c>
      <c r="I579" s="31">
        <v>45934</v>
      </c>
      <c r="J579" s="1" t="s">
        <v>52</v>
      </c>
      <c r="K579" s="1" t="s">
        <v>37</v>
      </c>
      <c r="L579" s="1" t="s">
        <v>410</v>
      </c>
      <c r="M579" s="2" t="s">
        <v>1639</v>
      </c>
      <c r="N579" s="31">
        <v>45884</v>
      </c>
    </row>
    <row r="580" spans="1:14" x14ac:dyDescent="0.25">
      <c r="A580" s="29">
        <v>579</v>
      </c>
      <c r="B580" s="1" t="s">
        <v>412</v>
      </c>
      <c r="C580" s="31">
        <v>45681</v>
      </c>
      <c r="D580" s="1" t="s">
        <v>162</v>
      </c>
      <c r="E580" s="13" t="s">
        <v>1640</v>
      </c>
      <c r="F580" s="1" t="s">
        <v>33</v>
      </c>
      <c r="G580" s="1" t="s">
        <v>414</v>
      </c>
      <c r="H580" s="1" t="s">
        <v>415</v>
      </c>
      <c r="I580" s="31">
        <v>45731</v>
      </c>
      <c r="J580" s="1" t="s">
        <v>416</v>
      </c>
      <c r="K580" s="1" t="s">
        <v>37</v>
      </c>
      <c r="L580" s="1" t="s">
        <v>417</v>
      </c>
      <c r="M580" s="2" t="s">
        <v>1641</v>
      </c>
      <c r="N580" s="31">
        <v>45857</v>
      </c>
    </row>
    <row r="581" spans="1:14" x14ac:dyDescent="0.25">
      <c r="A581" s="29">
        <v>580</v>
      </c>
      <c r="B581" s="1" t="s">
        <v>419</v>
      </c>
      <c r="C581" s="31">
        <v>45792</v>
      </c>
      <c r="D581" s="1" t="s">
        <v>233</v>
      </c>
      <c r="E581" s="13" t="s">
        <v>1642</v>
      </c>
      <c r="F581" s="1" t="s">
        <v>33</v>
      </c>
      <c r="G581" s="1" t="s">
        <v>365</v>
      </c>
      <c r="H581" s="1" t="s">
        <v>421</v>
      </c>
      <c r="I581" s="31">
        <v>45804</v>
      </c>
      <c r="J581" s="1" t="s">
        <v>422</v>
      </c>
      <c r="K581" s="1" t="s">
        <v>37</v>
      </c>
      <c r="L581" s="1" t="s">
        <v>423</v>
      </c>
      <c r="M581" s="2" t="s">
        <v>1643</v>
      </c>
      <c r="N581" s="31">
        <v>45856</v>
      </c>
    </row>
    <row r="582" spans="1:14" x14ac:dyDescent="0.25">
      <c r="A582" s="29">
        <v>581</v>
      </c>
      <c r="B582" s="1" t="s">
        <v>425</v>
      </c>
      <c r="C582" s="31">
        <v>45720</v>
      </c>
      <c r="D582" s="1" t="s">
        <v>72</v>
      </c>
      <c r="E582" s="13" t="s">
        <v>1644</v>
      </c>
      <c r="F582" s="1" t="s">
        <v>89</v>
      </c>
      <c r="G582" s="1" t="s">
        <v>172</v>
      </c>
      <c r="H582" s="1" t="s">
        <v>427</v>
      </c>
      <c r="I582" s="31">
        <v>45828</v>
      </c>
      <c r="J582" s="1" t="s">
        <v>428</v>
      </c>
      <c r="K582" s="1" t="s">
        <v>37</v>
      </c>
      <c r="L582" s="1" t="s">
        <v>429</v>
      </c>
      <c r="M582" s="2" t="s">
        <v>1645</v>
      </c>
      <c r="N582" s="31">
        <v>45870</v>
      </c>
    </row>
    <row r="583" spans="1:14" x14ac:dyDescent="0.25">
      <c r="A583" s="29">
        <v>582</v>
      </c>
      <c r="B583" s="1" t="s">
        <v>431</v>
      </c>
      <c r="C583" s="31">
        <v>45902</v>
      </c>
      <c r="D583" s="1" t="s">
        <v>432</v>
      </c>
      <c r="E583" s="13" t="s">
        <v>1646</v>
      </c>
      <c r="F583" s="1" t="s">
        <v>33</v>
      </c>
      <c r="G583" s="1" t="s">
        <v>353</v>
      </c>
      <c r="H583" s="1" t="s">
        <v>82</v>
      </c>
      <c r="I583" s="31">
        <v>45948</v>
      </c>
      <c r="J583" s="1" t="s">
        <v>434</v>
      </c>
      <c r="K583" s="1" t="s">
        <v>37</v>
      </c>
      <c r="L583" s="1" t="s">
        <v>435</v>
      </c>
      <c r="M583" s="2" t="s">
        <v>1647</v>
      </c>
      <c r="N583" s="31">
        <v>45885</v>
      </c>
    </row>
    <row r="584" spans="1:14" x14ac:dyDescent="0.25">
      <c r="A584" s="29">
        <v>583</v>
      </c>
      <c r="B584" s="1" t="s">
        <v>437</v>
      </c>
      <c r="C584" s="31">
        <v>45772</v>
      </c>
      <c r="D584" s="1" t="s">
        <v>438</v>
      </c>
      <c r="E584" s="13" t="s">
        <v>1648</v>
      </c>
      <c r="F584" s="1" t="s">
        <v>89</v>
      </c>
      <c r="G584" s="1" t="s">
        <v>120</v>
      </c>
      <c r="H584" s="1" t="s">
        <v>121</v>
      </c>
      <c r="I584" s="31">
        <v>45866</v>
      </c>
      <c r="J584" s="1" t="s">
        <v>440</v>
      </c>
      <c r="K584" s="1" t="s">
        <v>37</v>
      </c>
      <c r="L584" s="1" t="s">
        <v>441</v>
      </c>
      <c r="M584" s="2" t="s">
        <v>1649</v>
      </c>
      <c r="N584" s="31">
        <v>45871</v>
      </c>
    </row>
    <row r="585" spans="1:14" x14ac:dyDescent="0.25">
      <c r="A585" s="29">
        <v>584</v>
      </c>
      <c r="B585" s="1" t="s">
        <v>443</v>
      </c>
      <c r="C585" s="31">
        <v>45877</v>
      </c>
      <c r="D585" s="1" t="s">
        <v>444</v>
      </c>
      <c r="E585" s="13" t="s">
        <v>1650</v>
      </c>
      <c r="F585" s="1" t="s">
        <v>89</v>
      </c>
      <c r="G585" s="1" t="s">
        <v>446</v>
      </c>
      <c r="H585" s="1" t="s">
        <v>44</v>
      </c>
      <c r="I585" s="31">
        <v>45911</v>
      </c>
      <c r="J585" s="1" t="s">
        <v>447</v>
      </c>
      <c r="K585" s="1" t="s">
        <v>37</v>
      </c>
      <c r="L585" s="1" t="s">
        <v>448</v>
      </c>
      <c r="M585" s="2" t="s">
        <v>1651</v>
      </c>
      <c r="N585" s="31">
        <v>45861</v>
      </c>
    </row>
    <row r="586" spans="1:14" x14ac:dyDescent="0.25">
      <c r="A586" s="29">
        <v>585</v>
      </c>
      <c r="B586" s="1" t="s">
        <v>450</v>
      </c>
      <c r="C586" s="31">
        <v>45719</v>
      </c>
      <c r="D586" s="1" t="s">
        <v>297</v>
      </c>
      <c r="E586" s="13" t="s">
        <v>1652</v>
      </c>
      <c r="F586" s="1" t="s">
        <v>33</v>
      </c>
      <c r="G586" s="1" t="s">
        <v>452</v>
      </c>
      <c r="H586" s="1" t="s">
        <v>453</v>
      </c>
      <c r="I586" s="31">
        <v>45770</v>
      </c>
      <c r="J586" s="1" t="s">
        <v>243</v>
      </c>
      <c r="K586" s="1" t="s">
        <v>37</v>
      </c>
      <c r="L586" s="1" t="s">
        <v>454</v>
      </c>
      <c r="M586" s="2" t="s">
        <v>1653</v>
      </c>
      <c r="N586" s="31">
        <v>45873</v>
      </c>
    </row>
    <row r="587" spans="1:14" x14ac:dyDescent="0.25">
      <c r="A587" s="29">
        <v>586</v>
      </c>
      <c r="B587" s="1" t="s">
        <v>456</v>
      </c>
      <c r="C587" s="31">
        <v>45744</v>
      </c>
      <c r="D587" s="1" t="s">
        <v>64</v>
      </c>
      <c r="E587" s="13" t="s">
        <v>1654</v>
      </c>
      <c r="F587" s="1" t="s">
        <v>89</v>
      </c>
      <c r="G587" s="1" t="s">
        <v>113</v>
      </c>
      <c r="H587" s="1" t="s">
        <v>299</v>
      </c>
      <c r="I587" s="31">
        <v>45788</v>
      </c>
      <c r="J587" s="1" t="s">
        <v>458</v>
      </c>
      <c r="K587" s="1" t="s">
        <v>37</v>
      </c>
      <c r="L587" s="1" t="s">
        <v>459</v>
      </c>
      <c r="M587" s="2" t="s">
        <v>1655</v>
      </c>
      <c r="N587" s="31">
        <v>45853</v>
      </c>
    </row>
    <row r="588" spans="1:14" x14ac:dyDescent="0.25">
      <c r="A588" s="29">
        <v>587</v>
      </c>
      <c r="B588" s="1" t="s">
        <v>461</v>
      </c>
      <c r="C588" s="31">
        <v>45825</v>
      </c>
      <c r="D588" s="1" t="s">
        <v>240</v>
      </c>
      <c r="E588" s="13" t="s">
        <v>1656</v>
      </c>
      <c r="F588" s="1" t="s">
        <v>89</v>
      </c>
      <c r="G588" s="1" t="s">
        <v>105</v>
      </c>
      <c r="H588" s="1" t="s">
        <v>256</v>
      </c>
      <c r="I588" s="31">
        <v>45852</v>
      </c>
      <c r="J588" s="1" t="s">
        <v>463</v>
      </c>
      <c r="K588" s="1" t="s">
        <v>37</v>
      </c>
      <c r="L588" s="1" t="s">
        <v>464</v>
      </c>
      <c r="M588" s="2" t="s">
        <v>1657</v>
      </c>
      <c r="N588" s="31">
        <v>45865</v>
      </c>
    </row>
    <row r="589" spans="1:14" x14ac:dyDescent="0.25">
      <c r="A589" s="29">
        <v>588</v>
      </c>
      <c r="B589" s="1" t="s">
        <v>466</v>
      </c>
      <c r="C589" s="31">
        <v>45917</v>
      </c>
      <c r="D589" s="1" t="s">
        <v>467</v>
      </c>
      <c r="E589" s="13" t="s">
        <v>1658</v>
      </c>
      <c r="F589" s="1" t="s">
        <v>89</v>
      </c>
      <c r="G589" s="1" t="s">
        <v>469</v>
      </c>
      <c r="H589" s="1" t="s">
        <v>470</v>
      </c>
      <c r="I589" s="31">
        <v>46021</v>
      </c>
      <c r="J589" s="1" t="s">
        <v>471</v>
      </c>
      <c r="K589" s="1" t="s">
        <v>37</v>
      </c>
      <c r="L589" s="1" t="s">
        <v>472</v>
      </c>
      <c r="M589" s="2" t="s">
        <v>1659</v>
      </c>
      <c r="N589" s="31">
        <v>45840</v>
      </c>
    </row>
    <row r="590" spans="1:14" x14ac:dyDescent="0.25">
      <c r="A590" s="29">
        <v>589</v>
      </c>
      <c r="B590" s="1" t="s">
        <v>466</v>
      </c>
      <c r="C590" s="31">
        <v>45872</v>
      </c>
      <c r="D590" s="1" t="s">
        <v>351</v>
      </c>
      <c r="E590" s="13" t="s">
        <v>1660</v>
      </c>
      <c r="F590" s="1" t="s">
        <v>89</v>
      </c>
      <c r="G590" s="1" t="s">
        <v>475</v>
      </c>
      <c r="H590" s="1" t="s">
        <v>453</v>
      </c>
      <c r="I590" s="31">
        <v>45939</v>
      </c>
      <c r="J590" s="1" t="s">
        <v>476</v>
      </c>
      <c r="K590" s="1" t="s">
        <v>37</v>
      </c>
      <c r="L590" s="1" t="s">
        <v>477</v>
      </c>
      <c r="M590" s="2" t="s">
        <v>1661</v>
      </c>
      <c r="N590" s="31">
        <v>45878</v>
      </c>
    </row>
    <row r="591" spans="1:14" x14ac:dyDescent="0.25">
      <c r="A591" s="29">
        <v>590</v>
      </c>
      <c r="B591" s="1" t="s">
        <v>479</v>
      </c>
      <c r="C591" s="31">
        <v>45678</v>
      </c>
      <c r="D591" s="1" t="s">
        <v>480</v>
      </c>
      <c r="E591" s="13" t="s">
        <v>1662</v>
      </c>
      <c r="F591" s="1" t="s">
        <v>89</v>
      </c>
      <c r="G591" s="1" t="s">
        <v>201</v>
      </c>
      <c r="H591" s="1" t="s">
        <v>202</v>
      </c>
      <c r="I591" s="31">
        <v>45741</v>
      </c>
      <c r="J591" s="1" t="s">
        <v>68</v>
      </c>
      <c r="K591" s="1" t="s">
        <v>37</v>
      </c>
      <c r="L591" s="1" t="s">
        <v>482</v>
      </c>
      <c r="M591" s="2" t="s">
        <v>1663</v>
      </c>
      <c r="N591" s="31">
        <v>45845</v>
      </c>
    </row>
    <row r="592" spans="1:14" x14ac:dyDescent="0.25">
      <c r="A592" s="29">
        <v>591</v>
      </c>
      <c r="B592" s="1" t="s">
        <v>71</v>
      </c>
      <c r="C592" s="31">
        <v>45871</v>
      </c>
      <c r="D592" s="1" t="s">
        <v>484</v>
      </c>
      <c r="E592" s="13" t="s">
        <v>1664</v>
      </c>
      <c r="F592" s="1" t="s">
        <v>33</v>
      </c>
      <c r="G592" s="1" t="s">
        <v>58</v>
      </c>
      <c r="H592" s="1" t="s">
        <v>91</v>
      </c>
      <c r="I592" s="31">
        <v>45877</v>
      </c>
      <c r="J592" s="1" t="s">
        <v>45</v>
      </c>
      <c r="K592" s="1" t="s">
        <v>37</v>
      </c>
      <c r="L592" s="1" t="s">
        <v>486</v>
      </c>
      <c r="M592" s="2" t="s">
        <v>1665</v>
      </c>
      <c r="N592" s="31">
        <v>45858</v>
      </c>
    </row>
    <row r="593" spans="1:14" x14ac:dyDescent="0.25">
      <c r="A593" s="29">
        <v>592</v>
      </c>
      <c r="B593" s="1" t="s">
        <v>488</v>
      </c>
      <c r="C593" s="31">
        <v>45678</v>
      </c>
      <c r="D593" s="1" t="s">
        <v>225</v>
      </c>
      <c r="E593" s="13" t="s">
        <v>1666</v>
      </c>
      <c r="F593" s="1" t="s">
        <v>33</v>
      </c>
      <c r="G593" s="1" t="s">
        <v>490</v>
      </c>
      <c r="H593" s="1" t="s">
        <v>383</v>
      </c>
      <c r="I593" s="31">
        <v>45723</v>
      </c>
      <c r="J593" s="1" t="s">
        <v>197</v>
      </c>
      <c r="K593" s="1" t="s">
        <v>37</v>
      </c>
      <c r="L593" s="1" t="s">
        <v>491</v>
      </c>
      <c r="M593" s="2" t="s">
        <v>1667</v>
      </c>
      <c r="N593" s="31">
        <v>45865</v>
      </c>
    </row>
    <row r="594" spans="1:14" x14ac:dyDescent="0.25">
      <c r="A594" s="29">
        <v>593</v>
      </c>
      <c r="B594" s="1" t="s">
        <v>161</v>
      </c>
      <c r="C594" s="31">
        <v>45759</v>
      </c>
      <c r="D594" s="1" t="s">
        <v>31</v>
      </c>
      <c r="E594" s="13" t="s">
        <v>1668</v>
      </c>
      <c r="F594" s="1" t="s">
        <v>33</v>
      </c>
      <c r="G594" s="1" t="s">
        <v>164</v>
      </c>
      <c r="H594" s="1" t="s">
        <v>165</v>
      </c>
      <c r="I594" s="31">
        <v>45784</v>
      </c>
      <c r="J594" s="1" t="s">
        <v>114</v>
      </c>
      <c r="K594" s="1" t="s">
        <v>37</v>
      </c>
      <c r="L594" s="1" t="s">
        <v>494</v>
      </c>
      <c r="M594" s="2" t="s">
        <v>1669</v>
      </c>
      <c r="N594" s="31">
        <v>45885</v>
      </c>
    </row>
    <row r="595" spans="1:14" x14ac:dyDescent="0.25">
      <c r="A595" s="29">
        <v>594</v>
      </c>
      <c r="B595" s="1" t="s">
        <v>184</v>
      </c>
      <c r="C595" s="31">
        <v>45922</v>
      </c>
      <c r="D595" s="1" t="s">
        <v>332</v>
      </c>
      <c r="E595" s="13" t="s">
        <v>1670</v>
      </c>
      <c r="F595" s="1" t="s">
        <v>89</v>
      </c>
      <c r="G595" s="1" t="s">
        <v>497</v>
      </c>
      <c r="H595" s="1" t="s">
        <v>121</v>
      </c>
      <c r="I595" s="31">
        <v>46001</v>
      </c>
      <c r="J595" s="1" t="s">
        <v>377</v>
      </c>
      <c r="K595" s="1" t="s">
        <v>37</v>
      </c>
      <c r="L595" s="1" t="s">
        <v>498</v>
      </c>
      <c r="M595" s="2" t="s">
        <v>1671</v>
      </c>
      <c r="N595" s="31">
        <v>45867</v>
      </c>
    </row>
    <row r="596" spans="1:14" x14ac:dyDescent="0.25">
      <c r="A596" s="29">
        <v>595</v>
      </c>
      <c r="B596" s="1" t="s">
        <v>40</v>
      </c>
      <c r="C596" s="31">
        <v>45951</v>
      </c>
      <c r="D596" s="1" t="s">
        <v>64</v>
      </c>
      <c r="E596" s="13" t="s">
        <v>1672</v>
      </c>
      <c r="F596" s="1" t="s">
        <v>33</v>
      </c>
      <c r="G596" s="1" t="s">
        <v>337</v>
      </c>
      <c r="H596" s="1" t="s">
        <v>427</v>
      </c>
      <c r="I596" s="31">
        <v>45996</v>
      </c>
      <c r="J596" s="1" t="s">
        <v>52</v>
      </c>
      <c r="K596" s="1" t="s">
        <v>37</v>
      </c>
      <c r="L596" s="1" t="s">
        <v>501</v>
      </c>
      <c r="M596" s="2" t="s">
        <v>1673</v>
      </c>
      <c r="N596" s="31">
        <v>45895</v>
      </c>
    </row>
    <row r="597" spans="1:14" x14ac:dyDescent="0.25">
      <c r="A597" s="29">
        <v>596</v>
      </c>
      <c r="B597" s="1" t="s">
        <v>503</v>
      </c>
      <c r="C597" s="31">
        <v>45810</v>
      </c>
      <c r="D597" s="1" t="s">
        <v>87</v>
      </c>
      <c r="E597" s="13" t="s">
        <v>1674</v>
      </c>
      <c r="F597" s="1" t="s">
        <v>33</v>
      </c>
      <c r="G597" s="1" t="s">
        <v>469</v>
      </c>
      <c r="H597" s="1" t="s">
        <v>317</v>
      </c>
      <c r="I597" s="31">
        <v>45883</v>
      </c>
      <c r="J597" s="1" t="s">
        <v>458</v>
      </c>
      <c r="K597" s="1" t="s">
        <v>37</v>
      </c>
      <c r="L597" s="1" t="s">
        <v>505</v>
      </c>
      <c r="M597" s="2" t="s">
        <v>1675</v>
      </c>
      <c r="N597" s="31">
        <v>45847</v>
      </c>
    </row>
    <row r="598" spans="1:14" x14ac:dyDescent="0.25">
      <c r="A598" s="29">
        <v>597</v>
      </c>
      <c r="B598" s="1" t="s">
        <v>103</v>
      </c>
      <c r="C598" s="31">
        <v>45803</v>
      </c>
      <c r="D598" s="1" t="s">
        <v>260</v>
      </c>
      <c r="E598" s="13" t="s">
        <v>1676</v>
      </c>
      <c r="F598" s="1" t="s">
        <v>33</v>
      </c>
      <c r="G598" s="1" t="s">
        <v>508</v>
      </c>
      <c r="H598" s="1" t="s">
        <v>376</v>
      </c>
      <c r="I598" s="31">
        <v>45810</v>
      </c>
      <c r="J598" s="1" t="s">
        <v>428</v>
      </c>
      <c r="K598" s="1" t="s">
        <v>37</v>
      </c>
      <c r="L598" s="1" t="s">
        <v>509</v>
      </c>
      <c r="M598" s="2" t="s">
        <v>1677</v>
      </c>
      <c r="N598" s="31">
        <v>45896</v>
      </c>
    </row>
    <row r="599" spans="1:14" x14ac:dyDescent="0.25">
      <c r="A599" s="29">
        <v>598</v>
      </c>
      <c r="B599" s="1" t="s">
        <v>511</v>
      </c>
      <c r="C599" s="31">
        <v>45745</v>
      </c>
      <c r="D599" s="1" t="s">
        <v>170</v>
      </c>
      <c r="E599" s="13" t="s">
        <v>1678</v>
      </c>
      <c r="F599" s="1" t="s">
        <v>89</v>
      </c>
      <c r="G599" s="1" t="s">
        <v>513</v>
      </c>
      <c r="H599" s="1" t="s">
        <v>196</v>
      </c>
      <c r="I599" s="31">
        <v>45765</v>
      </c>
      <c r="J599" s="1" t="s">
        <v>318</v>
      </c>
      <c r="K599" s="1" t="s">
        <v>37</v>
      </c>
      <c r="L599" s="1" t="s">
        <v>514</v>
      </c>
      <c r="M599" s="2" t="s">
        <v>1679</v>
      </c>
      <c r="N599" s="31">
        <v>45858</v>
      </c>
    </row>
    <row r="600" spans="1:14" x14ac:dyDescent="0.25">
      <c r="A600" s="29">
        <v>599</v>
      </c>
      <c r="B600" s="1" t="s">
        <v>516</v>
      </c>
      <c r="C600" s="31">
        <v>45710</v>
      </c>
      <c r="D600" s="1" t="s">
        <v>185</v>
      </c>
      <c r="E600" s="13" t="s">
        <v>1680</v>
      </c>
      <c r="F600" s="1" t="s">
        <v>33</v>
      </c>
      <c r="G600" s="1" t="s">
        <v>490</v>
      </c>
      <c r="H600" s="1" t="s">
        <v>99</v>
      </c>
      <c r="I600" s="31">
        <v>45826</v>
      </c>
      <c r="J600" s="1" t="s">
        <v>518</v>
      </c>
      <c r="K600" s="1" t="s">
        <v>37</v>
      </c>
      <c r="L600" s="1" t="s">
        <v>519</v>
      </c>
      <c r="M600" s="2" t="s">
        <v>1681</v>
      </c>
      <c r="N600" s="31">
        <v>45869</v>
      </c>
    </row>
    <row r="601" spans="1:14" x14ac:dyDescent="0.25">
      <c r="A601" s="29">
        <v>600</v>
      </c>
      <c r="B601" s="1" t="s">
        <v>521</v>
      </c>
      <c r="C601" s="31">
        <v>45924</v>
      </c>
      <c r="D601" s="1" t="s">
        <v>154</v>
      </c>
      <c r="E601" s="13" t="s">
        <v>1682</v>
      </c>
      <c r="F601" s="1" t="s">
        <v>89</v>
      </c>
      <c r="G601" s="1" t="s">
        <v>490</v>
      </c>
      <c r="H601" s="1" t="s">
        <v>523</v>
      </c>
      <c r="I601" s="31">
        <v>45978</v>
      </c>
      <c r="J601" s="1" t="s">
        <v>428</v>
      </c>
      <c r="K601" s="1" t="s">
        <v>37</v>
      </c>
      <c r="L601" s="1" t="s">
        <v>524</v>
      </c>
      <c r="M601" s="2" t="s">
        <v>1683</v>
      </c>
      <c r="N601" s="31">
        <v>45853</v>
      </c>
    </row>
    <row r="602" spans="1:14" x14ac:dyDescent="0.25">
      <c r="A602" s="29">
        <v>601</v>
      </c>
      <c r="B602" s="1" t="s">
        <v>526</v>
      </c>
      <c r="C602" s="31">
        <v>45884</v>
      </c>
      <c r="D602" s="1" t="s">
        <v>527</v>
      </c>
      <c r="E602" s="13" t="s">
        <v>1684</v>
      </c>
      <c r="F602" s="1" t="s">
        <v>89</v>
      </c>
      <c r="G602" s="1" t="s">
        <v>113</v>
      </c>
      <c r="H602" s="1" t="s">
        <v>262</v>
      </c>
      <c r="I602" s="31">
        <v>45993</v>
      </c>
      <c r="J602" s="1" t="s">
        <v>529</v>
      </c>
      <c r="K602" s="1" t="s">
        <v>37</v>
      </c>
      <c r="L602" s="1" t="s">
        <v>530</v>
      </c>
      <c r="M602" s="2" t="s">
        <v>1685</v>
      </c>
      <c r="N602" s="31">
        <v>45893</v>
      </c>
    </row>
    <row r="603" spans="1:14" x14ac:dyDescent="0.25">
      <c r="A603" s="29">
        <v>602</v>
      </c>
      <c r="B603" s="1" t="s">
        <v>532</v>
      </c>
      <c r="C603" s="31">
        <v>45849</v>
      </c>
      <c r="D603" s="1" t="s">
        <v>432</v>
      </c>
      <c r="E603" s="13" t="s">
        <v>1686</v>
      </c>
      <c r="F603" s="1" t="s">
        <v>33</v>
      </c>
      <c r="G603" s="1" t="s">
        <v>534</v>
      </c>
      <c r="H603" s="1" t="s">
        <v>311</v>
      </c>
      <c r="I603" s="31">
        <v>45947</v>
      </c>
      <c r="J603" s="1" t="s">
        <v>535</v>
      </c>
      <c r="K603" s="1" t="s">
        <v>37</v>
      </c>
      <c r="L603" s="1" t="s">
        <v>536</v>
      </c>
      <c r="M603" s="2" t="s">
        <v>1687</v>
      </c>
      <c r="N603" s="31">
        <v>45868</v>
      </c>
    </row>
    <row r="604" spans="1:14" x14ac:dyDescent="0.25">
      <c r="A604" s="29">
        <v>603</v>
      </c>
      <c r="B604" s="1" t="s">
        <v>538</v>
      </c>
      <c r="C604" s="31">
        <v>45828</v>
      </c>
      <c r="D604" s="1" t="s">
        <v>233</v>
      </c>
      <c r="E604" s="13" t="s">
        <v>1688</v>
      </c>
      <c r="F604" s="1" t="s">
        <v>33</v>
      </c>
      <c r="G604" s="1" t="s">
        <v>90</v>
      </c>
      <c r="H604" s="1" t="s">
        <v>91</v>
      </c>
      <c r="I604" s="31">
        <v>45920</v>
      </c>
      <c r="J604" s="1" t="s">
        <v>540</v>
      </c>
      <c r="K604" s="1" t="s">
        <v>37</v>
      </c>
      <c r="L604" s="1" t="s">
        <v>541</v>
      </c>
      <c r="M604" s="2" t="s">
        <v>1689</v>
      </c>
      <c r="N604" s="31">
        <v>45885</v>
      </c>
    </row>
    <row r="605" spans="1:14" x14ac:dyDescent="0.25">
      <c r="A605" s="29">
        <v>604</v>
      </c>
      <c r="B605" s="1" t="s">
        <v>543</v>
      </c>
      <c r="C605" s="31">
        <v>45846</v>
      </c>
      <c r="D605" s="1" t="s">
        <v>56</v>
      </c>
      <c r="E605" s="13" t="s">
        <v>1690</v>
      </c>
      <c r="F605" s="1" t="s">
        <v>89</v>
      </c>
      <c r="G605" s="1" t="s">
        <v>195</v>
      </c>
      <c r="H605" s="1" t="s">
        <v>196</v>
      </c>
      <c r="I605" s="31">
        <v>45910</v>
      </c>
      <c r="J605" s="1" t="s">
        <v>545</v>
      </c>
      <c r="K605" s="1" t="s">
        <v>37</v>
      </c>
      <c r="L605" s="1" t="s">
        <v>546</v>
      </c>
      <c r="M605" s="2" t="s">
        <v>1691</v>
      </c>
      <c r="N605" s="31">
        <v>45878</v>
      </c>
    </row>
    <row r="606" spans="1:14" x14ac:dyDescent="0.25">
      <c r="A606" s="29">
        <v>605</v>
      </c>
      <c r="B606" s="1" t="s">
        <v>284</v>
      </c>
      <c r="C606" s="31">
        <v>45841</v>
      </c>
      <c r="D606" s="1" t="s">
        <v>56</v>
      </c>
      <c r="E606" s="13" t="s">
        <v>1692</v>
      </c>
      <c r="F606" s="1" t="s">
        <v>33</v>
      </c>
      <c r="G606" s="1" t="s">
        <v>287</v>
      </c>
      <c r="H606" s="1" t="s">
        <v>415</v>
      </c>
      <c r="I606" s="31">
        <v>45873</v>
      </c>
      <c r="J606" s="1" t="s">
        <v>549</v>
      </c>
      <c r="K606" s="1" t="s">
        <v>37</v>
      </c>
      <c r="L606" s="1" t="s">
        <v>550</v>
      </c>
      <c r="M606" s="2" t="s">
        <v>1693</v>
      </c>
      <c r="N606" s="31">
        <v>45854</v>
      </c>
    </row>
    <row r="607" spans="1:14" x14ac:dyDescent="0.25">
      <c r="A607" s="29">
        <v>606</v>
      </c>
      <c r="B607" s="1" t="s">
        <v>350</v>
      </c>
      <c r="C607" s="31">
        <v>45922</v>
      </c>
      <c r="D607" s="1" t="s">
        <v>552</v>
      </c>
      <c r="E607" s="13" t="s">
        <v>1694</v>
      </c>
      <c r="F607" s="1" t="s">
        <v>89</v>
      </c>
      <c r="G607" s="1" t="s">
        <v>534</v>
      </c>
      <c r="H607" s="1" t="s">
        <v>366</v>
      </c>
      <c r="I607" s="31">
        <v>45983</v>
      </c>
      <c r="J607" s="1" t="s">
        <v>318</v>
      </c>
      <c r="K607" s="1" t="s">
        <v>37</v>
      </c>
      <c r="L607" s="1" t="s">
        <v>554</v>
      </c>
      <c r="M607" s="2" t="s">
        <v>1695</v>
      </c>
      <c r="N607" s="31">
        <v>45844</v>
      </c>
    </row>
    <row r="608" spans="1:14" x14ac:dyDescent="0.25">
      <c r="A608" s="29">
        <v>607</v>
      </c>
      <c r="B608" s="1" t="s">
        <v>437</v>
      </c>
      <c r="C608" s="31">
        <v>45721</v>
      </c>
      <c r="D608" s="1" t="s">
        <v>308</v>
      </c>
      <c r="E608" s="13" t="s">
        <v>1696</v>
      </c>
      <c r="F608" s="1" t="s">
        <v>89</v>
      </c>
      <c r="G608" s="1" t="s">
        <v>141</v>
      </c>
      <c r="H608" s="1" t="s">
        <v>557</v>
      </c>
      <c r="I608" s="31">
        <v>45744</v>
      </c>
      <c r="J608" s="1" t="s">
        <v>128</v>
      </c>
      <c r="K608" s="1" t="s">
        <v>37</v>
      </c>
      <c r="L608" s="1" t="s">
        <v>558</v>
      </c>
      <c r="M608" s="2" t="s">
        <v>1697</v>
      </c>
      <c r="N608" s="31">
        <v>45885</v>
      </c>
    </row>
    <row r="609" spans="1:14" x14ac:dyDescent="0.25">
      <c r="A609" s="29">
        <v>608</v>
      </c>
      <c r="B609" s="1" t="s">
        <v>450</v>
      </c>
      <c r="C609" s="31">
        <v>45751</v>
      </c>
      <c r="D609" s="1" t="s">
        <v>552</v>
      </c>
      <c r="E609" s="13" t="s">
        <v>1698</v>
      </c>
      <c r="F609" s="1" t="s">
        <v>33</v>
      </c>
      <c r="G609" s="1" t="s">
        <v>561</v>
      </c>
      <c r="H609" s="1" t="s">
        <v>453</v>
      </c>
      <c r="I609" s="31">
        <v>45763</v>
      </c>
      <c r="J609" s="1" t="s">
        <v>562</v>
      </c>
      <c r="K609" s="1" t="s">
        <v>37</v>
      </c>
      <c r="L609" s="1" t="s">
        <v>563</v>
      </c>
      <c r="M609" s="2" t="s">
        <v>1699</v>
      </c>
      <c r="N609" s="31">
        <v>45891</v>
      </c>
    </row>
    <row r="610" spans="1:14" x14ac:dyDescent="0.25">
      <c r="A610" s="29">
        <v>609</v>
      </c>
      <c r="B610" s="1" t="s">
        <v>212</v>
      </c>
      <c r="C610" s="31">
        <v>45863</v>
      </c>
      <c r="D610" s="1" t="s">
        <v>308</v>
      </c>
      <c r="E610" s="13" t="s">
        <v>1700</v>
      </c>
      <c r="F610" s="1" t="s">
        <v>89</v>
      </c>
      <c r="G610" s="1" t="s">
        <v>58</v>
      </c>
      <c r="H610" s="1" t="s">
        <v>44</v>
      </c>
      <c r="I610" s="31">
        <v>45879</v>
      </c>
      <c r="J610" s="1" t="s">
        <v>566</v>
      </c>
      <c r="K610" s="1" t="s">
        <v>37</v>
      </c>
      <c r="L610" s="1" t="s">
        <v>567</v>
      </c>
      <c r="M610" s="2" t="s">
        <v>1701</v>
      </c>
      <c r="N610" s="31">
        <v>45847</v>
      </c>
    </row>
    <row r="611" spans="1:14" x14ac:dyDescent="0.25">
      <c r="A611" s="29">
        <v>610</v>
      </c>
      <c r="B611" s="1" t="s">
        <v>569</v>
      </c>
      <c r="C611" s="31">
        <v>45678</v>
      </c>
      <c r="D611" s="1" t="s">
        <v>552</v>
      </c>
      <c r="E611" s="13" t="s">
        <v>1702</v>
      </c>
      <c r="F611" s="1" t="s">
        <v>89</v>
      </c>
      <c r="G611" s="1" t="s">
        <v>120</v>
      </c>
      <c r="H611" s="1" t="s">
        <v>383</v>
      </c>
      <c r="I611" s="31">
        <v>45709</v>
      </c>
      <c r="J611" s="1" t="s">
        <v>571</v>
      </c>
      <c r="K611" s="1" t="s">
        <v>37</v>
      </c>
      <c r="L611" s="1" t="s">
        <v>572</v>
      </c>
      <c r="M611" s="2" t="s">
        <v>1703</v>
      </c>
      <c r="N611" s="31">
        <v>45884</v>
      </c>
    </row>
    <row r="612" spans="1:14" x14ac:dyDescent="0.25">
      <c r="A612" s="29">
        <v>611</v>
      </c>
      <c r="B612" s="1" t="s">
        <v>425</v>
      </c>
      <c r="C612" s="31">
        <v>45815</v>
      </c>
      <c r="D612" s="1" t="s">
        <v>480</v>
      </c>
      <c r="E612" s="13" t="s">
        <v>1704</v>
      </c>
      <c r="F612" s="1" t="s">
        <v>89</v>
      </c>
      <c r="G612" s="1" t="s">
        <v>346</v>
      </c>
      <c r="H612" s="1" t="s">
        <v>427</v>
      </c>
      <c r="I612" s="31">
        <v>45869</v>
      </c>
      <c r="J612" s="1" t="s">
        <v>575</v>
      </c>
      <c r="K612" s="1" t="s">
        <v>37</v>
      </c>
      <c r="L612" s="1" t="s">
        <v>576</v>
      </c>
      <c r="M612" s="2" t="s">
        <v>1705</v>
      </c>
      <c r="N612" s="31">
        <v>45873</v>
      </c>
    </row>
    <row r="613" spans="1:14" x14ac:dyDescent="0.25">
      <c r="A613" s="29">
        <v>612</v>
      </c>
      <c r="B613" s="1" t="s">
        <v>578</v>
      </c>
      <c r="C613" s="31">
        <v>45851</v>
      </c>
      <c r="D613" s="1" t="s">
        <v>170</v>
      </c>
      <c r="E613" s="13" t="s">
        <v>1706</v>
      </c>
      <c r="F613" s="1" t="s">
        <v>33</v>
      </c>
      <c r="G613" s="1" t="s">
        <v>475</v>
      </c>
      <c r="H613" s="1" t="s">
        <v>580</v>
      </c>
      <c r="I613" s="31">
        <v>45889</v>
      </c>
      <c r="J613" s="1" t="s">
        <v>581</v>
      </c>
      <c r="K613" s="1" t="s">
        <v>37</v>
      </c>
      <c r="L613" s="1" t="s">
        <v>582</v>
      </c>
      <c r="M613" s="2" t="s">
        <v>1707</v>
      </c>
      <c r="N613" s="31">
        <v>45844</v>
      </c>
    </row>
    <row r="614" spans="1:14" x14ac:dyDescent="0.25">
      <c r="A614" s="29">
        <v>613</v>
      </c>
      <c r="B614" s="1" t="s">
        <v>169</v>
      </c>
      <c r="C614" s="31">
        <v>45825</v>
      </c>
      <c r="D614" s="1" t="s">
        <v>240</v>
      </c>
      <c r="E614" s="13" t="s">
        <v>1708</v>
      </c>
      <c r="F614" s="1" t="s">
        <v>33</v>
      </c>
      <c r="G614" s="1" t="s">
        <v>172</v>
      </c>
      <c r="H614" s="1" t="s">
        <v>44</v>
      </c>
      <c r="I614" s="31">
        <v>45844</v>
      </c>
      <c r="J614" s="1" t="s">
        <v>585</v>
      </c>
      <c r="K614" s="1" t="s">
        <v>37</v>
      </c>
      <c r="L614" s="1" t="s">
        <v>586</v>
      </c>
      <c r="M614" s="2" t="s">
        <v>1709</v>
      </c>
      <c r="N614" s="31">
        <v>45887</v>
      </c>
    </row>
    <row r="615" spans="1:14" x14ac:dyDescent="0.25">
      <c r="A615" s="29">
        <v>614</v>
      </c>
      <c r="B615" s="1" t="s">
        <v>177</v>
      </c>
      <c r="C615" s="31">
        <v>45685</v>
      </c>
      <c r="D615" s="1" t="s">
        <v>72</v>
      </c>
      <c r="E615" s="13" t="s">
        <v>1710</v>
      </c>
      <c r="F615" s="1" t="s">
        <v>89</v>
      </c>
      <c r="G615" s="1" t="s">
        <v>220</v>
      </c>
      <c r="H615" s="1" t="s">
        <v>421</v>
      </c>
      <c r="I615" s="31">
        <v>45709</v>
      </c>
      <c r="J615" s="1" t="s">
        <v>589</v>
      </c>
      <c r="K615" s="1" t="s">
        <v>37</v>
      </c>
      <c r="L615" s="1" t="s">
        <v>590</v>
      </c>
      <c r="M615" s="2" t="s">
        <v>1711</v>
      </c>
      <c r="N615" s="31">
        <v>45858</v>
      </c>
    </row>
    <row r="616" spans="1:14" x14ac:dyDescent="0.25">
      <c r="A616" s="29">
        <v>615</v>
      </c>
      <c r="B616" s="1" t="s">
        <v>450</v>
      </c>
      <c r="C616" s="31">
        <v>45841</v>
      </c>
      <c r="D616" s="1" t="s">
        <v>233</v>
      </c>
      <c r="E616" s="13" t="s">
        <v>1712</v>
      </c>
      <c r="F616" s="1" t="s">
        <v>33</v>
      </c>
      <c r="G616" s="1" t="s">
        <v>469</v>
      </c>
      <c r="H616" s="1" t="s">
        <v>580</v>
      </c>
      <c r="I616" s="31">
        <v>45884</v>
      </c>
      <c r="J616" s="1" t="s">
        <v>214</v>
      </c>
      <c r="K616" s="1" t="s">
        <v>37</v>
      </c>
      <c r="L616" s="1" t="s">
        <v>593</v>
      </c>
      <c r="M616" s="2" t="s">
        <v>1713</v>
      </c>
      <c r="N616" s="31">
        <v>45860</v>
      </c>
    </row>
    <row r="617" spans="1:14" x14ac:dyDescent="0.25">
      <c r="A617" s="29">
        <v>616</v>
      </c>
      <c r="B617" s="1" t="s">
        <v>48</v>
      </c>
      <c r="C617" s="31">
        <v>45815</v>
      </c>
      <c r="D617" s="1" t="s">
        <v>391</v>
      </c>
      <c r="E617" s="13" t="s">
        <v>1714</v>
      </c>
      <c r="F617" s="1" t="s">
        <v>33</v>
      </c>
      <c r="G617" s="1" t="s">
        <v>596</v>
      </c>
      <c r="H617" s="1" t="s">
        <v>597</v>
      </c>
      <c r="I617" s="31">
        <v>45833</v>
      </c>
      <c r="J617" s="1" t="s">
        <v>598</v>
      </c>
      <c r="K617" s="1" t="s">
        <v>37</v>
      </c>
      <c r="L617" s="1" t="s">
        <v>599</v>
      </c>
      <c r="M617" s="2" t="s">
        <v>1715</v>
      </c>
      <c r="N617" s="31">
        <v>45870</v>
      </c>
    </row>
    <row r="618" spans="1:14" x14ac:dyDescent="0.25">
      <c r="A618" s="29">
        <v>617</v>
      </c>
      <c r="B618" s="1" t="s">
        <v>252</v>
      </c>
      <c r="C618" s="31">
        <v>45803</v>
      </c>
      <c r="D618" s="1" t="s">
        <v>79</v>
      </c>
      <c r="E618" s="13" t="s">
        <v>1716</v>
      </c>
      <c r="F618" s="1" t="s">
        <v>33</v>
      </c>
      <c r="G618" s="1" t="s">
        <v>164</v>
      </c>
      <c r="H618" s="1" t="s">
        <v>256</v>
      </c>
      <c r="I618" s="31">
        <v>45882</v>
      </c>
      <c r="J618" s="1" t="s">
        <v>602</v>
      </c>
      <c r="K618" s="1" t="s">
        <v>37</v>
      </c>
      <c r="L618" s="1" t="s">
        <v>603</v>
      </c>
      <c r="M618" s="2" t="s">
        <v>1717</v>
      </c>
      <c r="N618" s="31">
        <v>45866</v>
      </c>
    </row>
    <row r="619" spans="1:14" x14ac:dyDescent="0.25">
      <c r="A619" s="29">
        <v>618</v>
      </c>
      <c r="B619" s="1" t="s">
        <v>466</v>
      </c>
      <c r="C619" s="31">
        <v>45729</v>
      </c>
      <c r="D619" s="1" t="s">
        <v>56</v>
      </c>
      <c r="E619" s="13" t="s">
        <v>1718</v>
      </c>
      <c r="F619" s="1" t="s">
        <v>89</v>
      </c>
      <c r="G619" s="1" t="s">
        <v>606</v>
      </c>
      <c r="H619" s="1" t="s">
        <v>453</v>
      </c>
      <c r="I619" s="31">
        <v>45792</v>
      </c>
      <c r="J619" s="1" t="s">
        <v>607</v>
      </c>
      <c r="K619" s="1" t="s">
        <v>37</v>
      </c>
      <c r="L619" s="1" t="s">
        <v>608</v>
      </c>
      <c r="M619" s="2" t="s">
        <v>1719</v>
      </c>
      <c r="N619" s="31">
        <v>45858</v>
      </c>
    </row>
    <row r="620" spans="1:14" x14ac:dyDescent="0.25">
      <c r="A620" s="29">
        <v>619</v>
      </c>
      <c r="B620" s="1" t="s">
        <v>610</v>
      </c>
      <c r="C620" s="31">
        <v>45794</v>
      </c>
      <c r="D620" s="1" t="s">
        <v>611</v>
      </c>
      <c r="E620" s="13" t="s">
        <v>1720</v>
      </c>
      <c r="F620" s="1" t="s">
        <v>33</v>
      </c>
      <c r="G620" s="1" t="s">
        <v>497</v>
      </c>
      <c r="H620" s="1" t="s">
        <v>557</v>
      </c>
      <c r="I620" s="31">
        <v>45856</v>
      </c>
      <c r="J620" s="1" t="s">
        <v>613</v>
      </c>
      <c r="K620" s="1" t="s">
        <v>37</v>
      </c>
      <c r="L620" s="1" t="s">
        <v>614</v>
      </c>
      <c r="M620" s="2" t="s">
        <v>1721</v>
      </c>
      <c r="N620" s="31">
        <v>45880</v>
      </c>
    </row>
    <row r="621" spans="1:14" x14ac:dyDescent="0.25">
      <c r="A621" s="29">
        <v>620</v>
      </c>
      <c r="B621" s="1" t="s">
        <v>71</v>
      </c>
      <c r="C621" s="31">
        <v>45942</v>
      </c>
      <c r="D621" s="1" t="s">
        <v>444</v>
      </c>
      <c r="E621" s="13" t="s">
        <v>1722</v>
      </c>
      <c r="F621" s="1" t="s">
        <v>33</v>
      </c>
      <c r="G621" s="1" t="s">
        <v>337</v>
      </c>
      <c r="H621" s="1" t="s">
        <v>427</v>
      </c>
      <c r="I621" s="31">
        <v>45968</v>
      </c>
      <c r="J621" s="1" t="s">
        <v>617</v>
      </c>
      <c r="K621" s="1" t="s">
        <v>37</v>
      </c>
      <c r="L621" s="1" t="s">
        <v>618</v>
      </c>
      <c r="M621" s="2" t="s">
        <v>1723</v>
      </c>
      <c r="N621" s="31">
        <v>45878</v>
      </c>
    </row>
    <row r="622" spans="1:14" x14ac:dyDescent="0.25">
      <c r="A622" s="29">
        <v>621</v>
      </c>
      <c r="B622" s="1" t="s">
        <v>620</v>
      </c>
      <c r="C622" s="31">
        <v>45910</v>
      </c>
      <c r="D622" s="1" t="s">
        <v>246</v>
      </c>
      <c r="E622" s="13" t="s">
        <v>1724</v>
      </c>
      <c r="F622" s="1" t="s">
        <v>33</v>
      </c>
      <c r="G622" s="1" t="s">
        <v>43</v>
      </c>
      <c r="H622" s="1" t="s">
        <v>127</v>
      </c>
      <c r="I622" s="31">
        <v>45999</v>
      </c>
      <c r="J622" s="1" t="s">
        <v>622</v>
      </c>
      <c r="K622" s="1" t="s">
        <v>37</v>
      </c>
      <c r="L622" s="1" t="s">
        <v>623</v>
      </c>
      <c r="M622" s="2" t="s">
        <v>1725</v>
      </c>
      <c r="N622" s="31">
        <v>45895</v>
      </c>
    </row>
    <row r="623" spans="1:14" x14ac:dyDescent="0.25">
      <c r="A623" s="29">
        <v>622</v>
      </c>
      <c r="B623" s="1" t="s">
        <v>63</v>
      </c>
      <c r="C623" s="31">
        <v>45912</v>
      </c>
      <c r="D623" s="1" t="s">
        <v>552</v>
      </c>
      <c r="E623" s="13" t="s">
        <v>1726</v>
      </c>
      <c r="F623" s="1" t="s">
        <v>33</v>
      </c>
      <c r="G623" s="1" t="s">
        <v>179</v>
      </c>
      <c r="H623" s="1" t="s">
        <v>421</v>
      </c>
      <c r="I623" s="31">
        <v>45979</v>
      </c>
      <c r="J623" s="1" t="s">
        <v>107</v>
      </c>
      <c r="K623" s="1" t="s">
        <v>37</v>
      </c>
      <c r="L623" s="1" t="s">
        <v>626</v>
      </c>
      <c r="M623" s="2" t="s">
        <v>1727</v>
      </c>
      <c r="N623" s="31">
        <v>45894</v>
      </c>
    </row>
    <row r="624" spans="1:14" x14ac:dyDescent="0.25">
      <c r="A624" s="29">
        <v>623</v>
      </c>
      <c r="B624" s="1" t="s">
        <v>205</v>
      </c>
      <c r="C624" s="31">
        <v>45743</v>
      </c>
      <c r="D624" s="1" t="s">
        <v>285</v>
      </c>
      <c r="E624" s="13" t="s">
        <v>1728</v>
      </c>
      <c r="F624" s="1" t="s">
        <v>89</v>
      </c>
      <c r="G624" s="1" t="s">
        <v>208</v>
      </c>
      <c r="H624" s="1" t="s">
        <v>415</v>
      </c>
      <c r="I624" s="31">
        <v>45808</v>
      </c>
      <c r="J624" s="1" t="s">
        <v>236</v>
      </c>
      <c r="K624" s="1" t="s">
        <v>37</v>
      </c>
      <c r="L624" s="1" t="s">
        <v>629</v>
      </c>
      <c r="M624" s="2" t="s">
        <v>1729</v>
      </c>
      <c r="N624" s="31">
        <v>45846</v>
      </c>
    </row>
    <row r="625" spans="1:14" x14ac:dyDescent="0.25">
      <c r="A625" s="29">
        <v>624</v>
      </c>
      <c r="B625" s="1" t="s">
        <v>631</v>
      </c>
      <c r="C625" s="31">
        <v>45749</v>
      </c>
      <c r="D625" s="1" t="s">
        <v>41</v>
      </c>
      <c r="E625" s="13" t="s">
        <v>1730</v>
      </c>
      <c r="F625" s="1" t="s">
        <v>89</v>
      </c>
      <c r="G625" s="1" t="s">
        <v>513</v>
      </c>
      <c r="H625" s="1" t="s">
        <v>235</v>
      </c>
      <c r="I625" s="31">
        <v>45786</v>
      </c>
      <c r="J625" s="1" t="s">
        <v>602</v>
      </c>
      <c r="K625" s="1" t="s">
        <v>37</v>
      </c>
      <c r="L625" s="1" t="s">
        <v>633</v>
      </c>
      <c r="M625" s="2" t="s">
        <v>1731</v>
      </c>
      <c r="N625" s="31">
        <v>45862</v>
      </c>
    </row>
    <row r="626" spans="1:14" x14ac:dyDescent="0.25">
      <c r="A626" s="29">
        <v>625</v>
      </c>
      <c r="B626" s="1" t="s">
        <v>635</v>
      </c>
      <c r="C626" s="31">
        <v>45800</v>
      </c>
      <c r="D626" s="1" t="s">
        <v>267</v>
      </c>
      <c r="E626" s="13" t="s">
        <v>1732</v>
      </c>
      <c r="F626" s="1" t="s">
        <v>89</v>
      </c>
      <c r="G626" s="1" t="s">
        <v>561</v>
      </c>
      <c r="H626" s="1" t="s">
        <v>453</v>
      </c>
      <c r="I626" s="31">
        <v>45873</v>
      </c>
      <c r="J626" s="1" t="s">
        <v>637</v>
      </c>
      <c r="K626" s="1" t="s">
        <v>37</v>
      </c>
      <c r="L626" s="1" t="s">
        <v>638</v>
      </c>
      <c r="M626" s="2" t="s">
        <v>1733</v>
      </c>
      <c r="N626" s="31">
        <v>45878</v>
      </c>
    </row>
    <row r="627" spans="1:14" x14ac:dyDescent="0.25">
      <c r="A627" s="29">
        <v>626</v>
      </c>
      <c r="B627" s="1" t="s">
        <v>437</v>
      </c>
      <c r="C627" s="31">
        <v>45819</v>
      </c>
      <c r="D627" s="1" t="s">
        <v>363</v>
      </c>
      <c r="E627" s="13" t="s">
        <v>1734</v>
      </c>
      <c r="F627" s="1" t="s">
        <v>89</v>
      </c>
      <c r="G627" s="1" t="s">
        <v>187</v>
      </c>
      <c r="H627" s="1" t="s">
        <v>641</v>
      </c>
      <c r="I627" s="31">
        <v>45937</v>
      </c>
      <c r="J627" s="1" t="s">
        <v>562</v>
      </c>
      <c r="K627" s="1" t="s">
        <v>37</v>
      </c>
      <c r="L627" s="1" t="s">
        <v>642</v>
      </c>
      <c r="M627" s="2" t="s">
        <v>1735</v>
      </c>
      <c r="N627" s="31">
        <v>45895</v>
      </c>
    </row>
    <row r="628" spans="1:14" x14ac:dyDescent="0.25">
      <c r="A628" s="29">
        <v>627</v>
      </c>
      <c r="B628" s="1" t="s">
        <v>610</v>
      </c>
      <c r="C628" s="31">
        <v>45778</v>
      </c>
      <c r="D628" s="1" t="s">
        <v>387</v>
      </c>
      <c r="E628" s="13" t="s">
        <v>1736</v>
      </c>
      <c r="F628" s="1" t="s">
        <v>33</v>
      </c>
      <c r="G628" s="1" t="s">
        <v>120</v>
      </c>
      <c r="H628" s="1" t="s">
        <v>99</v>
      </c>
      <c r="I628" s="31">
        <v>45790</v>
      </c>
      <c r="J628" s="1" t="s">
        <v>645</v>
      </c>
      <c r="K628" s="1" t="s">
        <v>37</v>
      </c>
      <c r="L628" s="1" t="s">
        <v>646</v>
      </c>
      <c r="M628" s="2" t="s">
        <v>1737</v>
      </c>
      <c r="N628" s="31">
        <v>45844</v>
      </c>
    </row>
    <row r="629" spans="1:14" x14ac:dyDescent="0.25">
      <c r="A629" s="29">
        <v>628</v>
      </c>
      <c r="B629" s="1" t="s">
        <v>125</v>
      </c>
      <c r="C629" s="31">
        <v>45735</v>
      </c>
      <c r="D629" s="1" t="s">
        <v>648</v>
      </c>
      <c r="E629" s="13" t="s">
        <v>1738</v>
      </c>
      <c r="F629" s="1" t="s">
        <v>33</v>
      </c>
      <c r="G629" s="1" t="s">
        <v>337</v>
      </c>
      <c r="H629" s="1" t="s">
        <v>59</v>
      </c>
      <c r="I629" s="31">
        <v>45767</v>
      </c>
      <c r="J629" s="1" t="s">
        <v>422</v>
      </c>
      <c r="K629" s="1" t="s">
        <v>37</v>
      </c>
      <c r="L629" s="1" t="s">
        <v>650</v>
      </c>
      <c r="M629" s="2" t="s">
        <v>1739</v>
      </c>
      <c r="N629" s="31">
        <v>45872</v>
      </c>
    </row>
    <row r="630" spans="1:14" x14ac:dyDescent="0.25">
      <c r="A630" s="29">
        <v>629</v>
      </c>
      <c r="B630" s="1" t="s">
        <v>652</v>
      </c>
      <c r="C630" s="31">
        <v>45865</v>
      </c>
      <c r="D630" s="1" t="s">
        <v>363</v>
      </c>
      <c r="E630" s="13" t="s">
        <v>1740</v>
      </c>
      <c r="F630" s="1" t="s">
        <v>33</v>
      </c>
      <c r="G630" s="1" t="s">
        <v>269</v>
      </c>
      <c r="H630" s="1" t="s">
        <v>654</v>
      </c>
      <c r="I630" s="31">
        <v>45873</v>
      </c>
      <c r="J630" s="1" t="s">
        <v>655</v>
      </c>
      <c r="K630" s="1" t="s">
        <v>37</v>
      </c>
      <c r="L630" s="1" t="s">
        <v>656</v>
      </c>
      <c r="M630" s="2" t="s">
        <v>1741</v>
      </c>
      <c r="N630" s="31">
        <v>45852</v>
      </c>
    </row>
    <row r="631" spans="1:14" x14ac:dyDescent="0.25">
      <c r="A631" s="29">
        <v>630</v>
      </c>
      <c r="B631" s="1" t="s">
        <v>516</v>
      </c>
      <c r="C631" s="31">
        <v>45874</v>
      </c>
      <c r="D631" s="1" t="s">
        <v>552</v>
      </c>
      <c r="E631" s="13" t="s">
        <v>1742</v>
      </c>
      <c r="F631" s="1" t="s">
        <v>33</v>
      </c>
      <c r="G631" s="1" t="s">
        <v>187</v>
      </c>
      <c r="H631" s="1" t="s">
        <v>121</v>
      </c>
      <c r="I631" s="31">
        <v>45926</v>
      </c>
      <c r="J631" s="1" t="s">
        <v>659</v>
      </c>
      <c r="K631" s="1" t="s">
        <v>37</v>
      </c>
      <c r="L631" s="1" t="s">
        <v>660</v>
      </c>
      <c r="M631" s="2" t="s">
        <v>1743</v>
      </c>
      <c r="N631" s="31">
        <v>45873</v>
      </c>
    </row>
    <row r="632" spans="1:14" x14ac:dyDescent="0.25">
      <c r="A632" s="29">
        <v>631</v>
      </c>
      <c r="B632" s="1" t="s">
        <v>153</v>
      </c>
      <c r="C632" s="31">
        <v>45670</v>
      </c>
      <c r="D632" s="1" t="s">
        <v>374</v>
      </c>
      <c r="E632" s="13" t="s">
        <v>1744</v>
      </c>
      <c r="F632" s="1" t="s">
        <v>33</v>
      </c>
      <c r="G632" s="1" t="s">
        <v>208</v>
      </c>
      <c r="H632" s="1" t="s">
        <v>196</v>
      </c>
      <c r="I632" s="31">
        <v>45679</v>
      </c>
      <c r="J632" s="1" t="s">
        <v>663</v>
      </c>
      <c r="K632" s="1" t="s">
        <v>37</v>
      </c>
      <c r="L632" s="1" t="s">
        <v>664</v>
      </c>
      <c r="M632" s="2" t="s">
        <v>1745</v>
      </c>
      <c r="N632" s="31">
        <v>45844</v>
      </c>
    </row>
    <row r="633" spans="1:14" x14ac:dyDescent="0.25">
      <c r="A633" s="29">
        <v>632</v>
      </c>
      <c r="B633" s="1" t="s">
        <v>666</v>
      </c>
      <c r="C633" s="31">
        <v>45874</v>
      </c>
      <c r="D633" s="1" t="s">
        <v>467</v>
      </c>
      <c r="E633" s="13" t="s">
        <v>1746</v>
      </c>
      <c r="F633" s="1" t="s">
        <v>89</v>
      </c>
      <c r="G633" s="1" t="s">
        <v>227</v>
      </c>
      <c r="H633" s="1" t="s">
        <v>580</v>
      </c>
      <c r="I633" s="31">
        <v>45982</v>
      </c>
      <c r="J633" s="1" t="s">
        <v>668</v>
      </c>
      <c r="K633" s="1" t="s">
        <v>37</v>
      </c>
      <c r="L633" s="1" t="s">
        <v>669</v>
      </c>
      <c r="M633" s="2" t="s">
        <v>1747</v>
      </c>
      <c r="N633" s="31">
        <v>45897</v>
      </c>
    </row>
    <row r="634" spans="1:14" x14ac:dyDescent="0.25">
      <c r="A634" s="29">
        <v>633</v>
      </c>
      <c r="B634" s="1" t="s">
        <v>671</v>
      </c>
      <c r="C634" s="31">
        <v>45947</v>
      </c>
      <c r="D634" s="1" t="s">
        <v>170</v>
      </c>
      <c r="E634" s="13" t="s">
        <v>1748</v>
      </c>
      <c r="F634" s="1" t="s">
        <v>33</v>
      </c>
      <c r="G634" s="1" t="s">
        <v>255</v>
      </c>
      <c r="H634" s="1" t="s">
        <v>376</v>
      </c>
      <c r="I634" s="31">
        <v>46053</v>
      </c>
      <c r="J634" s="1" t="s">
        <v>257</v>
      </c>
      <c r="K634" s="1" t="s">
        <v>37</v>
      </c>
      <c r="L634" s="1" t="s">
        <v>688</v>
      </c>
      <c r="M634" s="2" t="s">
        <v>1749</v>
      </c>
      <c r="N634" s="31">
        <v>45862</v>
      </c>
    </row>
    <row r="635" spans="1:14" x14ac:dyDescent="0.25">
      <c r="A635" s="29">
        <v>634</v>
      </c>
      <c r="B635" s="1" t="s">
        <v>437</v>
      </c>
      <c r="C635" s="31">
        <v>45765</v>
      </c>
      <c r="D635" s="1" t="s">
        <v>292</v>
      </c>
      <c r="E635" s="13" t="s">
        <v>1750</v>
      </c>
      <c r="F635" s="1" t="s">
        <v>33</v>
      </c>
      <c r="G635" s="1" t="s">
        <v>691</v>
      </c>
      <c r="H635" s="1" t="s">
        <v>288</v>
      </c>
      <c r="I635" s="31">
        <v>45824</v>
      </c>
      <c r="J635" s="1" t="s">
        <v>181</v>
      </c>
      <c r="K635" s="1" t="s">
        <v>37</v>
      </c>
      <c r="L635" s="1" t="s">
        <v>692</v>
      </c>
      <c r="M635" s="2" t="s">
        <v>1751</v>
      </c>
      <c r="N635" s="31">
        <v>45850</v>
      </c>
    </row>
    <row r="636" spans="1:14" x14ac:dyDescent="0.25">
      <c r="A636" s="29">
        <v>635</v>
      </c>
      <c r="B636" s="1" t="s">
        <v>48</v>
      </c>
      <c r="C636" s="31">
        <v>45887</v>
      </c>
      <c r="D636" s="1" t="s">
        <v>218</v>
      </c>
      <c r="E636" s="13" t="s">
        <v>1752</v>
      </c>
      <c r="F636" s="1" t="s">
        <v>89</v>
      </c>
      <c r="G636" s="1" t="s">
        <v>220</v>
      </c>
      <c r="H636" s="1" t="s">
        <v>421</v>
      </c>
      <c r="I636" s="31">
        <v>45936</v>
      </c>
      <c r="J636" s="1" t="s">
        <v>60</v>
      </c>
      <c r="K636" s="1" t="s">
        <v>37</v>
      </c>
      <c r="L636" s="1" t="s">
        <v>696</v>
      </c>
      <c r="M636" s="2" t="s">
        <v>1753</v>
      </c>
      <c r="N636" s="31">
        <v>45888</v>
      </c>
    </row>
    <row r="637" spans="1:14" x14ac:dyDescent="0.25">
      <c r="A637" s="29">
        <v>636</v>
      </c>
      <c r="B637" s="1" t="s">
        <v>532</v>
      </c>
      <c r="C637" s="31">
        <v>45686</v>
      </c>
      <c r="D637" s="1" t="s">
        <v>391</v>
      </c>
      <c r="E637" s="13" t="s">
        <v>1754</v>
      </c>
      <c r="F637" s="1" t="s">
        <v>33</v>
      </c>
      <c r="G637" s="1" t="s">
        <v>310</v>
      </c>
      <c r="H637" s="1" t="s">
        <v>180</v>
      </c>
      <c r="I637" s="31">
        <v>45704</v>
      </c>
      <c r="J637" s="1" t="s">
        <v>699</v>
      </c>
      <c r="K637" s="1" t="s">
        <v>37</v>
      </c>
      <c r="L637" s="1" t="s">
        <v>700</v>
      </c>
      <c r="M637" s="2" t="s">
        <v>1755</v>
      </c>
      <c r="N637" s="31">
        <v>45881</v>
      </c>
    </row>
    <row r="638" spans="1:14" x14ac:dyDescent="0.25">
      <c r="A638" s="29">
        <v>637</v>
      </c>
      <c r="B638" s="1" t="s">
        <v>686</v>
      </c>
      <c r="C638" s="31">
        <v>45768</v>
      </c>
      <c r="D638" s="1" t="s">
        <v>253</v>
      </c>
      <c r="E638" s="13" t="s">
        <v>1756</v>
      </c>
      <c r="F638" s="1" t="s">
        <v>89</v>
      </c>
      <c r="G638" s="1" t="s">
        <v>561</v>
      </c>
      <c r="H638" s="1" t="s">
        <v>703</v>
      </c>
      <c r="I638" s="31">
        <v>45805</v>
      </c>
      <c r="J638" s="1" t="s">
        <v>135</v>
      </c>
      <c r="K638" s="1" t="s">
        <v>37</v>
      </c>
      <c r="L638" s="1" t="s">
        <v>704</v>
      </c>
      <c r="M638" s="2" t="s">
        <v>1757</v>
      </c>
      <c r="N638" s="31">
        <v>45870</v>
      </c>
    </row>
    <row r="639" spans="1:14" x14ac:dyDescent="0.25">
      <c r="A639" s="29">
        <v>638</v>
      </c>
      <c r="B639" s="1" t="s">
        <v>153</v>
      </c>
      <c r="C639" s="31">
        <v>45701</v>
      </c>
      <c r="D639" s="1" t="s">
        <v>706</v>
      </c>
      <c r="E639" s="13" t="s">
        <v>1758</v>
      </c>
      <c r="F639" s="1" t="s">
        <v>33</v>
      </c>
      <c r="G639" s="1" t="s">
        <v>98</v>
      </c>
      <c r="H639" s="1" t="s">
        <v>383</v>
      </c>
      <c r="I639" s="31">
        <v>45738</v>
      </c>
      <c r="J639" s="1" t="s">
        <v>428</v>
      </c>
      <c r="K639" s="1" t="s">
        <v>37</v>
      </c>
      <c r="L639" s="1" t="s">
        <v>708</v>
      </c>
      <c r="M639" s="2" t="s">
        <v>1759</v>
      </c>
      <c r="N639" s="31">
        <v>45879</v>
      </c>
    </row>
    <row r="640" spans="1:14" x14ac:dyDescent="0.25">
      <c r="A640" s="29">
        <v>639</v>
      </c>
      <c r="B640" s="1" t="s">
        <v>694</v>
      </c>
      <c r="C640" s="31">
        <v>45709</v>
      </c>
      <c r="D640" s="1" t="s">
        <v>111</v>
      </c>
      <c r="E640" s="13" t="s">
        <v>1760</v>
      </c>
      <c r="F640" s="1" t="s">
        <v>89</v>
      </c>
      <c r="G640" s="1" t="s">
        <v>712</v>
      </c>
      <c r="H640" s="1" t="s">
        <v>317</v>
      </c>
      <c r="I640" s="31">
        <v>45797</v>
      </c>
      <c r="J640" s="1" t="s">
        <v>598</v>
      </c>
      <c r="K640" s="1" t="s">
        <v>37</v>
      </c>
      <c r="L640" s="1" t="s">
        <v>713</v>
      </c>
      <c r="M640" s="2" t="s">
        <v>1761</v>
      </c>
      <c r="N640" s="31">
        <v>45844</v>
      </c>
    </row>
    <row r="641" spans="1:14" x14ac:dyDescent="0.25">
      <c r="A641" s="29">
        <v>640</v>
      </c>
      <c r="B641" s="1" t="s">
        <v>419</v>
      </c>
      <c r="C641" s="31">
        <v>45811</v>
      </c>
      <c r="D641" s="1" t="s">
        <v>308</v>
      </c>
      <c r="E641" s="13" t="s">
        <v>1762</v>
      </c>
      <c r="F641" s="1" t="s">
        <v>33</v>
      </c>
      <c r="G641" s="1" t="s">
        <v>248</v>
      </c>
      <c r="H641" s="1" t="s">
        <v>51</v>
      </c>
      <c r="I641" s="31">
        <v>45898</v>
      </c>
      <c r="J641" s="1" t="s">
        <v>263</v>
      </c>
      <c r="K641" s="1" t="s">
        <v>37</v>
      </c>
      <c r="L641" s="1" t="s">
        <v>716</v>
      </c>
      <c r="M641" s="2" t="s">
        <v>1763</v>
      </c>
      <c r="N641" s="31">
        <v>45898</v>
      </c>
    </row>
    <row r="642" spans="1:14" x14ac:dyDescent="0.25">
      <c r="A642" s="29">
        <v>641</v>
      </c>
      <c r="B642" s="1" t="s">
        <v>666</v>
      </c>
      <c r="C642" s="31">
        <v>45699</v>
      </c>
      <c r="D642" s="1" t="s">
        <v>332</v>
      </c>
      <c r="E642" s="13" t="s">
        <v>1764</v>
      </c>
      <c r="F642" s="1" t="s">
        <v>89</v>
      </c>
      <c r="G642" s="1" t="s">
        <v>316</v>
      </c>
      <c r="H642" s="1" t="s">
        <v>719</v>
      </c>
      <c r="I642" s="31">
        <v>45721</v>
      </c>
      <c r="J642" s="1" t="s">
        <v>720</v>
      </c>
      <c r="K642" s="1" t="s">
        <v>37</v>
      </c>
      <c r="L642" s="1" t="s">
        <v>721</v>
      </c>
      <c r="M642" s="2" t="s">
        <v>1765</v>
      </c>
      <c r="N642" s="31">
        <v>45853</v>
      </c>
    </row>
    <row r="643" spans="1:14" x14ac:dyDescent="0.25">
      <c r="A643" s="29">
        <v>642</v>
      </c>
      <c r="B643" s="1" t="s">
        <v>117</v>
      </c>
      <c r="C643" s="31">
        <v>45945</v>
      </c>
      <c r="D643" s="1" t="s">
        <v>340</v>
      </c>
      <c r="E643" s="13" t="s">
        <v>1766</v>
      </c>
      <c r="F643" s="1" t="s">
        <v>89</v>
      </c>
      <c r="G643" s="1" t="s">
        <v>74</v>
      </c>
      <c r="H643" s="1" t="s">
        <v>127</v>
      </c>
      <c r="I643" s="31">
        <v>46061</v>
      </c>
      <c r="J643" s="1" t="s">
        <v>725</v>
      </c>
      <c r="K643" s="1" t="s">
        <v>37</v>
      </c>
      <c r="L643" s="1" t="s">
        <v>726</v>
      </c>
      <c r="M643" s="2" t="s">
        <v>1767</v>
      </c>
      <c r="N643" s="31">
        <v>45841</v>
      </c>
    </row>
    <row r="644" spans="1:14" x14ac:dyDescent="0.25">
      <c r="A644" s="29">
        <v>643</v>
      </c>
      <c r="B644" s="1" t="s">
        <v>710</v>
      </c>
      <c r="C644" s="31">
        <v>45736</v>
      </c>
      <c r="D644" s="1" t="s">
        <v>728</v>
      </c>
      <c r="E644" s="13" t="s">
        <v>1768</v>
      </c>
      <c r="F644" s="1" t="s">
        <v>89</v>
      </c>
      <c r="G644" s="1" t="s">
        <v>66</v>
      </c>
      <c r="H644" s="1" t="s">
        <v>421</v>
      </c>
      <c r="I644" s="31">
        <v>45837</v>
      </c>
      <c r="J644" s="1" t="s">
        <v>52</v>
      </c>
      <c r="K644" s="1" t="s">
        <v>37</v>
      </c>
      <c r="L644" s="1" t="s">
        <v>730</v>
      </c>
      <c r="M644" s="2" t="s">
        <v>1769</v>
      </c>
      <c r="N644" s="31">
        <v>45851</v>
      </c>
    </row>
    <row r="645" spans="1:14" x14ac:dyDescent="0.25">
      <c r="A645" s="29">
        <v>644</v>
      </c>
      <c r="B645" s="1" t="s">
        <v>30</v>
      </c>
      <c r="C645" s="31">
        <v>45828</v>
      </c>
      <c r="D645" s="1" t="s">
        <v>480</v>
      </c>
      <c r="E645" s="13" t="s">
        <v>1770</v>
      </c>
      <c r="F645" s="1" t="s">
        <v>89</v>
      </c>
      <c r="G645" s="1" t="s">
        <v>81</v>
      </c>
      <c r="H645" s="1" t="s">
        <v>311</v>
      </c>
      <c r="I645" s="31">
        <v>45844</v>
      </c>
      <c r="J645" s="1" t="s">
        <v>463</v>
      </c>
      <c r="K645" s="1" t="s">
        <v>37</v>
      </c>
      <c r="L645" s="1" t="s">
        <v>733</v>
      </c>
      <c r="M645" s="2" t="s">
        <v>1771</v>
      </c>
      <c r="N645" s="31">
        <v>45849</v>
      </c>
    </row>
    <row r="646" spans="1:14" x14ac:dyDescent="0.25">
      <c r="A646" s="29">
        <v>645</v>
      </c>
      <c r="B646" s="1" t="s">
        <v>710</v>
      </c>
      <c r="C646" s="31">
        <v>45838</v>
      </c>
      <c r="D646" s="1" t="s">
        <v>332</v>
      </c>
      <c r="E646" s="13" t="s">
        <v>1772</v>
      </c>
      <c r="F646" s="1" t="s">
        <v>89</v>
      </c>
      <c r="G646" s="1" t="s">
        <v>452</v>
      </c>
      <c r="H646" s="1" t="s">
        <v>719</v>
      </c>
      <c r="I646" s="31">
        <v>45918</v>
      </c>
      <c r="J646" s="1" t="s">
        <v>566</v>
      </c>
      <c r="K646" s="1" t="s">
        <v>37</v>
      </c>
      <c r="L646" s="1" t="s">
        <v>737</v>
      </c>
      <c r="M646" s="2" t="s">
        <v>1773</v>
      </c>
      <c r="N646" s="31">
        <v>45883</v>
      </c>
    </row>
    <row r="647" spans="1:14" x14ac:dyDescent="0.25">
      <c r="A647" s="29">
        <v>646</v>
      </c>
      <c r="B647" s="1" t="s">
        <v>723</v>
      </c>
      <c r="C647" s="31">
        <v>45900</v>
      </c>
      <c r="D647" s="1" t="s">
        <v>41</v>
      </c>
      <c r="E647" s="13" t="s">
        <v>1774</v>
      </c>
      <c r="F647" s="1" t="s">
        <v>89</v>
      </c>
      <c r="G647" s="1" t="s">
        <v>187</v>
      </c>
      <c r="H647" s="1" t="s">
        <v>188</v>
      </c>
      <c r="I647" s="31">
        <v>45984</v>
      </c>
      <c r="J647" s="1" t="s">
        <v>741</v>
      </c>
      <c r="K647" s="1" t="s">
        <v>37</v>
      </c>
      <c r="L647" s="1" t="s">
        <v>742</v>
      </c>
      <c r="M647" s="2" t="s">
        <v>1775</v>
      </c>
      <c r="N647" s="31">
        <v>45843</v>
      </c>
    </row>
    <row r="648" spans="1:14" x14ac:dyDescent="0.25">
      <c r="A648" s="29">
        <v>647</v>
      </c>
      <c r="B648" s="1" t="s">
        <v>274</v>
      </c>
      <c r="C648" s="31">
        <v>45953</v>
      </c>
      <c r="D648" s="1" t="s">
        <v>31</v>
      </c>
      <c r="E648" s="13" t="s">
        <v>1776</v>
      </c>
      <c r="F648" s="1" t="s">
        <v>33</v>
      </c>
      <c r="G648" s="1" t="s">
        <v>34</v>
      </c>
      <c r="H648" s="1" t="s">
        <v>35</v>
      </c>
      <c r="I648" s="31">
        <v>45959</v>
      </c>
      <c r="J648" s="1" t="s">
        <v>36</v>
      </c>
      <c r="K648" s="1" t="s">
        <v>37</v>
      </c>
      <c r="L648" s="1" t="s">
        <v>38</v>
      </c>
      <c r="M648" s="2" t="s">
        <v>1777</v>
      </c>
      <c r="N648" s="31">
        <v>45862</v>
      </c>
    </row>
    <row r="649" spans="1:14" x14ac:dyDescent="0.25">
      <c r="A649" s="29">
        <v>648</v>
      </c>
      <c r="B649" s="1" t="s">
        <v>325</v>
      </c>
      <c r="C649" s="31">
        <v>45774</v>
      </c>
      <c r="D649" s="1" t="s">
        <v>41</v>
      </c>
      <c r="E649" s="13" t="s">
        <v>1778</v>
      </c>
      <c r="F649" s="1" t="s">
        <v>33</v>
      </c>
      <c r="G649" s="1" t="s">
        <v>43</v>
      </c>
      <c r="H649" s="1" t="s">
        <v>44</v>
      </c>
      <c r="I649" s="31">
        <v>45805</v>
      </c>
      <c r="J649" s="1" t="s">
        <v>45</v>
      </c>
      <c r="K649" s="1" t="s">
        <v>37</v>
      </c>
      <c r="L649" s="1" t="s">
        <v>46</v>
      </c>
      <c r="M649" s="2" t="s">
        <v>1779</v>
      </c>
      <c r="N649" s="31">
        <v>45844</v>
      </c>
    </row>
    <row r="650" spans="1:14" x14ac:dyDescent="0.25">
      <c r="A650" s="29">
        <v>649</v>
      </c>
      <c r="B650" s="1" t="s">
        <v>735</v>
      </c>
      <c r="C650" s="31">
        <v>45936</v>
      </c>
      <c r="D650" s="1" t="s">
        <v>49</v>
      </c>
      <c r="E650" s="13" t="s">
        <v>1780</v>
      </c>
      <c r="F650" s="1" t="s">
        <v>33</v>
      </c>
      <c r="G650" s="1" t="s">
        <v>34</v>
      </c>
      <c r="H650" s="1" t="s">
        <v>51</v>
      </c>
      <c r="I650" s="31">
        <v>45992</v>
      </c>
      <c r="J650" s="1" t="s">
        <v>52</v>
      </c>
      <c r="K650" s="1" t="s">
        <v>37</v>
      </c>
      <c r="L650" s="1" t="s">
        <v>53</v>
      </c>
      <c r="M650" s="2" t="s">
        <v>1781</v>
      </c>
      <c r="N650" s="31">
        <v>45890</v>
      </c>
    </row>
    <row r="651" spans="1:14" x14ac:dyDescent="0.25">
      <c r="A651" s="29">
        <v>650</v>
      </c>
      <c r="B651" s="1" t="s">
        <v>739</v>
      </c>
      <c r="C651" s="31">
        <v>45743</v>
      </c>
      <c r="D651" s="1" t="s">
        <v>56</v>
      </c>
      <c r="E651" s="13" t="s">
        <v>1782</v>
      </c>
      <c r="F651" s="1" t="s">
        <v>33</v>
      </c>
      <c r="G651" s="1" t="s">
        <v>58</v>
      </c>
      <c r="H651" s="1" t="s">
        <v>59</v>
      </c>
      <c r="I651" s="31">
        <v>45754</v>
      </c>
      <c r="J651" s="1" t="s">
        <v>60</v>
      </c>
      <c r="K651" s="1" t="s">
        <v>37</v>
      </c>
      <c r="L651" s="1" t="s">
        <v>61</v>
      </c>
      <c r="M651" s="2" t="s">
        <v>1783</v>
      </c>
      <c r="N651" s="31">
        <v>45846</v>
      </c>
    </row>
    <row r="652" spans="1:14" x14ac:dyDescent="0.25">
      <c r="A652" s="29">
        <v>651</v>
      </c>
      <c r="B652" s="1" t="s">
        <v>30</v>
      </c>
      <c r="C652" s="31">
        <v>45950</v>
      </c>
      <c r="D652" s="1" t="s">
        <v>64</v>
      </c>
      <c r="E652" s="13" t="s">
        <v>1784</v>
      </c>
      <c r="F652" s="1" t="s">
        <v>33</v>
      </c>
      <c r="G652" s="1" t="s">
        <v>66</v>
      </c>
      <c r="H652" s="1" t="s">
        <v>67</v>
      </c>
      <c r="I652" s="31">
        <v>45969</v>
      </c>
      <c r="J652" s="1" t="s">
        <v>68</v>
      </c>
      <c r="K652" s="1" t="s">
        <v>37</v>
      </c>
      <c r="L652" s="1" t="s">
        <v>69</v>
      </c>
      <c r="M652" s="2" t="s">
        <v>1785</v>
      </c>
      <c r="N652" s="31">
        <v>45845</v>
      </c>
    </row>
    <row r="653" spans="1:14" x14ac:dyDescent="0.25">
      <c r="A653" s="29">
        <v>652</v>
      </c>
      <c r="B653" s="1" t="s">
        <v>40</v>
      </c>
      <c r="C653" s="31">
        <v>45659</v>
      </c>
      <c r="D653" s="1" t="s">
        <v>72</v>
      </c>
      <c r="E653" s="13" t="s">
        <v>1786</v>
      </c>
      <c r="F653" s="1" t="s">
        <v>33</v>
      </c>
      <c r="G653" s="1" t="s">
        <v>74</v>
      </c>
      <c r="H653" s="1" t="s">
        <v>44</v>
      </c>
      <c r="I653" s="31">
        <v>45686</v>
      </c>
      <c r="J653" s="1" t="s">
        <v>75</v>
      </c>
      <c r="K653" s="1" t="s">
        <v>37</v>
      </c>
      <c r="L653" s="1" t="s">
        <v>76</v>
      </c>
      <c r="M653" s="2" t="s">
        <v>1787</v>
      </c>
      <c r="N653" s="31">
        <v>45898</v>
      </c>
    </row>
    <row r="654" spans="1:14" x14ac:dyDescent="0.25">
      <c r="A654" s="29">
        <v>653</v>
      </c>
      <c r="B654" s="1" t="s">
        <v>48</v>
      </c>
      <c r="C654" s="31">
        <v>45841</v>
      </c>
      <c r="D654" s="1" t="s">
        <v>79</v>
      </c>
      <c r="E654" s="13" t="s">
        <v>1788</v>
      </c>
      <c r="F654" s="1" t="s">
        <v>33</v>
      </c>
      <c r="G654" s="1" t="s">
        <v>81</v>
      </c>
      <c r="H654" s="1" t="s">
        <v>82</v>
      </c>
      <c r="I654" s="31">
        <v>45924</v>
      </c>
      <c r="J654" s="1" t="s">
        <v>83</v>
      </c>
      <c r="K654" s="1" t="s">
        <v>37</v>
      </c>
      <c r="L654" s="1" t="s">
        <v>84</v>
      </c>
      <c r="M654" s="2" t="s">
        <v>1789</v>
      </c>
      <c r="N654" s="31">
        <v>45877</v>
      </c>
    </row>
    <row r="655" spans="1:14" x14ac:dyDescent="0.25">
      <c r="A655" s="29">
        <v>654</v>
      </c>
      <c r="B655" s="1" t="s">
        <v>55</v>
      </c>
      <c r="C655" s="31">
        <v>45835</v>
      </c>
      <c r="D655" s="1" t="s">
        <v>87</v>
      </c>
      <c r="E655" s="13" t="s">
        <v>1790</v>
      </c>
      <c r="F655" s="1" t="s">
        <v>89</v>
      </c>
      <c r="G655" s="1" t="s">
        <v>90</v>
      </c>
      <c r="H655" s="1" t="s">
        <v>91</v>
      </c>
      <c r="I655" s="31">
        <v>45893</v>
      </c>
      <c r="J655" s="1" t="s">
        <v>92</v>
      </c>
      <c r="K655" s="1" t="s">
        <v>37</v>
      </c>
      <c r="L655" s="1" t="s">
        <v>93</v>
      </c>
      <c r="M655" s="2" t="s">
        <v>1791</v>
      </c>
      <c r="N655" s="31">
        <v>45872</v>
      </c>
    </row>
    <row r="656" spans="1:14" x14ac:dyDescent="0.25">
      <c r="A656" s="29">
        <v>655</v>
      </c>
      <c r="B656" s="1" t="s">
        <v>63</v>
      </c>
      <c r="C656" s="31">
        <v>45926</v>
      </c>
      <c r="D656" s="1" t="s">
        <v>96</v>
      </c>
      <c r="E656" s="13" t="s">
        <v>1792</v>
      </c>
      <c r="F656" s="1" t="s">
        <v>89</v>
      </c>
      <c r="G656" s="1" t="s">
        <v>98</v>
      </c>
      <c r="H656" s="1" t="s">
        <v>99</v>
      </c>
      <c r="I656" s="31">
        <v>45969</v>
      </c>
      <c r="J656" s="1" t="s">
        <v>100</v>
      </c>
      <c r="K656" s="1" t="s">
        <v>37</v>
      </c>
      <c r="L656" s="1" t="s">
        <v>101</v>
      </c>
      <c r="M656" s="2" t="s">
        <v>1793</v>
      </c>
      <c r="N656" s="31">
        <v>45840</v>
      </c>
    </row>
    <row r="657" spans="1:14" x14ac:dyDescent="0.25">
      <c r="A657" s="29">
        <v>656</v>
      </c>
      <c r="B657" s="1" t="s">
        <v>71</v>
      </c>
      <c r="C657" s="31">
        <v>45663</v>
      </c>
      <c r="D657" s="1" t="s">
        <v>56</v>
      </c>
      <c r="E657" s="13" t="s">
        <v>1794</v>
      </c>
      <c r="F657" s="1" t="s">
        <v>33</v>
      </c>
      <c r="G657" s="1" t="s">
        <v>105</v>
      </c>
      <c r="H657" s="1" t="s">
        <v>106</v>
      </c>
      <c r="I657" s="31">
        <v>45730</v>
      </c>
      <c r="J657" s="1" t="s">
        <v>107</v>
      </c>
      <c r="K657" s="1" t="s">
        <v>37</v>
      </c>
      <c r="L657" s="1" t="s">
        <v>108</v>
      </c>
      <c r="M657" s="2" t="s">
        <v>1795</v>
      </c>
      <c r="N657" s="31">
        <v>45858</v>
      </c>
    </row>
    <row r="658" spans="1:14" x14ac:dyDescent="0.25">
      <c r="A658" s="29">
        <v>657</v>
      </c>
      <c r="B658" s="1" t="s">
        <v>78</v>
      </c>
      <c r="C658" s="31">
        <v>45706</v>
      </c>
      <c r="D658" s="1" t="s">
        <v>111</v>
      </c>
      <c r="E658" s="13" t="s">
        <v>1796</v>
      </c>
      <c r="F658" s="1" t="s">
        <v>89</v>
      </c>
      <c r="G658" s="1" t="s">
        <v>113</v>
      </c>
      <c r="H658" s="1" t="s">
        <v>35</v>
      </c>
      <c r="I658" s="31">
        <v>45815</v>
      </c>
      <c r="J658" s="1" t="s">
        <v>114</v>
      </c>
      <c r="K658" s="1" t="s">
        <v>37</v>
      </c>
      <c r="L658" s="1" t="s">
        <v>115</v>
      </c>
      <c r="M658" s="2" t="s">
        <v>1797</v>
      </c>
      <c r="N658" s="31">
        <v>45859</v>
      </c>
    </row>
    <row r="659" spans="1:14" x14ac:dyDescent="0.25">
      <c r="A659" s="29">
        <v>658</v>
      </c>
      <c r="B659" s="1" t="s">
        <v>86</v>
      </c>
      <c r="C659" s="31">
        <v>45854</v>
      </c>
      <c r="D659" s="1" t="s">
        <v>118</v>
      </c>
      <c r="E659" s="13" t="s">
        <v>1798</v>
      </c>
      <c r="F659" s="1" t="s">
        <v>33</v>
      </c>
      <c r="G659" s="1" t="s">
        <v>120</v>
      </c>
      <c r="H659" s="1" t="s">
        <v>121</v>
      </c>
      <c r="I659" s="31">
        <v>45971</v>
      </c>
      <c r="J659" s="1" t="s">
        <v>122</v>
      </c>
      <c r="K659" s="1" t="s">
        <v>37</v>
      </c>
      <c r="L659" s="1" t="s">
        <v>123</v>
      </c>
      <c r="M659" s="2" t="s">
        <v>1799</v>
      </c>
      <c r="N659" s="31">
        <v>45846</v>
      </c>
    </row>
    <row r="660" spans="1:14" x14ac:dyDescent="0.25">
      <c r="A660" s="29">
        <v>659</v>
      </c>
      <c r="B660" s="1" t="s">
        <v>95</v>
      </c>
      <c r="C660" s="31">
        <v>45946</v>
      </c>
      <c r="D660" s="1" t="s">
        <v>79</v>
      </c>
      <c r="E660" s="13" t="s">
        <v>1800</v>
      </c>
      <c r="F660" s="1" t="s">
        <v>33</v>
      </c>
      <c r="G660" s="1" t="s">
        <v>43</v>
      </c>
      <c r="H660" s="1" t="s">
        <v>127</v>
      </c>
      <c r="I660" s="31">
        <v>46009</v>
      </c>
      <c r="J660" s="1" t="s">
        <v>128</v>
      </c>
      <c r="K660" s="1" t="s">
        <v>37</v>
      </c>
      <c r="L660" s="1" t="s">
        <v>129</v>
      </c>
      <c r="M660" s="2" t="s">
        <v>1801</v>
      </c>
      <c r="N660" s="31">
        <v>45896</v>
      </c>
    </row>
    <row r="661" spans="1:14" x14ac:dyDescent="0.25">
      <c r="A661" s="29">
        <v>660</v>
      </c>
      <c r="B661" s="1" t="s">
        <v>103</v>
      </c>
      <c r="C661" s="31">
        <v>45940</v>
      </c>
      <c r="D661" s="1" t="s">
        <v>132</v>
      </c>
      <c r="E661" s="13" t="s">
        <v>1802</v>
      </c>
      <c r="F661" s="1" t="s">
        <v>89</v>
      </c>
      <c r="G661" s="1" t="s">
        <v>34</v>
      </c>
      <c r="H661" s="1" t="s">
        <v>134</v>
      </c>
      <c r="I661" s="31">
        <v>46053</v>
      </c>
      <c r="J661" s="1" t="s">
        <v>135</v>
      </c>
      <c r="K661" s="1" t="s">
        <v>37</v>
      </c>
      <c r="L661" s="1" t="s">
        <v>136</v>
      </c>
      <c r="M661" s="2" t="s">
        <v>1803</v>
      </c>
      <c r="N661" s="31">
        <v>45848</v>
      </c>
    </row>
    <row r="662" spans="1:14" x14ac:dyDescent="0.25">
      <c r="A662" s="29">
        <v>661</v>
      </c>
      <c r="B662" s="1" t="s">
        <v>110</v>
      </c>
      <c r="C662" s="31">
        <v>45698</v>
      </c>
      <c r="D662" s="1" t="s">
        <v>139</v>
      </c>
      <c r="E662" s="13" t="s">
        <v>1804</v>
      </c>
      <c r="F662" s="1" t="s">
        <v>89</v>
      </c>
      <c r="G662" s="1" t="s">
        <v>141</v>
      </c>
      <c r="H662" s="1" t="s">
        <v>142</v>
      </c>
      <c r="I662" s="31">
        <v>45746</v>
      </c>
      <c r="J662" s="1" t="s">
        <v>143</v>
      </c>
      <c r="K662" s="1" t="s">
        <v>37</v>
      </c>
      <c r="L662" s="1" t="s">
        <v>144</v>
      </c>
      <c r="M662" s="2" t="s">
        <v>1805</v>
      </c>
      <c r="N662" s="31">
        <v>45884</v>
      </c>
    </row>
    <row r="663" spans="1:14" x14ac:dyDescent="0.25">
      <c r="A663" s="29">
        <v>662</v>
      </c>
      <c r="B663" s="1" t="s">
        <v>117</v>
      </c>
      <c r="C663" s="31">
        <v>45786</v>
      </c>
      <c r="D663" s="1" t="s">
        <v>147</v>
      </c>
      <c r="E663" s="13" t="s">
        <v>1806</v>
      </c>
      <c r="F663" s="1" t="s">
        <v>33</v>
      </c>
      <c r="G663" s="1" t="s">
        <v>34</v>
      </c>
      <c r="H663" s="1" t="s">
        <v>149</v>
      </c>
      <c r="I663" s="31">
        <v>45815</v>
      </c>
      <c r="J663" s="1" t="s">
        <v>150</v>
      </c>
      <c r="K663" s="1" t="s">
        <v>37</v>
      </c>
      <c r="L663" s="1" t="s">
        <v>151</v>
      </c>
      <c r="M663" s="2" t="s">
        <v>1807</v>
      </c>
      <c r="N663" s="31">
        <v>45872</v>
      </c>
    </row>
    <row r="664" spans="1:14" x14ac:dyDescent="0.25">
      <c r="A664" s="29">
        <v>663</v>
      </c>
      <c r="B664" s="1" t="s">
        <v>125</v>
      </c>
      <c r="C664" s="31">
        <v>45828</v>
      </c>
      <c r="D664" s="1" t="s">
        <v>154</v>
      </c>
      <c r="E664" s="13" t="s">
        <v>1808</v>
      </c>
      <c r="F664" s="1" t="s">
        <v>33</v>
      </c>
      <c r="G664" s="1" t="s">
        <v>156</v>
      </c>
      <c r="H664" s="1" t="s">
        <v>157</v>
      </c>
      <c r="I664" s="31">
        <v>45852</v>
      </c>
      <c r="J664" s="1" t="s">
        <v>158</v>
      </c>
      <c r="K664" s="1" t="s">
        <v>37</v>
      </c>
      <c r="L664" s="1" t="s">
        <v>159</v>
      </c>
      <c r="M664" s="2" t="s">
        <v>1809</v>
      </c>
      <c r="N664" s="31">
        <v>45841</v>
      </c>
    </row>
    <row r="665" spans="1:14" x14ac:dyDescent="0.25">
      <c r="A665" s="29">
        <v>664</v>
      </c>
      <c r="B665" s="1" t="s">
        <v>131</v>
      </c>
      <c r="C665" s="31">
        <v>45699</v>
      </c>
      <c r="D665" s="1" t="s">
        <v>162</v>
      </c>
      <c r="E665" s="13" t="s">
        <v>1810</v>
      </c>
      <c r="F665" s="1" t="s">
        <v>33</v>
      </c>
      <c r="G665" s="1" t="s">
        <v>164</v>
      </c>
      <c r="H665" s="1" t="s">
        <v>165</v>
      </c>
      <c r="I665" s="31">
        <v>45809</v>
      </c>
      <c r="J665" s="1" t="s">
        <v>166</v>
      </c>
      <c r="K665" s="1" t="s">
        <v>37</v>
      </c>
      <c r="L665" s="1" t="s">
        <v>167</v>
      </c>
      <c r="M665" s="2" t="s">
        <v>1811</v>
      </c>
      <c r="N665" s="31">
        <v>45845</v>
      </c>
    </row>
    <row r="666" spans="1:14" x14ac:dyDescent="0.25">
      <c r="A666" s="29">
        <v>665</v>
      </c>
      <c r="B666" s="1" t="s">
        <v>138</v>
      </c>
      <c r="C666" s="31">
        <v>45703</v>
      </c>
      <c r="D666" s="1" t="s">
        <v>170</v>
      </c>
      <c r="E666" s="13" t="s">
        <v>1812</v>
      </c>
      <c r="F666" s="1" t="s">
        <v>33</v>
      </c>
      <c r="G666" s="1" t="s">
        <v>172</v>
      </c>
      <c r="H666" s="1" t="s">
        <v>173</v>
      </c>
      <c r="I666" s="31">
        <v>45820</v>
      </c>
      <c r="J666" s="1" t="s">
        <v>174</v>
      </c>
      <c r="K666" s="1" t="s">
        <v>37</v>
      </c>
      <c r="L666" s="1" t="s">
        <v>175</v>
      </c>
      <c r="M666" s="2" t="s">
        <v>1813</v>
      </c>
      <c r="N666" s="31">
        <v>45876</v>
      </c>
    </row>
    <row r="667" spans="1:14" x14ac:dyDescent="0.25">
      <c r="A667" s="29">
        <v>666</v>
      </c>
      <c r="B667" s="1" t="s">
        <v>146</v>
      </c>
      <c r="C667" s="31">
        <v>45737</v>
      </c>
      <c r="D667" s="1" t="s">
        <v>96</v>
      </c>
      <c r="E667" s="13" t="s">
        <v>1814</v>
      </c>
      <c r="F667" s="1" t="s">
        <v>89</v>
      </c>
      <c r="G667" s="1" t="s">
        <v>179</v>
      </c>
      <c r="H667" s="1" t="s">
        <v>180</v>
      </c>
      <c r="I667" s="31">
        <v>45800</v>
      </c>
      <c r="J667" s="1" t="s">
        <v>181</v>
      </c>
      <c r="K667" s="1" t="s">
        <v>37</v>
      </c>
      <c r="L667" s="1" t="s">
        <v>182</v>
      </c>
      <c r="M667" s="2" t="s">
        <v>1815</v>
      </c>
      <c r="N667" s="31">
        <v>45890</v>
      </c>
    </row>
    <row r="668" spans="1:14" x14ac:dyDescent="0.25">
      <c r="A668" s="29">
        <v>667</v>
      </c>
      <c r="B668" s="1" t="s">
        <v>153</v>
      </c>
      <c r="C668" s="31">
        <v>45955</v>
      </c>
      <c r="D668" s="1" t="s">
        <v>185</v>
      </c>
      <c r="E668" s="13" t="s">
        <v>1816</v>
      </c>
      <c r="F668" s="1" t="s">
        <v>89</v>
      </c>
      <c r="G668" s="1" t="s">
        <v>187</v>
      </c>
      <c r="H668" s="1" t="s">
        <v>188</v>
      </c>
      <c r="I668" s="31">
        <v>45983</v>
      </c>
      <c r="J668" s="1" t="s">
        <v>189</v>
      </c>
      <c r="K668" s="1" t="s">
        <v>37</v>
      </c>
      <c r="L668" s="1" t="s">
        <v>190</v>
      </c>
      <c r="M668" s="2" t="s">
        <v>1817</v>
      </c>
      <c r="N668" s="31">
        <v>45898</v>
      </c>
    </row>
    <row r="669" spans="1:14" x14ac:dyDescent="0.25">
      <c r="A669" s="29">
        <v>668</v>
      </c>
      <c r="B669" s="1" t="s">
        <v>161</v>
      </c>
      <c r="C669" s="31">
        <v>45826</v>
      </c>
      <c r="D669" s="1" t="s">
        <v>193</v>
      </c>
      <c r="E669" s="13" t="s">
        <v>1818</v>
      </c>
      <c r="F669" s="1" t="s">
        <v>89</v>
      </c>
      <c r="G669" s="1" t="s">
        <v>195</v>
      </c>
      <c r="H669" s="1" t="s">
        <v>196</v>
      </c>
      <c r="I669" s="31">
        <v>45840</v>
      </c>
      <c r="J669" s="1" t="s">
        <v>197</v>
      </c>
      <c r="K669" s="1" t="s">
        <v>37</v>
      </c>
      <c r="L669" s="1" t="s">
        <v>198</v>
      </c>
      <c r="M669" s="2" t="s">
        <v>1819</v>
      </c>
      <c r="N669" s="31">
        <v>45866</v>
      </c>
    </row>
    <row r="670" spans="1:14" x14ac:dyDescent="0.25">
      <c r="A670" s="29">
        <v>669</v>
      </c>
      <c r="B670" s="1" t="s">
        <v>169</v>
      </c>
      <c r="C670" s="31">
        <v>45782</v>
      </c>
      <c r="D670" s="1" t="s">
        <v>132</v>
      </c>
      <c r="E670" s="13" t="s">
        <v>1820</v>
      </c>
      <c r="F670" s="1" t="s">
        <v>33</v>
      </c>
      <c r="G670" s="1" t="s">
        <v>201</v>
      </c>
      <c r="H670" s="1" t="s">
        <v>202</v>
      </c>
      <c r="I670" s="31">
        <v>45787</v>
      </c>
      <c r="J670" s="1" t="s">
        <v>92</v>
      </c>
      <c r="K670" s="1" t="s">
        <v>37</v>
      </c>
      <c r="L670" s="1" t="s">
        <v>203</v>
      </c>
      <c r="M670" s="2" t="s">
        <v>1821</v>
      </c>
      <c r="N670" s="31">
        <v>45897</v>
      </c>
    </row>
    <row r="671" spans="1:14" x14ac:dyDescent="0.25">
      <c r="A671" s="29">
        <v>670</v>
      </c>
      <c r="B671" s="1" t="s">
        <v>177</v>
      </c>
      <c r="C671" s="31">
        <v>45754</v>
      </c>
      <c r="D671" s="1" t="s">
        <v>206</v>
      </c>
      <c r="E671" s="13" t="s">
        <v>1822</v>
      </c>
      <c r="F671" s="1" t="s">
        <v>89</v>
      </c>
      <c r="G671" s="1" t="s">
        <v>208</v>
      </c>
      <c r="H671" s="1" t="s">
        <v>196</v>
      </c>
      <c r="I671" s="31">
        <v>45765</v>
      </c>
      <c r="J671" s="1" t="s">
        <v>209</v>
      </c>
      <c r="K671" s="1" t="s">
        <v>37</v>
      </c>
      <c r="L671" s="1" t="s">
        <v>210</v>
      </c>
      <c r="M671" s="2" t="s">
        <v>1823</v>
      </c>
      <c r="N671" s="31">
        <v>45885</v>
      </c>
    </row>
    <row r="672" spans="1:14" x14ac:dyDescent="0.25">
      <c r="A672" s="29">
        <v>671</v>
      </c>
      <c r="B672" s="1" t="s">
        <v>184</v>
      </c>
      <c r="C672" s="31">
        <v>45951</v>
      </c>
      <c r="D672" s="1" t="s">
        <v>185</v>
      </c>
      <c r="E672" s="13" t="s">
        <v>1824</v>
      </c>
      <c r="F672" s="1" t="s">
        <v>89</v>
      </c>
      <c r="G672" s="1" t="s">
        <v>172</v>
      </c>
      <c r="H672" s="1" t="s">
        <v>173</v>
      </c>
      <c r="I672" s="31">
        <v>46031</v>
      </c>
      <c r="J672" s="1" t="s">
        <v>214</v>
      </c>
      <c r="K672" s="1" t="s">
        <v>37</v>
      </c>
      <c r="L672" s="1" t="s">
        <v>215</v>
      </c>
      <c r="M672" s="2" t="s">
        <v>1825</v>
      </c>
      <c r="N672" s="31">
        <v>45868</v>
      </c>
    </row>
    <row r="673" spans="1:14" x14ac:dyDescent="0.25">
      <c r="A673" s="29">
        <v>672</v>
      </c>
      <c r="B673" s="1" t="s">
        <v>192</v>
      </c>
      <c r="C673" s="31">
        <v>45804</v>
      </c>
      <c r="D673" s="1" t="s">
        <v>218</v>
      </c>
      <c r="E673" s="13" t="s">
        <v>1826</v>
      </c>
      <c r="F673" s="1" t="s">
        <v>89</v>
      </c>
      <c r="G673" s="1" t="s">
        <v>220</v>
      </c>
      <c r="H673" s="1" t="s">
        <v>67</v>
      </c>
      <c r="I673" s="31">
        <v>45918</v>
      </c>
      <c r="J673" s="1" t="s">
        <v>221</v>
      </c>
      <c r="K673" s="1" t="s">
        <v>37</v>
      </c>
      <c r="L673" s="1" t="s">
        <v>222</v>
      </c>
      <c r="M673" s="2" t="s">
        <v>1827</v>
      </c>
      <c r="N673" s="31">
        <v>45858</v>
      </c>
    </row>
    <row r="674" spans="1:14" x14ac:dyDescent="0.25">
      <c r="A674" s="29">
        <v>673</v>
      </c>
      <c r="B674" s="1" t="s">
        <v>48</v>
      </c>
      <c r="C674" s="31">
        <v>45908</v>
      </c>
      <c r="D674" s="1" t="s">
        <v>225</v>
      </c>
      <c r="E674" s="13" t="s">
        <v>1828</v>
      </c>
      <c r="F674" s="1" t="s">
        <v>33</v>
      </c>
      <c r="G674" s="1" t="s">
        <v>227</v>
      </c>
      <c r="H674" s="1" t="s">
        <v>228</v>
      </c>
      <c r="I674" s="31">
        <v>45915</v>
      </c>
      <c r="J674" s="1" t="s">
        <v>229</v>
      </c>
      <c r="K674" s="1" t="s">
        <v>37</v>
      </c>
      <c r="L674" s="1" t="s">
        <v>230</v>
      </c>
      <c r="M674" s="2" t="s">
        <v>1829</v>
      </c>
      <c r="N674" s="31">
        <v>45852</v>
      </c>
    </row>
    <row r="675" spans="1:14" x14ac:dyDescent="0.25">
      <c r="A675" s="29">
        <v>674</v>
      </c>
      <c r="B675" s="1" t="s">
        <v>205</v>
      </c>
      <c r="C675" s="31">
        <v>45692</v>
      </c>
      <c r="D675" s="1" t="s">
        <v>233</v>
      </c>
      <c r="E675" s="13" t="s">
        <v>1830</v>
      </c>
      <c r="F675" s="1" t="s">
        <v>33</v>
      </c>
      <c r="G675" s="1" t="s">
        <v>156</v>
      </c>
      <c r="H675" s="1" t="s">
        <v>235</v>
      </c>
      <c r="I675" s="31">
        <v>45717</v>
      </c>
      <c r="J675" s="1" t="s">
        <v>236</v>
      </c>
      <c r="K675" s="1" t="s">
        <v>37</v>
      </c>
      <c r="L675" s="1" t="s">
        <v>237</v>
      </c>
      <c r="M675" s="2" t="s">
        <v>1831</v>
      </c>
      <c r="N675" s="31">
        <v>45855</v>
      </c>
    </row>
    <row r="676" spans="1:14" x14ac:dyDescent="0.25">
      <c r="A676" s="29">
        <v>675</v>
      </c>
      <c r="B676" s="1" t="s">
        <v>212</v>
      </c>
      <c r="C676" s="31">
        <v>45695</v>
      </c>
      <c r="D676" s="1" t="s">
        <v>240</v>
      </c>
      <c r="E676" s="13" t="s">
        <v>1832</v>
      </c>
      <c r="F676" s="1" t="s">
        <v>89</v>
      </c>
      <c r="G676" s="1" t="s">
        <v>105</v>
      </c>
      <c r="H676" s="1" t="s">
        <v>242</v>
      </c>
      <c r="I676" s="31">
        <v>45747</v>
      </c>
      <c r="J676" s="1" t="s">
        <v>243</v>
      </c>
      <c r="K676" s="1" t="s">
        <v>37</v>
      </c>
      <c r="L676" s="1" t="s">
        <v>244</v>
      </c>
      <c r="M676" s="2" t="s">
        <v>1833</v>
      </c>
      <c r="N676" s="31">
        <v>45880</v>
      </c>
    </row>
    <row r="677" spans="1:14" x14ac:dyDescent="0.25">
      <c r="A677" s="29">
        <v>676</v>
      </c>
      <c r="B677" s="1" t="s">
        <v>217</v>
      </c>
      <c r="C677" s="31">
        <v>45833</v>
      </c>
      <c r="D677" s="1" t="s">
        <v>246</v>
      </c>
      <c r="E677" s="13" t="s">
        <v>1834</v>
      </c>
      <c r="F677" s="1" t="s">
        <v>33</v>
      </c>
      <c r="G677" s="1" t="s">
        <v>248</v>
      </c>
      <c r="H677" s="1" t="s">
        <v>134</v>
      </c>
      <c r="I677" s="31">
        <v>45856</v>
      </c>
      <c r="J677" s="1" t="s">
        <v>249</v>
      </c>
      <c r="K677" s="1" t="s">
        <v>37</v>
      </c>
      <c r="L677" s="1" t="s">
        <v>250</v>
      </c>
      <c r="M677" s="2" t="s">
        <v>1835</v>
      </c>
      <c r="N677" s="31">
        <v>45859</v>
      </c>
    </row>
    <row r="678" spans="1:14" x14ac:dyDescent="0.25">
      <c r="A678" s="29">
        <v>677</v>
      </c>
      <c r="B678" s="1" t="s">
        <v>224</v>
      </c>
      <c r="C678" s="31">
        <v>45812</v>
      </c>
      <c r="D678" s="1" t="s">
        <v>253</v>
      </c>
      <c r="E678" s="13" t="s">
        <v>1836</v>
      </c>
      <c r="F678" s="1" t="s">
        <v>33</v>
      </c>
      <c r="G678" s="1" t="s">
        <v>255</v>
      </c>
      <c r="H678" s="1" t="s">
        <v>256</v>
      </c>
      <c r="I678" s="31">
        <v>45931</v>
      </c>
      <c r="J678" s="1" t="s">
        <v>257</v>
      </c>
      <c r="K678" s="1" t="s">
        <v>37</v>
      </c>
      <c r="L678" s="1" t="s">
        <v>258</v>
      </c>
      <c r="M678" s="2" t="s">
        <v>1837</v>
      </c>
      <c r="N678" s="31">
        <v>45842</v>
      </c>
    </row>
    <row r="679" spans="1:14" x14ac:dyDescent="0.25">
      <c r="A679" s="29">
        <v>678</v>
      </c>
      <c r="B679" s="1" t="s">
        <v>232</v>
      </c>
      <c r="C679" s="31">
        <v>45833</v>
      </c>
      <c r="D679" s="1" t="s">
        <v>260</v>
      </c>
      <c r="E679" s="13" t="s">
        <v>1838</v>
      </c>
      <c r="F679" s="1" t="s">
        <v>89</v>
      </c>
      <c r="G679" s="1" t="s">
        <v>113</v>
      </c>
      <c r="H679" s="1" t="s">
        <v>262</v>
      </c>
      <c r="I679" s="31">
        <v>45935</v>
      </c>
      <c r="J679" s="1" t="s">
        <v>263</v>
      </c>
      <c r="K679" s="1" t="s">
        <v>37</v>
      </c>
      <c r="L679" s="1" t="s">
        <v>264</v>
      </c>
      <c r="M679" s="2" t="s">
        <v>1839</v>
      </c>
      <c r="N679" s="31">
        <v>45886</v>
      </c>
    </row>
    <row r="680" spans="1:14" x14ac:dyDescent="0.25">
      <c r="A680" s="29">
        <v>679</v>
      </c>
      <c r="B680" s="1" t="s">
        <v>239</v>
      </c>
      <c r="C680" s="31">
        <v>45834</v>
      </c>
      <c r="D680" s="1" t="s">
        <v>267</v>
      </c>
      <c r="E680" s="13" t="s">
        <v>1840</v>
      </c>
      <c r="F680" s="1" t="s">
        <v>89</v>
      </c>
      <c r="G680" s="1" t="s">
        <v>269</v>
      </c>
      <c r="H680" s="1" t="s">
        <v>270</v>
      </c>
      <c r="I680" s="31">
        <v>45866</v>
      </c>
      <c r="J680" s="1" t="s">
        <v>271</v>
      </c>
      <c r="K680" s="1" t="s">
        <v>37</v>
      </c>
      <c r="L680" s="1" t="s">
        <v>272</v>
      </c>
      <c r="M680" s="2" t="s">
        <v>1841</v>
      </c>
      <c r="N680" s="31">
        <v>45892</v>
      </c>
    </row>
    <row r="681" spans="1:14" x14ac:dyDescent="0.25">
      <c r="A681" s="29">
        <v>680</v>
      </c>
      <c r="B681" s="1" t="s">
        <v>48</v>
      </c>
      <c r="C681" s="31">
        <v>45787</v>
      </c>
      <c r="D681" s="1" t="s">
        <v>154</v>
      </c>
      <c r="E681" s="13" t="s">
        <v>1842</v>
      </c>
      <c r="F681" s="1" t="s">
        <v>89</v>
      </c>
      <c r="G681" s="1" t="s">
        <v>66</v>
      </c>
      <c r="H681" s="1" t="s">
        <v>82</v>
      </c>
      <c r="I681" s="31">
        <v>45833</v>
      </c>
      <c r="J681" s="1" t="s">
        <v>276</v>
      </c>
      <c r="K681" s="1" t="s">
        <v>37</v>
      </c>
      <c r="L681" s="1" t="s">
        <v>277</v>
      </c>
      <c r="M681" s="2" t="s">
        <v>1843</v>
      </c>
      <c r="N681" s="31">
        <v>45893</v>
      </c>
    </row>
    <row r="682" spans="1:14" x14ac:dyDescent="0.25">
      <c r="A682" s="29">
        <v>681</v>
      </c>
      <c r="B682" s="1" t="s">
        <v>252</v>
      </c>
      <c r="C682" s="31">
        <v>45667</v>
      </c>
      <c r="D682" s="1" t="s">
        <v>233</v>
      </c>
      <c r="E682" s="13" t="s">
        <v>1844</v>
      </c>
      <c r="F682" s="1" t="s">
        <v>89</v>
      </c>
      <c r="G682" s="1" t="s">
        <v>105</v>
      </c>
      <c r="H682" s="1" t="s">
        <v>256</v>
      </c>
      <c r="I682" s="31">
        <v>45721</v>
      </c>
      <c r="J682" s="1" t="s">
        <v>281</v>
      </c>
      <c r="K682" s="1" t="s">
        <v>37</v>
      </c>
      <c r="L682" s="1" t="s">
        <v>282</v>
      </c>
      <c r="M682" s="2" t="s">
        <v>1845</v>
      </c>
      <c r="N682" s="31">
        <v>45877</v>
      </c>
    </row>
    <row r="683" spans="1:14" x14ac:dyDescent="0.25">
      <c r="A683" s="29">
        <v>682</v>
      </c>
      <c r="B683" s="1" t="s">
        <v>110</v>
      </c>
      <c r="C683" s="31">
        <v>45956</v>
      </c>
      <c r="D683" s="1" t="s">
        <v>285</v>
      </c>
      <c r="E683" s="13" t="s">
        <v>1846</v>
      </c>
      <c r="F683" s="1" t="s">
        <v>33</v>
      </c>
      <c r="G683" s="1" t="s">
        <v>287</v>
      </c>
      <c r="H683" s="1" t="s">
        <v>288</v>
      </c>
      <c r="I683" s="31">
        <v>45962</v>
      </c>
      <c r="J683" s="1" t="s">
        <v>289</v>
      </c>
      <c r="K683" s="1" t="s">
        <v>37</v>
      </c>
      <c r="L683" s="1" t="s">
        <v>290</v>
      </c>
      <c r="M683" s="2" t="s">
        <v>1847</v>
      </c>
      <c r="N683" s="31">
        <v>45848</v>
      </c>
    </row>
    <row r="684" spans="1:14" x14ac:dyDescent="0.25">
      <c r="A684" s="29">
        <v>683</v>
      </c>
      <c r="B684" s="1" t="s">
        <v>266</v>
      </c>
      <c r="C684" s="31">
        <v>45901</v>
      </c>
      <c r="D684" s="1" t="s">
        <v>292</v>
      </c>
      <c r="E684" s="13" t="s">
        <v>1848</v>
      </c>
      <c r="F684" s="1" t="s">
        <v>89</v>
      </c>
      <c r="G684" s="1" t="s">
        <v>66</v>
      </c>
      <c r="H684" s="1" t="s">
        <v>67</v>
      </c>
      <c r="I684" s="31">
        <v>45941</v>
      </c>
      <c r="J684" s="1" t="s">
        <v>294</v>
      </c>
      <c r="K684" s="1" t="s">
        <v>37</v>
      </c>
      <c r="L684" s="1" t="s">
        <v>295</v>
      </c>
      <c r="M684" s="2" t="s">
        <v>1849</v>
      </c>
      <c r="N684" s="31">
        <v>45881</v>
      </c>
    </row>
    <row r="685" spans="1:14" x14ac:dyDescent="0.25">
      <c r="A685" s="29">
        <v>684</v>
      </c>
      <c r="B685" s="1" t="s">
        <v>274</v>
      </c>
      <c r="C685" s="31">
        <v>45860</v>
      </c>
      <c r="D685" s="1" t="s">
        <v>297</v>
      </c>
      <c r="E685" s="13" t="s">
        <v>1850</v>
      </c>
      <c r="F685" s="1" t="s">
        <v>89</v>
      </c>
      <c r="G685" s="1" t="s">
        <v>34</v>
      </c>
      <c r="H685" s="1" t="s">
        <v>299</v>
      </c>
      <c r="I685" s="31">
        <v>45905</v>
      </c>
      <c r="J685" s="1" t="s">
        <v>300</v>
      </c>
      <c r="K685" s="1" t="s">
        <v>37</v>
      </c>
      <c r="L685" s="1" t="s">
        <v>301</v>
      </c>
      <c r="M685" s="2" t="s">
        <v>1851</v>
      </c>
      <c r="N685" s="31">
        <v>45878</v>
      </c>
    </row>
    <row r="686" spans="1:14" x14ac:dyDescent="0.25">
      <c r="A686" s="29">
        <v>685</v>
      </c>
      <c r="B686" s="1" t="s">
        <v>279</v>
      </c>
      <c r="C686" s="31">
        <v>45828</v>
      </c>
      <c r="D686" s="1" t="s">
        <v>111</v>
      </c>
      <c r="E686" s="13" t="s">
        <v>1852</v>
      </c>
      <c r="F686" s="1" t="s">
        <v>33</v>
      </c>
      <c r="G686" s="1" t="s">
        <v>34</v>
      </c>
      <c r="H686" s="1" t="s">
        <v>134</v>
      </c>
      <c r="I686" s="31">
        <v>45872</v>
      </c>
      <c r="J686" s="1" t="s">
        <v>305</v>
      </c>
      <c r="K686" s="1" t="s">
        <v>37</v>
      </c>
      <c r="L686" s="1" t="s">
        <v>306</v>
      </c>
      <c r="M686" s="2" t="s">
        <v>1853</v>
      </c>
      <c r="N686" s="31">
        <v>45877</v>
      </c>
    </row>
    <row r="687" spans="1:14" x14ac:dyDescent="0.25">
      <c r="A687" s="29">
        <v>686</v>
      </c>
      <c r="B687" s="1" t="s">
        <v>284</v>
      </c>
      <c r="C687" s="31">
        <v>45775</v>
      </c>
      <c r="D687" s="1" t="s">
        <v>308</v>
      </c>
      <c r="E687" s="13" t="s">
        <v>1854</v>
      </c>
      <c r="F687" s="1" t="s">
        <v>89</v>
      </c>
      <c r="G687" s="1" t="s">
        <v>310</v>
      </c>
      <c r="H687" s="1" t="s">
        <v>311</v>
      </c>
      <c r="I687" s="31">
        <v>45873</v>
      </c>
      <c r="J687" s="1" t="s">
        <v>150</v>
      </c>
      <c r="K687" s="1" t="s">
        <v>37</v>
      </c>
      <c r="L687" s="1" t="s">
        <v>312</v>
      </c>
      <c r="M687" s="2" t="s">
        <v>1855</v>
      </c>
      <c r="N687" s="31">
        <v>45864</v>
      </c>
    </row>
    <row r="688" spans="1:14" x14ac:dyDescent="0.25">
      <c r="A688" s="29">
        <v>687</v>
      </c>
      <c r="B688" s="1" t="s">
        <v>177</v>
      </c>
      <c r="C688" s="31">
        <v>45733</v>
      </c>
      <c r="D688" s="1" t="s">
        <v>246</v>
      </c>
      <c r="E688" s="13" t="s">
        <v>1856</v>
      </c>
      <c r="F688" s="1" t="s">
        <v>89</v>
      </c>
      <c r="G688" s="1" t="s">
        <v>316</v>
      </c>
      <c r="H688" s="1" t="s">
        <v>317</v>
      </c>
      <c r="I688" s="31">
        <v>45786</v>
      </c>
      <c r="J688" s="1" t="s">
        <v>318</v>
      </c>
      <c r="K688" s="1" t="s">
        <v>37</v>
      </c>
      <c r="L688" s="1" t="s">
        <v>319</v>
      </c>
      <c r="M688" s="2" t="s">
        <v>1857</v>
      </c>
      <c r="N688" s="31">
        <v>45857</v>
      </c>
    </row>
    <row r="689" spans="1:14" x14ac:dyDescent="0.25">
      <c r="A689" s="29">
        <v>688</v>
      </c>
      <c r="B689" s="1" t="s">
        <v>131</v>
      </c>
      <c r="C689" s="31">
        <v>45813</v>
      </c>
      <c r="D689" s="1" t="s">
        <v>72</v>
      </c>
      <c r="E689" s="13" t="s">
        <v>1858</v>
      </c>
      <c r="F689" s="1" t="s">
        <v>33</v>
      </c>
      <c r="G689" s="1" t="s">
        <v>105</v>
      </c>
      <c r="H689" s="1" t="s">
        <v>242</v>
      </c>
      <c r="I689" s="31">
        <v>45881</v>
      </c>
      <c r="J689" s="1" t="s">
        <v>322</v>
      </c>
      <c r="K689" s="1" t="s">
        <v>37</v>
      </c>
      <c r="L689" s="1" t="s">
        <v>323</v>
      </c>
      <c r="M689" s="2" t="s">
        <v>1859</v>
      </c>
      <c r="N689" s="31">
        <v>45844</v>
      </c>
    </row>
    <row r="690" spans="1:14" x14ac:dyDescent="0.25">
      <c r="A690" s="29">
        <v>689</v>
      </c>
      <c r="B690" s="1" t="s">
        <v>303</v>
      </c>
      <c r="C690" s="31">
        <v>45884</v>
      </c>
      <c r="D690" s="1" t="s">
        <v>326</v>
      </c>
      <c r="E690" s="13" t="s">
        <v>1860</v>
      </c>
      <c r="F690" s="1" t="s">
        <v>89</v>
      </c>
      <c r="G690" s="1" t="s">
        <v>179</v>
      </c>
      <c r="H690" s="1" t="s">
        <v>82</v>
      </c>
      <c r="I690" s="31">
        <v>45929</v>
      </c>
      <c r="J690" s="1" t="s">
        <v>328</v>
      </c>
      <c r="K690" s="1" t="s">
        <v>37</v>
      </c>
      <c r="L690" s="1" t="s">
        <v>329</v>
      </c>
      <c r="M690" s="2" t="s">
        <v>1861</v>
      </c>
      <c r="N690" s="31">
        <v>45864</v>
      </c>
    </row>
    <row r="691" spans="1:14" x14ac:dyDescent="0.25">
      <c r="A691" s="29">
        <v>690</v>
      </c>
      <c r="B691" s="1" t="s">
        <v>274</v>
      </c>
      <c r="C691" s="31">
        <v>45922</v>
      </c>
      <c r="D691" s="1" t="s">
        <v>332</v>
      </c>
      <c r="E691" s="13" t="s">
        <v>1862</v>
      </c>
      <c r="F691" s="1" t="s">
        <v>89</v>
      </c>
      <c r="G691" s="1" t="s">
        <v>58</v>
      </c>
      <c r="H691" s="1" t="s">
        <v>127</v>
      </c>
      <c r="I691" s="31">
        <v>46024</v>
      </c>
      <c r="J691" s="1" t="s">
        <v>257</v>
      </c>
      <c r="K691" s="1" t="s">
        <v>37</v>
      </c>
      <c r="L691" s="1" t="s">
        <v>334</v>
      </c>
      <c r="M691" s="2" t="s">
        <v>1863</v>
      </c>
      <c r="N691" s="31">
        <v>45840</v>
      </c>
    </row>
    <row r="692" spans="1:14" x14ac:dyDescent="0.25">
      <c r="A692" s="29">
        <v>691</v>
      </c>
      <c r="B692" s="1" t="s">
        <v>314</v>
      </c>
      <c r="C692" s="31">
        <v>45768</v>
      </c>
      <c r="D692" s="1" t="s">
        <v>292</v>
      </c>
      <c r="E692" s="13" t="s">
        <v>1864</v>
      </c>
      <c r="F692" s="1" t="s">
        <v>89</v>
      </c>
      <c r="G692" s="1" t="s">
        <v>337</v>
      </c>
      <c r="H692" s="1" t="s">
        <v>91</v>
      </c>
      <c r="I692" s="31">
        <v>45776</v>
      </c>
      <c r="J692" s="1" t="s">
        <v>181</v>
      </c>
      <c r="K692" s="1" t="s">
        <v>37</v>
      </c>
      <c r="L692" s="1" t="s">
        <v>338</v>
      </c>
      <c r="M692" s="2" t="s">
        <v>1865</v>
      </c>
      <c r="N692" s="31">
        <v>45868</v>
      </c>
    </row>
    <row r="693" spans="1:14" x14ac:dyDescent="0.25">
      <c r="A693" s="29">
        <v>692</v>
      </c>
      <c r="B693" s="1" t="s">
        <v>103</v>
      </c>
      <c r="C693" s="31">
        <v>45957</v>
      </c>
      <c r="D693" s="1" t="s">
        <v>340</v>
      </c>
      <c r="E693" s="13" t="s">
        <v>1866</v>
      </c>
      <c r="F693" s="1" t="s">
        <v>33</v>
      </c>
      <c r="G693" s="1" t="s">
        <v>58</v>
      </c>
      <c r="H693" s="1" t="s">
        <v>91</v>
      </c>
      <c r="I693" s="31">
        <v>45976</v>
      </c>
      <c r="J693" s="1" t="s">
        <v>342</v>
      </c>
      <c r="K693" s="1" t="s">
        <v>37</v>
      </c>
      <c r="L693" s="1" t="s">
        <v>343</v>
      </c>
      <c r="M693" s="2" t="s">
        <v>1867</v>
      </c>
      <c r="N693" s="31">
        <v>45849</v>
      </c>
    </row>
    <row r="694" spans="1:14" x14ac:dyDescent="0.25">
      <c r="A694" s="29">
        <v>693</v>
      </c>
      <c r="B694" s="1" t="s">
        <v>325</v>
      </c>
      <c r="C694" s="31">
        <v>45849</v>
      </c>
      <c r="D694" s="1" t="s">
        <v>79</v>
      </c>
      <c r="E694" s="13" t="s">
        <v>1868</v>
      </c>
      <c r="F694" s="1" t="s">
        <v>33</v>
      </c>
      <c r="G694" s="1" t="s">
        <v>346</v>
      </c>
      <c r="H694" s="1" t="s">
        <v>59</v>
      </c>
      <c r="I694" s="31">
        <v>45956</v>
      </c>
      <c r="J694" s="1" t="s">
        <v>347</v>
      </c>
      <c r="K694" s="1" t="s">
        <v>37</v>
      </c>
      <c r="L694" s="1" t="s">
        <v>348</v>
      </c>
      <c r="M694" s="2" t="s">
        <v>1869</v>
      </c>
      <c r="N694" s="31">
        <v>45855</v>
      </c>
    </row>
    <row r="695" spans="1:14" x14ac:dyDescent="0.25">
      <c r="A695" s="29">
        <v>694</v>
      </c>
      <c r="B695" s="1" t="s">
        <v>331</v>
      </c>
      <c r="C695" s="31">
        <v>45704</v>
      </c>
      <c r="D695" s="1" t="s">
        <v>351</v>
      </c>
      <c r="E695" s="13" t="s">
        <v>1870</v>
      </c>
      <c r="F695" s="1" t="s">
        <v>89</v>
      </c>
      <c r="G695" s="1" t="s">
        <v>353</v>
      </c>
      <c r="H695" s="1" t="s">
        <v>82</v>
      </c>
      <c r="I695" s="31">
        <v>45773</v>
      </c>
      <c r="J695" s="1" t="s">
        <v>354</v>
      </c>
      <c r="K695" s="1" t="s">
        <v>37</v>
      </c>
      <c r="L695" s="1" t="s">
        <v>355</v>
      </c>
      <c r="M695" s="2" t="s">
        <v>1871</v>
      </c>
      <c r="N695" s="31">
        <v>45879</v>
      </c>
    </row>
    <row r="696" spans="1:14" x14ac:dyDescent="0.25">
      <c r="A696" s="29">
        <v>695</v>
      </c>
      <c r="B696" s="1" t="s">
        <v>86</v>
      </c>
      <c r="C696" s="31">
        <v>45702</v>
      </c>
      <c r="D696" s="1" t="s">
        <v>87</v>
      </c>
      <c r="E696" s="13" t="s">
        <v>1872</v>
      </c>
      <c r="F696" s="1" t="s">
        <v>89</v>
      </c>
      <c r="G696" s="1" t="s">
        <v>105</v>
      </c>
      <c r="H696" s="1" t="s">
        <v>359</v>
      </c>
      <c r="I696" s="31">
        <v>45741</v>
      </c>
      <c r="J696" s="1" t="s">
        <v>360</v>
      </c>
      <c r="K696" s="1" t="s">
        <v>37</v>
      </c>
      <c r="L696" s="1" t="s">
        <v>361</v>
      </c>
      <c r="M696" s="2" t="s">
        <v>1873</v>
      </c>
      <c r="N696" s="31">
        <v>45897</v>
      </c>
    </row>
    <row r="697" spans="1:14" x14ac:dyDescent="0.25">
      <c r="A697" s="29">
        <v>696</v>
      </c>
      <c r="B697" s="1" t="s">
        <v>169</v>
      </c>
      <c r="C697" s="31">
        <v>45917</v>
      </c>
      <c r="D697" s="1" t="s">
        <v>363</v>
      </c>
      <c r="E697" s="13" t="s">
        <v>1874</v>
      </c>
      <c r="F697" s="1" t="s">
        <v>89</v>
      </c>
      <c r="G697" s="1" t="s">
        <v>365</v>
      </c>
      <c r="H697" s="1" t="s">
        <v>366</v>
      </c>
      <c r="I697" s="31">
        <v>45969</v>
      </c>
      <c r="J697" s="1" t="s">
        <v>342</v>
      </c>
      <c r="K697" s="1" t="s">
        <v>37</v>
      </c>
      <c r="L697" s="1" t="s">
        <v>367</v>
      </c>
      <c r="M697" s="2" t="s">
        <v>1875</v>
      </c>
      <c r="N697" s="31">
        <v>45839</v>
      </c>
    </row>
    <row r="698" spans="1:14" x14ac:dyDescent="0.25">
      <c r="A698" s="29">
        <v>697</v>
      </c>
      <c r="B698" s="1" t="s">
        <v>40</v>
      </c>
      <c r="C698" s="31">
        <v>45671</v>
      </c>
      <c r="D698" s="1" t="s">
        <v>369</v>
      </c>
      <c r="E698" s="13" t="s">
        <v>1876</v>
      </c>
      <c r="F698" s="1" t="s">
        <v>33</v>
      </c>
      <c r="G698" s="1" t="s">
        <v>201</v>
      </c>
      <c r="H698" s="1" t="s">
        <v>202</v>
      </c>
      <c r="I698" s="31">
        <v>45780</v>
      </c>
      <c r="J698" s="1" t="s">
        <v>371</v>
      </c>
      <c r="K698" s="1" t="s">
        <v>37</v>
      </c>
      <c r="L698" s="1" t="s">
        <v>372</v>
      </c>
      <c r="M698" s="2" t="s">
        <v>1877</v>
      </c>
      <c r="N698" s="31">
        <v>45893</v>
      </c>
    </row>
    <row r="699" spans="1:14" x14ac:dyDescent="0.25">
      <c r="A699" s="29">
        <v>698</v>
      </c>
      <c r="B699" s="1" t="s">
        <v>350</v>
      </c>
      <c r="C699" s="31">
        <v>45800</v>
      </c>
      <c r="D699" s="1" t="s">
        <v>374</v>
      </c>
      <c r="E699" s="13" t="s">
        <v>1878</v>
      </c>
      <c r="F699" s="1" t="s">
        <v>89</v>
      </c>
      <c r="G699" s="1" t="s">
        <v>269</v>
      </c>
      <c r="H699" s="1" t="s">
        <v>376</v>
      </c>
      <c r="I699" s="31">
        <v>45822</v>
      </c>
      <c r="J699" s="1" t="s">
        <v>377</v>
      </c>
      <c r="K699" s="1" t="s">
        <v>37</v>
      </c>
      <c r="L699" s="1" t="s">
        <v>378</v>
      </c>
      <c r="M699" s="2" t="s">
        <v>1879</v>
      </c>
      <c r="N699" s="31">
        <v>45881</v>
      </c>
    </row>
    <row r="700" spans="1:14" x14ac:dyDescent="0.25">
      <c r="A700" s="29">
        <v>699</v>
      </c>
      <c r="B700" s="1" t="s">
        <v>357</v>
      </c>
      <c r="C700" s="31">
        <v>45932</v>
      </c>
      <c r="D700" s="1" t="s">
        <v>297</v>
      </c>
      <c r="E700" s="13" t="s">
        <v>1880</v>
      </c>
      <c r="F700" s="1" t="s">
        <v>33</v>
      </c>
      <c r="G700" s="1" t="s">
        <v>382</v>
      </c>
      <c r="H700" s="1" t="s">
        <v>383</v>
      </c>
      <c r="I700" s="31">
        <v>45950</v>
      </c>
      <c r="J700" s="1" t="s">
        <v>318</v>
      </c>
      <c r="K700" s="1" t="s">
        <v>37</v>
      </c>
      <c r="L700" s="1" t="s">
        <v>384</v>
      </c>
      <c r="M700" s="2" t="s">
        <v>1881</v>
      </c>
      <c r="N700" s="31">
        <v>45862</v>
      </c>
    </row>
    <row r="701" spans="1:14" x14ac:dyDescent="0.25">
      <c r="A701" s="29">
        <v>700</v>
      </c>
      <c r="B701" s="1" t="s">
        <v>177</v>
      </c>
      <c r="C701" s="31">
        <v>45775</v>
      </c>
      <c r="D701" s="1" t="s">
        <v>387</v>
      </c>
      <c r="E701" s="13" t="s">
        <v>1882</v>
      </c>
      <c r="F701" s="1" t="s">
        <v>33</v>
      </c>
      <c r="G701" s="1" t="s">
        <v>382</v>
      </c>
      <c r="H701" s="1" t="s">
        <v>383</v>
      </c>
      <c r="I701" s="31">
        <v>45864</v>
      </c>
      <c r="J701" s="1" t="s">
        <v>114</v>
      </c>
      <c r="K701" s="1" t="s">
        <v>37</v>
      </c>
      <c r="L701" s="1" t="s">
        <v>389</v>
      </c>
      <c r="M701" s="2" t="s">
        <v>1883</v>
      </c>
      <c r="N701" s="31">
        <v>45886</v>
      </c>
    </row>
    <row r="702" spans="1:14" x14ac:dyDescent="0.25">
      <c r="A702" s="29">
        <v>701</v>
      </c>
      <c r="B702" s="1" t="s">
        <v>30</v>
      </c>
      <c r="C702" s="31">
        <v>45942</v>
      </c>
      <c r="D702" s="1" t="s">
        <v>391</v>
      </c>
      <c r="E702" s="13" t="s">
        <v>1884</v>
      </c>
      <c r="F702" s="1" t="s">
        <v>33</v>
      </c>
      <c r="G702" s="1" t="s">
        <v>172</v>
      </c>
      <c r="H702" s="1" t="s">
        <v>393</v>
      </c>
      <c r="I702" s="31">
        <v>45975</v>
      </c>
      <c r="J702" s="1" t="s">
        <v>394</v>
      </c>
      <c r="K702" s="1" t="s">
        <v>37</v>
      </c>
      <c r="L702" s="1" t="s">
        <v>395</v>
      </c>
      <c r="M702" s="2" t="s">
        <v>1885</v>
      </c>
      <c r="N702" s="31">
        <v>45866</v>
      </c>
    </row>
    <row r="703" spans="1:14" x14ac:dyDescent="0.25">
      <c r="A703" s="29">
        <v>702</v>
      </c>
      <c r="B703" s="1" t="s">
        <v>266</v>
      </c>
      <c r="C703" s="31">
        <v>45664</v>
      </c>
      <c r="D703" s="1" t="s">
        <v>154</v>
      </c>
      <c r="E703" s="13" t="s">
        <v>1886</v>
      </c>
      <c r="F703" s="1" t="s">
        <v>89</v>
      </c>
      <c r="G703" s="1" t="s">
        <v>287</v>
      </c>
      <c r="H703" s="1" t="s">
        <v>235</v>
      </c>
      <c r="I703" s="31">
        <v>45725</v>
      </c>
      <c r="J703" s="1" t="s">
        <v>371</v>
      </c>
      <c r="K703" s="1" t="s">
        <v>37</v>
      </c>
      <c r="L703" s="1" t="s">
        <v>399</v>
      </c>
      <c r="M703" s="2" t="s">
        <v>1887</v>
      </c>
      <c r="N703" s="31">
        <v>45851</v>
      </c>
    </row>
    <row r="704" spans="1:14" x14ac:dyDescent="0.25">
      <c r="A704" s="29">
        <v>703</v>
      </c>
      <c r="B704" s="1" t="s">
        <v>380</v>
      </c>
      <c r="C704" s="31">
        <v>45894</v>
      </c>
      <c r="D704" s="1" t="s">
        <v>402</v>
      </c>
      <c r="E704" s="13" t="s">
        <v>1888</v>
      </c>
      <c r="F704" s="1" t="s">
        <v>89</v>
      </c>
      <c r="G704" s="1" t="s">
        <v>404</v>
      </c>
      <c r="H704" s="1" t="s">
        <v>405</v>
      </c>
      <c r="I704" s="31">
        <v>45951</v>
      </c>
      <c r="J704" s="1" t="s">
        <v>181</v>
      </c>
      <c r="K704" s="1" t="s">
        <v>37</v>
      </c>
      <c r="L704" s="1" t="s">
        <v>406</v>
      </c>
      <c r="M704" s="2" t="s">
        <v>1889</v>
      </c>
      <c r="N704" s="31">
        <v>45885</v>
      </c>
    </row>
    <row r="705" spans="1:14" x14ac:dyDescent="0.25">
      <c r="A705" s="29">
        <v>704</v>
      </c>
      <c r="B705" s="1" t="s">
        <v>386</v>
      </c>
      <c r="C705" s="31">
        <v>45891</v>
      </c>
      <c r="D705" s="1" t="s">
        <v>408</v>
      </c>
      <c r="E705" s="13" t="s">
        <v>1890</v>
      </c>
      <c r="F705" s="1" t="s">
        <v>33</v>
      </c>
      <c r="G705" s="1" t="s">
        <v>164</v>
      </c>
      <c r="H705" s="1" t="s">
        <v>106</v>
      </c>
      <c r="I705" s="31">
        <v>45934</v>
      </c>
      <c r="J705" s="1" t="s">
        <v>52</v>
      </c>
      <c r="K705" s="1" t="s">
        <v>37</v>
      </c>
      <c r="L705" s="1" t="s">
        <v>410</v>
      </c>
      <c r="M705" s="2" t="s">
        <v>1891</v>
      </c>
      <c r="N705" s="31">
        <v>45897</v>
      </c>
    </row>
    <row r="706" spans="1:14" x14ac:dyDescent="0.25">
      <c r="A706" s="29">
        <v>705</v>
      </c>
      <c r="B706" s="1" t="s">
        <v>125</v>
      </c>
      <c r="C706" s="31">
        <v>45681</v>
      </c>
      <c r="D706" s="1" t="s">
        <v>162</v>
      </c>
      <c r="E706" s="13" t="s">
        <v>1892</v>
      </c>
      <c r="F706" s="1" t="s">
        <v>33</v>
      </c>
      <c r="G706" s="1" t="s">
        <v>414</v>
      </c>
      <c r="H706" s="1" t="s">
        <v>415</v>
      </c>
      <c r="I706" s="31">
        <v>45731</v>
      </c>
      <c r="J706" s="1" t="s">
        <v>416</v>
      </c>
      <c r="K706" s="1" t="s">
        <v>37</v>
      </c>
      <c r="L706" s="1" t="s">
        <v>417</v>
      </c>
      <c r="M706" s="2" t="s">
        <v>1893</v>
      </c>
      <c r="N706" s="31">
        <v>45858</v>
      </c>
    </row>
    <row r="707" spans="1:14" x14ac:dyDescent="0.25">
      <c r="A707" s="29">
        <v>706</v>
      </c>
      <c r="B707" s="1" t="s">
        <v>397</v>
      </c>
      <c r="C707" s="31">
        <v>45792</v>
      </c>
      <c r="D707" s="1" t="s">
        <v>233</v>
      </c>
      <c r="E707" s="13" t="s">
        <v>1894</v>
      </c>
      <c r="F707" s="1" t="s">
        <v>33</v>
      </c>
      <c r="G707" s="1" t="s">
        <v>365</v>
      </c>
      <c r="H707" s="1" t="s">
        <v>421</v>
      </c>
      <c r="I707" s="31">
        <v>45804</v>
      </c>
      <c r="J707" s="1" t="s">
        <v>422</v>
      </c>
      <c r="K707" s="1" t="s">
        <v>37</v>
      </c>
      <c r="L707" s="1" t="s">
        <v>423</v>
      </c>
      <c r="M707" s="2" t="s">
        <v>1895</v>
      </c>
      <c r="N707" s="31">
        <v>45859</v>
      </c>
    </row>
    <row r="708" spans="1:14" x14ac:dyDescent="0.25">
      <c r="A708" s="29">
        <v>707</v>
      </c>
      <c r="B708" s="1" t="s">
        <v>401</v>
      </c>
      <c r="C708" s="31">
        <v>45720</v>
      </c>
      <c r="D708" s="1" t="s">
        <v>72</v>
      </c>
      <c r="E708" s="13" t="s">
        <v>1896</v>
      </c>
      <c r="F708" s="1" t="s">
        <v>89</v>
      </c>
      <c r="G708" s="1" t="s">
        <v>172</v>
      </c>
      <c r="H708" s="1" t="s">
        <v>427</v>
      </c>
      <c r="I708" s="31">
        <v>45828</v>
      </c>
      <c r="J708" s="1" t="s">
        <v>428</v>
      </c>
      <c r="K708" s="1" t="s">
        <v>37</v>
      </c>
      <c r="L708" s="1" t="s">
        <v>429</v>
      </c>
      <c r="M708" s="2" t="s">
        <v>1897</v>
      </c>
      <c r="N708" s="31">
        <v>45895</v>
      </c>
    </row>
    <row r="709" spans="1:14" x14ac:dyDescent="0.25">
      <c r="A709" s="29">
        <v>708</v>
      </c>
      <c r="B709" s="1" t="s">
        <v>103</v>
      </c>
      <c r="C709" s="31">
        <v>45902</v>
      </c>
      <c r="D709" s="1" t="s">
        <v>432</v>
      </c>
      <c r="E709" s="13" t="s">
        <v>1898</v>
      </c>
      <c r="F709" s="1" t="s">
        <v>33</v>
      </c>
      <c r="G709" s="1" t="s">
        <v>353</v>
      </c>
      <c r="H709" s="1" t="s">
        <v>82</v>
      </c>
      <c r="I709" s="31">
        <v>45948</v>
      </c>
      <c r="J709" s="1" t="s">
        <v>434</v>
      </c>
      <c r="K709" s="1" t="s">
        <v>37</v>
      </c>
      <c r="L709" s="1" t="s">
        <v>435</v>
      </c>
      <c r="M709" s="2" t="s">
        <v>1899</v>
      </c>
      <c r="N709" s="31">
        <v>45884</v>
      </c>
    </row>
    <row r="710" spans="1:14" x14ac:dyDescent="0.25">
      <c r="A710" s="29">
        <v>709</v>
      </c>
      <c r="B710" s="1" t="s">
        <v>412</v>
      </c>
      <c r="C710" s="31">
        <v>45772</v>
      </c>
      <c r="D710" s="1" t="s">
        <v>438</v>
      </c>
      <c r="E710" s="13" t="s">
        <v>1900</v>
      </c>
      <c r="F710" s="1" t="s">
        <v>89</v>
      </c>
      <c r="G710" s="1" t="s">
        <v>120</v>
      </c>
      <c r="H710" s="1" t="s">
        <v>121</v>
      </c>
      <c r="I710" s="31">
        <v>45866</v>
      </c>
      <c r="J710" s="1" t="s">
        <v>440</v>
      </c>
      <c r="K710" s="1" t="s">
        <v>37</v>
      </c>
      <c r="L710" s="1" t="s">
        <v>441</v>
      </c>
      <c r="M710" s="2" t="s">
        <v>1901</v>
      </c>
      <c r="N710" s="31">
        <v>45857</v>
      </c>
    </row>
    <row r="711" spans="1:14" x14ac:dyDescent="0.25">
      <c r="A711" s="29">
        <v>710</v>
      </c>
      <c r="B711" s="1" t="s">
        <v>419</v>
      </c>
      <c r="C711" s="31">
        <v>45877</v>
      </c>
      <c r="D711" s="1" t="s">
        <v>444</v>
      </c>
      <c r="E711" s="13" t="s">
        <v>1902</v>
      </c>
      <c r="F711" s="1" t="s">
        <v>89</v>
      </c>
      <c r="G711" s="1" t="s">
        <v>446</v>
      </c>
      <c r="H711" s="1" t="s">
        <v>44</v>
      </c>
      <c r="I711" s="31">
        <v>45911</v>
      </c>
      <c r="J711" s="1" t="s">
        <v>447</v>
      </c>
      <c r="K711" s="1" t="s">
        <v>37</v>
      </c>
      <c r="L711" s="1" t="s">
        <v>448</v>
      </c>
      <c r="M711" s="2" t="s">
        <v>1903</v>
      </c>
      <c r="N711" s="31">
        <v>45856</v>
      </c>
    </row>
    <row r="712" spans="1:14" x14ac:dyDescent="0.25">
      <c r="A712" s="29">
        <v>711</v>
      </c>
      <c r="B712" s="1" t="s">
        <v>425</v>
      </c>
      <c r="C712" s="31">
        <v>45719</v>
      </c>
      <c r="D712" s="1" t="s">
        <v>297</v>
      </c>
      <c r="E712" s="13" t="s">
        <v>1904</v>
      </c>
      <c r="F712" s="1" t="s">
        <v>33</v>
      </c>
      <c r="G712" s="1" t="s">
        <v>452</v>
      </c>
      <c r="H712" s="1" t="s">
        <v>453</v>
      </c>
      <c r="I712" s="31">
        <v>45770</v>
      </c>
      <c r="J712" s="1" t="s">
        <v>243</v>
      </c>
      <c r="K712" s="1" t="s">
        <v>37</v>
      </c>
      <c r="L712" s="1" t="s">
        <v>454</v>
      </c>
      <c r="M712" s="2" t="s">
        <v>1905</v>
      </c>
      <c r="N712" s="31">
        <v>45870</v>
      </c>
    </row>
    <row r="713" spans="1:14" x14ac:dyDescent="0.25">
      <c r="A713" s="29">
        <v>712</v>
      </c>
      <c r="B713" s="1" t="s">
        <v>431</v>
      </c>
      <c r="C713" s="31">
        <v>45744</v>
      </c>
      <c r="D713" s="1" t="s">
        <v>64</v>
      </c>
      <c r="E713" s="13" t="s">
        <v>1906</v>
      </c>
      <c r="F713" s="1" t="s">
        <v>89</v>
      </c>
      <c r="G713" s="1" t="s">
        <v>113</v>
      </c>
      <c r="H713" s="1" t="s">
        <v>299</v>
      </c>
      <c r="I713" s="31">
        <v>45788</v>
      </c>
      <c r="J713" s="1" t="s">
        <v>458</v>
      </c>
      <c r="K713" s="1" t="s">
        <v>37</v>
      </c>
      <c r="L713" s="1" t="s">
        <v>459</v>
      </c>
      <c r="M713" s="2" t="s">
        <v>1907</v>
      </c>
      <c r="N713" s="31">
        <v>45885</v>
      </c>
    </row>
    <row r="714" spans="1:14" x14ac:dyDescent="0.25">
      <c r="A714" s="29">
        <v>713</v>
      </c>
      <c r="B714" s="1" t="s">
        <v>437</v>
      </c>
      <c r="C714" s="31">
        <v>45825</v>
      </c>
      <c r="D714" s="1" t="s">
        <v>240</v>
      </c>
      <c r="E714" s="13" t="s">
        <v>1908</v>
      </c>
      <c r="F714" s="1" t="s">
        <v>89</v>
      </c>
      <c r="G714" s="1" t="s">
        <v>105</v>
      </c>
      <c r="H714" s="1" t="s">
        <v>256</v>
      </c>
      <c r="I714" s="31">
        <v>45852</v>
      </c>
      <c r="J714" s="1" t="s">
        <v>463</v>
      </c>
      <c r="K714" s="1" t="s">
        <v>37</v>
      </c>
      <c r="L714" s="1" t="s">
        <v>464</v>
      </c>
      <c r="M714" s="2" t="s">
        <v>1909</v>
      </c>
      <c r="N714" s="31">
        <v>45871</v>
      </c>
    </row>
    <row r="715" spans="1:14" x14ac:dyDescent="0.25">
      <c r="A715" s="29">
        <v>714</v>
      </c>
      <c r="B715" s="1" t="s">
        <v>443</v>
      </c>
      <c r="C715" s="31">
        <v>45917</v>
      </c>
      <c r="D715" s="1" t="s">
        <v>467</v>
      </c>
      <c r="E715" s="13" t="s">
        <v>1910</v>
      </c>
      <c r="F715" s="1" t="s">
        <v>89</v>
      </c>
      <c r="G715" s="1" t="s">
        <v>469</v>
      </c>
      <c r="H715" s="1" t="s">
        <v>470</v>
      </c>
      <c r="I715" s="31">
        <v>46021</v>
      </c>
      <c r="J715" s="1" t="s">
        <v>471</v>
      </c>
      <c r="K715" s="1" t="s">
        <v>37</v>
      </c>
      <c r="L715" s="1" t="s">
        <v>472</v>
      </c>
      <c r="M715" s="2" t="s">
        <v>1911</v>
      </c>
      <c r="N715" s="31">
        <v>45861</v>
      </c>
    </row>
    <row r="716" spans="1:14" x14ac:dyDescent="0.25">
      <c r="A716" s="29">
        <v>715</v>
      </c>
      <c r="B716" s="1" t="s">
        <v>450</v>
      </c>
      <c r="C716" s="31">
        <v>45872</v>
      </c>
      <c r="D716" s="1" t="s">
        <v>351</v>
      </c>
      <c r="E716" s="13" t="s">
        <v>1912</v>
      </c>
      <c r="F716" s="1" t="s">
        <v>89</v>
      </c>
      <c r="G716" s="1" t="s">
        <v>475</v>
      </c>
      <c r="H716" s="1" t="s">
        <v>453</v>
      </c>
      <c r="I716" s="31">
        <v>45939</v>
      </c>
      <c r="J716" s="1" t="s">
        <v>476</v>
      </c>
      <c r="K716" s="1" t="s">
        <v>37</v>
      </c>
      <c r="L716" s="1" t="s">
        <v>477</v>
      </c>
      <c r="M716" s="2" t="s">
        <v>1913</v>
      </c>
      <c r="N716" s="31">
        <v>45873</v>
      </c>
    </row>
    <row r="717" spans="1:14" x14ac:dyDescent="0.25">
      <c r="A717" s="29">
        <v>716</v>
      </c>
      <c r="B717" s="1" t="s">
        <v>456</v>
      </c>
      <c r="C717" s="31">
        <v>45678</v>
      </c>
      <c r="D717" s="1" t="s">
        <v>480</v>
      </c>
      <c r="E717" s="13" t="s">
        <v>1914</v>
      </c>
      <c r="F717" s="1" t="s">
        <v>89</v>
      </c>
      <c r="G717" s="1" t="s">
        <v>201</v>
      </c>
      <c r="H717" s="1" t="s">
        <v>202</v>
      </c>
      <c r="I717" s="31">
        <v>45741</v>
      </c>
      <c r="J717" s="1" t="s">
        <v>68</v>
      </c>
      <c r="K717" s="1" t="s">
        <v>37</v>
      </c>
      <c r="L717" s="1" t="s">
        <v>482</v>
      </c>
      <c r="M717" s="2" t="s">
        <v>1915</v>
      </c>
      <c r="N717" s="31">
        <v>45853</v>
      </c>
    </row>
    <row r="718" spans="1:14" x14ac:dyDescent="0.25">
      <c r="A718" s="29">
        <v>717</v>
      </c>
      <c r="B718" s="1" t="s">
        <v>461</v>
      </c>
      <c r="C718" s="31">
        <v>45871</v>
      </c>
      <c r="D718" s="1" t="s">
        <v>484</v>
      </c>
      <c r="E718" s="13" t="s">
        <v>1916</v>
      </c>
      <c r="F718" s="1" t="s">
        <v>33</v>
      </c>
      <c r="G718" s="1" t="s">
        <v>58</v>
      </c>
      <c r="H718" s="1" t="s">
        <v>91</v>
      </c>
      <c r="I718" s="31">
        <v>45877</v>
      </c>
      <c r="J718" s="1" t="s">
        <v>45</v>
      </c>
      <c r="K718" s="1" t="s">
        <v>37</v>
      </c>
      <c r="L718" s="1" t="s">
        <v>486</v>
      </c>
      <c r="M718" s="2" t="s">
        <v>1917</v>
      </c>
      <c r="N718" s="31">
        <v>45865</v>
      </c>
    </row>
    <row r="719" spans="1:14" x14ac:dyDescent="0.25">
      <c r="A719" s="29">
        <v>718</v>
      </c>
      <c r="B719" s="1" t="s">
        <v>466</v>
      </c>
      <c r="C719" s="31">
        <v>45678</v>
      </c>
      <c r="D719" s="1" t="s">
        <v>225</v>
      </c>
      <c r="E719" s="13" t="s">
        <v>1918</v>
      </c>
      <c r="F719" s="1" t="s">
        <v>33</v>
      </c>
      <c r="G719" s="1" t="s">
        <v>490</v>
      </c>
      <c r="H719" s="1" t="s">
        <v>383</v>
      </c>
      <c r="I719" s="31">
        <v>45723</v>
      </c>
      <c r="J719" s="1" t="s">
        <v>197</v>
      </c>
      <c r="K719" s="1" t="s">
        <v>37</v>
      </c>
      <c r="L719" s="1" t="s">
        <v>491</v>
      </c>
      <c r="M719" s="2" t="s">
        <v>1919</v>
      </c>
      <c r="N719" s="31">
        <v>45840</v>
      </c>
    </row>
    <row r="720" spans="1:14" x14ac:dyDescent="0.25">
      <c r="A720" s="29">
        <v>719</v>
      </c>
      <c r="B720" s="1" t="s">
        <v>466</v>
      </c>
      <c r="C720" s="31">
        <v>45759</v>
      </c>
      <c r="D720" s="1" t="s">
        <v>31</v>
      </c>
      <c r="E720" s="13" t="s">
        <v>1920</v>
      </c>
      <c r="F720" s="1" t="s">
        <v>33</v>
      </c>
      <c r="G720" s="1" t="s">
        <v>164</v>
      </c>
      <c r="H720" s="1" t="s">
        <v>165</v>
      </c>
      <c r="I720" s="31">
        <v>45784</v>
      </c>
      <c r="J720" s="1" t="s">
        <v>114</v>
      </c>
      <c r="K720" s="1" t="s">
        <v>37</v>
      </c>
      <c r="L720" s="1" t="s">
        <v>494</v>
      </c>
      <c r="M720" s="2" t="s">
        <v>1921</v>
      </c>
      <c r="N720" s="31">
        <v>45878</v>
      </c>
    </row>
    <row r="721" spans="1:14" x14ac:dyDescent="0.25">
      <c r="A721" s="29">
        <v>720</v>
      </c>
      <c r="B721" s="1" t="s">
        <v>479</v>
      </c>
      <c r="C721" s="31">
        <v>45922</v>
      </c>
      <c r="D721" s="1" t="s">
        <v>332</v>
      </c>
      <c r="E721" s="13" t="s">
        <v>1922</v>
      </c>
      <c r="F721" s="1" t="s">
        <v>89</v>
      </c>
      <c r="G721" s="1" t="s">
        <v>497</v>
      </c>
      <c r="H721" s="1" t="s">
        <v>121</v>
      </c>
      <c r="I721" s="31">
        <v>46001</v>
      </c>
      <c r="J721" s="1" t="s">
        <v>377</v>
      </c>
      <c r="K721" s="1" t="s">
        <v>37</v>
      </c>
      <c r="L721" s="1" t="s">
        <v>498</v>
      </c>
      <c r="M721" s="2" t="s">
        <v>1923</v>
      </c>
      <c r="N721" s="31">
        <v>45845</v>
      </c>
    </row>
    <row r="722" spans="1:14" x14ac:dyDescent="0.25">
      <c r="A722" s="29">
        <v>721</v>
      </c>
      <c r="B722" s="1" t="s">
        <v>71</v>
      </c>
      <c r="C722" s="31">
        <v>45951</v>
      </c>
      <c r="D722" s="1" t="s">
        <v>64</v>
      </c>
      <c r="E722" s="13" t="s">
        <v>1924</v>
      </c>
      <c r="F722" s="1" t="s">
        <v>33</v>
      </c>
      <c r="G722" s="1" t="s">
        <v>337</v>
      </c>
      <c r="H722" s="1" t="s">
        <v>427</v>
      </c>
      <c r="I722" s="31">
        <v>45996</v>
      </c>
      <c r="J722" s="1" t="s">
        <v>52</v>
      </c>
      <c r="K722" s="1" t="s">
        <v>37</v>
      </c>
      <c r="L722" s="1" t="s">
        <v>501</v>
      </c>
      <c r="M722" s="2" t="s">
        <v>1925</v>
      </c>
      <c r="N722" s="31">
        <v>45858</v>
      </c>
    </row>
    <row r="723" spans="1:14" x14ac:dyDescent="0.25">
      <c r="A723" s="29">
        <v>722</v>
      </c>
      <c r="B723" s="1" t="s">
        <v>488</v>
      </c>
      <c r="C723" s="31">
        <v>45810</v>
      </c>
      <c r="D723" s="1" t="s">
        <v>87</v>
      </c>
      <c r="E723" s="13" t="s">
        <v>1926</v>
      </c>
      <c r="F723" s="1" t="s">
        <v>33</v>
      </c>
      <c r="G723" s="1" t="s">
        <v>469</v>
      </c>
      <c r="H723" s="1" t="s">
        <v>317</v>
      </c>
      <c r="I723" s="31">
        <v>45883</v>
      </c>
      <c r="J723" s="1" t="s">
        <v>458</v>
      </c>
      <c r="K723" s="1" t="s">
        <v>37</v>
      </c>
      <c r="L723" s="1" t="s">
        <v>505</v>
      </c>
      <c r="M723" s="2" t="s">
        <v>1927</v>
      </c>
      <c r="N723" s="31">
        <v>45865</v>
      </c>
    </row>
    <row r="724" spans="1:14" x14ac:dyDescent="0.25">
      <c r="A724" s="29">
        <v>723</v>
      </c>
      <c r="B724" s="1" t="s">
        <v>161</v>
      </c>
      <c r="C724" s="31">
        <v>45803</v>
      </c>
      <c r="D724" s="1" t="s">
        <v>260</v>
      </c>
      <c r="E724" s="13" t="s">
        <v>1928</v>
      </c>
      <c r="F724" s="1" t="s">
        <v>33</v>
      </c>
      <c r="G724" s="1" t="s">
        <v>508</v>
      </c>
      <c r="H724" s="1" t="s">
        <v>376</v>
      </c>
      <c r="I724" s="31">
        <v>45810</v>
      </c>
      <c r="J724" s="1" t="s">
        <v>428</v>
      </c>
      <c r="K724" s="1" t="s">
        <v>37</v>
      </c>
      <c r="L724" s="1" t="s">
        <v>509</v>
      </c>
      <c r="M724" s="2" t="s">
        <v>1929</v>
      </c>
      <c r="N724" s="31">
        <v>45885</v>
      </c>
    </row>
    <row r="725" spans="1:14" x14ac:dyDescent="0.25">
      <c r="A725" s="29">
        <v>724</v>
      </c>
      <c r="B725" s="1" t="s">
        <v>184</v>
      </c>
      <c r="C725" s="31">
        <v>45745</v>
      </c>
      <c r="D725" s="1" t="s">
        <v>170</v>
      </c>
      <c r="E725" s="13" t="s">
        <v>1930</v>
      </c>
      <c r="F725" s="1" t="s">
        <v>89</v>
      </c>
      <c r="G725" s="1" t="s">
        <v>513</v>
      </c>
      <c r="H725" s="1" t="s">
        <v>196</v>
      </c>
      <c r="I725" s="31">
        <v>45765</v>
      </c>
      <c r="J725" s="1" t="s">
        <v>318</v>
      </c>
      <c r="K725" s="1" t="s">
        <v>37</v>
      </c>
      <c r="L725" s="1" t="s">
        <v>514</v>
      </c>
      <c r="M725" s="2" t="s">
        <v>1931</v>
      </c>
      <c r="N725" s="31">
        <v>45867</v>
      </c>
    </row>
    <row r="726" spans="1:14" x14ac:dyDescent="0.25">
      <c r="A726" s="29">
        <v>725</v>
      </c>
      <c r="B726" s="1" t="s">
        <v>40</v>
      </c>
      <c r="C726" s="31">
        <v>45710</v>
      </c>
      <c r="D726" s="1" t="s">
        <v>185</v>
      </c>
      <c r="E726" s="13" t="s">
        <v>1932</v>
      </c>
      <c r="F726" s="1" t="s">
        <v>33</v>
      </c>
      <c r="G726" s="1" t="s">
        <v>490</v>
      </c>
      <c r="H726" s="1" t="s">
        <v>99</v>
      </c>
      <c r="I726" s="31">
        <v>45826</v>
      </c>
      <c r="J726" s="1" t="s">
        <v>518</v>
      </c>
      <c r="K726" s="1" t="s">
        <v>37</v>
      </c>
      <c r="L726" s="1" t="s">
        <v>519</v>
      </c>
      <c r="M726" s="2" t="s">
        <v>1933</v>
      </c>
      <c r="N726" s="31">
        <v>45895</v>
      </c>
    </row>
    <row r="727" spans="1:14" x14ac:dyDescent="0.25">
      <c r="A727" s="29">
        <v>726</v>
      </c>
      <c r="B727" s="1" t="s">
        <v>503</v>
      </c>
      <c r="C727" s="31">
        <v>45924</v>
      </c>
      <c r="D727" s="1" t="s">
        <v>154</v>
      </c>
      <c r="E727" s="13" t="s">
        <v>1934</v>
      </c>
      <c r="F727" s="1" t="s">
        <v>89</v>
      </c>
      <c r="G727" s="1" t="s">
        <v>490</v>
      </c>
      <c r="H727" s="1" t="s">
        <v>523</v>
      </c>
      <c r="I727" s="31">
        <v>45978</v>
      </c>
      <c r="J727" s="1" t="s">
        <v>428</v>
      </c>
      <c r="K727" s="1" t="s">
        <v>37</v>
      </c>
      <c r="L727" s="1" t="s">
        <v>524</v>
      </c>
      <c r="M727" s="2" t="s">
        <v>1935</v>
      </c>
      <c r="N727" s="31">
        <v>45847</v>
      </c>
    </row>
    <row r="728" spans="1:14" x14ac:dyDescent="0.25">
      <c r="A728" s="29">
        <v>727</v>
      </c>
      <c r="B728" s="1" t="s">
        <v>103</v>
      </c>
      <c r="C728" s="31">
        <v>45884</v>
      </c>
      <c r="D728" s="1" t="s">
        <v>527</v>
      </c>
      <c r="E728" s="13" t="s">
        <v>1936</v>
      </c>
      <c r="F728" s="1" t="s">
        <v>89</v>
      </c>
      <c r="G728" s="1" t="s">
        <v>113</v>
      </c>
      <c r="H728" s="1" t="s">
        <v>262</v>
      </c>
      <c r="I728" s="31">
        <v>45993</v>
      </c>
      <c r="J728" s="1" t="s">
        <v>529</v>
      </c>
      <c r="K728" s="1" t="s">
        <v>37</v>
      </c>
      <c r="L728" s="1" t="s">
        <v>530</v>
      </c>
      <c r="M728" s="2" t="s">
        <v>1937</v>
      </c>
      <c r="N728" s="31">
        <v>45896</v>
      </c>
    </row>
    <row r="729" spans="1:14" x14ac:dyDescent="0.25">
      <c r="A729" s="29">
        <v>728</v>
      </c>
      <c r="B729" s="1" t="s">
        <v>511</v>
      </c>
      <c r="C729" s="31">
        <v>45849</v>
      </c>
      <c r="D729" s="1" t="s">
        <v>432</v>
      </c>
      <c r="E729" s="13" t="s">
        <v>1938</v>
      </c>
      <c r="F729" s="1" t="s">
        <v>33</v>
      </c>
      <c r="G729" s="1" t="s">
        <v>534</v>
      </c>
      <c r="H729" s="1" t="s">
        <v>311</v>
      </c>
      <c r="I729" s="31">
        <v>45947</v>
      </c>
      <c r="J729" s="1" t="s">
        <v>535</v>
      </c>
      <c r="K729" s="1" t="s">
        <v>37</v>
      </c>
      <c r="L729" s="1" t="s">
        <v>536</v>
      </c>
      <c r="M729" s="2" t="s">
        <v>1939</v>
      </c>
      <c r="N729" s="31">
        <v>45858</v>
      </c>
    </row>
    <row r="730" spans="1:14" x14ac:dyDescent="0.25">
      <c r="A730" s="29">
        <v>729</v>
      </c>
      <c r="B730" s="1" t="s">
        <v>516</v>
      </c>
      <c r="C730" s="31">
        <v>45828</v>
      </c>
      <c r="D730" s="1" t="s">
        <v>233</v>
      </c>
      <c r="E730" s="13" t="s">
        <v>1940</v>
      </c>
      <c r="F730" s="1" t="s">
        <v>33</v>
      </c>
      <c r="G730" s="1" t="s">
        <v>90</v>
      </c>
      <c r="H730" s="1" t="s">
        <v>91</v>
      </c>
      <c r="I730" s="31">
        <v>45920</v>
      </c>
      <c r="J730" s="1" t="s">
        <v>540</v>
      </c>
      <c r="K730" s="1" t="s">
        <v>37</v>
      </c>
      <c r="L730" s="1" t="s">
        <v>541</v>
      </c>
      <c r="M730" s="2" t="s">
        <v>1941</v>
      </c>
      <c r="N730" s="31">
        <v>45869</v>
      </c>
    </row>
    <row r="731" spans="1:14" x14ac:dyDescent="0.25">
      <c r="A731" s="29">
        <v>730</v>
      </c>
      <c r="B731" s="1" t="s">
        <v>521</v>
      </c>
      <c r="C731" s="31">
        <v>45846</v>
      </c>
      <c r="D731" s="1" t="s">
        <v>56</v>
      </c>
      <c r="E731" s="13" t="s">
        <v>1942</v>
      </c>
      <c r="F731" s="1" t="s">
        <v>89</v>
      </c>
      <c r="G731" s="1" t="s">
        <v>195</v>
      </c>
      <c r="H731" s="1" t="s">
        <v>196</v>
      </c>
      <c r="I731" s="31">
        <v>45910</v>
      </c>
      <c r="J731" s="1" t="s">
        <v>545</v>
      </c>
      <c r="K731" s="1" t="s">
        <v>37</v>
      </c>
      <c r="L731" s="1" t="s">
        <v>546</v>
      </c>
      <c r="M731" s="2" t="s">
        <v>1943</v>
      </c>
      <c r="N731" s="31">
        <v>45853</v>
      </c>
    </row>
    <row r="732" spans="1:14" x14ac:dyDescent="0.25">
      <c r="A732" s="29">
        <v>731</v>
      </c>
      <c r="B732" s="1" t="s">
        <v>526</v>
      </c>
      <c r="C732" s="31">
        <v>45841</v>
      </c>
      <c r="D732" s="1" t="s">
        <v>56</v>
      </c>
      <c r="E732" s="13" t="s">
        <v>1944</v>
      </c>
      <c r="F732" s="1" t="s">
        <v>33</v>
      </c>
      <c r="G732" s="1" t="s">
        <v>287</v>
      </c>
      <c r="H732" s="1" t="s">
        <v>415</v>
      </c>
      <c r="I732" s="31">
        <v>45873</v>
      </c>
      <c r="J732" s="1" t="s">
        <v>549</v>
      </c>
      <c r="K732" s="1" t="s">
        <v>37</v>
      </c>
      <c r="L732" s="1" t="s">
        <v>550</v>
      </c>
      <c r="M732" s="2" t="s">
        <v>1945</v>
      </c>
      <c r="N732" s="31">
        <v>45893</v>
      </c>
    </row>
    <row r="733" spans="1:14" x14ac:dyDescent="0.25">
      <c r="A733" s="29">
        <v>732</v>
      </c>
      <c r="B733" s="1" t="s">
        <v>532</v>
      </c>
      <c r="C733" s="31">
        <v>45922</v>
      </c>
      <c r="D733" s="1" t="s">
        <v>552</v>
      </c>
      <c r="E733" s="13" t="s">
        <v>1946</v>
      </c>
      <c r="F733" s="1" t="s">
        <v>89</v>
      </c>
      <c r="G733" s="1" t="s">
        <v>534</v>
      </c>
      <c r="H733" s="1" t="s">
        <v>366</v>
      </c>
      <c r="I733" s="31">
        <v>45983</v>
      </c>
      <c r="J733" s="1" t="s">
        <v>318</v>
      </c>
      <c r="K733" s="1" t="s">
        <v>37</v>
      </c>
      <c r="L733" s="1" t="s">
        <v>554</v>
      </c>
      <c r="M733" s="2" t="s">
        <v>1947</v>
      </c>
      <c r="N733" s="31">
        <v>45868</v>
      </c>
    </row>
    <row r="734" spans="1:14" x14ac:dyDescent="0.25">
      <c r="A734" s="29">
        <v>733</v>
      </c>
      <c r="B734" s="1" t="s">
        <v>538</v>
      </c>
      <c r="C734" s="31">
        <v>45721</v>
      </c>
      <c r="D734" s="1" t="s">
        <v>308</v>
      </c>
      <c r="E734" s="13" t="s">
        <v>1948</v>
      </c>
      <c r="F734" s="1" t="s">
        <v>89</v>
      </c>
      <c r="G734" s="1" t="s">
        <v>141</v>
      </c>
      <c r="H734" s="1" t="s">
        <v>557</v>
      </c>
      <c r="I734" s="31">
        <v>45744</v>
      </c>
      <c r="J734" s="1" t="s">
        <v>128</v>
      </c>
      <c r="K734" s="1" t="s">
        <v>37</v>
      </c>
      <c r="L734" s="1" t="s">
        <v>558</v>
      </c>
      <c r="M734" s="2" t="s">
        <v>1949</v>
      </c>
      <c r="N734" s="31">
        <v>45885</v>
      </c>
    </row>
    <row r="735" spans="1:14" x14ac:dyDescent="0.25">
      <c r="A735" s="29">
        <v>734</v>
      </c>
      <c r="B735" s="1" t="s">
        <v>543</v>
      </c>
      <c r="C735" s="31">
        <v>45751</v>
      </c>
      <c r="D735" s="1" t="s">
        <v>552</v>
      </c>
      <c r="E735" s="13" t="s">
        <v>1950</v>
      </c>
      <c r="F735" s="1" t="s">
        <v>33</v>
      </c>
      <c r="G735" s="1" t="s">
        <v>561</v>
      </c>
      <c r="H735" s="1" t="s">
        <v>453</v>
      </c>
      <c r="I735" s="31">
        <v>45763</v>
      </c>
      <c r="J735" s="1" t="s">
        <v>562</v>
      </c>
      <c r="K735" s="1" t="s">
        <v>37</v>
      </c>
      <c r="L735" s="1" t="s">
        <v>563</v>
      </c>
      <c r="M735" s="2" t="s">
        <v>1951</v>
      </c>
      <c r="N735" s="31">
        <v>45878</v>
      </c>
    </row>
    <row r="736" spans="1:14" x14ac:dyDescent="0.25">
      <c r="A736" s="29">
        <v>735</v>
      </c>
      <c r="B736" s="1" t="s">
        <v>284</v>
      </c>
      <c r="C736" s="31">
        <v>45863</v>
      </c>
      <c r="D736" s="1" t="s">
        <v>308</v>
      </c>
      <c r="E736" s="13" t="s">
        <v>1952</v>
      </c>
      <c r="F736" s="1" t="s">
        <v>89</v>
      </c>
      <c r="G736" s="1" t="s">
        <v>58</v>
      </c>
      <c r="H736" s="1" t="s">
        <v>44</v>
      </c>
      <c r="I736" s="31">
        <v>45879</v>
      </c>
      <c r="J736" s="1" t="s">
        <v>566</v>
      </c>
      <c r="K736" s="1" t="s">
        <v>37</v>
      </c>
      <c r="L736" s="1" t="s">
        <v>567</v>
      </c>
      <c r="M736" s="2" t="s">
        <v>1953</v>
      </c>
      <c r="N736" s="31">
        <v>45854</v>
      </c>
    </row>
    <row r="737" spans="1:14" x14ac:dyDescent="0.25">
      <c r="A737" s="29">
        <v>736</v>
      </c>
      <c r="B737" s="1" t="s">
        <v>350</v>
      </c>
      <c r="C737" s="31">
        <v>45678</v>
      </c>
      <c r="D737" s="1" t="s">
        <v>552</v>
      </c>
      <c r="E737" s="13" t="s">
        <v>1954</v>
      </c>
      <c r="F737" s="1" t="s">
        <v>89</v>
      </c>
      <c r="G737" s="1" t="s">
        <v>120</v>
      </c>
      <c r="H737" s="1" t="s">
        <v>383</v>
      </c>
      <c r="I737" s="31">
        <v>45709</v>
      </c>
      <c r="J737" s="1" t="s">
        <v>571</v>
      </c>
      <c r="K737" s="1" t="s">
        <v>37</v>
      </c>
      <c r="L737" s="1" t="s">
        <v>572</v>
      </c>
      <c r="M737" s="2" t="s">
        <v>1955</v>
      </c>
      <c r="N737" s="31">
        <v>45844</v>
      </c>
    </row>
    <row r="738" spans="1:14" x14ac:dyDescent="0.25">
      <c r="A738" s="29">
        <v>737</v>
      </c>
      <c r="B738" s="1" t="s">
        <v>437</v>
      </c>
      <c r="C738" s="31">
        <v>45815</v>
      </c>
      <c r="D738" s="1" t="s">
        <v>480</v>
      </c>
      <c r="E738" s="13" t="s">
        <v>1956</v>
      </c>
      <c r="F738" s="1" t="s">
        <v>89</v>
      </c>
      <c r="G738" s="1" t="s">
        <v>346</v>
      </c>
      <c r="H738" s="1" t="s">
        <v>427</v>
      </c>
      <c r="I738" s="31">
        <v>45869</v>
      </c>
      <c r="J738" s="1" t="s">
        <v>575</v>
      </c>
      <c r="K738" s="1" t="s">
        <v>37</v>
      </c>
      <c r="L738" s="1" t="s">
        <v>576</v>
      </c>
      <c r="M738" s="2" t="s">
        <v>1957</v>
      </c>
      <c r="N738" s="31">
        <v>45885</v>
      </c>
    </row>
    <row r="739" spans="1:14" x14ac:dyDescent="0.25">
      <c r="A739" s="29">
        <v>738</v>
      </c>
      <c r="B739" s="1" t="s">
        <v>450</v>
      </c>
      <c r="C739" s="31">
        <v>45851</v>
      </c>
      <c r="D739" s="1" t="s">
        <v>170</v>
      </c>
      <c r="E739" s="13" t="s">
        <v>1958</v>
      </c>
      <c r="F739" s="1" t="s">
        <v>33</v>
      </c>
      <c r="G739" s="1" t="s">
        <v>475</v>
      </c>
      <c r="H739" s="1" t="s">
        <v>580</v>
      </c>
      <c r="I739" s="31">
        <v>45889</v>
      </c>
      <c r="J739" s="1" t="s">
        <v>581</v>
      </c>
      <c r="K739" s="1" t="s">
        <v>37</v>
      </c>
      <c r="L739" s="1" t="s">
        <v>582</v>
      </c>
      <c r="M739" s="2" t="s">
        <v>1959</v>
      </c>
      <c r="N739" s="31">
        <v>45891</v>
      </c>
    </row>
    <row r="740" spans="1:14" x14ac:dyDescent="0.25">
      <c r="A740" s="29">
        <v>739</v>
      </c>
      <c r="B740" s="1" t="s">
        <v>212</v>
      </c>
      <c r="C740" s="31">
        <v>45825</v>
      </c>
      <c r="D740" s="1" t="s">
        <v>240</v>
      </c>
      <c r="E740" s="13" t="s">
        <v>1960</v>
      </c>
      <c r="F740" s="1" t="s">
        <v>33</v>
      </c>
      <c r="G740" s="1" t="s">
        <v>172</v>
      </c>
      <c r="H740" s="1" t="s">
        <v>44</v>
      </c>
      <c r="I740" s="31">
        <v>45844</v>
      </c>
      <c r="J740" s="1" t="s">
        <v>585</v>
      </c>
      <c r="K740" s="1" t="s">
        <v>37</v>
      </c>
      <c r="L740" s="1" t="s">
        <v>586</v>
      </c>
      <c r="M740" s="2" t="s">
        <v>1961</v>
      </c>
      <c r="N740" s="31">
        <v>45847</v>
      </c>
    </row>
    <row r="741" spans="1:14" x14ac:dyDescent="0.25">
      <c r="A741" s="29">
        <v>740</v>
      </c>
      <c r="B741" s="1" t="s">
        <v>569</v>
      </c>
      <c r="C741" s="31">
        <v>45685</v>
      </c>
      <c r="D741" s="1" t="s">
        <v>72</v>
      </c>
      <c r="E741" s="13" t="s">
        <v>1962</v>
      </c>
      <c r="F741" s="1" t="s">
        <v>89</v>
      </c>
      <c r="G741" s="1" t="s">
        <v>220</v>
      </c>
      <c r="H741" s="1" t="s">
        <v>421</v>
      </c>
      <c r="I741" s="31">
        <v>45709</v>
      </c>
      <c r="J741" s="1" t="s">
        <v>589</v>
      </c>
      <c r="K741" s="1" t="s">
        <v>37</v>
      </c>
      <c r="L741" s="1" t="s">
        <v>590</v>
      </c>
      <c r="M741" s="2" t="s">
        <v>1963</v>
      </c>
      <c r="N741" s="31">
        <v>45884</v>
      </c>
    </row>
    <row r="742" spans="1:14" x14ac:dyDescent="0.25">
      <c r="A742" s="29">
        <v>741</v>
      </c>
      <c r="B742" s="1" t="s">
        <v>425</v>
      </c>
      <c r="C742" s="31">
        <v>45841</v>
      </c>
      <c r="D742" s="1" t="s">
        <v>233</v>
      </c>
      <c r="E742" s="13" t="s">
        <v>1964</v>
      </c>
      <c r="F742" s="1" t="s">
        <v>33</v>
      </c>
      <c r="G742" s="1" t="s">
        <v>469</v>
      </c>
      <c r="H742" s="1" t="s">
        <v>580</v>
      </c>
      <c r="I742" s="31">
        <v>45884</v>
      </c>
      <c r="J742" s="1" t="s">
        <v>214</v>
      </c>
      <c r="K742" s="1" t="s">
        <v>37</v>
      </c>
      <c r="L742" s="1" t="s">
        <v>593</v>
      </c>
      <c r="M742" s="2" t="s">
        <v>1965</v>
      </c>
      <c r="N742" s="31">
        <v>45873</v>
      </c>
    </row>
    <row r="743" spans="1:14" x14ac:dyDescent="0.25">
      <c r="A743" s="29">
        <v>742</v>
      </c>
      <c r="B743" s="1" t="s">
        <v>578</v>
      </c>
      <c r="C743" s="31">
        <v>45815</v>
      </c>
      <c r="D743" s="1" t="s">
        <v>391</v>
      </c>
      <c r="E743" s="13" t="s">
        <v>1966</v>
      </c>
      <c r="F743" s="1" t="s">
        <v>33</v>
      </c>
      <c r="G743" s="1" t="s">
        <v>596</v>
      </c>
      <c r="H743" s="1" t="s">
        <v>597</v>
      </c>
      <c r="I743" s="31">
        <v>45833</v>
      </c>
      <c r="J743" s="1" t="s">
        <v>598</v>
      </c>
      <c r="K743" s="1" t="s">
        <v>37</v>
      </c>
      <c r="L743" s="1" t="s">
        <v>599</v>
      </c>
      <c r="M743" s="2" t="s">
        <v>1967</v>
      </c>
      <c r="N743" s="31">
        <v>45844</v>
      </c>
    </row>
    <row r="744" spans="1:14" x14ac:dyDescent="0.25">
      <c r="A744" s="29">
        <v>743</v>
      </c>
      <c r="B744" s="1" t="s">
        <v>169</v>
      </c>
      <c r="C744" s="31">
        <v>45803</v>
      </c>
      <c r="D744" s="1" t="s">
        <v>79</v>
      </c>
      <c r="E744" s="13" t="s">
        <v>1968</v>
      </c>
      <c r="F744" s="1" t="s">
        <v>33</v>
      </c>
      <c r="G744" s="1" t="s">
        <v>164</v>
      </c>
      <c r="H744" s="1" t="s">
        <v>256</v>
      </c>
      <c r="I744" s="31">
        <v>45882</v>
      </c>
      <c r="J744" s="1" t="s">
        <v>602</v>
      </c>
      <c r="K744" s="1" t="s">
        <v>37</v>
      </c>
      <c r="L744" s="1" t="s">
        <v>603</v>
      </c>
      <c r="M744" s="2" t="s">
        <v>1969</v>
      </c>
      <c r="N744" s="31">
        <v>45887</v>
      </c>
    </row>
    <row r="745" spans="1:14" x14ac:dyDescent="0.25">
      <c r="A745" s="29">
        <v>744</v>
      </c>
      <c r="B745" s="1" t="s">
        <v>177</v>
      </c>
      <c r="C745" s="31">
        <v>45729</v>
      </c>
      <c r="D745" s="1" t="s">
        <v>56</v>
      </c>
      <c r="E745" s="13" t="s">
        <v>1970</v>
      </c>
      <c r="F745" s="1" t="s">
        <v>89</v>
      </c>
      <c r="G745" s="1" t="s">
        <v>606</v>
      </c>
      <c r="H745" s="1" t="s">
        <v>453</v>
      </c>
      <c r="I745" s="31">
        <v>45792</v>
      </c>
      <c r="J745" s="1" t="s">
        <v>607</v>
      </c>
      <c r="K745" s="1" t="s">
        <v>37</v>
      </c>
      <c r="L745" s="1" t="s">
        <v>608</v>
      </c>
      <c r="M745" s="2" t="s">
        <v>1971</v>
      </c>
      <c r="N745" s="31">
        <v>45858</v>
      </c>
    </row>
    <row r="746" spans="1:14" x14ac:dyDescent="0.25">
      <c r="A746" s="29">
        <v>745</v>
      </c>
      <c r="B746" s="1" t="s">
        <v>450</v>
      </c>
      <c r="C746" s="31">
        <v>45794</v>
      </c>
      <c r="D746" s="1" t="s">
        <v>611</v>
      </c>
      <c r="E746" s="13" t="s">
        <v>1972</v>
      </c>
      <c r="F746" s="1" t="s">
        <v>33</v>
      </c>
      <c r="G746" s="1" t="s">
        <v>497</v>
      </c>
      <c r="H746" s="1" t="s">
        <v>557</v>
      </c>
      <c r="I746" s="31">
        <v>45856</v>
      </c>
      <c r="J746" s="1" t="s">
        <v>613</v>
      </c>
      <c r="K746" s="1" t="s">
        <v>37</v>
      </c>
      <c r="L746" s="1" t="s">
        <v>614</v>
      </c>
      <c r="M746" s="2" t="s">
        <v>1973</v>
      </c>
      <c r="N746" s="31">
        <v>45860</v>
      </c>
    </row>
    <row r="747" spans="1:14" x14ac:dyDescent="0.25">
      <c r="A747" s="29">
        <v>746</v>
      </c>
      <c r="B747" s="1" t="s">
        <v>48</v>
      </c>
      <c r="C747" s="31">
        <v>45942</v>
      </c>
      <c r="D747" s="1" t="s">
        <v>444</v>
      </c>
      <c r="E747" s="13" t="s">
        <v>1974</v>
      </c>
      <c r="F747" s="1" t="s">
        <v>33</v>
      </c>
      <c r="G747" s="1" t="s">
        <v>337</v>
      </c>
      <c r="H747" s="1" t="s">
        <v>427</v>
      </c>
      <c r="I747" s="31">
        <v>45968</v>
      </c>
      <c r="J747" s="1" t="s">
        <v>617</v>
      </c>
      <c r="K747" s="1" t="s">
        <v>37</v>
      </c>
      <c r="L747" s="1" t="s">
        <v>618</v>
      </c>
      <c r="M747" s="2" t="s">
        <v>1975</v>
      </c>
      <c r="N747" s="31">
        <v>45870</v>
      </c>
    </row>
    <row r="748" spans="1:14" x14ac:dyDescent="0.25">
      <c r="A748" s="29">
        <v>747</v>
      </c>
      <c r="B748" s="1" t="s">
        <v>252</v>
      </c>
      <c r="C748" s="31">
        <v>45910</v>
      </c>
      <c r="D748" s="1" t="s">
        <v>246</v>
      </c>
      <c r="E748" s="13" t="s">
        <v>1976</v>
      </c>
      <c r="F748" s="1" t="s">
        <v>33</v>
      </c>
      <c r="G748" s="1" t="s">
        <v>43</v>
      </c>
      <c r="H748" s="1" t="s">
        <v>127</v>
      </c>
      <c r="I748" s="31">
        <v>45999</v>
      </c>
      <c r="J748" s="1" t="s">
        <v>622</v>
      </c>
      <c r="K748" s="1" t="s">
        <v>37</v>
      </c>
      <c r="L748" s="1" t="s">
        <v>623</v>
      </c>
      <c r="M748" s="2" t="s">
        <v>1977</v>
      </c>
      <c r="N748" s="31">
        <v>45866</v>
      </c>
    </row>
    <row r="749" spans="1:14" x14ac:dyDescent="0.25">
      <c r="A749" s="29">
        <v>748</v>
      </c>
      <c r="B749" s="1" t="s">
        <v>466</v>
      </c>
      <c r="C749" s="31">
        <v>45912</v>
      </c>
      <c r="D749" s="1" t="s">
        <v>552</v>
      </c>
      <c r="E749" s="13" t="s">
        <v>1978</v>
      </c>
      <c r="F749" s="1" t="s">
        <v>33</v>
      </c>
      <c r="G749" s="1" t="s">
        <v>179</v>
      </c>
      <c r="H749" s="1" t="s">
        <v>421</v>
      </c>
      <c r="I749" s="31">
        <v>45979</v>
      </c>
      <c r="J749" s="1" t="s">
        <v>107</v>
      </c>
      <c r="K749" s="1" t="s">
        <v>37</v>
      </c>
      <c r="L749" s="1" t="s">
        <v>626</v>
      </c>
      <c r="M749" s="2" t="s">
        <v>1979</v>
      </c>
      <c r="N749" s="31">
        <v>45858</v>
      </c>
    </row>
    <row r="750" spans="1:14" x14ac:dyDescent="0.25">
      <c r="A750" s="29">
        <v>749</v>
      </c>
      <c r="B750" s="1" t="s">
        <v>610</v>
      </c>
      <c r="C750" s="31">
        <v>45743</v>
      </c>
      <c r="D750" s="1" t="s">
        <v>285</v>
      </c>
      <c r="E750" s="13" t="s">
        <v>1980</v>
      </c>
      <c r="F750" s="1" t="s">
        <v>89</v>
      </c>
      <c r="G750" s="1" t="s">
        <v>208</v>
      </c>
      <c r="H750" s="1" t="s">
        <v>415</v>
      </c>
      <c r="I750" s="31">
        <v>45808</v>
      </c>
      <c r="J750" s="1" t="s">
        <v>236</v>
      </c>
      <c r="K750" s="1" t="s">
        <v>37</v>
      </c>
      <c r="L750" s="1" t="s">
        <v>629</v>
      </c>
      <c r="M750" s="2" t="s">
        <v>1981</v>
      </c>
      <c r="N750" s="31">
        <v>45880</v>
      </c>
    </row>
    <row r="751" spans="1:14" x14ac:dyDescent="0.25">
      <c r="A751" s="29">
        <v>750</v>
      </c>
      <c r="B751" s="1" t="s">
        <v>71</v>
      </c>
      <c r="C751" s="31">
        <v>45749</v>
      </c>
      <c r="D751" s="1" t="s">
        <v>41</v>
      </c>
      <c r="E751" s="13" t="s">
        <v>1982</v>
      </c>
      <c r="F751" s="1" t="s">
        <v>89</v>
      </c>
      <c r="G751" s="1" t="s">
        <v>513</v>
      </c>
      <c r="H751" s="1" t="s">
        <v>235</v>
      </c>
      <c r="I751" s="31">
        <v>45786</v>
      </c>
      <c r="J751" s="1" t="s">
        <v>602</v>
      </c>
      <c r="K751" s="1" t="s">
        <v>37</v>
      </c>
      <c r="L751" s="1" t="s">
        <v>633</v>
      </c>
      <c r="M751" s="2" t="s">
        <v>1983</v>
      </c>
      <c r="N751" s="31">
        <v>45878</v>
      </c>
    </row>
    <row r="752" spans="1:14" x14ac:dyDescent="0.25">
      <c r="A752" s="29">
        <v>751</v>
      </c>
      <c r="B752" s="1" t="s">
        <v>620</v>
      </c>
      <c r="C752" s="31">
        <v>45800</v>
      </c>
      <c r="D752" s="1" t="s">
        <v>267</v>
      </c>
      <c r="E752" s="13" t="s">
        <v>1984</v>
      </c>
      <c r="F752" s="1" t="s">
        <v>89</v>
      </c>
      <c r="G752" s="1" t="s">
        <v>561</v>
      </c>
      <c r="H752" s="1" t="s">
        <v>453</v>
      </c>
      <c r="I752" s="31">
        <v>45873</v>
      </c>
      <c r="J752" s="1" t="s">
        <v>637</v>
      </c>
      <c r="K752" s="1" t="s">
        <v>37</v>
      </c>
      <c r="L752" s="1" t="s">
        <v>638</v>
      </c>
      <c r="M752" s="2" t="s">
        <v>1985</v>
      </c>
      <c r="N752" s="31">
        <v>45895</v>
      </c>
    </row>
    <row r="753" spans="1:14" x14ac:dyDescent="0.25">
      <c r="A753" s="29">
        <v>752</v>
      </c>
      <c r="B753" s="1" t="s">
        <v>63</v>
      </c>
      <c r="C753" s="31">
        <v>45819</v>
      </c>
      <c r="D753" s="1" t="s">
        <v>363</v>
      </c>
      <c r="E753" s="13" t="s">
        <v>1986</v>
      </c>
      <c r="F753" s="1" t="s">
        <v>89</v>
      </c>
      <c r="G753" s="1" t="s">
        <v>187</v>
      </c>
      <c r="H753" s="1" t="s">
        <v>641</v>
      </c>
      <c r="I753" s="31">
        <v>45937</v>
      </c>
      <c r="J753" s="1" t="s">
        <v>562</v>
      </c>
      <c r="K753" s="1" t="s">
        <v>37</v>
      </c>
      <c r="L753" s="1" t="s">
        <v>642</v>
      </c>
      <c r="M753" s="2" t="s">
        <v>1987</v>
      </c>
      <c r="N753" s="31">
        <v>45894</v>
      </c>
    </row>
    <row r="754" spans="1:14" x14ac:dyDescent="0.25">
      <c r="A754" s="29">
        <v>753</v>
      </c>
      <c r="B754" s="1" t="s">
        <v>205</v>
      </c>
      <c r="C754" s="31">
        <v>45778</v>
      </c>
      <c r="D754" s="1" t="s">
        <v>387</v>
      </c>
      <c r="E754" s="13" t="s">
        <v>1988</v>
      </c>
      <c r="F754" s="1" t="s">
        <v>33</v>
      </c>
      <c r="G754" s="1" t="s">
        <v>120</v>
      </c>
      <c r="H754" s="1" t="s">
        <v>99</v>
      </c>
      <c r="I754" s="31">
        <v>45790</v>
      </c>
      <c r="J754" s="1" t="s">
        <v>645</v>
      </c>
      <c r="K754" s="1" t="s">
        <v>37</v>
      </c>
      <c r="L754" s="1" t="s">
        <v>646</v>
      </c>
      <c r="M754" s="2" t="s">
        <v>1989</v>
      </c>
      <c r="N754" s="31">
        <v>45846</v>
      </c>
    </row>
    <row r="755" spans="1:14" x14ac:dyDescent="0.25">
      <c r="A755" s="29">
        <v>754</v>
      </c>
      <c r="B755" s="1" t="s">
        <v>631</v>
      </c>
      <c r="C755" s="31">
        <v>45735</v>
      </c>
      <c r="D755" s="1" t="s">
        <v>648</v>
      </c>
      <c r="E755" s="13" t="s">
        <v>1990</v>
      </c>
      <c r="F755" s="1" t="s">
        <v>33</v>
      </c>
      <c r="G755" s="1" t="s">
        <v>337</v>
      </c>
      <c r="H755" s="1" t="s">
        <v>59</v>
      </c>
      <c r="I755" s="31">
        <v>45767</v>
      </c>
      <c r="J755" s="1" t="s">
        <v>422</v>
      </c>
      <c r="K755" s="1" t="s">
        <v>37</v>
      </c>
      <c r="L755" s="1" t="s">
        <v>650</v>
      </c>
      <c r="M755" s="2" t="s">
        <v>1991</v>
      </c>
      <c r="N755" s="31">
        <v>45862</v>
      </c>
    </row>
    <row r="756" spans="1:14" x14ac:dyDescent="0.25">
      <c r="A756" s="29">
        <v>755</v>
      </c>
      <c r="B756" s="1" t="s">
        <v>635</v>
      </c>
      <c r="C756" s="31">
        <v>45865</v>
      </c>
      <c r="D756" s="1" t="s">
        <v>363</v>
      </c>
      <c r="E756" s="13" t="s">
        <v>1992</v>
      </c>
      <c r="F756" s="1" t="s">
        <v>33</v>
      </c>
      <c r="G756" s="1" t="s">
        <v>269</v>
      </c>
      <c r="H756" s="1" t="s">
        <v>654</v>
      </c>
      <c r="I756" s="31">
        <v>45873</v>
      </c>
      <c r="J756" s="1" t="s">
        <v>655</v>
      </c>
      <c r="K756" s="1" t="s">
        <v>37</v>
      </c>
      <c r="L756" s="1" t="s">
        <v>656</v>
      </c>
      <c r="M756" s="2" t="s">
        <v>1993</v>
      </c>
      <c r="N756" s="31">
        <v>45878</v>
      </c>
    </row>
    <row r="757" spans="1:14" x14ac:dyDescent="0.25">
      <c r="A757" s="29">
        <v>756</v>
      </c>
      <c r="B757" s="1" t="s">
        <v>437</v>
      </c>
      <c r="C757" s="31">
        <v>45874</v>
      </c>
      <c r="D757" s="1" t="s">
        <v>552</v>
      </c>
      <c r="E757" s="13" t="s">
        <v>1994</v>
      </c>
      <c r="F757" s="1" t="s">
        <v>33</v>
      </c>
      <c r="G757" s="1" t="s">
        <v>187</v>
      </c>
      <c r="H757" s="1" t="s">
        <v>121</v>
      </c>
      <c r="I757" s="31">
        <v>45926</v>
      </c>
      <c r="J757" s="1" t="s">
        <v>659</v>
      </c>
      <c r="K757" s="1" t="s">
        <v>37</v>
      </c>
      <c r="L757" s="1" t="s">
        <v>660</v>
      </c>
      <c r="M757" s="2" t="s">
        <v>1995</v>
      </c>
      <c r="N757" s="31">
        <v>45895</v>
      </c>
    </row>
    <row r="758" spans="1:14" x14ac:dyDescent="0.25">
      <c r="A758" s="29">
        <v>757</v>
      </c>
      <c r="B758" s="1" t="s">
        <v>610</v>
      </c>
      <c r="C758" s="31">
        <v>45670</v>
      </c>
      <c r="D758" s="1" t="s">
        <v>374</v>
      </c>
      <c r="E758" s="13" t="s">
        <v>1996</v>
      </c>
      <c r="F758" s="1" t="s">
        <v>33</v>
      </c>
      <c r="G758" s="1" t="s">
        <v>208</v>
      </c>
      <c r="H758" s="1" t="s">
        <v>196</v>
      </c>
      <c r="I758" s="31">
        <v>45679</v>
      </c>
      <c r="J758" s="1" t="s">
        <v>663</v>
      </c>
      <c r="K758" s="1" t="s">
        <v>37</v>
      </c>
      <c r="L758" s="1" t="s">
        <v>664</v>
      </c>
      <c r="M758" s="2" t="s">
        <v>1997</v>
      </c>
      <c r="N758" s="31">
        <v>45844</v>
      </c>
    </row>
    <row r="759" spans="1:14" x14ac:dyDescent="0.25">
      <c r="A759" s="29">
        <v>758</v>
      </c>
      <c r="B759" s="1" t="s">
        <v>125</v>
      </c>
      <c r="C759" s="31">
        <v>45874</v>
      </c>
      <c r="D759" s="1" t="s">
        <v>467</v>
      </c>
      <c r="E759" s="13" t="s">
        <v>1998</v>
      </c>
      <c r="F759" s="1" t="s">
        <v>89</v>
      </c>
      <c r="G759" s="1" t="s">
        <v>227</v>
      </c>
      <c r="H759" s="1" t="s">
        <v>580</v>
      </c>
      <c r="I759" s="31">
        <v>45982</v>
      </c>
      <c r="J759" s="1" t="s">
        <v>668</v>
      </c>
      <c r="K759" s="1" t="s">
        <v>37</v>
      </c>
      <c r="L759" s="1" t="s">
        <v>669</v>
      </c>
      <c r="M759" s="2" t="s">
        <v>1999</v>
      </c>
      <c r="N759" s="31">
        <v>45872</v>
      </c>
    </row>
    <row r="760" spans="1:14" x14ac:dyDescent="0.25">
      <c r="A760" s="29">
        <v>759</v>
      </c>
      <c r="B760" s="1" t="s">
        <v>652</v>
      </c>
      <c r="C760" s="31">
        <v>45783</v>
      </c>
      <c r="D760" s="1" t="s">
        <v>49</v>
      </c>
      <c r="E760" s="13" t="s">
        <v>2000</v>
      </c>
      <c r="F760" s="1" t="s">
        <v>33</v>
      </c>
      <c r="G760" s="1" t="s">
        <v>337</v>
      </c>
      <c r="H760" s="1" t="s">
        <v>427</v>
      </c>
      <c r="I760" s="31">
        <v>45863</v>
      </c>
      <c r="J760" s="1" t="s">
        <v>673</v>
      </c>
      <c r="K760" s="1" t="s">
        <v>37</v>
      </c>
      <c r="L760" s="1" t="s">
        <v>674</v>
      </c>
      <c r="M760" s="2" t="s">
        <v>2001</v>
      </c>
      <c r="N760" s="31">
        <v>45852</v>
      </c>
    </row>
    <row r="761" spans="1:14" x14ac:dyDescent="0.25">
      <c r="A761" s="29">
        <v>760</v>
      </c>
      <c r="B761" s="1" t="s">
        <v>516</v>
      </c>
      <c r="C761" s="31">
        <v>45945</v>
      </c>
      <c r="D761" s="1" t="s">
        <v>351</v>
      </c>
      <c r="E761" s="13" t="s">
        <v>2002</v>
      </c>
      <c r="F761" s="1" t="s">
        <v>89</v>
      </c>
      <c r="G761" s="1" t="s">
        <v>490</v>
      </c>
      <c r="H761" s="1" t="s">
        <v>188</v>
      </c>
      <c r="I761" s="31">
        <v>45955</v>
      </c>
      <c r="J761" s="1" t="s">
        <v>45</v>
      </c>
      <c r="K761" s="1" t="s">
        <v>37</v>
      </c>
      <c r="L761" s="1" t="s">
        <v>677</v>
      </c>
      <c r="M761" s="2" t="s">
        <v>2003</v>
      </c>
      <c r="N761" s="31">
        <v>45873</v>
      </c>
    </row>
    <row r="762" spans="1:14" x14ac:dyDescent="0.25">
      <c r="A762" s="29">
        <v>761</v>
      </c>
      <c r="B762" s="1" t="s">
        <v>153</v>
      </c>
      <c r="C762" s="31">
        <v>45679</v>
      </c>
      <c r="D762" s="1" t="s">
        <v>154</v>
      </c>
      <c r="E762" s="13" t="s">
        <v>2004</v>
      </c>
      <c r="F762" s="1" t="s">
        <v>33</v>
      </c>
      <c r="G762" s="1" t="s">
        <v>34</v>
      </c>
      <c r="H762" s="1" t="s">
        <v>597</v>
      </c>
      <c r="I762" s="31">
        <v>45704</v>
      </c>
      <c r="J762" s="1" t="s">
        <v>354</v>
      </c>
      <c r="K762" s="1" t="s">
        <v>37</v>
      </c>
      <c r="L762" s="1" t="s">
        <v>680</v>
      </c>
      <c r="M762" s="2" t="s">
        <v>2005</v>
      </c>
      <c r="N762" s="31">
        <v>45844</v>
      </c>
    </row>
    <row r="763" spans="1:14" x14ac:dyDescent="0.25">
      <c r="A763" s="29">
        <v>762</v>
      </c>
      <c r="B763" s="1" t="s">
        <v>666</v>
      </c>
      <c r="C763" s="31">
        <v>45928</v>
      </c>
      <c r="D763" s="1" t="s">
        <v>480</v>
      </c>
      <c r="E763" s="13" t="s">
        <v>2006</v>
      </c>
      <c r="F763" s="1" t="s">
        <v>33</v>
      </c>
      <c r="G763" s="1" t="s">
        <v>179</v>
      </c>
      <c r="H763" s="1" t="s">
        <v>180</v>
      </c>
      <c r="I763" s="31">
        <v>45960</v>
      </c>
      <c r="J763" s="1" t="s">
        <v>683</v>
      </c>
      <c r="K763" s="1" t="s">
        <v>37</v>
      </c>
      <c r="L763" s="1" t="s">
        <v>684</v>
      </c>
      <c r="M763" s="2" t="s">
        <v>2007</v>
      </c>
      <c r="N763" s="31">
        <v>45897</v>
      </c>
    </row>
    <row r="764" spans="1:14" x14ac:dyDescent="0.25">
      <c r="A764" s="29">
        <v>763</v>
      </c>
      <c r="B764" s="1" t="s">
        <v>671</v>
      </c>
      <c r="C764" s="31">
        <v>45947</v>
      </c>
      <c r="D764" s="1" t="s">
        <v>170</v>
      </c>
      <c r="E764" s="13" t="s">
        <v>2008</v>
      </c>
      <c r="F764" s="1" t="s">
        <v>33</v>
      </c>
      <c r="G764" s="1" t="s">
        <v>255</v>
      </c>
      <c r="H764" s="1" t="s">
        <v>376</v>
      </c>
      <c r="I764" s="31">
        <v>46053</v>
      </c>
      <c r="J764" s="1" t="s">
        <v>257</v>
      </c>
      <c r="K764" s="1" t="s">
        <v>37</v>
      </c>
      <c r="L764" s="1" t="s">
        <v>688</v>
      </c>
      <c r="M764" s="2" t="s">
        <v>2009</v>
      </c>
      <c r="N764" s="31">
        <v>45862</v>
      </c>
    </row>
    <row r="765" spans="1:14" x14ac:dyDescent="0.25">
      <c r="A765" s="29">
        <v>764</v>
      </c>
      <c r="B765" s="1" t="s">
        <v>437</v>
      </c>
      <c r="C765" s="31">
        <v>45765</v>
      </c>
      <c r="D765" s="1" t="s">
        <v>292</v>
      </c>
      <c r="E765" s="13" t="s">
        <v>2010</v>
      </c>
      <c r="F765" s="1" t="s">
        <v>33</v>
      </c>
      <c r="G765" s="1" t="s">
        <v>691</v>
      </c>
      <c r="H765" s="1" t="s">
        <v>288</v>
      </c>
      <c r="I765" s="31">
        <v>45824</v>
      </c>
      <c r="J765" s="1" t="s">
        <v>181</v>
      </c>
      <c r="K765" s="1" t="s">
        <v>37</v>
      </c>
      <c r="L765" s="1" t="s">
        <v>692</v>
      </c>
      <c r="M765" s="2" t="s">
        <v>2011</v>
      </c>
      <c r="N765" s="31">
        <v>45850</v>
      </c>
    </row>
    <row r="766" spans="1:14" x14ac:dyDescent="0.25">
      <c r="A766" s="29">
        <v>765</v>
      </c>
      <c r="B766" s="1" t="s">
        <v>48</v>
      </c>
      <c r="C766" s="31">
        <v>45887</v>
      </c>
      <c r="D766" s="1" t="s">
        <v>218</v>
      </c>
      <c r="E766" s="13" t="s">
        <v>2012</v>
      </c>
      <c r="F766" s="1" t="s">
        <v>89</v>
      </c>
      <c r="G766" s="1" t="s">
        <v>220</v>
      </c>
      <c r="H766" s="1" t="s">
        <v>421</v>
      </c>
      <c r="I766" s="31">
        <v>45936</v>
      </c>
      <c r="J766" s="1" t="s">
        <v>60</v>
      </c>
      <c r="K766" s="1" t="s">
        <v>37</v>
      </c>
      <c r="L766" s="1" t="s">
        <v>696</v>
      </c>
      <c r="M766" s="2" t="s">
        <v>2013</v>
      </c>
      <c r="N766" s="31">
        <v>45888</v>
      </c>
    </row>
    <row r="767" spans="1:14" x14ac:dyDescent="0.25">
      <c r="A767" s="29">
        <v>766</v>
      </c>
      <c r="B767" s="1" t="s">
        <v>532</v>
      </c>
      <c r="C767" s="31">
        <v>45686</v>
      </c>
      <c r="D767" s="1" t="s">
        <v>391</v>
      </c>
      <c r="E767" s="13" t="s">
        <v>2014</v>
      </c>
      <c r="F767" s="1" t="s">
        <v>33</v>
      </c>
      <c r="G767" s="1" t="s">
        <v>310</v>
      </c>
      <c r="H767" s="1" t="s">
        <v>180</v>
      </c>
      <c r="I767" s="31">
        <v>45704</v>
      </c>
      <c r="J767" s="1" t="s">
        <v>699</v>
      </c>
      <c r="K767" s="1" t="s">
        <v>37</v>
      </c>
      <c r="L767" s="1" t="s">
        <v>700</v>
      </c>
      <c r="M767" s="2" t="s">
        <v>2015</v>
      </c>
      <c r="N767" s="31">
        <v>45881</v>
      </c>
    </row>
    <row r="768" spans="1:14" x14ac:dyDescent="0.25">
      <c r="A768" s="29">
        <v>767</v>
      </c>
      <c r="B768" s="1" t="s">
        <v>686</v>
      </c>
      <c r="C768" s="31">
        <v>45768</v>
      </c>
      <c r="D768" s="1" t="s">
        <v>253</v>
      </c>
      <c r="E768" s="13" t="s">
        <v>2016</v>
      </c>
      <c r="F768" s="1" t="s">
        <v>89</v>
      </c>
      <c r="G768" s="1" t="s">
        <v>561</v>
      </c>
      <c r="H768" s="1" t="s">
        <v>703</v>
      </c>
      <c r="I768" s="31">
        <v>45805</v>
      </c>
      <c r="J768" s="1" t="s">
        <v>135</v>
      </c>
      <c r="K768" s="1" t="s">
        <v>37</v>
      </c>
      <c r="L768" s="1" t="s">
        <v>704</v>
      </c>
      <c r="M768" s="2" t="s">
        <v>2017</v>
      </c>
      <c r="N768" s="31">
        <v>45870</v>
      </c>
    </row>
    <row r="769" spans="1:14" x14ac:dyDescent="0.25">
      <c r="A769" s="29">
        <v>768</v>
      </c>
      <c r="B769" s="1" t="s">
        <v>153</v>
      </c>
      <c r="C769" s="31">
        <v>45701</v>
      </c>
      <c r="D769" s="1" t="s">
        <v>706</v>
      </c>
      <c r="E769" s="13" t="s">
        <v>2018</v>
      </c>
      <c r="F769" s="1" t="s">
        <v>33</v>
      </c>
      <c r="G769" s="1" t="s">
        <v>98</v>
      </c>
      <c r="H769" s="1" t="s">
        <v>383</v>
      </c>
      <c r="I769" s="31">
        <v>45738</v>
      </c>
      <c r="J769" s="1" t="s">
        <v>428</v>
      </c>
      <c r="K769" s="1" t="s">
        <v>37</v>
      </c>
      <c r="L769" s="1" t="s">
        <v>708</v>
      </c>
      <c r="M769" s="2" t="s">
        <v>2019</v>
      </c>
      <c r="N769" s="31">
        <v>45879</v>
      </c>
    </row>
    <row r="770" spans="1:14" x14ac:dyDescent="0.25">
      <c r="A770" s="29">
        <v>769</v>
      </c>
      <c r="B770" s="1" t="s">
        <v>694</v>
      </c>
      <c r="C770" s="31">
        <v>45709</v>
      </c>
      <c r="D770" s="1" t="s">
        <v>111</v>
      </c>
      <c r="E770" s="13" t="s">
        <v>2020</v>
      </c>
      <c r="F770" s="1" t="s">
        <v>89</v>
      </c>
      <c r="G770" s="1" t="s">
        <v>712</v>
      </c>
      <c r="H770" s="1" t="s">
        <v>317</v>
      </c>
      <c r="I770" s="31">
        <v>45797</v>
      </c>
      <c r="J770" s="1" t="s">
        <v>598</v>
      </c>
      <c r="K770" s="1" t="s">
        <v>37</v>
      </c>
      <c r="L770" s="1" t="s">
        <v>713</v>
      </c>
      <c r="M770" s="2" t="s">
        <v>2021</v>
      </c>
      <c r="N770" s="31">
        <v>45844</v>
      </c>
    </row>
    <row r="771" spans="1:14" x14ac:dyDescent="0.25">
      <c r="A771" s="29">
        <v>770</v>
      </c>
      <c r="B771" s="1" t="s">
        <v>419</v>
      </c>
      <c r="C771" s="31">
        <v>45811</v>
      </c>
      <c r="D771" s="1" t="s">
        <v>308</v>
      </c>
      <c r="E771" s="13" t="s">
        <v>2022</v>
      </c>
      <c r="F771" s="1" t="s">
        <v>33</v>
      </c>
      <c r="G771" s="1" t="s">
        <v>248</v>
      </c>
      <c r="H771" s="1" t="s">
        <v>51</v>
      </c>
      <c r="I771" s="31">
        <v>45898</v>
      </c>
      <c r="J771" s="1" t="s">
        <v>263</v>
      </c>
      <c r="K771" s="1" t="s">
        <v>37</v>
      </c>
      <c r="L771" s="1" t="s">
        <v>716</v>
      </c>
      <c r="M771" s="2" t="s">
        <v>2023</v>
      </c>
      <c r="N771" s="31">
        <v>45898</v>
      </c>
    </row>
    <row r="772" spans="1:14" x14ac:dyDescent="0.25">
      <c r="A772" s="29">
        <v>771</v>
      </c>
      <c r="B772" s="1" t="s">
        <v>666</v>
      </c>
      <c r="C772" s="31">
        <v>45699</v>
      </c>
      <c r="D772" s="1" t="s">
        <v>332</v>
      </c>
      <c r="E772" s="13" t="s">
        <v>2024</v>
      </c>
      <c r="F772" s="1" t="s">
        <v>89</v>
      </c>
      <c r="G772" s="1" t="s">
        <v>316</v>
      </c>
      <c r="H772" s="1" t="s">
        <v>719</v>
      </c>
      <c r="I772" s="31">
        <v>45721</v>
      </c>
      <c r="J772" s="1" t="s">
        <v>720</v>
      </c>
      <c r="K772" s="1" t="s">
        <v>37</v>
      </c>
      <c r="L772" s="1" t="s">
        <v>721</v>
      </c>
      <c r="M772" s="2" t="s">
        <v>2025</v>
      </c>
      <c r="N772" s="31">
        <v>45853</v>
      </c>
    </row>
    <row r="773" spans="1:14" x14ac:dyDescent="0.25">
      <c r="A773" s="29">
        <v>772</v>
      </c>
      <c r="B773" s="1" t="s">
        <v>117</v>
      </c>
      <c r="C773" s="31">
        <v>45945</v>
      </c>
      <c r="D773" s="1" t="s">
        <v>340</v>
      </c>
      <c r="E773" s="13" t="s">
        <v>2026</v>
      </c>
      <c r="F773" s="1" t="s">
        <v>89</v>
      </c>
      <c r="G773" s="1" t="s">
        <v>74</v>
      </c>
      <c r="H773" s="1" t="s">
        <v>127</v>
      </c>
      <c r="I773" s="31">
        <v>46061</v>
      </c>
      <c r="J773" s="1" t="s">
        <v>725</v>
      </c>
      <c r="K773" s="1" t="s">
        <v>37</v>
      </c>
      <c r="L773" s="1" t="s">
        <v>726</v>
      </c>
      <c r="M773" s="2" t="s">
        <v>2027</v>
      </c>
      <c r="N773" s="31">
        <v>45841</v>
      </c>
    </row>
    <row r="774" spans="1:14" x14ac:dyDescent="0.25">
      <c r="A774" s="29">
        <v>773</v>
      </c>
      <c r="B774" s="1" t="s">
        <v>710</v>
      </c>
      <c r="C774" s="31">
        <v>45736</v>
      </c>
      <c r="D774" s="1" t="s">
        <v>728</v>
      </c>
      <c r="E774" s="13" t="s">
        <v>2028</v>
      </c>
      <c r="F774" s="1" t="s">
        <v>89</v>
      </c>
      <c r="G774" s="1" t="s">
        <v>66</v>
      </c>
      <c r="H774" s="1" t="s">
        <v>421</v>
      </c>
      <c r="I774" s="31">
        <v>45837</v>
      </c>
      <c r="J774" s="1" t="s">
        <v>52</v>
      </c>
      <c r="K774" s="1" t="s">
        <v>37</v>
      </c>
      <c r="L774" s="1" t="s">
        <v>730</v>
      </c>
      <c r="M774" s="2" t="s">
        <v>2029</v>
      </c>
      <c r="N774" s="31">
        <v>45851</v>
      </c>
    </row>
    <row r="775" spans="1:14" x14ac:dyDescent="0.25">
      <c r="A775" s="29">
        <v>774</v>
      </c>
      <c r="B775" s="1" t="s">
        <v>30</v>
      </c>
      <c r="C775" s="31">
        <v>45828</v>
      </c>
      <c r="D775" s="1" t="s">
        <v>480</v>
      </c>
      <c r="E775" s="13" t="s">
        <v>2030</v>
      </c>
      <c r="F775" s="1" t="s">
        <v>89</v>
      </c>
      <c r="G775" s="1" t="s">
        <v>81</v>
      </c>
      <c r="H775" s="1" t="s">
        <v>311</v>
      </c>
      <c r="I775" s="31">
        <v>45844</v>
      </c>
      <c r="J775" s="1" t="s">
        <v>463</v>
      </c>
      <c r="K775" s="1" t="s">
        <v>37</v>
      </c>
      <c r="L775" s="1" t="s">
        <v>733</v>
      </c>
      <c r="M775" s="2" t="s">
        <v>2031</v>
      </c>
      <c r="N775" s="31">
        <v>45849</v>
      </c>
    </row>
    <row r="776" spans="1:14" x14ac:dyDescent="0.25">
      <c r="A776" s="29">
        <v>775</v>
      </c>
      <c r="B776" s="1" t="s">
        <v>710</v>
      </c>
      <c r="C776" s="31">
        <v>45838</v>
      </c>
      <c r="D776" s="1" t="s">
        <v>332</v>
      </c>
      <c r="E776" s="13" t="s">
        <v>2032</v>
      </c>
      <c r="F776" s="1" t="s">
        <v>89</v>
      </c>
      <c r="G776" s="1" t="s">
        <v>452</v>
      </c>
      <c r="H776" s="1" t="s">
        <v>719</v>
      </c>
      <c r="I776" s="31">
        <v>45918</v>
      </c>
      <c r="J776" s="1" t="s">
        <v>566</v>
      </c>
      <c r="K776" s="1" t="s">
        <v>37</v>
      </c>
      <c r="L776" s="1" t="s">
        <v>737</v>
      </c>
      <c r="M776" s="2" t="s">
        <v>2033</v>
      </c>
      <c r="N776" s="31">
        <v>45883</v>
      </c>
    </row>
    <row r="777" spans="1:14" x14ac:dyDescent="0.25">
      <c r="A777" s="29">
        <v>776</v>
      </c>
      <c r="B777" s="1" t="s">
        <v>723</v>
      </c>
      <c r="C777" s="31">
        <v>45900</v>
      </c>
      <c r="D777" s="1" t="s">
        <v>41</v>
      </c>
      <c r="E777" s="13" t="s">
        <v>2034</v>
      </c>
      <c r="F777" s="1" t="s">
        <v>89</v>
      </c>
      <c r="G777" s="1" t="s">
        <v>187</v>
      </c>
      <c r="H777" s="1" t="s">
        <v>188</v>
      </c>
      <c r="I777" s="31">
        <v>45984</v>
      </c>
      <c r="J777" s="1" t="s">
        <v>741</v>
      </c>
      <c r="K777" s="1" t="s">
        <v>37</v>
      </c>
      <c r="L777" s="1" t="s">
        <v>742</v>
      </c>
      <c r="M777" s="2" t="s">
        <v>2035</v>
      </c>
      <c r="N777" s="31">
        <v>45843</v>
      </c>
    </row>
    <row r="778" spans="1:14" x14ac:dyDescent="0.25">
      <c r="A778" s="29">
        <v>777</v>
      </c>
      <c r="B778" s="1" t="s">
        <v>274</v>
      </c>
      <c r="C778" s="31">
        <v>45953</v>
      </c>
      <c r="D778" s="1" t="s">
        <v>31</v>
      </c>
      <c r="E778" s="13" t="s">
        <v>2036</v>
      </c>
      <c r="F778" s="1" t="s">
        <v>33</v>
      </c>
      <c r="G778" s="1" t="s">
        <v>34</v>
      </c>
      <c r="H778" s="1" t="s">
        <v>35</v>
      </c>
      <c r="I778" s="31">
        <v>45959</v>
      </c>
      <c r="J778" s="1" t="s">
        <v>36</v>
      </c>
      <c r="K778" s="1" t="s">
        <v>37</v>
      </c>
      <c r="L778" s="1" t="s">
        <v>38</v>
      </c>
      <c r="M778" s="2" t="s">
        <v>2037</v>
      </c>
      <c r="N778" s="31">
        <v>45862</v>
      </c>
    </row>
    <row r="779" spans="1:14" x14ac:dyDescent="0.25">
      <c r="A779" s="29">
        <v>778</v>
      </c>
      <c r="B779" s="1" t="s">
        <v>325</v>
      </c>
      <c r="C779" s="31">
        <v>45774</v>
      </c>
      <c r="D779" s="1" t="s">
        <v>41</v>
      </c>
      <c r="E779" s="13" t="s">
        <v>2038</v>
      </c>
      <c r="F779" s="1" t="s">
        <v>33</v>
      </c>
      <c r="G779" s="1" t="s">
        <v>43</v>
      </c>
      <c r="H779" s="1" t="s">
        <v>44</v>
      </c>
      <c r="I779" s="31">
        <v>45805</v>
      </c>
      <c r="J779" s="1" t="s">
        <v>45</v>
      </c>
      <c r="K779" s="1" t="s">
        <v>37</v>
      </c>
      <c r="L779" s="1" t="s">
        <v>46</v>
      </c>
      <c r="M779" s="2" t="s">
        <v>2039</v>
      </c>
      <c r="N779" s="31">
        <v>45844</v>
      </c>
    </row>
    <row r="780" spans="1:14" x14ac:dyDescent="0.25">
      <c r="A780" s="29">
        <v>779</v>
      </c>
      <c r="B780" s="1" t="s">
        <v>735</v>
      </c>
      <c r="C780" s="31">
        <v>45936</v>
      </c>
      <c r="D780" s="1" t="s">
        <v>49</v>
      </c>
      <c r="E780" s="13" t="s">
        <v>2040</v>
      </c>
      <c r="F780" s="1" t="s">
        <v>33</v>
      </c>
      <c r="G780" s="1" t="s">
        <v>34</v>
      </c>
      <c r="H780" s="1" t="s">
        <v>51</v>
      </c>
      <c r="I780" s="31">
        <v>45992</v>
      </c>
      <c r="J780" s="1" t="s">
        <v>52</v>
      </c>
      <c r="K780" s="1" t="s">
        <v>37</v>
      </c>
      <c r="L780" s="1" t="s">
        <v>53</v>
      </c>
      <c r="M780" s="2" t="s">
        <v>2041</v>
      </c>
      <c r="N780" s="31">
        <v>45890</v>
      </c>
    </row>
    <row r="781" spans="1:14" x14ac:dyDescent="0.25">
      <c r="A781" s="29">
        <v>780</v>
      </c>
      <c r="B781" s="1" t="s">
        <v>739</v>
      </c>
      <c r="C781" s="31">
        <v>45743</v>
      </c>
      <c r="D781" s="1" t="s">
        <v>56</v>
      </c>
      <c r="E781" s="13" t="s">
        <v>2042</v>
      </c>
      <c r="F781" s="1" t="s">
        <v>33</v>
      </c>
      <c r="G781" s="1" t="s">
        <v>58</v>
      </c>
      <c r="H781" s="1" t="s">
        <v>59</v>
      </c>
      <c r="I781" s="31">
        <v>45754</v>
      </c>
      <c r="J781" s="1" t="s">
        <v>60</v>
      </c>
      <c r="K781" s="1" t="s">
        <v>37</v>
      </c>
      <c r="L781" s="1" t="s">
        <v>61</v>
      </c>
      <c r="M781" s="2" t="s">
        <v>2043</v>
      </c>
      <c r="N781" s="31">
        <v>45846</v>
      </c>
    </row>
    <row r="782" spans="1:14" x14ac:dyDescent="0.25">
      <c r="A782" s="29">
        <v>781</v>
      </c>
      <c r="B782" s="1" t="s">
        <v>30</v>
      </c>
      <c r="C782" s="31">
        <v>45950</v>
      </c>
      <c r="D782" s="1" t="s">
        <v>64</v>
      </c>
      <c r="E782" s="13" t="s">
        <v>2044</v>
      </c>
      <c r="F782" s="1" t="s">
        <v>33</v>
      </c>
      <c r="G782" s="1" t="s">
        <v>66</v>
      </c>
      <c r="H782" s="1" t="s">
        <v>67</v>
      </c>
      <c r="I782" s="31">
        <v>45969</v>
      </c>
      <c r="J782" s="1" t="s">
        <v>68</v>
      </c>
      <c r="K782" s="1" t="s">
        <v>37</v>
      </c>
      <c r="L782" s="1" t="s">
        <v>69</v>
      </c>
      <c r="M782" s="2" t="s">
        <v>2045</v>
      </c>
      <c r="N782" s="31">
        <v>45845</v>
      </c>
    </row>
    <row r="783" spans="1:14" x14ac:dyDescent="0.25">
      <c r="A783" s="29">
        <v>782</v>
      </c>
      <c r="B783" s="1" t="s">
        <v>40</v>
      </c>
      <c r="C783" s="31">
        <v>45659</v>
      </c>
      <c r="D783" s="1" t="s">
        <v>72</v>
      </c>
      <c r="E783" s="13" t="s">
        <v>2046</v>
      </c>
      <c r="F783" s="1" t="s">
        <v>33</v>
      </c>
      <c r="G783" s="1" t="s">
        <v>74</v>
      </c>
      <c r="H783" s="1" t="s">
        <v>44</v>
      </c>
      <c r="I783" s="31">
        <v>45686</v>
      </c>
      <c r="J783" s="1" t="s">
        <v>75</v>
      </c>
      <c r="K783" s="1" t="s">
        <v>37</v>
      </c>
      <c r="L783" s="1" t="s">
        <v>76</v>
      </c>
      <c r="M783" s="2" t="s">
        <v>2047</v>
      </c>
      <c r="N783" s="31">
        <v>45898</v>
      </c>
    </row>
    <row r="784" spans="1:14" x14ac:dyDescent="0.25">
      <c r="A784" s="29">
        <v>783</v>
      </c>
      <c r="B784" s="1" t="s">
        <v>48</v>
      </c>
      <c r="C784" s="31">
        <v>45841</v>
      </c>
      <c r="D784" s="1" t="s">
        <v>79</v>
      </c>
      <c r="E784" s="13" t="s">
        <v>2048</v>
      </c>
      <c r="F784" s="1" t="s">
        <v>33</v>
      </c>
      <c r="G784" s="1" t="s">
        <v>81</v>
      </c>
      <c r="H784" s="1" t="s">
        <v>82</v>
      </c>
      <c r="I784" s="31">
        <v>45924</v>
      </c>
      <c r="J784" s="1" t="s">
        <v>83</v>
      </c>
      <c r="K784" s="1" t="s">
        <v>37</v>
      </c>
      <c r="L784" s="1" t="s">
        <v>84</v>
      </c>
      <c r="M784" s="2" t="s">
        <v>2049</v>
      </c>
      <c r="N784" s="31">
        <v>45877</v>
      </c>
    </row>
    <row r="785" spans="1:14" x14ac:dyDescent="0.25">
      <c r="A785" s="29">
        <v>784</v>
      </c>
      <c r="B785" s="1" t="s">
        <v>55</v>
      </c>
      <c r="C785" s="31">
        <v>45835</v>
      </c>
      <c r="D785" s="1" t="s">
        <v>87</v>
      </c>
      <c r="E785" s="13" t="s">
        <v>2050</v>
      </c>
      <c r="F785" s="1" t="s">
        <v>89</v>
      </c>
      <c r="G785" s="1" t="s">
        <v>90</v>
      </c>
      <c r="H785" s="1" t="s">
        <v>91</v>
      </c>
      <c r="I785" s="31">
        <v>45893</v>
      </c>
      <c r="J785" s="1" t="s">
        <v>92</v>
      </c>
      <c r="K785" s="1" t="s">
        <v>37</v>
      </c>
      <c r="L785" s="1" t="s">
        <v>93</v>
      </c>
      <c r="M785" s="2" t="s">
        <v>2051</v>
      </c>
      <c r="N785" s="31">
        <v>45872</v>
      </c>
    </row>
    <row r="786" spans="1:14" x14ac:dyDescent="0.25">
      <c r="A786" s="29">
        <v>785</v>
      </c>
      <c r="B786" s="1" t="s">
        <v>63</v>
      </c>
      <c r="C786" s="31">
        <v>45926</v>
      </c>
      <c r="D786" s="1" t="s">
        <v>96</v>
      </c>
      <c r="E786" s="13" t="s">
        <v>2052</v>
      </c>
      <c r="F786" s="1" t="s">
        <v>89</v>
      </c>
      <c r="G786" s="1" t="s">
        <v>98</v>
      </c>
      <c r="H786" s="1" t="s">
        <v>99</v>
      </c>
      <c r="I786" s="31">
        <v>45969</v>
      </c>
      <c r="J786" s="1" t="s">
        <v>100</v>
      </c>
      <c r="K786" s="1" t="s">
        <v>37</v>
      </c>
      <c r="L786" s="1" t="s">
        <v>101</v>
      </c>
      <c r="M786" s="2" t="s">
        <v>2053</v>
      </c>
      <c r="N786" s="31">
        <v>45840</v>
      </c>
    </row>
    <row r="787" spans="1:14" x14ac:dyDescent="0.25">
      <c r="A787" s="29">
        <v>786</v>
      </c>
      <c r="B787" s="1" t="s">
        <v>71</v>
      </c>
      <c r="C787" s="31">
        <v>45663</v>
      </c>
      <c r="D787" s="1" t="s">
        <v>56</v>
      </c>
      <c r="E787" s="13" t="s">
        <v>2054</v>
      </c>
      <c r="F787" s="1" t="s">
        <v>33</v>
      </c>
      <c r="G787" s="1" t="s">
        <v>105</v>
      </c>
      <c r="H787" s="1" t="s">
        <v>106</v>
      </c>
      <c r="I787" s="31">
        <v>45730</v>
      </c>
      <c r="J787" s="1" t="s">
        <v>107</v>
      </c>
      <c r="K787" s="1" t="s">
        <v>37</v>
      </c>
      <c r="L787" s="1" t="s">
        <v>108</v>
      </c>
      <c r="M787" s="2" t="s">
        <v>2055</v>
      </c>
      <c r="N787" s="31">
        <v>45858</v>
      </c>
    </row>
    <row r="788" spans="1:14" x14ac:dyDescent="0.25">
      <c r="A788" s="29">
        <v>787</v>
      </c>
      <c r="B788" s="1" t="s">
        <v>78</v>
      </c>
      <c r="C788" s="31">
        <v>45706</v>
      </c>
      <c r="D788" s="1" t="s">
        <v>111</v>
      </c>
      <c r="E788" s="13" t="s">
        <v>2056</v>
      </c>
      <c r="F788" s="1" t="s">
        <v>89</v>
      </c>
      <c r="G788" s="1" t="s">
        <v>113</v>
      </c>
      <c r="H788" s="1" t="s">
        <v>35</v>
      </c>
      <c r="I788" s="31">
        <v>45815</v>
      </c>
      <c r="J788" s="1" t="s">
        <v>114</v>
      </c>
      <c r="K788" s="1" t="s">
        <v>37</v>
      </c>
      <c r="L788" s="1" t="s">
        <v>115</v>
      </c>
      <c r="M788" s="2" t="s">
        <v>2057</v>
      </c>
      <c r="N788" s="31">
        <v>45859</v>
      </c>
    </row>
    <row r="789" spans="1:14" x14ac:dyDescent="0.25">
      <c r="A789" s="29">
        <v>788</v>
      </c>
      <c r="B789" s="1" t="s">
        <v>86</v>
      </c>
      <c r="C789" s="31">
        <v>45854</v>
      </c>
      <c r="D789" s="1" t="s">
        <v>118</v>
      </c>
      <c r="E789" s="13" t="s">
        <v>2058</v>
      </c>
      <c r="F789" s="1" t="s">
        <v>33</v>
      </c>
      <c r="G789" s="1" t="s">
        <v>120</v>
      </c>
      <c r="H789" s="1" t="s">
        <v>121</v>
      </c>
      <c r="I789" s="31">
        <v>45971</v>
      </c>
      <c r="J789" s="1" t="s">
        <v>122</v>
      </c>
      <c r="K789" s="1" t="s">
        <v>37</v>
      </c>
      <c r="L789" s="1" t="s">
        <v>123</v>
      </c>
      <c r="M789" s="2" t="s">
        <v>2059</v>
      </c>
      <c r="N789" s="31">
        <v>45846</v>
      </c>
    </row>
    <row r="790" spans="1:14" x14ac:dyDescent="0.25">
      <c r="A790" s="29">
        <v>789</v>
      </c>
      <c r="B790" s="1" t="s">
        <v>95</v>
      </c>
      <c r="C790" s="31">
        <v>45946</v>
      </c>
      <c r="D790" s="1" t="s">
        <v>79</v>
      </c>
      <c r="E790" s="13" t="s">
        <v>2060</v>
      </c>
      <c r="F790" s="1" t="s">
        <v>33</v>
      </c>
      <c r="G790" s="1" t="s">
        <v>43</v>
      </c>
      <c r="H790" s="1" t="s">
        <v>127</v>
      </c>
      <c r="I790" s="31">
        <v>46009</v>
      </c>
      <c r="J790" s="1" t="s">
        <v>128</v>
      </c>
      <c r="K790" s="1" t="s">
        <v>37</v>
      </c>
      <c r="L790" s="1" t="s">
        <v>129</v>
      </c>
      <c r="M790" s="2" t="s">
        <v>2061</v>
      </c>
      <c r="N790" s="31">
        <v>45896</v>
      </c>
    </row>
    <row r="791" spans="1:14" x14ac:dyDescent="0.25">
      <c r="A791" s="29">
        <v>790</v>
      </c>
      <c r="B791" s="1" t="s">
        <v>103</v>
      </c>
      <c r="C791" s="31">
        <v>45940</v>
      </c>
      <c r="D791" s="1" t="s">
        <v>132</v>
      </c>
      <c r="E791" s="13" t="s">
        <v>2062</v>
      </c>
      <c r="F791" s="1" t="s">
        <v>89</v>
      </c>
      <c r="G791" s="1" t="s">
        <v>34</v>
      </c>
      <c r="H791" s="1" t="s">
        <v>134</v>
      </c>
      <c r="I791" s="31">
        <v>46053</v>
      </c>
      <c r="J791" s="1" t="s">
        <v>135</v>
      </c>
      <c r="K791" s="1" t="s">
        <v>37</v>
      </c>
      <c r="L791" s="1" t="s">
        <v>136</v>
      </c>
      <c r="M791" s="2" t="s">
        <v>2063</v>
      </c>
      <c r="N791" s="31">
        <v>45848</v>
      </c>
    </row>
    <row r="792" spans="1:14" x14ac:dyDescent="0.25">
      <c r="A792" s="29">
        <v>791</v>
      </c>
      <c r="B792" s="1" t="s">
        <v>110</v>
      </c>
      <c r="C792" s="31">
        <v>45698</v>
      </c>
      <c r="D792" s="1" t="s">
        <v>139</v>
      </c>
      <c r="E792" s="13" t="s">
        <v>2064</v>
      </c>
      <c r="F792" s="1" t="s">
        <v>89</v>
      </c>
      <c r="G792" s="1" t="s">
        <v>141</v>
      </c>
      <c r="H792" s="1" t="s">
        <v>142</v>
      </c>
      <c r="I792" s="31">
        <v>45746</v>
      </c>
      <c r="J792" s="1" t="s">
        <v>143</v>
      </c>
      <c r="K792" s="1" t="s">
        <v>37</v>
      </c>
      <c r="L792" s="1" t="s">
        <v>144</v>
      </c>
      <c r="M792" s="2" t="s">
        <v>2065</v>
      </c>
      <c r="N792" s="31">
        <v>45884</v>
      </c>
    </row>
    <row r="793" spans="1:14" x14ac:dyDescent="0.25">
      <c r="A793" s="29">
        <v>792</v>
      </c>
      <c r="B793" s="1" t="s">
        <v>117</v>
      </c>
      <c r="C793" s="31">
        <v>45786</v>
      </c>
      <c r="D793" s="1" t="s">
        <v>147</v>
      </c>
      <c r="E793" s="13" t="s">
        <v>2066</v>
      </c>
      <c r="F793" s="1" t="s">
        <v>33</v>
      </c>
      <c r="G793" s="1" t="s">
        <v>34</v>
      </c>
      <c r="H793" s="1" t="s">
        <v>149</v>
      </c>
      <c r="I793" s="31">
        <v>45815</v>
      </c>
      <c r="J793" s="1" t="s">
        <v>150</v>
      </c>
      <c r="K793" s="1" t="s">
        <v>37</v>
      </c>
      <c r="L793" s="1" t="s">
        <v>151</v>
      </c>
      <c r="M793" s="2" t="s">
        <v>2067</v>
      </c>
      <c r="N793" s="31">
        <v>45872</v>
      </c>
    </row>
    <row r="794" spans="1:14" x14ac:dyDescent="0.25">
      <c r="A794" s="29">
        <v>793</v>
      </c>
      <c r="B794" s="1" t="s">
        <v>125</v>
      </c>
      <c r="C794" s="31">
        <v>45828</v>
      </c>
      <c r="D794" s="1" t="s">
        <v>154</v>
      </c>
      <c r="E794" s="13" t="s">
        <v>2068</v>
      </c>
      <c r="F794" s="1" t="s">
        <v>33</v>
      </c>
      <c r="G794" s="1" t="s">
        <v>156</v>
      </c>
      <c r="H794" s="1" t="s">
        <v>157</v>
      </c>
      <c r="I794" s="31">
        <v>45852</v>
      </c>
      <c r="J794" s="1" t="s">
        <v>158</v>
      </c>
      <c r="K794" s="1" t="s">
        <v>37</v>
      </c>
      <c r="L794" s="1" t="s">
        <v>159</v>
      </c>
      <c r="M794" s="2" t="s">
        <v>2069</v>
      </c>
      <c r="N794" s="31">
        <v>45841</v>
      </c>
    </row>
    <row r="795" spans="1:14" x14ac:dyDescent="0.25">
      <c r="A795" s="29">
        <v>794</v>
      </c>
      <c r="B795" s="1" t="s">
        <v>131</v>
      </c>
      <c r="C795" s="31">
        <v>45699</v>
      </c>
      <c r="D795" s="1" t="s">
        <v>162</v>
      </c>
      <c r="E795" s="13" t="s">
        <v>2070</v>
      </c>
      <c r="F795" s="1" t="s">
        <v>33</v>
      </c>
      <c r="G795" s="1" t="s">
        <v>164</v>
      </c>
      <c r="H795" s="1" t="s">
        <v>165</v>
      </c>
      <c r="I795" s="31">
        <v>45809</v>
      </c>
      <c r="J795" s="1" t="s">
        <v>166</v>
      </c>
      <c r="K795" s="1" t="s">
        <v>37</v>
      </c>
      <c r="L795" s="1" t="s">
        <v>167</v>
      </c>
      <c r="M795" s="2" t="s">
        <v>2071</v>
      </c>
      <c r="N795" s="31">
        <v>45845</v>
      </c>
    </row>
    <row r="796" spans="1:14" x14ac:dyDescent="0.25">
      <c r="A796" s="29">
        <v>795</v>
      </c>
      <c r="B796" s="1" t="s">
        <v>138</v>
      </c>
      <c r="C796" s="31">
        <v>45703</v>
      </c>
      <c r="D796" s="1" t="s">
        <v>170</v>
      </c>
      <c r="E796" s="13" t="s">
        <v>2072</v>
      </c>
      <c r="F796" s="1" t="s">
        <v>33</v>
      </c>
      <c r="G796" s="1" t="s">
        <v>172</v>
      </c>
      <c r="H796" s="1" t="s">
        <v>173</v>
      </c>
      <c r="I796" s="31">
        <v>45820</v>
      </c>
      <c r="J796" s="1" t="s">
        <v>174</v>
      </c>
      <c r="K796" s="1" t="s">
        <v>37</v>
      </c>
      <c r="L796" s="1" t="s">
        <v>175</v>
      </c>
      <c r="M796" s="2" t="s">
        <v>2073</v>
      </c>
      <c r="N796" s="31">
        <v>45876</v>
      </c>
    </row>
    <row r="797" spans="1:14" x14ac:dyDescent="0.25">
      <c r="A797" s="29">
        <v>796</v>
      </c>
      <c r="B797" s="1" t="s">
        <v>146</v>
      </c>
      <c r="C797" s="31">
        <v>45737</v>
      </c>
      <c r="D797" s="1" t="s">
        <v>96</v>
      </c>
      <c r="E797" s="13" t="s">
        <v>2074</v>
      </c>
      <c r="F797" s="1" t="s">
        <v>89</v>
      </c>
      <c r="G797" s="1" t="s">
        <v>179</v>
      </c>
      <c r="H797" s="1" t="s">
        <v>180</v>
      </c>
      <c r="I797" s="31">
        <v>45800</v>
      </c>
      <c r="J797" s="1" t="s">
        <v>181</v>
      </c>
      <c r="K797" s="1" t="s">
        <v>37</v>
      </c>
      <c r="L797" s="1" t="s">
        <v>182</v>
      </c>
      <c r="M797" s="2" t="s">
        <v>2075</v>
      </c>
      <c r="N797" s="31">
        <v>45890</v>
      </c>
    </row>
    <row r="798" spans="1:14" x14ac:dyDescent="0.25">
      <c r="A798" s="29">
        <v>797</v>
      </c>
      <c r="B798" s="1" t="s">
        <v>153</v>
      </c>
      <c r="C798" s="31">
        <v>45955</v>
      </c>
      <c r="D798" s="1" t="s">
        <v>185</v>
      </c>
      <c r="E798" s="13" t="s">
        <v>2076</v>
      </c>
      <c r="F798" s="1" t="s">
        <v>89</v>
      </c>
      <c r="G798" s="1" t="s">
        <v>187</v>
      </c>
      <c r="H798" s="1" t="s">
        <v>188</v>
      </c>
      <c r="I798" s="31">
        <v>45983</v>
      </c>
      <c r="J798" s="1" t="s">
        <v>189</v>
      </c>
      <c r="K798" s="1" t="s">
        <v>37</v>
      </c>
      <c r="L798" s="1" t="s">
        <v>190</v>
      </c>
      <c r="M798" s="2" t="s">
        <v>2077</v>
      </c>
      <c r="N798" s="31">
        <v>45898</v>
      </c>
    </row>
    <row r="799" spans="1:14" x14ac:dyDescent="0.25">
      <c r="A799" s="29">
        <v>798</v>
      </c>
      <c r="B799" s="1" t="s">
        <v>161</v>
      </c>
      <c r="C799" s="31">
        <v>45826</v>
      </c>
      <c r="D799" s="1" t="s">
        <v>193</v>
      </c>
      <c r="E799" s="13" t="s">
        <v>2078</v>
      </c>
      <c r="F799" s="1" t="s">
        <v>89</v>
      </c>
      <c r="G799" s="1" t="s">
        <v>195</v>
      </c>
      <c r="H799" s="1" t="s">
        <v>196</v>
      </c>
      <c r="I799" s="31">
        <v>45840</v>
      </c>
      <c r="J799" s="1" t="s">
        <v>197</v>
      </c>
      <c r="K799" s="1" t="s">
        <v>37</v>
      </c>
      <c r="L799" s="1" t="s">
        <v>198</v>
      </c>
      <c r="M799" s="2" t="s">
        <v>2079</v>
      </c>
      <c r="N799" s="31">
        <v>45866</v>
      </c>
    </row>
    <row r="800" spans="1:14" x14ac:dyDescent="0.25">
      <c r="A800" s="29">
        <v>799</v>
      </c>
      <c r="B800" s="1" t="s">
        <v>169</v>
      </c>
      <c r="C800" s="31">
        <v>45782</v>
      </c>
      <c r="D800" s="1" t="s">
        <v>132</v>
      </c>
      <c r="E800" s="13" t="s">
        <v>2080</v>
      </c>
      <c r="F800" s="1" t="s">
        <v>33</v>
      </c>
      <c r="G800" s="1" t="s">
        <v>201</v>
      </c>
      <c r="H800" s="1" t="s">
        <v>202</v>
      </c>
      <c r="I800" s="31">
        <v>45787</v>
      </c>
      <c r="J800" s="1" t="s">
        <v>92</v>
      </c>
      <c r="K800" s="1" t="s">
        <v>37</v>
      </c>
      <c r="L800" s="1" t="s">
        <v>203</v>
      </c>
      <c r="M800" s="2" t="s">
        <v>2081</v>
      </c>
      <c r="N800" s="31">
        <v>45897</v>
      </c>
    </row>
    <row r="801" spans="1:14" x14ac:dyDescent="0.25">
      <c r="A801" s="29">
        <v>800</v>
      </c>
      <c r="B801" s="1" t="s">
        <v>177</v>
      </c>
      <c r="C801" s="31">
        <v>45754</v>
      </c>
      <c r="D801" s="1" t="s">
        <v>206</v>
      </c>
      <c r="E801" s="13" t="s">
        <v>2082</v>
      </c>
      <c r="F801" s="1" t="s">
        <v>89</v>
      </c>
      <c r="G801" s="1" t="s">
        <v>208</v>
      </c>
      <c r="H801" s="1" t="s">
        <v>196</v>
      </c>
      <c r="I801" s="31">
        <v>45765</v>
      </c>
      <c r="J801" s="1" t="s">
        <v>209</v>
      </c>
      <c r="K801" s="1" t="s">
        <v>37</v>
      </c>
      <c r="L801" s="1" t="s">
        <v>210</v>
      </c>
      <c r="M801" s="2" t="s">
        <v>2083</v>
      </c>
      <c r="N801" s="31">
        <v>45885</v>
      </c>
    </row>
    <row r="802" spans="1:14" x14ac:dyDescent="0.25">
      <c r="A802" s="29">
        <v>801</v>
      </c>
      <c r="B802" s="1" t="s">
        <v>184</v>
      </c>
      <c r="C802" s="31">
        <v>45951</v>
      </c>
      <c r="D802" s="1" t="s">
        <v>185</v>
      </c>
      <c r="E802" s="13" t="s">
        <v>2084</v>
      </c>
      <c r="F802" s="1" t="s">
        <v>89</v>
      </c>
      <c r="G802" s="1" t="s">
        <v>172</v>
      </c>
      <c r="H802" s="1" t="s">
        <v>173</v>
      </c>
      <c r="I802" s="31">
        <v>46031</v>
      </c>
      <c r="J802" s="1" t="s">
        <v>214</v>
      </c>
      <c r="K802" s="1" t="s">
        <v>37</v>
      </c>
      <c r="L802" s="1" t="s">
        <v>215</v>
      </c>
      <c r="M802" s="2" t="s">
        <v>2085</v>
      </c>
      <c r="N802" s="31">
        <v>45868</v>
      </c>
    </row>
    <row r="803" spans="1:14" x14ac:dyDescent="0.25">
      <c r="A803" s="29">
        <v>802</v>
      </c>
      <c r="B803" s="1" t="s">
        <v>192</v>
      </c>
      <c r="C803" s="31">
        <v>45804</v>
      </c>
      <c r="D803" s="1" t="s">
        <v>218</v>
      </c>
      <c r="E803" s="13" t="s">
        <v>2086</v>
      </c>
      <c r="F803" s="1" t="s">
        <v>89</v>
      </c>
      <c r="G803" s="1" t="s">
        <v>220</v>
      </c>
      <c r="H803" s="1" t="s">
        <v>67</v>
      </c>
      <c r="I803" s="31">
        <v>45918</v>
      </c>
      <c r="J803" s="1" t="s">
        <v>221</v>
      </c>
      <c r="K803" s="1" t="s">
        <v>37</v>
      </c>
      <c r="L803" s="1" t="s">
        <v>222</v>
      </c>
      <c r="M803" s="2" t="s">
        <v>2087</v>
      </c>
      <c r="N803" s="31">
        <v>45858</v>
      </c>
    </row>
    <row r="804" spans="1:14" x14ac:dyDescent="0.25">
      <c r="A804" s="29">
        <v>803</v>
      </c>
      <c r="B804" s="1" t="s">
        <v>48</v>
      </c>
      <c r="C804" s="31">
        <v>45908</v>
      </c>
      <c r="D804" s="1" t="s">
        <v>225</v>
      </c>
      <c r="E804" s="13" t="s">
        <v>2088</v>
      </c>
      <c r="F804" s="1" t="s">
        <v>33</v>
      </c>
      <c r="G804" s="1" t="s">
        <v>227</v>
      </c>
      <c r="H804" s="1" t="s">
        <v>228</v>
      </c>
      <c r="I804" s="31">
        <v>45915</v>
      </c>
      <c r="J804" s="1" t="s">
        <v>229</v>
      </c>
      <c r="K804" s="1" t="s">
        <v>37</v>
      </c>
      <c r="L804" s="1" t="s">
        <v>230</v>
      </c>
      <c r="M804" s="2" t="s">
        <v>2089</v>
      </c>
      <c r="N804" s="31">
        <v>45852</v>
      </c>
    </row>
    <row r="805" spans="1:14" x14ac:dyDescent="0.25">
      <c r="A805" s="29">
        <v>804</v>
      </c>
      <c r="B805" s="1" t="s">
        <v>205</v>
      </c>
      <c r="C805" s="31">
        <v>45692</v>
      </c>
      <c r="D805" s="1" t="s">
        <v>233</v>
      </c>
      <c r="E805" s="13" t="s">
        <v>2090</v>
      </c>
      <c r="F805" s="1" t="s">
        <v>33</v>
      </c>
      <c r="G805" s="1" t="s">
        <v>156</v>
      </c>
      <c r="H805" s="1" t="s">
        <v>235</v>
      </c>
      <c r="I805" s="31">
        <v>45717</v>
      </c>
      <c r="J805" s="1" t="s">
        <v>236</v>
      </c>
      <c r="K805" s="1" t="s">
        <v>37</v>
      </c>
      <c r="L805" s="1" t="s">
        <v>237</v>
      </c>
      <c r="M805" s="2" t="s">
        <v>2091</v>
      </c>
      <c r="N805" s="31">
        <v>45855</v>
      </c>
    </row>
    <row r="806" spans="1:14" x14ac:dyDescent="0.25">
      <c r="A806" s="29">
        <v>805</v>
      </c>
      <c r="B806" s="1" t="s">
        <v>212</v>
      </c>
      <c r="C806" s="31">
        <v>45695</v>
      </c>
      <c r="D806" s="1" t="s">
        <v>240</v>
      </c>
      <c r="E806" s="13" t="s">
        <v>2092</v>
      </c>
      <c r="F806" s="1" t="s">
        <v>89</v>
      </c>
      <c r="G806" s="1" t="s">
        <v>105</v>
      </c>
      <c r="H806" s="1" t="s">
        <v>242</v>
      </c>
      <c r="I806" s="31">
        <v>45747</v>
      </c>
      <c r="J806" s="1" t="s">
        <v>243</v>
      </c>
      <c r="K806" s="1" t="s">
        <v>37</v>
      </c>
      <c r="L806" s="1" t="s">
        <v>244</v>
      </c>
      <c r="M806" s="2" t="s">
        <v>2093</v>
      </c>
      <c r="N806" s="31">
        <v>45880</v>
      </c>
    </row>
    <row r="807" spans="1:14" x14ac:dyDescent="0.25">
      <c r="A807" s="29">
        <v>806</v>
      </c>
      <c r="B807" s="1" t="s">
        <v>217</v>
      </c>
      <c r="C807" s="31">
        <v>45833</v>
      </c>
      <c r="D807" s="1" t="s">
        <v>246</v>
      </c>
      <c r="E807" s="13" t="s">
        <v>2094</v>
      </c>
      <c r="F807" s="1" t="s">
        <v>33</v>
      </c>
      <c r="G807" s="1" t="s">
        <v>248</v>
      </c>
      <c r="H807" s="1" t="s">
        <v>134</v>
      </c>
      <c r="I807" s="31">
        <v>45856</v>
      </c>
      <c r="J807" s="1" t="s">
        <v>249</v>
      </c>
      <c r="K807" s="1" t="s">
        <v>37</v>
      </c>
      <c r="L807" s="1" t="s">
        <v>250</v>
      </c>
      <c r="M807" s="2" t="s">
        <v>2095</v>
      </c>
      <c r="N807" s="31">
        <v>45859</v>
      </c>
    </row>
    <row r="808" spans="1:14" x14ac:dyDescent="0.25">
      <c r="A808" s="29">
        <v>807</v>
      </c>
      <c r="B808" s="1" t="s">
        <v>224</v>
      </c>
      <c r="C808" s="31">
        <v>45812</v>
      </c>
      <c r="D808" s="1" t="s">
        <v>253</v>
      </c>
      <c r="E808" s="13" t="s">
        <v>2096</v>
      </c>
      <c r="F808" s="1" t="s">
        <v>33</v>
      </c>
      <c r="G808" s="1" t="s">
        <v>255</v>
      </c>
      <c r="H808" s="1" t="s">
        <v>256</v>
      </c>
      <c r="I808" s="31">
        <v>45931</v>
      </c>
      <c r="J808" s="1" t="s">
        <v>257</v>
      </c>
      <c r="K808" s="1" t="s">
        <v>37</v>
      </c>
      <c r="L808" s="1" t="s">
        <v>258</v>
      </c>
      <c r="M808" s="2" t="s">
        <v>2097</v>
      </c>
      <c r="N808" s="31">
        <v>45842</v>
      </c>
    </row>
    <row r="809" spans="1:14" x14ac:dyDescent="0.25">
      <c r="A809" s="29">
        <v>808</v>
      </c>
      <c r="B809" s="1" t="s">
        <v>232</v>
      </c>
      <c r="C809" s="31">
        <v>45833</v>
      </c>
      <c r="D809" s="1" t="s">
        <v>260</v>
      </c>
      <c r="E809" s="13" t="s">
        <v>2098</v>
      </c>
      <c r="F809" s="1" t="s">
        <v>89</v>
      </c>
      <c r="G809" s="1" t="s">
        <v>113</v>
      </c>
      <c r="H809" s="1" t="s">
        <v>262</v>
      </c>
      <c r="I809" s="31">
        <v>45935</v>
      </c>
      <c r="J809" s="1" t="s">
        <v>263</v>
      </c>
      <c r="K809" s="1" t="s">
        <v>37</v>
      </c>
      <c r="L809" s="1" t="s">
        <v>264</v>
      </c>
      <c r="M809" s="2" t="s">
        <v>2099</v>
      </c>
      <c r="N809" s="31">
        <v>45886</v>
      </c>
    </row>
    <row r="810" spans="1:14" x14ac:dyDescent="0.25">
      <c r="A810" s="29">
        <v>809</v>
      </c>
      <c r="B810" s="1" t="s">
        <v>239</v>
      </c>
      <c r="C810" s="31">
        <v>45834</v>
      </c>
      <c r="D810" s="1" t="s">
        <v>267</v>
      </c>
      <c r="E810" s="13" t="s">
        <v>2100</v>
      </c>
      <c r="F810" s="1" t="s">
        <v>89</v>
      </c>
      <c r="G810" s="1" t="s">
        <v>269</v>
      </c>
      <c r="H810" s="1" t="s">
        <v>270</v>
      </c>
      <c r="I810" s="31">
        <v>45866</v>
      </c>
      <c r="J810" s="1" t="s">
        <v>271</v>
      </c>
      <c r="K810" s="1" t="s">
        <v>37</v>
      </c>
      <c r="L810" s="1" t="s">
        <v>272</v>
      </c>
      <c r="M810" s="2" t="s">
        <v>2101</v>
      </c>
      <c r="N810" s="31">
        <v>45892</v>
      </c>
    </row>
    <row r="811" spans="1:14" x14ac:dyDescent="0.25">
      <c r="A811" s="29">
        <v>810</v>
      </c>
      <c r="B811" s="1" t="s">
        <v>48</v>
      </c>
      <c r="C811" s="31">
        <v>45787</v>
      </c>
      <c r="D811" s="1" t="s">
        <v>154</v>
      </c>
      <c r="E811" s="13" t="s">
        <v>2102</v>
      </c>
      <c r="F811" s="1" t="s">
        <v>89</v>
      </c>
      <c r="G811" s="1" t="s">
        <v>66</v>
      </c>
      <c r="H811" s="1" t="s">
        <v>82</v>
      </c>
      <c r="I811" s="31">
        <v>45833</v>
      </c>
      <c r="J811" s="1" t="s">
        <v>276</v>
      </c>
      <c r="K811" s="1" t="s">
        <v>37</v>
      </c>
      <c r="L811" s="1" t="s">
        <v>277</v>
      </c>
      <c r="M811" s="2" t="s">
        <v>2103</v>
      </c>
      <c r="N811" s="31">
        <v>45893</v>
      </c>
    </row>
    <row r="812" spans="1:14" x14ac:dyDescent="0.25">
      <c r="A812" s="29">
        <v>811</v>
      </c>
      <c r="B812" s="1" t="s">
        <v>252</v>
      </c>
      <c r="C812" s="31">
        <v>45667</v>
      </c>
      <c r="D812" s="1" t="s">
        <v>233</v>
      </c>
      <c r="E812" s="13" t="s">
        <v>2104</v>
      </c>
      <c r="F812" s="1" t="s">
        <v>89</v>
      </c>
      <c r="G812" s="1" t="s">
        <v>105</v>
      </c>
      <c r="H812" s="1" t="s">
        <v>256</v>
      </c>
      <c r="I812" s="31">
        <v>45721</v>
      </c>
      <c r="J812" s="1" t="s">
        <v>281</v>
      </c>
      <c r="K812" s="1" t="s">
        <v>37</v>
      </c>
      <c r="L812" s="1" t="s">
        <v>282</v>
      </c>
      <c r="M812" s="2" t="s">
        <v>2105</v>
      </c>
      <c r="N812" s="31">
        <v>45877</v>
      </c>
    </row>
    <row r="813" spans="1:14" x14ac:dyDescent="0.25">
      <c r="A813" s="29">
        <v>812</v>
      </c>
      <c r="B813" s="1" t="s">
        <v>110</v>
      </c>
      <c r="C813" s="31">
        <v>45956</v>
      </c>
      <c r="D813" s="1" t="s">
        <v>285</v>
      </c>
      <c r="E813" s="13" t="s">
        <v>2106</v>
      </c>
      <c r="F813" s="1" t="s">
        <v>33</v>
      </c>
      <c r="G813" s="1" t="s">
        <v>287</v>
      </c>
      <c r="H813" s="1" t="s">
        <v>288</v>
      </c>
      <c r="I813" s="31">
        <v>45962</v>
      </c>
      <c r="J813" s="1" t="s">
        <v>289</v>
      </c>
      <c r="K813" s="1" t="s">
        <v>37</v>
      </c>
      <c r="L813" s="1" t="s">
        <v>290</v>
      </c>
      <c r="M813" s="2" t="s">
        <v>2107</v>
      </c>
      <c r="N813" s="31">
        <v>45848</v>
      </c>
    </row>
    <row r="814" spans="1:14" x14ac:dyDescent="0.25">
      <c r="A814" s="29">
        <v>813</v>
      </c>
      <c r="B814" s="1" t="s">
        <v>266</v>
      </c>
      <c r="C814" s="31">
        <v>45901</v>
      </c>
      <c r="D814" s="1" t="s">
        <v>292</v>
      </c>
      <c r="E814" s="13" t="s">
        <v>2108</v>
      </c>
      <c r="F814" s="1" t="s">
        <v>89</v>
      </c>
      <c r="G814" s="1" t="s">
        <v>66</v>
      </c>
      <c r="H814" s="1" t="s">
        <v>67</v>
      </c>
      <c r="I814" s="31">
        <v>45941</v>
      </c>
      <c r="J814" s="1" t="s">
        <v>294</v>
      </c>
      <c r="K814" s="1" t="s">
        <v>37</v>
      </c>
      <c r="L814" s="1" t="s">
        <v>295</v>
      </c>
      <c r="M814" s="2" t="s">
        <v>2109</v>
      </c>
      <c r="N814" s="31">
        <v>45881</v>
      </c>
    </row>
    <row r="815" spans="1:14" x14ac:dyDescent="0.25">
      <c r="A815" s="29">
        <v>814</v>
      </c>
      <c r="B815" s="1" t="s">
        <v>274</v>
      </c>
      <c r="C815" s="31">
        <v>45860</v>
      </c>
      <c r="D815" s="1" t="s">
        <v>297</v>
      </c>
      <c r="E815" s="13" t="s">
        <v>2110</v>
      </c>
      <c r="F815" s="1" t="s">
        <v>89</v>
      </c>
      <c r="G815" s="1" t="s">
        <v>34</v>
      </c>
      <c r="H815" s="1" t="s">
        <v>299</v>
      </c>
      <c r="I815" s="31">
        <v>45905</v>
      </c>
      <c r="J815" s="1" t="s">
        <v>300</v>
      </c>
      <c r="K815" s="1" t="s">
        <v>37</v>
      </c>
      <c r="L815" s="1" t="s">
        <v>301</v>
      </c>
      <c r="M815" s="2" t="s">
        <v>2111</v>
      </c>
      <c r="N815" s="31">
        <v>45878</v>
      </c>
    </row>
    <row r="816" spans="1:14" x14ac:dyDescent="0.25">
      <c r="A816" s="29">
        <v>815</v>
      </c>
      <c r="B816" s="1" t="s">
        <v>279</v>
      </c>
      <c r="C816" s="31">
        <v>45828</v>
      </c>
      <c r="D816" s="1" t="s">
        <v>111</v>
      </c>
      <c r="E816" s="13" t="s">
        <v>2112</v>
      </c>
      <c r="F816" s="1" t="s">
        <v>33</v>
      </c>
      <c r="G816" s="1" t="s">
        <v>34</v>
      </c>
      <c r="H816" s="1" t="s">
        <v>134</v>
      </c>
      <c r="I816" s="31">
        <v>45872</v>
      </c>
      <c r="J816" s="1" t="s">
        <v>305</v>
      </c>
      <c r="K816" s="1" t="s">
        <v>37</v>
      </c>
      <c r="L816" s="1" t="s">
        <v>306</v>
      </c>
      <c r="M816" s="2" t="s">
        <v>2113</v>
      </c>
      <c r="N816" s="31">
        <v>45877</v>
      </c>
    </row>
    <row r="817" spans="1:14" x14ac:dyDescent="0.25">
      <c r="A817" s="29">
        <v>816</v>
      </c>
      <c r="B817" s="1" t="s">
        <v>284</v>
      </c>
      <c r="C817" s="31">
        <v>45775</v>
      </c>
      <c r="D817" s="1" t="s">
        <v>308</v>
      </c>
      <c r="E817" s="13" t="s">
        <v>2114</v>
      </c>
      <c r="F817" s="1" t="s">
        <v>89</v>
      </c>
      <c r="G817" s="1" t="s">
        <v>310</v>
      </c>
      <c r="H817" s="1" t="s">
        <v>311</v>
      </c>
      <c r="I817" s="31">
        <v>45873</v>
      </c>
      <c r="J817" s="1" t="s">
        <v>150</v>
      </c>
      <c r="K817" s="1" t="s">
        <v>37</v>
      </c>
      <c r="L817" s="1" t="s">
        <v>312</v>
      </c>
      <c r="M817" s="2" t="s">
        <v>2115</v>
      </c>
      <c r="N817" s="31">
        <v>45864</v>
      </c>
    </row>
    <row r="818" spans="1:14" x14ac:dyDescent="0.25">
      <c r="A818" s="29">
        <v>817</v>
      </c>
      <c r="B818" s="1" t="s">
        <v>177</v>
      </c>
      <c r="C818" s="31">
        <v>45733</v>
      </c>
      <c r="D818" s="1" t="s">
        <v>246</v>
      </c>
      <c r="E818" s="13" t="s">
        <v>2116</v>
      </c>
      <c r="F818" s="1" t="s">
        <v>89</v>
      </c>
      <c r="G818" s="1" t="s">
        <v>316</v>
      </c>
      <c r="H818" s="1" t="s">
        <v>317</v>
      </c>
      <c r="I818" s="31">
        <v>45786</v>
      </c>
      <c r="J818" s="1" t="s">
        <v>318</v>
      </c>
      <c r="K818" s="1" t="s">
        <v>37</v>
      </c>
      <c r="L818" s="1" t="s">
        <v>319</v>
      </c>
      <c r="M818" s="2" t="s">
        <v>2117</v>
      </c>
      <c r="N818" s="31">
        <v>45857</v>
      </c>
    </row>
    <row r="819" spans="1:14" x14ac:dyDescent="0.25">
      <c r="A819" s="29">
        <v>818</v>
      </c>
      <c r="B819" s="1" t="s">
        <v>131</v>
      </c>
      <c r="C819" s="31">
        <v>45813</v>
      </c>
      <c r="D819" s="1" t="s">
        <v>72</v>
      </c>
      <c r="E819" s="13" t="s">
        <v>2118</v>
      </c>
      <c r="F819" s="1" t="s">
        <v>33</v>
      </c>
      <c r="G819" s="1" t="s">
        <v>105</v>
      </c>
      <c r="H819" s="1" t="s">
        <v>242</v>
      </c>
      <c r="I819" s="31">
        <v>45881</v>
      </c>
      <c r="J819" s="1" t="s">
        <v>322</v>
      </c>
      <c r="K819" s="1" t="s">
        <v>37</v>
      </c>
      <c r="L819" s="1" t="s">
        <v>323</v>
      </c>
      <c r="M819" s="2" t="s">
        <v>2119</v>
      </c>
      <c r="N819" s="31">
        <v>45844</v>
      </c>
    </row>
    <row r="820" spans="1:14" x14ac:dyDescent="0.25">
      <c r="A820" s="29">
        <v>819</v>
      </c>
      <c r="B820" s="1" t="s">
        <v>303</v>
      </c>
      <c r="C820" s="31">
        <v>45884</v>
      </c>
      <c r="D820" s="1" t="s">
        <v>326</v>
      </c>
      <c r="E820" s="13" t="s">
        <v>2120</v>
      </c>
      <c r="F820" s="1" t="s">
        <v>89</v>
      </c>
      <c r="G820" s="1" t="s">
        <v>179</v>
      </c>
      <c r="H820" s="1" t="s">
        <v>82</v>
      </c>
      <c r="I820" s="31">
        <v>45929</v>
      </c>
      <c r="J820" s="1" t="s">
        <v>328</v>
      </c>
      <c r="K820" s="1" t="s">
        <v>37</v>
      </c>
      <c r="L820" s="1" t="s">
        <v>329</v>
      </c>
      <c r="M820" s="2" t="s">
        <v>2121</v>
      </c>
      <c r="N820" s="31">
        <v>45864</v>
      </c>
    </row>
    <row r="821" spans="1:14" x14ac:dyDescent="0.25">
      <c r="A821" s="29">
        <v>820</v>
      </c>
      <c r="B821" s="1" t="s">
        <v>274</v>
      </c>
      <c r="C821" s="31">
        <v>45922</v>
      </c>
      <c r="D821" s="1" t="s">
        <v>332</v>
      </c>
      <c r="E821" s="13" t="s">
        <v>2122</v>
      </c>
      <c r="F821" s="1" t="s">
        <v>89</v>
      </c>
      <c r="G821" s="1" t="s">
        <v>58</v>
      </c>
      <c r="H821" s="1" t="s">
        <v>127</v>
      </c>
      <c r="I821" s="31">
        <v>46024</v>
      </c>
      <c r="J821" s="1" t="s">
        <v>257</v>
      </c>
      <c r="K821" s="1" t="s">
        <v>37</v>
      </c>
      <c r="L821" s="1" t="s">
        <v>334</v>
      </c>
      <c r="M821" s="2" t="s">
        <v>2123</v>
      </c>
      <c r="N821" s="31">
        <v>45840</v>
      </c>
    </row>
    <row r="822" spans="1:14" x14ac:dyDescent="0.25">
      <c r="A822" s="29">
        <v>821</v>
      </c>
      <c r="B822" s="1" t="s">
        <v>314</v>
      </c>
      <c r="C822" s="31">
        <v>45768</v>
      </c>
      <c r="D822" s="1" t="s">
        <v>292</v>
      </c>
      <c r="E822" s="13" t="s">
        <v>2124</v>
      </c>
      <c r="F822" s="1" t="s">
        <v>89</v>
      </c>
      <c r="G822" s="1" t="s">
        <v>337</v>
      </c>
      <c r="H822" s="1" t="s">
        <v>91</v>
      </c>
      <c r="I822" s="31">
        <v>45776</v>
      </c>
      <c r="J822" s="1" t="s">
        <v>181</v>
      </c>
      <c r="K822" s="1" t="s">
        <v>37</v>
      </c>
      <c r="L822" s="1" t="s">
        <v>338</v>
      </c>
      <c r="M822" s="2" t="s">
        <v>2125</v>
      </c>
      <c r="N822" s="31">
        <v>45868</v>
      </c>
    </row>
    <row r="823" spans="1:14" x14ac:dyDescent="0.25">
      <c r="A823" s="29">
        <v>822</v>
      </c>
      <c r="B823" s="1" t="s">
        <v>103</v>
      </c>
      <c r="C823" s="31">
        <v>45957</v>
      </c>
      <c r="D823" s="1" t="s">
        <v>340</v>
      </c>
      <c r="E823" s="13" t="s">
        <v>2126</v>
      </c>
      <c r="F823" s="1" t="s">
        <v>33</v>
      </c>
      <c r="G823" s="1" t="s">
        <v>58</v>
      </c>
      <c r="H823" s="1" t="s">
        <v>91</v>
      </c>
      <c r="I823" s="31">
        <v>45976</v>
      </c>
      <c r="J823" s="1" t="s">
        <v>342</v>
      </c>
      <c r="K823" s="1" t="s">
        <v>37</v>
      </c>
      <c r="L823" s="1" t="s">
        <v>343</v>
      </c>
      <c r="M823" s="2" t="s">
        <v>2127</v>
      </c>
      <c r="N823" s="31">
        <v>45849</v>
      </c>
    </row>
    <row r="824" spans="1:14" x14ac:dyDescent="0.25">
      <c r="A824" s="29">
        <v>823</v>
      </c>
      <c r="B824" s="1" t="s">
        <v>325</v>
      </c>
      <c r="C824" s="31">
        <v>45849</v>
      </c>
      <c r="D824" s="1" t="s">
        <v>79</v>
      </c>
      <c r="E824" s="13" t="s">
        <v>2128</v>
      </c>
      <c r="F824" s="1" t="s">
        <v>33</v>
      </c>
      <c r="G824" s="1" t="s">
        <v>346</v>
      </c>
      <c r="H824" s="1" t="s">
        <v>59</v>
      </c>
      <c r="I824" s="31">
        <v>45956</v>
      </c>
      <c r="J824" s="1" t="s">
        <v>347</v>
      </c>
      <c r="K824" s="1" t="s">
        <v>37</v>
      </c>
      <c r="L824" s="1" t="s">
        <v>348</v>
      </c>
      <c r="M824" s="2" t="s">
        <v>2129</v>
      </c>
      <c r="N824" s="31">
        <v>45855</v>
      </c>
    </row>
    <row r="825" spans="1:14" x14ac:dyDescent="0.25">
      <c r="A825" s="29">
        <v>824</v>
      </c>
      <c r="B825" s="1" t="s">
        <v>331</v>
      </c>
      <c r="C825" s="31">
        <v>45704</v>
      </c>
      <c r="D825" s="1" t="s">
        <v>351</v>
      </c>
      <c r="E825" s="13" t="s">
        <v>2130</v>
      </c>
      <c r="F825" s="1" t="s">
        <v>89</v>
      </c>
      <c r="G825" s="1" t="s">
        <v>353</v>
      </c>
      <c r="H825" s="1" t="s">
        <v>82</v>
      </c>
      <c r="I825" s="31">
        <v>45773</v>
      </c>
      <c r="J825" s="1" t="s">
        <v>354</v>
      </c>
      <c r="K825" s="1" t="s">
        <v>37</v>
      </c>
      <c r="L825" s="1" t="s">
        <v>355</v>
      </c>
      <c r="M825" s="2" t="s">
        <v>2131</v>
      </c>
      <c r="N825" s="31">
        <v>45879</v>
      </c>
    </row>
    <row r="826" spans="1:14" x14ac:dyDescent="0.25">
      <c r="A826" s="29">
        <v>825</v>
      </c>
      <c r="B826" s="1" t="s">
        <v>86</v>
      </c>
      <c r="C826" s="31">
        <v>45702</v>
      </c>
      <c r="D826" s="1" t="s">
        <v>87</v>
      </c>
      <c r="E826" s="13" t="s">
        <v>2132</v>
      </c>
      <c r="F826" s="1" t="s">
        <v>89</v>
      </c>
      <c r="G826" s="1" t="s">
        <v>105</v>
      </c>
      <c r="H826" s="1" t="s">
        <v>359</v>
      </c>
      <c r="I826" s="31">
        <v>45741</v>
      </c>
      <c r="J826" s="1" t="s">
        <v>360</v>
      </c>
      <c r="K826" s="1" t="s">
        <v>37</v>
      </c>
      <c r="L826" s="1" t="s">
        <v>361</v>
      </c>
      <c r="M826" s="2" t="s">
        <v>2133</v>
      </c>
      <c r="N826" s="31">
        <v>45897</v>
      </c>
    </row>
    <row r="827" spans="1:14" x14ac:dyDescent="0.25">
      <c r="A827" s="29">
        <v>826</v>
      </c>
      <c r="B827" s="1" t="s">
        <v>169</v>
      </c>
      <c r="C827" s="31">
        <v>45917</v>
      </c>
      <c r="D827" s="1" t="s">
        <v>363</v>
      </c>
      <c r="E827" s="13" t="s">
        <v>2134</v>
      </c>
      <c r="F827" s="1" t="s">
        <v>89</v>
      </c>
      <c r="G827" s="1" t="s">
        <v>365</v>
      </c>
      <c r="H827" s="1" t="s">
        <v>366</v>
      </c>
      <c r="I827" s="31">
        <v>45969</v>
      </c>
      <c r="J827" s="1" t="s">
        <v>342</v>
      </c>
      <c r="K827" s="1" t="s">
        <v>37</v>
      </c>
      <c r="L827" s="1" t="s">
        <v>367</v>
      </c>
      <c r="M827" s="2" t="s">
        <v>2135</v>
      </c>
      <c r="N827" s="31">
        <v>45839</v>
      </c>
    </row>
    <row r="828" spans="1:14" x14ac:dyDescent="0.25">
      <c r="A828" s="29">
        <v>827</v>
      </c>
      <c r="B828" s="1" t="s">
        <v>40</v>
      </c>
      <c r="C828" s="31">
        <v>45671</v>
      </c>
      <c r="D828" s="1" t="s">
        <v>369</v>
      </c>
      <c r="E828" s="13" t="s">
        <v>2136</v>
      </c>
      <c r="F828" s="1" t="s">
        <v>33</v>
      </c>
      <c r="G828" s="1" t="s">
        <v>201</v>
      </c>
      <c r="H828" s="1" t="s">
        <v>202</v>
      </c>
      <c r="I828" s="31">
        <v>45780</v>
      </c>
      <c r="J828" s="1" t="s">
        <v>371</v>
      </c>
      <c r="K828" s="1" t="s">
        <v>37</v>
      </c>
      <c r="L828" s="1" t="s">
        <v>372</v>
      </c>
      <c r="M828" s="2" t="s">
        <v>2137</v>
      </c>
      <c r="N828" s="31">
        <v>45893</v>
      </c>
    </row>
    <row r="829" spans="1:14" x14ac:dyDescent="0.25">
      <c r="A829" s="29">
        <v>828</v>
      </c>
      <c r="B829" s="1" t="s">
        <v>350</v>
      </c>
      <c r="C829" s="31">
        <v>45800</v>
      </c>
      <c r="D829" s="1" t="s">
        <v>374</v>
      </c>
      <c r="E829" s="13" t="s">
        <v>2138</v>
      </c>
      <c r="F829" s="1" t="s">
        <v>89</v>
      </c>
      <c r="G829" s="1" t="s">
        <v>269</v>
      </c>
      <c r="H829" s="1" t="s">
        <v>376</v>
      </c>
      <c r="I829" s="31">
        <v>45822</v>
      </c>
      <c r="J829" s="1" t="s">
        <v>377</v>
      </c>
      <c r="K829" s="1" t="s">
        <v>37</v>
      </c>
      <c r="L829" s="1" t="s">
        <v>378</v>
      </c>
      <c r="M829" s="2" t="s">
        <v>2139</v>
      </c>
      <c r="N829" s="31">
        <v>45881</v>
      </c>
    </row>
    <row r="830" spans="1:14" x14ac:dyDescent="0.25">
      <c r="A830" s="29">
        <v>829</v>
      </c>
      <c r="B830" s="1" t="s">
        <v>357</v>
      </c>
      <c r="C830" s="31">
        <v>45932</v>
      </c>
      <c r="D830" s="1" t="s">
        <v>297</v>
      </c>
      <c r="E830" s="13" t="s">
        <v>2140</v>
      </c>
      <c r="F830" s="1" t="s">
        <v>33</v>
      </c>
      <c r="G830" s="1" t="s">
        <v>382</v>
      </c>
      <c r="H830" s="1" t="s">
        <v>383</v>
      </c>
      <c r="I830" s="31">
        <v>45950</v>
      </c>
      <c r="J830" s="1" t="s">
        <v>318</v>
      </c>
      <c r="K830" s="1" t="s">
        <v>37</v>
      </c>
      <c r="L830" s="1" t="s">
        <v>384</v>
      </c>
      <c r="M830" s="2" t="s">
        <v>2141</v>
      </c>
      <c r="N830" s="31">
        <v>45862</v>
      </c>
    </row>
    <row r="831" spans="1:14" x14ac:dyDescent="0.25">
      <c r="A831" s="29">
        <v>830</v>
      </c>
      <c r="B831" s="1" t="s">
        <v>177</v>
      </c>
      <c r="C831" s="31">
        <v>45775</v>
      </c>
      <c r="D831" s="1" t="s">
        <v>387</v>
      </c>
      <c r="E831" s="13" t="s">
        <v>2142</v>
      </c>
      <c r="F831" s="1" t="s">
        <v>33</v>
      </c>
      <c r="G831" s="1" t="s">
        <v>382</v>
      </c>
      <c r="H831" s="1" t="s">
        <v>383</v>
      </c>
      <c r="I831" s="31">
        <v>45864</v>
      </c>
      <c r="J831" s="1" t="s">
        <v>114</v>
      </c>
      <c r="K831" s="1" t="s">
        <v>37</v>
      </c>
      <c r="L831" s="1" t="s">
        <v>389</v>
      </c>
      <c r="M831" s="2" t="s">
        <v>2143</v>
      </c>
      <c r="N831" s="31">
        <v>45886</v>
      </c>
    </row>
    <row r="832" spans="1:14" x14ac:dyDescent="0.25">
      <c r="A832" s="29">
        <v>831</v>
      </c>
      <c r="B832" s="1" t="s">
        <v>30</v>
      </c>
      <c r="C832" s="31">
        <v>45942</v>
      </c>
      <c r="D832" s="1" t="s">
        <v>391</v>
      </c>
      <c r="E832" s="13" t="s">
        <v>2144</v>
      </c>
      <c r="F832" s="1" t="s">
        <v>33</v>
      </c>
      <c r="G832" s="1" t="s">
        <v>172</v>
      </c>
      <c r="H832" s="1" t="s">
        <v>393</v>
      </c>
      <c r="I832" s="31">
        <v>45975</v>
      </c>
      <c r="J832" s="1" t="s">
        <v>394</v>
      </c>
      <c r="K832" s="1" t="s">
        <v>37</v>
      </c>
      <c r="L832" s="1" t="s">
        <v>395</v>
      </c>
      <c r="M832" s="2" t="s">
        <v>2145</v>
      </c>
      <c r="N832" s="31">
        <v>45866</v>
      </c>
    </row>
    <row r="833" spans="1:14" x14ac:dyDescent="0.25">
      <c r="A833" s="29">
        <v>832</v>
      </c>
      <c r="B833" s="1" t="s">
        <v>266</v>
      </c>
      <c r="C833" s="31">
        <v>45664</v>
      </c>
      <c r="D833" s="1" t="s">
        <v>154</v>
      </c>
      <c r="E833" s="13" t="s">
        <v>2146</v>
      </c>
      <c r="F833" s="1" t="s">
        <v>89</v>
      </c>
      <c r="G833" s="1" t="s">
        <v>287</v>
      </c>
      <c r="H833" s="1" t="s">
        <v>235</v>
      </c>
      <c r="I833" s="31">
        <v>45725</v>
      </c>
      <c r="J833" s="1" t="s">
        <v>371</v>
      </c>
      <c r="K833" s="1" t="s">
        <v>37</v>
      </c>
      <c r="L833" s="1" t="s">
        <v>399</v>
      </c>
      <c r="M833" s="2" t="s">
        <v>2147</v>
      </c>
      <c r="N833" s="31">
        <v>45851</v>
      </c>
    </row>
    <row r="834" spans="1:14" x14ac:dyDescent="0.25">
      <c r="A834" s="29">
        <v>833</v>
      </c>
      <c r="B834" s="1" t="s">
        <v>380</v>
      </c>
      <c r="C834" s="31">
        <v>45894</v>
      </c>
      <c r="D834" s="1" t="s">
        <v>402</v>
      </c>
      <c r="E834" s="13" t="s">
        <v>2148</v>
      </c>
      <c r="F834" s="1" t="s">
        <v>89</v>
      </c>
      <c r="G834" s="1" t="s">
        <v>404</v>
      </c>
      <c r="H834" s="1" t="s">
        <v>405</v>
      </c>
      <c r="I834" s="31">
        <v>45951</v>
      </c>
      <c r="J834" s="1" t="s">
        <v>181</v>
      </c>
      <c r="K834" s="1" t="s">
        <v>37</v>
      </c>
      <c r="L834" s="1" t="s">
        <v>406</v>
      </c>
      <c r="M834" s="2" t="s">
        <v>2149</v>
      </c>
      <c r="N834" s="31">
        <v>45885</v>
      </c>
    </row>
    <row r="835" spans="1:14" x14ac:dyDescent="0.25">
      <c r="A835" s="29">
        <v>834</v>
      </c>
      <c r="B835" s="1" t="s">
        <v>386</v>
      </c>
      <c r="C835" s="31">
        <v>45891</v>
      </c>
      <c r="D835" s="1" t="s">
        <v>408</v>
      </c>
      <c r="E835" s="13" t="s">
        <v>2150</v>
      </c>
      <c r="F835" s="1" t="s">
        <v>33</v>
      </c>
      <c r="G835" s="1" t="s">
        <v>164</v>
      </c>
      <c r="H835" s="1" t="s">
        <v>106</v>
      </c>
      <c r="I835" s="31">
        <v>45934</v>
      </c>
      <c r="J835" s="1" t="s">
        <v>52</v>
      </c>
      <c r="K835" s="1" t="s">
        <v>37</v>
      </c>
      <c r="L835" s="1" t="s">
        <v>410</v>
      </c>
      <c r="M835" s="2" t="s">
        <v>2151</v>
      </c>
      <c r="N835" s="31">
        <v>45897</v>
      </c>
    </row>
    <row r="836" spans="1:14" x14ac:dyDescent="0.25">
      <c r="A836" s="29">
        <v>835</v>
      </c>
      <c r="B836" s="1" t="s">
        <v>125</v>
      </c>
      <c r="C836" s="31">
        <v>45681</v>
      </c>
      <c r="D836" s="1" t="s">
        <v>162</v>
      </c>
      <c r="E836" s="13" t="s">
        <v>2152</v>
      </c>
      <c r="F836" s="1" t="s">
        <v>33</v>
      </c>
      <c r="G836" s="1" t="s">
        <v>414</v>
      </c>
      <c r="H836" s="1" t="s">
        <v>415</v>
      </c>
      <c r="I836" s="31">
        <v>45731</v>
      </c>
      <c r="J836" s="1" t="s">
        <v>416</v>
      </c>
      <c r="K836" s="1" t="s">
        <v>37</v>
      </c>
      <c r="L836" s="1" t="s">
        <v>417</v>
      </c>
      <c r="M836" s="2" t="s">
        <v>2153</v>
      </c>
      <c r="N836" s="31">
        <v>45858</v>
      </c>
    </row>
    <row r="837" spans="1:14" x14ac:dyDescent="0.25">
      <c r="A837" s="29">
        <v>836</v>
      </c>
      <c r="B837" s="1" t="s">
        <v>397</v>
      </c>
      <c r="C837" s="31">
        <v>45792</v>
      </c>
      <c r="D837" s="1" t="s">
        <v>233</v>
      </c>
      <c r="E837" s="13" t="s">
        <v>2154</v>
      </c>
      <c r="F837" s="1" t="s">
        <v>33</v>
      </c>
      <c r="G837" s="1" t="s">
        <v>365</v>
      </c>
      <c r="H837" s="1" t="s">
        <v>421</v>
      </c>
      <c r="I837" s="31">
        <v>45804</v>
      </c>
      <c r="J837" s="1" t="s">
        <v>422</v>
      </c>
      <c r="K837" s="1" t="s">
        <v>37</v>
      </c>
      <c r="L837" s="1" t="s">
        <v>423</v>
      </c>
      <c r="M837" s="2" t="s">
        <v>2155</v>
      </c>
      <c r="N837" s="31">
        <v>45859</v>
      </c>
    </row>
    <row r="838" spans="1:14" x14ac:dyDescent="0.25">
      <c r="A838" s="29">
        <v>837</v>
      </c>
      <c r="B838" s="1" t="s">
        <v>401</v>
      </c>
      <c r="C838" s="31">
        <v>45720</v>
      </c>
      <c r="D838" s="1" t="s">
        <v>72</v>
      </c>
      <c r="E838" s="13" t="s">
        <v>2156</v>
      </c>
      <c r="F838" s="1" t="s">
        <v>89</v>
      </c>
      <c r="G838" s="1" t="s">
        <v>172</v>
      </c>
      <c r="H838" s="1" t="s">
        <v>427</v>
      </c>
      <c r="I838" s="31">
        <v>45828</v>
      </c>
      <c r="J838" s="1" t="s">
        <v>428</v>
      </c>
      <c r="K838" s="1" t="s">
        <v>37</v>
      </c>
      <c r="L838" s="1" t="s">
        <v>429</v>
      </c>
      <c r="M838" s="2" t="s">
        <v>2157</v>
      </c>
      <c r="N838" s="31">
        <v>45895</v>
      </c>
    </row>
    <row r="839" spans="1:14" x14ac:dyDescent="0.25">
      <c r="A839" s="29">
        <v>838</v>
      </c>
      <c r="B839" s="1" t="s">
        <v>103</v>
      </c>
      <c r="C839" s="31">
        <v>45902</v>
      </c>
      <c r="D839" s="1" t="s">
        <v>432</v>
      </c>
      <c r="E839" s="13" t="s">
        <v>2158</v>
      </c>
      <c r="F839" s="1" t="s">
        <v>33</v>
      </c>
      <c r="G839" s="1" t="s">
        <v>353</v>
      </c>
      <c r="H839" s="1" t="s">
        <v>82</v>
      </c>
      <c r="I839" s="31">
        <v>45948</v>
      </c>
      <c r="J839" s="1" t="s">
        <v>434</v>
      </c>
      <c r="K839" s="1" t="s">
        <v>37</v>
      </c>
      <c r="L839" s="1" t="s">
        <v>435</v>
      </c>
      <c r="M839" s="2" t="s">
        <v>2159</v>
      </c>
      <c r="N839" s="31">
        <v>45884</v>
      </c>
    </row>
    <row r="840" spans="1:14" x14ac:dyDescent="0.25">
      <c r="A840" s="29">
        <v>839</v>
      </c>
      <c r="B840" s="1" t="s">
        <v>412</v>
      </c>
      <c r="C840" s="31">
        <v>45772</v>
      </c>
      <c r="D840" s="1" t="s">
        <v>438</v>
      </c>
      <c r="E840" s="13" t="s">
        <v>2160</v>
      </c>
      <c r="F840" s="1" t="s">
        <v>89</v>
      </c>
      <c r="G840" s="1" t="s">
        <v>120</v>
      </c>
      <c r="H840" s="1" t="s">
        <v>121</v>
      </c>
      <c r="I840" s="31">
        <v>45866</v>
      </c>
      <c r="J840" s="1" t="s">
        <v>440</v>
      </c>
      <c r="K840" s="1" t="s">
        <v>37</v>
      </c>
      <c r="L840" s="1" t="s">
        <v>441</v>
      </c>
      <c r="M840" s="2" t="s">
        <v>2161</v>
      </c>
      <c r="N840" s="31">
        <v>45857</v>
      </c>
    </row>
    <row r="841" spans="1:14" x14ac:dyDescent="0.25">
      <c r="A841" s="29">
        <v>840</v>
      </c>
      <c r="B841" s="1" t="s">
        <v>419</v>
      </c>
      <c r="C841" s="31">
        <v>45877</v>
      </c>
      <c r="D841" s="1" t="s">
        <v>444</v>
      </c>
      <c r="E841" s="13" t="s">
        <v>2162</v>
      </c>
      <c r="F841" s="1" t="s">
        <v>89</v>
      </c>
      <c r="G841" s="1" t="s">
        <v>446</v>
      </c>
      <c r="H841" s="1" t="s">
        <v>44</v>
      </c>
      <c r="I841" s="31">
        <v>45911</v>
      </c>
      <c r="J841" s="1" t="s">
        <v>447</v>
      </c>
      <c r="K841" s="1" t="s">
        <v>37</v>
      </c>
      <c r="L841" s="1" t="s">
        <v>448</v>
      </c>
      <c r="M841" s="2" t="s">
        <v>2163</v>
      </c>
      <c r="N841" s="31">
        <v>45856</v>
      </c>
    </row>
    <row r="842" spans="1:14" x14ac:dyDescent="0.25">
      <c r="A842" s="29">
        <v>841</v>
      </c>
      <c r="B842" s="1" t="s">
        <v>425</v>
      </c>
      <c r="C842" s="31">
        <v>45719</v>
      </c>
      <c r="D842" s="1" t="s">
        <v>297</v>
      </c>
      <c r="E842" s="13" t="s">
        <v>2164</v>
      </c>
      <c r="F842" s="1" t="s">
        <v>33</v>
      </c>
      <c r="G842" s="1" t="s">
        <v>452</v>
      </c>
      <c r="H842" s="1" t="s">
        <v>453</v>
      </c>
      <c r="I842" s="31">
        <v>45770</v>
      </c>
      <c r="J842" s="1" t="s">
        <v>243</v>
      </c>
      <c r="K842" s="1" t="s">
        <v>37</v>
      </c>
      <c r="L842" s="1" t="s">
        <v>454</v>
      </c>
      <c r="M842" s="2" t="s">
        <v>2165</v>
      </c>
      <c r="N842" s="31">
        <v>45870</v>
      </c>
    </row>
    <row r="843" spans="1:14" x14ac:dyDescent="0.25">
      <c r="A843" s="29">
        <v>842</v>
      </c>
      <c r="B843" s="1" t="s">
        <v>431</v>
      </c>
      <c r="C843" s="31">
        <v>45744</v>
      </c>
      <c r="D843" s="1" t="s">
        <v>64</v>
      </c>
      <c r="E843" s="13" t="s">
        <v>2166</v>
      </c>
      <c r="F843" s="1" t="s">
        <v>89</v>
      </c>
      <c r="G843" s="1" t="s">
        <v>113</v>
      </c>
      <c r="H843" s="1" t="s">
        <v>299</v>
      </c>
      <c r="I843" s="31">
        <v>45788</v>
      </c>
      <c r="J843" s="1" t="s">
        <v>458</v>
      </c>
      <c r="K843" s="1" t="s">
        <v>37</v>
      </c>
      <c r="L843" s="1" t="s">
        <v>459</v>
      </c>
      <c r="M843" s="2" t="s">
        <v>2167</v>
      </c>
      <c r="N843" s="31">
        <v>45885</v>
      </c>
    </row>
    <row r="844" spans="1:14" x14ac:dyDescent="0.25">
      <c r="A844" s="29">
        <v>843</v>
      </c>
      <c r="B844" s="1" t="s">
        <v>437</v>
      </c>
      <c r="C844" s="31">
        <v>45825</v>
      </c>
      <c r="D844" s="1" t="s">
        <v>240</v>
      </c>
      <c r="E844" s="13" t="s">
        <v>2168</v>
      </c>
      <c r="F844" s="1" t="s">
        <v>89</v>
      </c>
      <c r="G844" s="1" t="s">
        <v>105</v>
      </c>
      <c r="H844" s="1" t="s">
        <v>256</v>
      </c>
      <c r="I844" s="31">
        <v>45852</v>
      </c>
      <c r="J844" s="1" t="s">
        <v>463</v>
      </c>
      <c r="K844" s="1" t="s">
        <v>37</v>
      </c>
      <c r="L844" s="1" t="s">
        <v>464</v>
      </c>
      <c r="M844" s="2" t="s">
        <v>2169</v>
      </c>
      <c r="N844" s="31">
        <v>45871</v>
      </c>
    </row>
    <row r="845" spans="1:14" x14ac:dyDescent="0.25">
      <c r="A845" s="29">
        <v>844</v>
      </c>
      <c r="B845" s="1" t="s">
        <v>443</v>
      </c>
      <c r="C845" s="31">
        <v>45917</v>
      </c>
      <c r="D845" s="1" t="s">
        <v>467</v>
      </c>
      <c r="E845" s="13" t="s">
        <v>2170</v>
      </c>
      <c r="F845" s="1" t="s">
        <v>89</v>
      </c>
      <c r="G845" s="1" t="s">
        <v>469</v>
      </c>
      <c r="H845" s="1" t="s">
        <v>470</v>
      </c>
      <c r="I845" s="31">
        <v>46021</v>
      </c>
      <c r="J845" s="1" t="s">
        <v>471</v>
      </c>
      <c r="K845" s="1" t="s">
        <v>37</v>
      </c>
      <c r="L845" s="1" t="s">
        <v>472</v>
      </c>
      <c r="M845" s="2" t="s">
        <v>2171</v>
      </c>
      <c r="N845" s="31">
        <v>45861</v>
      </c>
    </row>
    <row r="846" spans="1:14" x14ac:dyDescent="0.25">
      <c r="A846" s="29">
        <v>845</v>
      </c>
      <c r="B846" s="1" t="s">
        <v>450</v>
      </c>
      <c r="C846" s="31">
        <v>45872</v>
      </c>
      <c r="D846" s="1" t="s">
        <v>351</v>
      </c>
      <c r="E846" s="13" t="s">
        <v>2172</v>
      </c>
      <c r="F846" s="1" t="s">
        <v>89</v>
      </c>
      <c r="G846" s="1" t="s">
        <v>475</v>
      </c>
      <c r="H846" s="1" t="s">
        <v>453</v>
      </c>
      <c r="I846" s="31">
        <v>45939</v>
      </c>
      <c r="J846" s="1" t="s">
        <v>476</v>
      </c>
      <c r="K846" s="1" t="s">
        <v>37</v>
      </c>
      <c r="L846" s="1" t="s">
        <v>477</v>
      </c>
      <c r="M846" s="2" t="s">
        <v>2173</v>
      </c>
      <c r="N846" s="31">
        <v>45873</v>
      </c>
    </row>
    <row r="847" spans="1:14" x14ac:dyDescent="0.25">
      <c r="A847" s="29">
        <v>846</v>
      </c>
      <c r="B847" s="1" t="s">
        <v>456</v>
      </c>
      <c r="C847" s="31">
        <v>45678</v>
      </c>
      <c r="D847" s="1" t="s">
        <v>480</v>
      </c>
      <c r="E847" s="13" t="s">
        <v>2174</v>
      </c>
      <c r="F847" s="1" t="s">
        <v>89</v>
      </c>
      <c r="G847" s="1" t="s">
        <v>201</v>
      </c>
      <c r="H847" s="1" t="s">
        <v>202</v>
      </c>
      <c r="I847" s="31">
        <v>45741</v>
      </c>
      <c r="J847" s="1" t="s">
        <v>68</v>
      </c>
      <c r="K847" s="1" t="s">
        <v>37</v>
      </c>
      <c r="L847" s="1" t="s">
        <v>482</v>
      </c>
      <c r="M847" s="2" t="s">
        <v>2175</v>
      </c>
      <c r="N847" s="31">
        <v>45853</v>
      </c>
    </row>
    <row r="848" spans="1:14" x14ac:dyDescent="0.25">
      <c r="A848" s="29">
        <v>847</v>
      </c>
      <c r="B848" s="1" t="s">
        <v>461</v>
      </c>
      <c r="C848" s="31">
        <v>45871</v>
      </c>
      <c r="D848" s="1" t="s">
        <v>484</v>
      </c>
      <c r="E848" s="13" t="s">
        <v>2176</v>
      </c>
      <c r="F848" s="1" t="s">
        <v>33</v>
      </c>
      <c r="G848" s="1" t="s">
        <v>58</v>
      </c>
      <c r="H848" s="1" t="s">
        <v>91</v>
      </c>
      <c r="I848" s="31">
        <v>45877</v>
      </c>
      <c r="J848" s="1" t="s">
        <v>45</v>
      </c>
      <c r="K848" s="1" t="s">
        <v>37</v>
      </c>
      <c r="L848" s="1" t="s">
        <v>486</v>
      </c>
      <c r="M848" s="2" t="s">
        <v>2177</v>
      </c>
      <c r="N848" s="31">
        <v>45865</v>
      </c>
    </row>
    <row r="849" spans="1:14" x14ac:dyDescent="0.25">
      <c r="A849" s="29">
        <v>848</v>
      </c>
      <c r="B849" s="1" t="s">
        <v>466</v>
      </c>
      <c r="C849" s="31">
        <v>45678</v>
      </c>
      <c r="D849" s="1" t="s">
        <v>225</v>
      </c>
      <c r="E849" s="13" t="s">
        <v>2178</v>
      </c>
      <c r="F849" s="1" t="s">
        <v>33</v>
      </c>
      <c r="G849" s="1" t="s">
        <v>490</v>
      </c>
      <c r="H849" s="1" t="s">
        <v>383</v>
      </c>
      <c r="I849" s="31">
        <v>45723</v>
      </c>
      <c r="J849" s="1" t="s">
        <v>197</v>
      </c>
      <c r="K849" s="1" t="s">
        <v>37</v>
      </c>
      <c r="L849" s="1" t="s">
        <v>491</v>
      </c>
      <c r="M849" s="2" t="s">
        <v>2179</v>
      </c>
      <c r="N849" s="31">
        <v>45840</v>
      </c>
    </row>
    <row r="850" spans="1:14" x14ac:dyDescent="0.25">
      <c r="A850" s="29">
        <v>849</v>
      </c>
      <c r="B850" s="1" t="s">
        <v>466</v>
      </c>
      <c r="C850" s="31">
        <v>45759</v>
      </c>
      <c r="D850" s="1" t="s">
        <v>31</v>
      </c>
      <c r="E850" s="13" t="s">
        <v>2180</v>
      </c>
      <c r="F850" s="1" t="s">
        <v>33</v>
      </c>
      <c r="G850" s="1" t="s">
        <v>164</v>
      </c>
      <c r="H850" s="1" t="s">
        <v>165</v>
      </c>
      <c r="I850" s="31">
        <v>45784</v>
      </c>
      <c r="J850" s="1" t="s">
        <v>114</v>
      </c>
      <c r="K850" s="1" t="s">
        <v>37</v>
      </c>
      <c r="L850" s="1" t="s">
        <v>494</v>
      </c>
      <c r="M850" s="2" t="s">
        <v>2181</v>
      </c>
      <c r="N850" s="31">
        <v>45878</v>
      </c>
    </row>
    <row r="851" spans="1:14" x14ac:dyDescent="0.25">
      <c r="A851" s="29">
        <v>850</v>
      </c>
      <c r="B851" s="1" t="s">
        <v>479</v>
      </c>
      <c r="C851" s="31">
        <v>45922</v>
      </c>
      <c r="D851" s="1" t="s">
        <v>332</v>
      </c>
      <c r="E851" s="13" t="s">
        <v>2182</v>
      </c>
      <c r="F851" s="1" t="s">
        <v>89</v>
      </c>
      <c r="G851" s="1" t="s">
        <v>497</v>
      </c>
      <c r="H851" s="1" t="s">
        <v>121</v>
      </c>
      <c r="I851" s="31">
        <v>46001</v>
      </c>
      <c r="J851" s="1" t="s">
        <v>377</v>
      </c>
      <c r="K851" s="1" t="s">
        <v>37</v>
      </c>
      <c r="L851" s="1" t="s">
        <v>498</v>
      </c>
      <c r="M851" s="2" t="s">
        <v>2183</v>
      </c>
      <c r="N851" s="31">
        <v>45845</v>
      </c>
    </row>
    <row r="852" spans="1:14" x14ac:dyDescent="0.25">
      <c r="A852" s="29">
        <v>851</v>
      </c>
      <c r="B852" s="1" t="s">
        <v>71</v>
      </c>
      <c r="C852" s="31">
        <v>45951</v>
      </c>
      <c r="D852" s="1" t="s">
        <v>64</v>
      </c>
      <c r="E852" s="13" t="s">
        <v>2184</v>
      </c>
      <c r="F852" s="1" t="s">
        <v>33</v>
      </c>
      <c r="G852" s="1" t="s">
        <v>337</v>
      </c>
      <c r="H852" s="1" t="s">
        <v>427</v>
      </c>
      <c r="I852" s="31">
        <v>45996</v>
      </c>
      <c r="J852" s="1" t="s">
        <v>52</v>
      </c>
      <c r="K852" s="1" t="s">
        <v>37</v>
      </c>
      <c r="L852" s="1" t="s">
        <v>501</v>
      </c>
      <c r="M852" s="2" t="s">
        <v>2185</v>
      </c>
      <c r="N852" s="31">
        <v>45858</v>
      </c>
    </row>
    <row r="853" spans="1:14" x14ac:dyDescent="0.25">
      <c r="A853" s="29">
        <v>852</v>
      </c>
      <c r="B853" s="1" t="s">
        <v>488</v>
      </c>
      <c r="C853" s="31">
        <v>45810</v>
      </c>
      <c r="D853" s="1" t="s">
        <v>87</v>
      </c>
      <c r="E853" s="13" t="s">
        <v>2186</v>
      </c>
      <c r="F853" s="1" t="s">
        <v>33</v>
      </c>
      <c r="G853" s="1" t="s">
        <v>469</v>
      </c>
      <c r="H853" s="1" t="s">
        <v>317</v>
      </c>
      <c r="I853" s="31">
        <v>45883</v>
      </c>
      <c r="J853" s="1" t="s">
        <v>458</v>
      </c>
      <c r="K853" s="1" t="s">
        <v>37</v>
      </c>
      <c r="L853" s="1" t="s">
        <v>505</v>
      </c>
      <c r="M853" s="2" t="s">
        <v>2187</v>
      </c>
      <c r="N853" s="31">
        <v>45865</v>
      </c>
    </row>
    <row r="854" spans="1:14" x14ac:dyDescent="0.25">
      <c r="A854" s="29">
        <v>853</v>
      </c>
      <c r="B854" s="1" t="s">
        <v>161</v>
      </c>
      <c r="C854" s="31">
        <v>45803</v>
      </c>
      <c r="D854" s="1" t="s">
        <v>260</v>
      </c>
      <c r="E854" s="13" t="s">
        <v>2188</v>
      </c>
      <c r="F854" s="1" t="s">
        <v>33</v>
      </c>
      <c r="G854" s="1" t="s">
        <v>508</v>
      </c>
      <c r="H854" s="1" t="s">
        <v>376</v>
      </c>
      <c r="I854" s="31">
        <v>45810</v>
      </c>
      <c r="J854" s="1" t="s">
        <v>428</v>
      </c>
      <c r="K854" s="1" t="s">
        <v>37</v>
      </c>
      <c r="L854" s="1" t="s">
        <v>509</v>
      </c>
      <c r="M854" s="2" t="s">
        <v>2189</v>
      </c>
      <c r="N854" s="31">
        <v>45885</v>
      </c>
    </row>
    <row r="855" spans="1:14" x14ac:dyDescent="0.25">
      <c r="A855" s="29">
        <v>854</v>
      </c>
      <c r="B855" s="1" t="s">
        <v>184</v>
      </c>
      <c r="C855" s="31">
        <v>45745</v>
      </c>
      <c r="D855" s="1" t="s">
        <v>170</v>
      </c>
      <c r="E855" s="13" t="s">
        <v>2190</v>
      </c>
      <c r="F855" s="1" t="s">
        <v>89</v>
      </c>
      <c r="G855" s="1" t="s">
        <v>513</v>
      </c>
      <c r="H855" s="1" t="s">
        <v>196</v>
      </c>
      <c r="I855" s="31">
        <v>45765</v>
      </c>
      <c r="J855" s="1" t="s">
        <v>318</v>
      </c>
      <c r="K855" s="1" t="s">
        <v>37</v>
      </c>
      <c r="L855" s="1" t="s">
        <v>514</v>
      </c>
      <c r="M855" s="2" t="s">
        <v>2191</v>
      </c>
      <c r="N855" s="31">
        <v>45867</v>
      </c>
    </row>
    <row r="856" spans="1:14" x14ac:dyDescent="0.25">
      <c r="A856" s="29">
        <v>855</v>
      </c>
      <c r="B856" s="1" t="s">
        <v>40</v>
      </c>
      <c r="C856" s="31">
        <v>45710</v>
      </c>
      <c r="D856" s="1" t="s">
        <v>185</v>
      </c>
      <c r="E856" s="13" t="s">
        <v>2192</v>
      </c>
      <c r="F856" s="1" t="s">
        <v>33</v>
      </c>
      <c r="G856" s="1" t="s">
        <v>490</v>
      </c>
      <c r="H856" s="1" t="s">
        <v>99</v>
      </c>
      <c r="I856" s="31">
        <v>45826</v>
      </c>
      <c r="J856" s="1" t="s">
        <v>518</v>
      </c>
      <c r="K856" s="1" t="s">
        <v>37</v>
      </c>
      <c r="L856" s="1" t="s">
        <v>519</v>
      </c>
      <c r="M856" s="2" t="s">
        <v>2193</v>
      </c>
      <c r="N856" s="31">
        <v>45895</v>
      </c>
    </row>
    <row r="857" spans="1:14" x14ac:dyDescent="0.25">
      <c r="A857" s="29">
        <v>856</v>
      </c>
      <c r="B857" s="1" t="s">
        <v>503</v>
      </c>
      <c r="C857" s="31">
        <v>45924</v>
      </c>
      <c r="D857" s="1" t="s">
        <v>154</v>
      </c>
      <c r="E857" s="13" t="s">
        <v>2194</v>
      </c>
      <c r="F857" s="1" t="s">
        <v>89</v>
      </c>
      <c r="G857" s="1" t="s">
        <v>490</v>
      </c>
      <c r="H857" s="1" t="s">
        <v>523</v>
      </c>
      <c r="I857" s="31">
        <v>45978</v>
      </c>
      <c r="J857" s="1" t="s">
        <v>428</v>
      </c>
      <c r="K857" s="1" t="s">
        <v>37</v>
      </c>
      <c r="L857" s="1" t="s">
        <v>524</v>
      </c>
      <c r="M857" s="2" t="s">
        <v>2195</v>
      </c>
      <c r="N857" s="31">
        <v>45847</v>
      </c>
    </row>
    <row r="858" spans="1:14" x14ac:dyDescent="0.25">
      <c r="A858" s="29">
        <v>857</v>
      </c>
      <c r="B858" s="1" t="s">
        <v>103</v>
      </c>
      <c r="C858" s="31">
        <v>45884</v>
      </c>
      <c r="D858" s="1" t="s">
        <v>527</v>
      </c>
      <c r="E858" s="13" t="s">
        <v>2196</v>
      </c>
      <c r="F858" s="1" t="s">
        <v>89</v>
      </c>
      <c r="G858" s="1" t="s">
        <v>113</v>
      </c>
      <c r="H858" s="1" t="s">
        <v>262</v>
      </c>
      <c r="I858" s="31">
        <v>45993</v>
      </c>
      <c r="J858" s="1" t="s">
        <v>529</v>
      </c>
      <c r="K858" s="1" t="s">
        <v>37</v>
      </c>
      <c r="L858" s="1" t="s">
        <v>530</v>
      </c>
      <c r="M858" s="2" t="s">
        <v>2197</v>
      </c>
      <c r="N858" s="31">
        <v>45896</v>
      </c>
    </row>
    <row r="859" spans="1:14" x14ac:dyDescent="0.25">
      <c r="A859" s="29">
        <v>858</v>
      </c>
      <c r="B859" s="1" t="s">
        <v>511</v>
      </c>
      <c r="C859" s="31">
        <v>45849</v>
      </c>
      <c r="D859" s="1" t="s">
        <v>432</v>
      </c>
      <c r="E859" s="13" t="s">
        <v>2198</v>
      </c>
      <c r="F859" s="1" t="s">
        <v>33</v>
      </c>
      <c r="G859" s="1" t="s">
        <v>534</v>
      </c>
      <c r="H859" s="1" t="s">
        <v>311</v>
      </c>
      <c r="I859" s="31">
        <v>45947</v>
      </c>
      <c r="J859" s="1" t="s">
        <v>535</v>
      </c>
      <c r="K859" s="1" t="s">
        <v>37</v>
      </c>
      <c r="L859" s="1" t="s">
        <v>536</v>
      </c>
      <c r="M859" s="2" t="s">
        <v>2199</v>
      </c>
      <c r="N859" s="31">
        <v>45858</v>
      </c>
    </row>
    <row r="860" spans="1:14" x14ac:dyDescent="0.25">
      <c r="A860" s="29">
        <v>859</v>
      </c>
      <c r="B860" s="1" t="s">
        <v>516</v>
      </c>
      <c r="C860" s="31">
        <v>45828</v>
      </c>
      <c r="D860" s="1" t="s">
        <v>233</v>
      </c>
      <c r="E860" s="13" t="s">
        <v>2200</v>
      </c>
      <c r="F860" s="1" t="s">
        <v>33</v>
      </c>
      <c r="G860" s="1" t="s">
        <v>90</v>
      </c>
      <c r="H860" s="1" t="s">
        <v>91</v>
      </c>
      <c r="I860" s="31">
        <v>45920</v>
      </c>
      <c r="J860" s="1" t="s">
        <v>540</v>
      </c>
      <c r="K860" s="1" t="s">
        <v>37</v>
      </c>
      <c r="L860" s="1" t="s">
        <v>541</v>
      </c>
      <c r="M860" s="2" t="s">
        <v>2201</v>
      </c>
      <c r="N860" s="31">
        <v>45869</v>
      </c>
    </row>
    <row r="861" spans="1:14" x14ac:dyDescent="0.25">
      <c r="A861" s="29">
        <v>860</v>
      </c>
      <c r="B861" s="1" t="s">
        <v>521</v>
      </c>
      <c r="C861" s="31">
        <v>45846</v>
      </c>
      <c r="D861" s="1" t="s">
        <v>56</v>
      </c>
      <c r="E861" s="13" t="s">
        <v>2202</v>
      </c>
      <c r="F861" s="1" t="s">
        <v>89</v>
      </c>
      <c r="G861" s="1" t="s">
        <v>195</v>
      </c>
      <c r="H861" s="1" t="s">
        <v>196</v>
      </c>
      <c r="I861" s="31">
        <v>45910</v>
      </c>
      <c r="J861" s="1" t="s">
        <v>545</v>
      </c>
      <c r="K861" s="1" t="s">
        <v>37</v>
      </c>
      <c r="L861" s="1" t="s">
        <v>546</v>
      </c>
      <c r="M861" s="2" t="s">
        <v>2203</v>
      </c>
      <c r="N861" s="31">
        <v>45853</v>
      </c>
    </row>
    <row r="862" spans="1:14" x14ac:dyDescent="0.25">
      <c r="A862" s="29">
        <v>861</v>
      </c>
      <c r="B862" s="1" t="s">
        <v>526</v>
      </c>
      <c r="C862" s="31">
        <v>45841</v>
      </c>
      <c r="D862" s="1" t="s">
        <v>56</v>
      </c>
      <c r="E862" s="13" t="s">
        <v>2204</v>
      </c>
      <c r="F862" s="1" t="s">
        <v>33</v>
      </c>
      <c r="G862" s="1" t="s">
        <v>287</v>
      </c>
      <c r="H862" s="1" t="s">
        <v>415</v>
      </c>
      <c r="I862" s="31">
        <v>45873</v>
      </c>
      <c r="J862" s="1" t="s">
        <v>549</v>
      </c>
      <c r="K862" s="1" t="s">
        <v>37</v>
      </c>
      <c r="L862" s="1" t="s">
        <v>550</v>
      </c>
      <c r="M862" s="2" t="s">
        <v>2205</v>
      </c>
      <c r="N862" s="31">
        <v>45893</v>
      </c>
    </row>
    <row r="863" spans="1:14" x14ac:dyDescent="0.25">
      <c r="A863" s="29">
        <v>862</v>
      </c>
      <c r="B863" s="1" t="s">
        <v>532</v>
      </c>
      <c r="C863" s="31">
        <v>45922</v>
      </c>
      <c r="D863" s="1" t="s">
        <v>552</v>
      </c>
      <c r="E863" s="13" t="s">
        <v>2206</v>
      </c>
      <c r="F863" s="1" t="s">
        <v>89</v>
      </c>
      <c r="G863" s="1" t="s">
        <v>534</v>
      </c>
      <c r="H863" s="1" t="s">
        <v>366</v>
      </c>
      <c r="I863" s="31">
        <v>45983</v>
      </c>
      <c r="J863" s="1" t="s">
        <v>318</v>
      </c>
      <c r="K863" s="1" t="s">
        <v>37</v>
      </c>
      <c r="L863" s="1" t="s">
        <v>554</v>
      </c>
      <c r="M863" s="2" t="s">
        <v>2207</v>
      </c>
      <c r="N863" s="31">
        <v>45868</v>
      </c>
    </row>
    <row r="864" spans="1:14" x14ac:dyDescent="0.25">
      <c r="A864" s="29">
        <v>863</v>
      </c>
      <c r="B864" s="1" t="s">
        <v>538</v>
      </c>
      <c r="C864" s="31">
        <v>45721</v>
      </c>
      <c r="D864" s="1" t="s">
        <v>308</v>
      </c>
      <c r="E864" s="13" t="s">
        <v>2208</v>
      </c>
      <c r="F864" s="1" t="s">
        <v>89</v>
      </c>
      <c r="G864" s="1" t="s">
        <v>141</v>
      </c>
      <c r="H864" s="1" t="s">
        <v>557</v>
      </c>
      <c r="I864" s="31">
        <v>45744</v>
      </c>
      <c r="J864" s="1" t="s">
        <v>128</v>
      </c>
      <c r="K864" s="1" t="s">
        <v>37</v>
      </c>
      <c r="L864" s="1" t="s">
        <v>558</v>
      </c>
      <c r="M864" s="2" t="s">
        <v>2209</v>
      </c>
      <c r="N864" s="31">
        <v>45885</v>
      </c>
    </row>
    <row r="865" spans="1:14" x14ac:dyDescent="0.25">
      <c r="A865" s="29">
        <v>864</v>
      </c>
      <c r="B865" s="1" t="s">
        <v>543</v>
      </c>
      <c r="C865" s="31">
        <v>45751</v>
      </c>
      <c r="D865" s="1" t="s">
        <v>552</v>
      </c>
      <c r="E865" s="13" t="s">
        <v>2210</v>
      </c>
      <c r="F865" s="1" t="s">
        <v>33</v>
      </c>
      <c r="G865" s="1" t="s">
        <v>561</v>
      </c>
      <c r="H865" s="1" t="s">
        <v>453</v>
      </c>
      <c r="I865" s="31">
        <v>45763</v>
      </c>
      <c r="J865" s="1" t="s">
        <v>562</v>
      </c>
      <c r="K865" s="1" t="s">
        <v>37</v>
      </c>
      <c r="L865" s="1" t="s">
        <v>563</v>
      </c>
      <c r="M865" s="2" t="s">
        <v>2211</v>
      </c>
      <c r="N865" s="31">
        <v>45878</v>
      </c>
    </row>
    <row r="866" spans="1:14" x14ac:dyDescent="0.25">
      <c r="A866" s="29">
        <v>865</v>
      </c>
      <c r="B866" s="1" t="s">
        <v>284</v>
      </c>
      <c r="C866" s="31">
        <v>45863</v>
      </c>
      <c r="D866" s="1" t="s">
        <v>308</v>
      </c>
      <c r="E866" s="13" t="s">
        <v>2212</v>
      </c>
      <c r="F866" s="1" t="s">
        <v>89</v>
      </c>
      <c r="G866" s="1" t="s">
        <v>58</v>
      </c>
      <c r="H866" s="1" t="s">
        <v>44</v>
      </c>
      <c r="I866" s="31">
        <v>45879</v>
      </c>
      <c r="J866" s="1" t="s">
        <v>566</v>
      </c>
      <c r="K866" s="1" t="s">
        <v>37</v>
      </c>
      <c r="L866" s="1" t="s">
        <v>567</v>
      </c>
      <c r="M866" s="2" t="s">
        <v>2213</v>
      </c>
      <c r="N866" s="31">
        <v>45854</v>
      </c>
    </row>
    <row r="867" spans="1:14" x14ac:dyDescent="0.25">
      <c r="A867" s="29">
        <v>866</v>
      </c>
      <c r="B867" s="1" t="s">
        <v>350</v>
      </c>
      <c r="C867" s="31">
        <v>45678</v>
      </c>
      <c r="D867" s="1" t="s">
        <v>552</v>
      </c>
      <c r="E867" s="13" t="s">
        <v>2214</v>
      </c>
      <c r="F867" s="1" t="s">
        <v>89</v>
      </c>
      <c r="G867" s="1" t="s">
        <v>120</v>
      </c>
      <c r="H867" s="1" t="s">
        <v>383</v>
      </c>
      <c r="I867" s="31">
        <v>45709</v>
      </c>
      <c r="J867" s="1" t="s">
        <v>571</v>
      </c>
      <c r="K867" s="1" t="s">
        <v>37</v>
      </c>
      <c r="L867" s="1" t="s">
        <v>572</v>
      </c>
      <c r="M867" s="2" t="s">
        <v>2215</v>
      </c>
      <c r="N867" s="31">
        <v>45844</v>
      </c>
    </row>
    <row r="868" spans="1:14" x14ac:dyDescent="0.25">
      <c r="A868" s="29">
        <v>867</v>
      </c>
      <c r="B868" s="1" t="s">
        <v>437</v>
      </c>
      <c r="C868" s="31">
        <v>45815</v>
      </c>
      <c r="D868" s="1" t="s">
        <v>480</v>
      </c>
      <c r="E868" s="13" t="s">
        <v>2216</v>
      </c>
      <c r="F868" s="1" t="s">
        <v>89</v>
      </c>
      <c r="G868" s="1" t="s">
        <v>346</v>
      </c>
      <c r="H868" s="1" t="s">
        <v>427</v>
      </c>
      <c r="I868" s="31">
        <v>45869</v>
      </c>
      <c r="J868" s="1" t="s">
        <v>575</v>
      </c>
      <c r="K868" s="1" t="s">
        <v>37</v>
      </c>
      <c r="L868" s="1" t="s">
        <v>576</v>
      </c>
      <c r="M868" s="2" t="s">
        <v>2217</v>
      </c>
      <c r="N868" s="31">
        <v>45885</v>
      </c>
    </row>
    <row r="869" spans="1:14" x14ac:dyDescent="0.25">
      <c r="A869" s="29">
        <v>868</v>
      </c>
      <c r="B869" s="1" t="s">
        <v>450</v>
      </c>
      <c r="C869" s="31">
        <v>45851</v>
      </c>
      <c r="D869" s="1" t="s">
        <v>170</v>
      </c>
      <c r="E869" s="13" t="s">
        <v>2218</v>
      </c>
      <c r="F869" s="1" t="s">
        <v>33</v>
      </c>
      <c r="G869" s="1" t="s">
        <v>475</v>
      </c>
      <c r="H869" s="1" t="s">
        <v>580</v>
      </c>
      <c r="I869" s="31">
        <v>45889</v>
      </c>
      <c r="J869" s="1" t="s">
        <v>581</v>
      </c>
      <c r="K869" s="1" t="s">
        <v>37</v>
      </c>
      <c r="L869" s="1" t="s">
        <v>582</v>
      </c>
      <c r="M869" s="2" t="s">
        <v>2219</v>
      </c>
      <c r="N869" s="31">
        <v>45891</v>
      </c>
    </row>
    <row r="870" spans="1:14" x14ac:dyDescent="0.25">
      <c r="A870" s="29">
        <v>869</v>
      </c>
      <c r="B870" s="1" t="s">
        <v>212</v>
      </c>
      <c r="C870" s="31">
        <v>45825</v>
      </c>
      <c r="D870" s="1" t="s">
        <v>240</v>
      </c>
      <c r="E870" s="13" t="s">
        <v>2220</v>
      </c>
      <c r="F870" s="1" t="s">
        <v>33</v>
      </c>
      <c r="G870" s="1" t="s">
        <v>172</v>
      </c>
      <c r="H870" s="1" t="s">
        <v>44</v>
      </c>
      <c r="I870" s="31">
        <v>45844</v>
      </c>
      <c r="J870" s="1" t="s">
        <v>585</v>
      </c>
      <c r="K870" s="1" t="s">
        <v>37</v>
      </c>
      <c r="L870" s="1" t="s">
        <v>586</v>
      </c>
      <c r="M870" s="2" t="s">
        <v>2221</v>
      </c>
      <c r="N870" s="31">
        <v>45847</v>
      </c>
    </row>
    <row r="871" spans="1:14" x14ac:dyDescent="0.25">
      <c r="A871" s="29">
        <v>870</v>
      </c>
      <c r="B871" s="1" t="s">
        <v>569</v>
      </c>
      <c r="C871" s="31">
        <v>45685</v>
      </c>
      <c r="D871" s="1" t="s">
        <v>72</v>
      </c>
      <c r="E871" s="13" t="s">
        <v>2222</v>
      </c>
      <c r="F871" s="1" t="s">
        <v>89</v>
      </c>
      <c r="G871" s="1" t="s">
        <v>220</v>
      </c>
      <c r="H871" s="1" t="s">
        <v>421</v>
      </c>
      <c r="I871" s="31">
        <v>45709</v>
      </c>
      <c r="J871" s="1" t="s">
        <v>589</v>
      </c>
      <c r="K871" s="1" t="s">
        <v>37</v>
      </c>
      <c r="L871" s="1" t="s">
        <v>590</v>
      </c>
      <c r="M871" s="2" t="s">
        <v>2223</v>
      </c>
      <c r="N871" s="31">
        <v>45884</v>
      </c>
    </row>
    <row r="872" spans="1:14" x14ac:dyDescent="0.25">
      <c r="A872" s="29">
        <v>871</v>
      </c>
      <c r="B872" s="1" t="s">
        <v>425</v>
      </c>
      <c r="C872" s="31">
        <v>45841</v>
      </c>
      <c r="D872" s="1" t="s">
        <v>233</v>
      </c>
      <c r="E872" s="13" t="s">
        <v>2224</v>
      </c>
      <c r="F872" s="1" t="s">
        <v>33</v>
      </c>
      <c r="G872" s="1" t="s">
        <v>469</v>
      </c>
      <c r="H872" s="1" t="s">
        <v>580</v>
      </c>
      <c r="I872" s="31">
        <v>45884</v>
      </c>
      <c r="J872" s="1" t="s">
        <v>214</v>
      </c>
      <c r="K872" s="1" t="s">
        <v>37</v>
      </c>
      <c r="L872" s="1" t="s">
        <v>593</v>
      </c>
      <c r="M872" s="2" t="s">
        <v>2225</v>
      </c>
      <c r="N872" s="31">
        <v>45873</v>
      </c>
    </row>
    <row r="873" spans="1:14" x14ac:dyDescent="0.25">
      <c r="A873" s="29">
        <v>872</v>
      </c>
      <c r="B873" s="1" t="s">
        <v>578</v>
      </c>
      <c r="C873" s="31">
        <v>45815</v>
      </c>
      <c r="D873" s="1" t="s">
        <v>391</v>
      </c>
      <c r="E873" s="13" t="s">
        <v>2226</v>
      </c>
      <c r="F873" s="1" t="s">
        <v>33</v>
      </c>
      <c r="G873" s="1" t="s">
        <v>596</v>
      </c>
      <c r="H873" s="1" t="s">
        <v>597</v>
      </c>
      <c r="I873" s="31">
        <v>45833</v>
      </c>
      <c r="J873" s="1" t="s">
        <v>598</v>
      </c>
      <c r="K873" s="1" t="s">
        <v>37</v>
      </c>
      <c r="L873" s="1" t="s">
        <v>599</v>
      </c>
      <c r="M873" s="2" t="s">
        <v>2227</v>
      </c>
      <c r="N873" s="31">
        <v>45844</v>
      </c>
    </row>
    <row r="874" spans="1:14" x14ac:dyDescent="0.25">
      <c r="A874" s="29">
        <v>873</v>
      </c>
      <c r="B874" s="1" t="s">
        <v>169</v>
      </c>
      <c r="C874" s="31">
        <v>45803</v>
      </c>
      <c r="D874" s="1" t="s">
        <v>79</v>
      </c>
      <c r="E874" s="13" t="s">
        <v>2228</v>
      </c>
      <c r="F874" s="1" t="s">
        <v>33</v>
      </c>
      <c r="G874" s="1" t="s">
        <v>164</v>
      </c>
      <c r="H874" s="1" t="s">
        <v>256</v>
      </c>
      <c r="I874" s="31">
        <v>45882</v>
      </c>
      <c r="J874" s="1" t="s">
        <v>602</v>
      </c>
      <c r="K874" s="1" t="s">
        <v>37</v>
      </c>
      <c r="L874" s="1" t="s">
        <v>603</v>
      </c>
      <c r="M874" s="2" t="s">
        <v>2229</v>
      </c>
      <c r="N874" s="31">
        <v>45887</v>
      </c>
    </row>
    <row r="875" spans="1:14" x14ac:dyDescent="0.25">
      <c r="A875" s="29">
        <v>874</v>
      </c>
      <c r="B875" s="1" t="s">
        <v>177</v>
      </c>
      <c r="C875" s="31">
        <v>45729</v>
      </c>
      <c r="D875" s="1" t="s">
        <v>56</v>
      </c>
      <c r="E875" s="13" t="s">
        <v>2230</v>
      </c>
      <c r="F875" s="1" t="s">
        <v>89</v>
      </c>
      <c r="G875" s="1" t="s">
        <v>606</v>
      </c>
      <c r="H875" s="1" t="s">
        <v>453</v>
      </c>
      <c r="I875" s="31">
        <v>45792</v>
      </c>
      <c r="J875" s="1" t="s">
        <v>607</v>
      </c>
      <c r="K875" s="1" t="s">
        <v>37</v>
      </c>
      <c r="L875" s="1" t="s">
        <v>608</v>
      </c>
      <c r="M875" s="2" t="s">
        <v>2231</v>
      </c>
      <c r="N875" s="31">
        <v>45858</v>
      </c>
    </row>
    <row r="876" spans="1:14" x14ac:dyDescent="0.25">
      <c r="A876" s="29">
        <v>875</v>
      </c>
      <c r="B876" s="1" t="s">
        <v>450</v>
      </c>
      <c r="C876" s="31">
        <v>45794</v>
      </c>
      <c r="D876" s="1" t="s">
        <v>611</v>
      </c>
      <c r="E876" s="13" t="s">
        <v>2232</v>
      </c>
      <c r="F876" s="1" t="s">
        <v>33</v>
      </c>
      <c r="G876" s="1" t="s">
        <v>497</v>
      </c>
      <c r="H876" s="1" t="s">
        <v>557</v>
      </c>
      <c r="I876" s="31">
        <v>45856</v>
      </c>
      <c r="J876" s="1" t="s">
        <v>613</v>
      </c>
      <c r="K876" s="1" t="s">
        <v>37</v>
      </c>
      <c r="L876" s="1" t="s">
        <v>614</v>
      </c>
      <c r="M876" s="2" t="s">
        <v>2233</v>
      </c>
      <c r="N876" s="31">
        <v>45860</v>
      </c>
    </row>
    <row r="877" spans="1:14" x14ac:dyDescent="0.25">
      <c r="A877" s="29">
        <v>876</v>
      </c>
      <c r="B877" s="1" t="s">
        <v>48</v>
      </c>
      <c r="C877" s="31">
        <v>45942</v>
      </c>
      <c r="D877" s="1" t="s">
        <v>444</v>
      </c>
      <c r="E877" s="13" t="s">
        <v>2234</v>
      </c>
      <c r="F877" s="1" t="s">
        <v>33</v>
      </c>
      <c r="G877" s="1" t="s">
        <v>337</v>
      </c>
      <c r="H877" s="1" t="s">
        <v>427</v>
      </c>
      <c r="I877" s="31">
        <v>45968</v>
      </c>
      <c r="J877" s="1" t="s">
        <v>617</v>
      </c>
      <c r="K877" s="1" t="s">
        <v>37</v>
      </c>
      <c r="L877" s="1" t="s">
        <v>618</v>
      </c>
      <c r="M877" s="2" t="s">
        <v>2235</v>
      </c>
      <c r="N877" s="31">
        <v>45870</v>
      </c>
    </row>
    <row r="878" spans="1:14" x14ac:dyDescent="0.25">
      <c r="A878" s="29">
        <v>877</v>
      </c>
      <c r="B878" s="1" t="s">
        <v>252</v>
      </c>
      <c r="C878" s="31">
        <v>45910</v>
      </c>
      <c r="D878" s="1" t="s">
        <v>246</v>
      </c>
      <c r="E878" s="13" t="s">
        <v>2236</v>
      </c>
      <c r="F878" s="1" t="s">
        <v>33</v>
      </c>
      <c r="G878" s="1" t="s">
        <v>43</v>
      </c>
      <c r="H878" s="1" t="s">
        <v>127</v>
      </c>
      <c r="I878" s="31">
        <v>45999</v>
      </c>
      <c r="J878" s="1" t="s">
        <v>622</v>
      </c>
      <c r="K878" s="1" t="s">
        <v>37</v>
      </c>
      <c r="L878" s="1" t="s">
        <v>623</v>
      </c>
      <c r="M878" s="2" t="s">
        <v>2237</v>
      </c>
      <c r="N878" s="31">
        <v>45866</v>
      </c>
    </row>
    <row r="879" spans="1:14" x14ac:dyDescent="0.25">
      <c r="A879" s="29">
        <v>878</v>
      </c>
      <c r="B879" s="1" t="s">
        <v>466</v>
      </c>
      <c r="C879" s="31">
        <v>45912</v>
      </c>
      <c r="D879" s="1" t="s">
        <v>552</v>
      </c>
      <c r="E879" s="13" t="s">
        <v>2238</v>
      </c>
      <c r="F879" s="1" t="s">
        <v>33</v>
      </c>
      <c r="G879" s="1" t="s">
        <v>179</v>
      </c>
      <c r="H879" s="1" t="s">
        <v>421</v>
      </c>
      <c r="I879" s="31">
        <v>45979</v>
      </c>
      <c r="J879" s="1" t="s">
        <v>107</v>
      </c>
      <c r="K879" s="1" t="s">
        <v>37</v>
      </c>
      <c r="L879" s="1" t="s">
        <v>626</v>
      </c>
      <c r="M879" s="2" t="s">
        <v>2239</v>
      </c>
      <c r="N879" s="31">
        <v>45858</v>
      </c>
    </row>
    <row r="880" spans="1:14" x14ac:dyDescent="0.25">
      <c r="A880" s="29">
        <v>879</v>
      </c>
      <c r="B880" s="1" t="s">
        <v>610</v>
      </c>
      <c r="C880" s="31">
        <v>45743</v>
      </c>
      <c r="D880" s="1" t="s">
        <v>285</v>
      </c>
      <c r="E880" s="13" t="s">
        <v>2240</v>
      </c>
      <c r="F880" s="1" t="s">
        <v>89</v>
      </c>
      <c r="G880" s="1" t="s">
        <v>208</v>
      </c>
      <c r="H880" s="1" t="s">
        <v>415</v>
      </c>
      <c r="I880" s="31">
        <v>45808</v>
      </c>
      <c r="J880" s="1" t="s">
        <v>236</v>
      </c>
      <c r="K880" s="1" t="s">
        <v>37</v>
      </c>
      <c r="L880" s="1" t="s">
        <v>629</v>
      </c>
      <c r="M880" s="2" t="s">
        <v>2241</v>
      </c>
      <c r="N880" s="31">
        <v>45880</v>
      </c>
    </row>
    <row r="881" spans="1:14" x14ac:dyDescent="0.25">
      <c r="A881" s="29">
        <v>880</v>
      </c>
      <c r="B881" s="1" t="s">
        <v>71</v>
      </c>
      <c r="C881" s="31">
        <v>45749</v>
      </c>
      <c r="D881" s="1" t="s">
        <v>41</v>
      </c>
      <c r="E881" s="13" t="s">
        <v>2242</v>
      </c>
      <c r="F881" s="1" t="s">
        <v>89</v>
      </c>
      <c r="G881" s="1" t="s">
        <v>513</v>
      </c>
      <c r="H881" s="1" t="s">
        <v>235</v>
      </c>
      <c r="I881" s="31">
        <v>45786</v>
      </c>
      <c r="J881" s="1" t="s">
        <v>602</v>
      </c>
      <c r="K881" s="1" t="s">
        <v>37</v>
      </c>
      <c r="L881" s="1" t="s">
        <v>633</v>
      </c>
      <c r="M881" s="2" t="s">
        <v>2243</v>
      </c>
      <c r="N881" s="31">
        <v>45878</v>
      </c>
    </row>
    <row r="882" spans="1:14" x14ac:dyDescent="0.25">
      <c r="A882" s="29">
        <v>881</v>
      </c>
      <c r="B882" s="1" t="s">
        <v>620</v>
      </c>
      <c r="C882" s="31">
        <v>45800</v>
      </c>
      <c r="D882" s="1" t="s">
        <v>267</v>
      </c>
      <c r="E882" s="13" t="s">
        <v>2244</v>
      </c>
      <c r="F882" s="1" t="s">
        <v>89</v>
      </c>
      <c r="G882" s="1" t="s">
        <v>561</v>
      </c>
      <c r="H882" s="1" t="s">
        <v>453</v>
      </c>
      <c r="I882" s="31">
        <v>45873</v>
      </c>
      <c r="J882" s="1" t="s">
        <v>637</v>
      </c>
      <c r="K882" s="1" t="s">
        <v>37</v>
      </c>
      <c r="L882" s="1" t="s">
        <v>638</v>
      </c>
      <c r="M882" s="2" t="s">
        <v>2245</v>
      </c>
      <c r="N882" s="31">
        <v>45895</v>
      </c>
    </row>
    <row r="883" spans="1:14" x14ac:dyDescent="0.25">
      <c r="A883" s="29">
        <v>882</v>
      </c>
      <c r="B883" s="1" t="s">
        <v>63</v>
      </c>
      <c r="C883" s="31">
        <v>45819</v>
      </c>
      <c r="D883" s="1" t="s">
        <v>363</v>
      </c>
      <c r="E883" s="13" t="s">
        <v>2246</v>
      </c>
      <c r="F883" s="1" t="s">
        <v>89</v>
      </c>
      <c r="G883" s="1" t="s">
        <v>187</v>
      </c>
      <c r="H883" s="1" t="s">
        <v>641</v>
      </c>
      <c r="I883" s="31">
        <v>45937</v>
      </c>
      <c r="J883" s="1" t="s">
        <v>562</v>
      </c>
      <c r="K883" s="1" t="s">
        <v>37</v>
      </c>
      <c r="L883" s="1" t="s">
        <v>642</v>
      </c>
      <c r="M883" s="2" t="s">
        <v>2247</v>
      </c>
      <c r="N883" s="31">
        <v>45894</v>
      </c>
    </row>
    <row r="884" spans="1:14" x14ac:dyDescent="0.25">
      <c r="A884" s="29">
        <v>883</v>
      </c>
      <c r="B884" s="1" t="s">
        <v>205</v>
      </c>
      <c r="C884" s="31">
        <v>45778</v>
      </c>
      <c r="D884" s="1" t="s">
        <v>387</v>
      </c>
      <c r="E884" s="13" t="s">
        <v>2248</v>
      </c>
      <c r="F884" s="1" t="s">
        <v>33</v>
      </c>
      <c r="G884" s="1" t="s">
        <v>120</v>
      </c>
      <c r="H884" s="1" t="s">
        <v>99</v>
      </c>
      <c r="I884" s="31">
        <v>45790</v>
      </c>
      <c r="J884" s="1" t="s">
        <v>645</v>
      </c>
      <c r="K884" s="1" t="s">
        <v>37</v>
      </c>
      <c r="L884" s="1" t="s">
        <v>646</v>
      </c>
      <c r="M884" s="2" t="s">
        <v>2249</v>
      </c>
      <c r="N884" s="31">
        <v>45846</v>
      </c>
    </row>
    <row r="885" spans="1:14" x14ac:dyDescent="0.25">
      <c r="A885" s="29">
        <v>884</v>
      </c>
      <c r="B885" s="1" t="s">
        <v>631</v>
      </c>
      <c r="C885" s="31">
        <v>45735</v>
      </c>
      <c r="D885" s="1" t="s">
        <v>648</v>
      </c>
      <c r="E885" s="13" t="s">
        <v>2250</v>
      </c>
      <c r="F885" s="1" t="s">
        <v>33</v>
      </c>
      <c r="G885" s="1" t="s">
        <v>337</v>
      </c>
      <c r="H885" s="1" t="s">
        <v>59</v>
      </c>
      <c r="I885" s="31">
        <v>45767</v>
      </c>
      <c r="J885" s="1" t="s">
        <v>422</v>
      </c>
      <c r="K885" s="1" t="s">
        <v>37</v>
      </c>
      <c r="L885" s="1" t="s">
        <v>650</v>
      </c>
      <c r="M885" s="2" t="s">
        <v>2251</v>
      </c>
      <c r="N885" s="31">
        <v>45862</v>
      </c>
    </row>
    <row r="886" spans="1:14" x14ac:dyDescent="0.25">
      <c r="A886" s="29">
        <v>885</v>
      </c>
      <c r="B886" s="1" t="s">
        <v>635</v>
      </c>
      <c r="C886" s="31">
        <v>45865</v>
      </c>
      <c r="D886" s="1" t="s">
        <v>363</v>
      </c>
      <c r="E886" s="13" t="s">
        <v>2252</v>
      </c>
      <c r="F886" s="1" t="s">
        <v>33</v>
      </c>
      <c r="G886" s="1" t="s">
        <v>269</v>
      </c>
      <c r="H886" s="1" t="s">
        <v>654</v>
      </c>
      <c r="I886" s="31">
        <v>45873</v>
      </c>
      <c r="J886" s="1" t="s">
        <v>655</v>
      </c>
      <c r="K886" s="1" t="s">
        <v>37</v>
      </c>
      <c r="L886" s="1" t="s">
        <v>656</v>
      </c>
      <c r="M886" s="2" t="s">
        <v>2253</v>
      </c>
      <c r="N886" s="31">
        <v>45878</v>
      </c>
    </row>
    <row r="887" spans="1:14" x14ac:dyDescent="0.25">
      <c r="A887" s="29">
        <v>886</v>
      </c>
      <c r="B887" s="1" t="s">
        <v>437</v>
      </c>
      <c r="C887" s="31">
        <v>45874</v>
      </c>
      <c r="D887" s="1" t="s">
        <v>552</v>
      </c>
      <c r="E887" s="13" t="s">
        <v>2254</v>
      </c>
      <c r="F887" s="1" t="s">
        <v>33</v>
      </c>
      <c r="G887" s="1" t="s">
        <v>187</v>
      </c>
      <c r="H887" s="1" t="s">
        <v>121</v>
      </c>
      <c r="I887" s="31">
        <v>45926</v>
      </c>
      <c r="J887" s="1" t="s">
        <v>659</v>
      </c>
      <c r="K887" s="1" t="s">
        <v>37</v>
      </c>
      <c r="L887" s="1" t="s">
        <v>660</v>
      </c>
      <c r="M887" s="2" t="s">
        <v>2255</v>
      </c>
      <c r="N887" s="31">
        <v>45895</v>
      </c>
    </row>
    <row r="888" spans="1:14" x14ac:dyDescent="0.25">
      <c r="A888" s="29">
        <v>887</v>
      </c>
      <c r="B888" s="1" t="s">
        <v>610</v>
      </c>
      <c r="C888" s="31">
        <v>45670</v>
      </c>
      <c r="D888" s="1" t="s">
        <v>374</v>
      </c>
      <c r="E888" s="13" t="s">
        <v>2256</v>
      </c>
      <c r="F888" s="1" t="s">
        <v>33</v>
      </c>
      <c r="G888" s="1" t="s">
        <v>208</v>
      </c>
      <c r="H888" s="1" t="s">
        <v>196</v>
      </c>
      <c r="I888" s="31">
        <v>45679</v>
      </c>
      <c r="J888" s="1" t="s">
        <v>663</v>
      </c>
      <c r="K888" s="1" t="s">
        <v>37</v>
      </c>
      <c r="L888" s="1" t="s">
        <v>664</v>
      </c>
      <c r="M888" s="2" t="s">
        <v>2257</v>
      </c>
      <c r="N888" s="31">
        <v>45844</v>
      </c>
    </row>
    <row r="889" spans="1:14" x14ac:dyDescent="0.25">
      <c r="A889" s="29">
        <v>888</v>
      </c>
      <c r="B889" s="1" t="s">
        <v>125</v>
      </c>
      <c r="C889" s="31">
        <v>45874</v>
      </c>
      <c r="D889" s="1" t="s">
        <v>467</v>
      </c>
      <c r="E889" s="13" t="s">
        <v>2258</v>
      </c>
      <c r="F889" s="1" t="s">
        <v>89</v>
      </c>
      <c r="G889" s="1" t="s">
        <v>227</v>
      </c>
      <c r="H889" s="1" t="s">
        <v>580</v>
      </c>
      <c r="I889" s="31">
        <v>45982</v>
      </c>
      <c r="J889" s="1" t="s">
        <v>668</v>
      </c>
      <c r="K889" s="1" t="s">
        <v>37</v>
      </c>
      <c r="L889" s="1" t="s">
        <v>669</v>
      </c>
      <c r="M889" s="2" t="s">
        <v>2259</v>
      </c>
      <c r="N889" s="31">
        <v>45872</v>
      </c>
    </row>
    <row r="890" spans="1:14" x14ac:dyDescent="0.25">
      <c r="A890" s="29">
        <v>889</v>
      </c>
      <c r="B890" s="1" t="s">
        <v>652</v>
      </c>
      <c r="C890" s="31">
        <v>45783</v>
      </c>
      <c r="D890" s="1" t="s">
        <v>49</v>
      </c>
      <c r="E890" s="13" t="s">
        <v>2260</v>
      </c>
      <c r="F890" s="1" t="s">
        <v>33</v>
      </c>
      <c r="G890" s="1" t="s">
        <v>337</v>
      </c>
      <c r="H890" s="1" t="s">
        <v>427</v>
      </c>
      <c r="I890" s="31">
        <v>45863</v>
      </c>
      <c r="J890" s="1" t="s">
        <v>673</v>
      </c>
      <c r="K890" s="1" t="s">
        <v>37</v>
      </c>
      <c r="L890" s="1" t="s">
        <v>674</v>
      </c>
      <c r="M890" s="2" t="s">
        <v>2261</v>
      </c>
      <c r="N890" s="31">
        <v>45852</v>
      </c>
    </row>
    <row r="891" spans="1:14" x14ac:dyDescent="0.25">
      <c r="A891" s="29">
        <v>890</v>
      </c>
      <c r="B891" s="1" t="s">
        <v>516</v>
      </c>
      <c r="C891" s="31">
        <v>45945</v>
      </c>
      <c r="D891" s="1" t="s">
        <v>351</v>
      </c>
      <c r="E891" s="13" t="s">
        <v>2262</v>
      </c>
      <c r="F891" s="1" t="s">
        <v>89</v>
      </c>
      <c r="G891" s="1" t="s">
        <v>490</v>
      </c>
      <c r="H891" s="1" t="s">
        <v>188</v>
      </c>
      <c r="I891" s="31">
        <v>45955</v>
      </c>
      <c r="J891" s="1" t="s">
        <v>45</v>
      </c>
      <c r="K891" s="1" t="s">
        <v>37</v>
      </c>
      <c r="L891" s="1" t="s">
        <v>677</v>
      </c>
      <c r="M891" s="2" t="s">
        <v>2263</v>
      </c>
      <c r="N891" s="31">
        <v>45873</v>
      </c>
    </row>
    <row r="892" spans="1:14" x14ac:dyDescent="0.25">
      <c r="A892" s="29">
        <v>891</v>
      </c>
      <c r="B892" s="1" t="s">
        <v>153</v>
      </c>
      <c r="C892" s="31">
        <v>45679</v>
      </c>
      <c r="D892" s="1" t="s">
        <v>154</v>
      </c>
      <c r="E892" s="13" t="s">
        <v>2264</v>
      </c>
      <c r="F892" s="1" t="s">
        <v>33</v>
      </c>
      <c r="G892" s="1" t="s">
        <v>34</v>
      </c>
      <c r="H892" s="1" t="s">
        <v>597</v>
      </c>
      <c r="I892" s="31">
        <v>45704</v>
      </c>
      <c r="J892" s="1" t="s">
        <v>354</v>
      </c>
      <c r="K892" s="1" t="s">
        <v>37</v>
      </c>
      <c r="L892" s="1" t="s">
        <v>680</v>
      </c>
      <c r="M892" s="2" t="s">
        <v>2265</v>
      </c>
      <c r="N892" s="31">
        <v>45844</v>
      </c>
    </row>
    <row r="893" spans="1:14" x14ac:dyDescent="0.25">
      <c r="A893" s="29">
        <v>892</v>
      </c>
      <c r="B893" s="1" t="s">
        <v>666</v>
      </c>
      <c r="C893" s="31">
        <v>45928</v>
      </c>
      <c r="D893" s="1" t="s">
        <v>480</v>
      </c>
      <c r="E893" s="13" t="s">
        <v>2266</v>
      </c>
      <c r="F893" s="1" t="s">
        <v>33</v>
      </c>
      <c r="G893" s="1" t="s">
        <v>179</v>
      </c>
      <c r="H893" s="1" t="s">
        <v>180</v>
      </c>
      <c r="I893" s="31">
        <v>45960</v>
      </c>
      <c r="J893" s="1" t="s">
        <v>683</v>
      </c>
      <c r="K893" s="1" t="s">
        <v>37</v>
      </c>
      <c r="L893" s="1" t="s">
        <v>684</v>
      </c>
      <c r="M893" s="2" t="s">
        <v>2267</v>
      </c>
      <c r="N893" s="31">
        <v>45897</v>
      </c>
    </row>
    <row r="894" spans="1:14" x14ac:dyDescent="0.25">
      <c r="A894" s="29">
        <v>893</v>
      </c>
      <c r="B894" s="1" t="s">
        <v>671</v>
      </c>
      <c r="C894" s="31">
        <v>45947</v>
      </c>
      <c r="D894" s="1" t="s">
        <v>170</v>
      </c>
      <c r="E894" s="13" t="s">
        <v>2268</v>
      </c>
      <c r="F894" s="1" t="s">
        <v>33</v>
      </c>
      <c r="G894" s="1" t="s">
        <v>255</v>
      </c>
      <c r="H894" s="1" t="s">
        <v>376</v>
      </c>
      <c r="I894" s="31">
        <v>46053</v>
      </c>
      <c r="J894" s="1" t="s">
        <v>257</v>
      </c>
      <c r="K894" s="1" t="s">
        <v>37</v>
      </c>
      <c r="L894" s="1" t="s">
        <v>688</v>
      </c>
      <c r="M894" s="2" t="s">
        <v>2269</v>
      </c>
      <c r="N894" s="31">
        <v>45862</v>
      </c>
    </row>
    <row r="895" spans="1:14" x14ac:dyDescent="0.25">
      <c r="A895" s="29">
        <v>894</v>
      </c>
      <c r="B895" s="1" t="s">
        <v>437</v>
      </c>
      <c r="C895" s="31">
        <v>45765</v>
      </c>
      <c r="D895" s="1" t="s">
        <v>292</v>
      </c>
      <c r="E895" s="13" t="s">
        <v>2270</v>
      </c>
      <c r="F895" s="1" t="s">
        <v>33</v>
      </c>
      <c r="G895" s="1" t="s">
        <v>691</v>
      </c>
      <c r="H895" s="1" t="s">
        <v>288</v>
      </c>
      <c r="I895" s="31">
        <v>45824</v>
      </c>
      <c r="J895" s="1" t="s">
        <v>181</v>
      </c>
      <c r="K895" s="1" t="s">
        <v>37</v>
      </c>
      <c r="L895" s="1" t="s">
        <v>692</v>
      </c>
      <c r="M895" s="2" t="s">
        <v>2271</v>
      </c>
      <c r="N895" s="31">
        <v>45850</v>
      </c>
    </row>
    <row r="896" spans="1:14" x14ac:dyDescent="0.25">
      <c r="A896" s="29">
        <v>895</v>
      </c>
      <c r="B896" s="1" t="s">
        <v>48</v>
      </c>
      <c r="C896" s="31">
        <v>45887</v>
      </c>
      <c r="D896" s="1" t="s">
        <v>218</v>
      </c>
      <c r="E896" s="13" t="s">
        <v>2272</v>
      </c>
      <c r="F896" s="1" t="s">
        <v>89</v>
      </c>
      <c r="G896" s="1" t="s">
        <v>220</v>
      </c>
      <c r="H896" s="1" t="s">
        <v>421</v>
      </c>
      <c r="I896" s="31">
        <v>45936</v>
      </c>
      <c r="J896" s="1" t="s">
        <v>60</v>
      </c>
      <c r="K896" s="1" t="s">
        <v>37</v>
      </c>
      <c r="L896" s="1" t="s">
        <v>696</v>
      </c>
      <c r="M896" s="2" t="s">
        <v>2273</v>
      </c>
      <c r="N896" s="31">
        <v>45888</v>
      </c>
    </row>
    <row r="897" spans="1:14" x14ac:dyDescent="0.25">
      <c r="A897" s="29">
        <v>896</v>
      </c>
      <c r="B897" s="1" t="s">
        <v>532</v>
      </c>
      <c r="C897" s="31">
        <v>45686</v>
      </c>
      <c r="D897" s="1" t="s">
        <v>391</v>
      </c>
      <c r="E897" s="13" t="s">
        <v>2274</v>
      </c>
      <c r="F897" s="1" t="s">
        <v>33</v>
      </c>
      <c r="G897" s="1" t="s">
        <v>310</v>
      </c>
      <c r="H897" s="1" t="s">
        <v>180</v>
      </c>
      <c r="I897" s="31">
        <v>45704</v>
      </c>
      <c r="J897" s="1" t="s">
        <v>699</v>
      </c>
      <c r="K897" s="1" t="s">
        <v>37</v>
      </c>
      <c r="L897" s="1" t="s">
        <v>700</v>
      </c>
      <c r="M897" s="2" t="s">
        <v>2275</v>
      </c>
      <c r="N897" s="31">
        <v>45881</v>
      </c>
    </row>
    <row r="898" spans="1:14" x14ac:dyDescent="0.25">
      <c r="A898" s="29">
        <v>897</v>
      </c>
      <c r="B898" s="1" t="s">
        <v>686</v>
      </c>
      <c r="C898" s="31">
        <v>45768</v>
      </c>
      <c r="D898" s="1" t="s">
        <v>253</v>
      </c>
      <c r="E898" s="13" t="s">
        <v>2276</v>
      </c>
      <c r="F898" s="1" t="s">
        <v>89</v>
      </c>
      <c r="G898" s="1" t="s">
        <v>561</v>
      </c>
      <c r="H898" s="1" t="s">
        <v>703</v>
      </c>
      <c r="I898" s="31">
        <v>45805</v>
      </c>
      <c r="J898" s="1" t="s">
        <v>135</v>
      </c>
      <c r="K898" s="1" t="s">
        <v>37</v>
      </c>
      <c r="L898" s="1" t="s">
        <v>704</v>
      </c>
      <c r="M898" s="2" t="s">
        <v>2277</v>
      </c>
      <c r="N898" s="31">
        <v>45870</v>
      </c>
    </row>
    <row r="899" spans="1:14" x14ac:dyDescent="0.25">
      <c r="A899" s="29">
        <v>898</v>
      </c>
      <c r="B899" s="1" t="s">
        <v>153</v>
      </c>
      <c r="C899" s="31">
        <v>45701</v>
      </c>
      <c r="D899" s="1" t="s">
        <v>706</v>
      </c>
      <c r="E899" s="13" t="s">
        <v>2278</v>
      </c>
      <c r="F899" s="1" t="s">
        <v>33</v>
      </c>
      <c r="G899" s="1" t="s">
        <v>98</v>
      </c>
      <c r="H899" s="1" t="s">
        <v>383</v>
      </c>
      <c r="I899" s="31">
        <v>45738</v>
      </c>
      <c r="J899" s="1" t="s">
        <v>428</v>
      </c>
      <c r="K899" s="1" t="s">
        <v>37</v>
      </c>
      <c r="L899" s="1" t="s">
        <v>708</v>
      </c>
      <c r="M899" s="2" t="s">
        <v>2279</v>
      </c>
      <c r="N899" s="31">
        <v>45879</v>
      </c>
    </row>
    <row r="900" spans="1:14" x14ac:dyDescent="0.25">
      <c r="A900" s="29">
        <v>899</v>
      </c>
      <c r="B900" s="1" t="s">
        <v>694</v>
      </c>
      <c r="C900" s="31">
        <v>45709</v>
      </c>
      <c r="D900" s="1" t="s">
        <v>111</v>
      </c>
      <c r="E900" s="13" t="s">
        <v>2280</v>
      </c>
      <c r="F900" s="1" t="s">
        <v>89</v>
      </c>
      <c r="G900" s="1" t="s">
        <v>712</v>
      </c>
      <c r="H900" s="1" t="s">
        <v>317</v>
      </c>
      <c r="I900" s="31">
        <v>45797</v>
      </c>
      <c r="J900" s="1" t="s">
        <v>598</v>
      </c>
      <c r="K900" s="1" t="s">
        <v>37</v>
      </c>
      <c r="L900" s="1" t="s">
        <v>713</v>
      </c>
      <c r="M900" s="2" t="s">
        <v>2281</v>
      </c>
      <c r="N900" s="31">
        <v>45844</v>
      </c>
    </row>
    <row r="901" spans="1:14" x14ac:dyDescent="0.25">
      <c r="A901" s="29">
        <v>900</v>
      </c>
      <c r="B901" s="1" t="s">
        <v>419</v>
      </c>
      <c r="C901" s="31">
        <v>45811</v>
      </c>
      <c r="D901" s="1" t="s">
        <v>308</v>
      </c>
      <c r="E901" s="13" t="s">
        <v>2282</v>
      </c>
      <c r="F901" s="1" t="s">
        <v>33</v>
      </c>
      <c r="G901" s="1" t="s">
        <v>248</v>
      </c>
      <c r="H901" s="1" t="s">
        <v>51</v>
      </c>
      <c r="I901" s="31">
        <v>45898</v>
      </c>
      <c r="J901" s="1" t="s">
        <v>263</v>
      </c>
      <c r="K901" s="1" t="s">
        <v>37</v>
      </c>
      <c r="L901" s="1" t="s">
        <v>716</v>
      </c>
      <c r="M901" s="2" t="s">
        <v>2283</v>
      </c>
      <c r="N901" s="31">
        <v>45898</v>
      </c>
    </row>
    <row r="902" spans="1:14" x14ac:dyDescent="0.25">
      <c r="A902" s="29">
        <v>901</v>
      </c>
      <c r="B902" s="1" t="s">
        <v>666</v>
      </c>
      <c r="C902" s="31">
        <v>45699</v>
      </c>
      <c r="D902" s="1" t="s">
        <v>332</v>
      </c>
      <c r="E902" s="13" t="s">
        <v>2284</v>
      </c>
      <c r="F902" s="1" t="s">
        <v>89</v>
      </c>
      <c r="G902" s="1" t="s">
        <v>316</v>
      </c>
      <c r="H902" s="1" t="s">
        <v>719</v>
      </c>
      <c r="I902" s="31">
        <v>45721</v>
      </c>
      <c r="J902" s="1" t="s">
        <v>720</v>
      </c>
      <c r="K902" s="1" t="s">
        <v>37</v>
      </c>
      <c r="L902" s="1" t="s">
        <v>721</v>
      </c>
      <c r="M902" s="2" t="s">
        <v>2285</v>
      </c>
      <c r="N902" s="31">
        <v>45853</v>
      </c>
    </row>
    <row r="903" spans="1:14" x14ac:dyDescent="0.25">
      <c r="A903" s="29">
        <v>902</v>
      </c>
      <c r="B903" s="1" t="s">
        <v>117</v>
      </c>
      <c r="C903" s="31">
        <v>45945</v>
      </c>
      <c r="D903" s="1" t="s">
        <v>340</v>
      </c>
      <c r="E903" s="13" t="s">
        <v>2286</v>
      </c>
      <c r="F903" s="1" t="s">
        <v>89</v>
      </c>
      <c r="G903" s="1" t="s">
        <v>74</v>
      </c>
      <c r="H903" s="1" t="s">
        <v>127</v>
      </c>
      <c r="I903" s="31">
        <v>46061</v>
      </c>
      <c r="J903" s="1" t="s">
        <v>725</v>
      </c>
      <c r="K903" s="1" t="s">
        <v>37</v>
      </c>
      <c r="L903" s="1" t="s">
        <v>726</v>
      </c>
      <c r="M903" s="2" t="s">
        <v>2287</v>
      </c>
      <c r="N903" s="31">
        <v>45841</v>
      </c>
    </row>
    <row r="904" spans="1:14" x14ac:dyDescent="0.25">
      <c r="A904" s="29">
        <v>903</v>
      </c>
      <c r="B904" s="1" t="s">
        <v>710</v>
      </c>
      <c r="C904" s="31">
        <v>45736</v>
      </c>
      <c r="D904" s="1" t="s">
        <v>728</v>
      </c>
      <c r="E904" s="13" t="s">
        <v>2288</v>
      </c>
      <c r="F904" s="1" t="s">
        <v>89</v>
      </c>
      <c r="G904" s="1" t="s">
        <v>66</v>
      </c>
      <c r="H904" s="1" t="s">
        <v>421</v>
      </c>
      <c r="I904" s="31">
        <v>45837</v>
      </c>
      <c r="J904" s="1" t="s">
        <v>52</v>
      </c>
      <c r="K904" s="1" t="s">
        <v>37</v>
      </c>
      <c r="L904" s="1" t="s">
        <v>730</v>
      </c>
      <c r="M904" s="2" t="s">
        <v>2289</v>
      </c>
      <c r="N904" s="31">
        <v>45851</v>
      </c>
    </row>
    <row r="905" spans="1:14" x14ac:dyDescent="0.25">
      <c r="A905" s="29">
        <v>904</v>
      </c>
      <c r="B905" s="1" t="s">
        <v>30</v>
      </c>
      <c r="C905" s="31">
        <v>45828</v>
      </c>
      <c r="D905" s="1" t="s">
        <v>480</v>
      </c>
      <c r="E905" s="13" t="s">
        <v>2290</v>
      </c>
      <c r="F905" s="1" t="s">
        <v>89</v>
      </c>
      <c r="G905" s="1" t="s">
        <v>81</v>
      </c>
      <c r="H905" s="1" t="s">
        <v>311</v>
      </c>
      <c r="I905" s="31">
        <v>45844</v>
      </c>
      <c r="J905" s="1" t="s">
        <v>463</v>
      </c>
      <c r="K905" s="1" t="s">
        <v>37</v>
      </c>
      <c r="L905" s="1" t="s">
        <v>733</v>
      </c>
      <c r="M905" s="2" t="s">
        <v>2291</v>
      </c>
      <c r="N905" s="31">
        <v>45849</v>
      </c>
    </row>
    <row r="906" spans="1:14" x14ac:dyDescent="0.25">
      <c r="A906" s="29">
        <v>905</v>
      </c>
      <c r="B906" s="1" t="s">
        <v>710</v>
      </c>
      <c r="C906" s="31">
        <v>45838</v>
      </c>
      <c r="D906" s="1" t="s">
        <v>332</v>
      </c>
      <c r="E906" s="13" t="s">
        <v>2292</v>
      </c>
      <c r="F906" s="1" t="s">
        <v>89</v>
      </c>
      <c r="G906" s="1" t="s">
        <v>452</v>
      </c>
      <c r="H906" s="1" t="s">
        <v>719</v>
      </c>
      <c r="I906" s="31">
        <v>45918</v>
      </c>
      <c r="J906" s="1" t="s">
        <v>566</v>
      </c>
      <c r="K906" s="1" t="s">
        <v>37</v>
      </c>
      <c r="L906" s="1" t="s">
        <v>737</v>
      </c>
      <c r="M906" s="2" t="s">
        <v>2293</v>
      </c>
      <c r="N906" s="31">
        <v>45883</v>
      </c>
    </row>
    <row r="907" spans="1:14" x14ac:dyDescent="0.25">
      <c r="A907" s="29">
        <v>906</v>
      </c>
      <c r="B907" s="1" t="s">
        <v>723</v>
      </c>
      <c r="C907" s="31">
        <v>45900</v>
      </c>
      <c r="D907" s="1" t="s">
        <v>41</v>
      </c>
      <c r="E907" s="13" t="s">
        <v>2294</v>
      </c>
      <c r="F907" s="1" t="s">
        <v>89</v>
      </c>
      <c r="G907" s="1" t="s">
        <v>187</v>
      </c>
      <c r="H907" s="1" t="s">
        <v>188</v>
      </c>
      <c r="I907" s="31">
        <v>45984</v>
      </c>
      <c r="J907" s="1" t="s">
        <v>741</v>
      </c>
      <c r="K907" s="1" t="s">
        <v>37</v>
      </c>
      <c r="L907" s="1" t="s">
        <v>742</v>
      </c>
      <c r="M907" s="2" t="s">
        <v>2295</v>
      </c>
      <c r="N907" s="31">
        <v>45843</v>
      </c>
    </row>
    <row r="908" spans="1:14" x14ac:dyDescent="0.25">
      <c r="A908" s="29">
        <v>907</v>
      </c>
      <c r="B908" s="1" t="s">
        <v>274</v>
      </c>
      <c r="C908" s="31">
        <v>45953</v>
      </c>
      <c r="D908" s="1" t="s">
        <v>31</v>
      </c>
      <c r="E908" s="13" t="s">
        <v>2296</v>
      </c>
      <c r="F908" s="1" t="s">
        <v>33</v>
      </c>
      <c r="G908" s="1" t="s">
        <v>34</v>
      </c>
      <c r="H908" s="1" t="s">
        <v>35</v>
      </c>
      <c r="I908" s="31">
        <v>45959</v>
      </c>
      <c r="J908" s="1" t="s">
        <v>36</v>
      </c>
      <c r="K908" s="1" t="s">
        <v>37</v>
      </c>
      <c r="L908" s="1" t="s">
        <v>38</v>
      </c>
      <c r="M908" s="2" t="s">
        <v>2297</v>
      </c>
      <c r="N908" s="31">
        <v>45862</v>
      </c>
    </row>
    <row r="909" spans="1:14" x14ac:dyDescent="0.25">
      <c r="A909" s="29">
        <v>908</v>
      </c>
      <c r="B909" s="1" t="s">
        <v>325</v>
      </c>
      <c r="C909" s="31">
        <v>45744</v>
      </c>
      <c r="D909" s="1" t="s">
        <v>64</v>
      </c>
      <c r="E909" s="13" t="s">
        <v>2298</v>
      </c>
      <c r="F909" s="1" t="s">
        <v>89</v>
      </c>
      <c r="G909" s="1" t="s">
        <v>113</v>
      </c>
      <c r="H909" s="1" t="s">
        <v>299</v>
      </c>
      <c r="I909" s="31">
        <v>45788</v>
      </c>
      <c r="J909" s="1" t="s">
        <v>458</v>
      </c>
      <c r="K909" s="1" t="s">
        <v>37</v>
      </c>
      <c r="L909" s="1" t="s">
        <v>459</v>
      </c>
      <c r="M909" s="2" t="s">
        <v>2299</v>
      </c>
      <c r="N909" s="31">
        <v>45844</v>
      </c>
    </row>
    <row r="910" spans="1:14" x14ac:dyDescent="0.25">
      <c r="A910" s="29">
        <v>909</v>
      </c>
      <c r="B910" s="1" t="s">
        <v>735</v>
      </c>
      <c r="C910" s="31">
        <v>45815</v>
      </c>
      <c r="D910" s="1" t="s">
        <v>480</v>
      </c>
      <c r="E910" s="13" t="s">
        <v>2300</v>
      </c>
      <c r="F910" s="1" t="s">
        <v>89</v>
      </c>
      <c r="G910" s="1" t="s">
        <v>346</v>
      </c>
      <c r="H910" s="1" t="s">
        <v>427</v>
      </c>
      <c r="I910" s="31">
        <v>45869</v>
      </c>
      <c r="J910" s="1" t="s">
        <v>575</v>
      </c>
      <c r="K910" s="1" t="s">
        <v>37</v>
      </c>
      <c r="L910" s="1" t="s">
        <v>576</v>
      </c>
      <c r="M910" s="2" t="s">
        <v>2301</v>
      </c>
      <c r="N910" s="31">
        <v>45890</v>
      </c>
    </row>
    <row r="911" spans="1:14" x14ac:dyDescent="0.25">
      <c r="A911" s="29">
        <v>910</v>
      </c>
      <c r="B911" s="1" t="s">
        <v>739</v>
      </c>
      <c r="C911" s="31">
        <v>45851</v>
      </c>
      <c r="D911" s="1" t="s">
        <v>170</v>
      </c>
      <c r="E911" s="13" t="s">
        <v>2302</v>
      </c>
      <c r="F911" s="1" t="s">
        <v>33</v>
      </c>
      <c r="G911" s="1" t="s">
        <v>475</v>
      </c>
      <c r="H911" s="1" t="s">
        <v>580</v>
      </c>
      <c r="I911" s="31">
        <v>45889</v>
      </c>
      <c r="J911" s="1" t="s">
        <v>581</v>
      </c>
      <c r="K911" s="1" t="s">
        <v>37</v>
      </c>
      <c r="L911" s="1" t="s">
        <v>582</v>
      </c>
      <c r="M911" s="2" t="s">
        <v>2303</v>
      </c>
      <c r="N911" s="31">
        <v>45846</v>
      </c>
    </row>
    <row r="912" spans="1:14" x14ac:dyDescent="0.25">
      <c r="A912" s="29">
        <v>911</v>
      </c>
      <c r="B912" s="1" t="s">
        <v>30</v>
      </c>
      <c r="C912" s="31">
        <v>45825</v>
      </c>
      <c r="D912" s="1" t="s">
        <v>240</v>
      </c>
      <c r="E912" s="13" t="s">
        <v>2304</v>
      </c>
      <c r="F912" s="1" t="s">
        <v>33</v>
      </c>
      <c r="G912" s="1" t="s">
        <v>172</v>
      </c>
      <c r="H912" s="1" t="s">
        <v>44</v>
      </c>
      <c r="I912" s="31">
        <v>45844</v>
      </c>
      <c r="J912" s="1" t="s">
        <v>585</v>
      </c>
      <c r="K912" s="1" t="s">
        <v>37</v>
      </c>
      <c r="L912" s="1" t="s">
        <v>586</v>
      </c>
      <c r="M912" s="2" t="s">
        <v>2305</v>
      </c>
      <c r="N912" s="31">
        <v>45845</v>
      </c>
    </row>
    <row r="913" spans="1:14" x14ac:dyDescent="0.25">
      <c r="A913" s="29">
        <v>912</v>
      </c>
      <c r="B913" s="1" t="s">
        <v>40</v>
      </c>
      <c r="C913" s="31">
        <v>45685</v>
      </c>
      <c r="D913" s="1" t="s">
        <v>72</v>
      </c>
      <c r="E913" s="13" t="s">
        <v>2306</v>
      </c>
      <c r="F913" s="1" t="s">
        <v>89</v>
      </c>
      <c r="G913" s="1" t="s">
        <v>220</v>
      </c>
      <c r="H913" s="1" t="s">
        <v>421</v>
      </c>
      <c r="I913" s="31">
        <v>45709</v>
      </c>
      <c r="J913" s="1" t="s">
        <v>589</v>
      </c>
      <c r="K913" s="1" t="s">
        <v>37</v>
      </c>
      <c r="L913" s="1" t="s">
        <v>590</v>
      </c>
      <c r="M913" s="2" t="s">
        <v>2307</v>
      </c>
      <c r="N913" s="31">
        <v>45898</v>
      </c>
    </row>
    <row r="914" spans="1:14" x14ac:dyDescent="0.25">
      <c r="A914" s="29">
        <v>913</v>
      </c>
      <c r="B914" s="1" t="s">
        <v>48</v>
      </c>
      <c r="C914" s="31">
        <v>45841</v>
      </c>
      <c r="D914" s="1" t="s">
        <v>233</v>
      </c>
      <c r="E914" s="13" t="s">
        <v>2308</v>
      </c>
      <c r="F914" s="1" t="s">
        <v>33</v>
      </c>
      <c r="G914" s="1" t="s">
        <v>469</v>
      </c>
      <c r="H914" s="1" t="s">
        <v>580</v>
      </c>
      <c r="I914" s="31">
        <v>45884</v>
      </c>
      <c r="J914" s="1" t="s">
        <v>214</v>
      </c>
      <c r="K914" s="1" t="s">
        <v>37</v>
      </c>
      <c r="L914" s="1" t="s">
        <v>593</v>
      </c>
      <c r="M914" s="2" t="s">
        <v>2309</v>
      </c>
      <c r="N914" s="31">
        <v>45877</v>
      </c>
    </row>
    <row r="915" spans="1:14" x14ac:dyDescent="0.25">
      <c r="A915" s="29">
        <v>914</v>
      </c>
      <c r="B915" s="1" t="s">
        <v>55</v>
      </c>
      <c r="C915" s="31">
        <v>45815</v>
      </c>
      <c r="D915" s="1" t="s">
        <v>391</v>
      </c>
      <c r="E915" s="13" t="s">
        <v>2310</v>
      </c>
      <c r="F915" s="1" t="s">
        <v>33</v>
      </c>
      <c r="G915" s="1" t="s">
        <v>596</v>
      </c>
      <c r="H915" s="1" t="s">
        <v>597</v>
      </c>
      <c r="I915" s="31">
        <v>45833</v>
      </c>
      <c r="J915" s="1" t="s">
        <v>598</v>
      </c>
      <c r="K915" s="1" t="s">
        <v>37</v>
      </c>
      <c r="L915" s="1" t="s">
        <v>599</v>
      </c>
      <c r="M915" s="2" t="s">
        <v>2311</v>
      </c>
      <c r="N915" s="31">
        <v>45872</v>
      </c>
    </row>
    <row r="916" spans="1:14" x14ac:dyDescent="0.25">
      <c r="A916" s="29">
        <v>915</v>
      </c>
      <c r="B916" s="1" t="s">
        <v>63</v>
      </c>
      <c r="C916" s="31">
        <v>45803</v>
      </c>
      <c r="D916" s="1" t="s">
        <v>79</v>
      </c>
      <c r="E916" s="13" t="s">
        <v>2312</v>
      </c>
      <c r="F916" s="1" t="s">
        <v>33</v>
      </c>
      <c r="G916" s="1" t="s">
        <v>164</v>
      </c>
      <c r="H916" s="1" t="s">
        <v>256</v>
      </c>
      <c r="I916" s="31">
        <v>45882</v>
      </c>
      <c r="J916" s="1" t="s">
        <v>602</v>
      </c>
      <c r="K916" s="1" t="s">
        <v>37</v>
      </c>
      <c r="L916" s="1" t="s">
        <v>603</v>
      </c>
      <c r="M916" s="2" t="s">
        <v>2313</v>
      </c>
      <c r="N916" s="31">
        <v>45840</v>
      </c>
    </row>
    <row r="917" spans="1:14" x14ac:dyDescent="0.25">
      <c r="A917" s="29">
        <v>916</v>
      </c>
      <c r="B917" s="1" t="s">
        <v>71</v>
      </c>
      <c r="C917" s="31">
        <v>45729</v>
      </c>
      <c r="D917" s="1" t="s">
        <v>56</v>
      </c>
      <c r="E917" s="13" t="s">
        <v>2314</v>
      </c>
      <c r="F917" s="1" t="s">
        <v>89</v>
      </c>
      <c r="G917" s="1" t="s">
        <v>606</v>
      </c>
      <c r="H917" s="1" t="s">
        <v>453</v>
      </c>
      <c r="I917" s="31">
        <v>45792</v>
      </c>
      <c r="J917" s="1" t="s">
        <v>607</v>
      </c>
      <c r="K917" s="1" t="s">
        <v>37</v>
      </c>
      <c r="L917" s="1" t="s">
        <v>608</v>
      </c>
      <c r="M917" s="2" t="s">
        <v>2315</v>
      </c>
      <c r="N917" s="31">
        <v>45858</v>
      </c>
    </row>
    <row r="918" spans="1:14" x14ac:dyDescent="0.25">
      <c r="A918" s="29">
        <v>917</v>
      </c>
      <c r="B918" s="1" t="s">
        <v>78</v>
      </c>
      <c r="C918" s="31">
        <v>45794</v>
      </c>
      <c r="D918" s="1" t="s">
        <v>611</v>
      </c>
      <c r="E918" s="13" t="s">
        <v>2316</v>
      </c>
      <c r="F918" s="1" t="s">
        <v>33</v>
      </c>
      <c r="G918" s="1" t="s">
        <v>497</v>
      </c>
      <c r="H918" s="1" t="s">
        <v>557</v>
      </c>
      <c r="I918" s="31">
        <v>45856</v>
      </c>
      <c r="J918" s="1" t="s">
        <v>613</v>
      </c>
      <c r="K918" s="1" t="s">
        <v>37</v>
      </c>
      <c r="L918" s="1" t="s">
        <v>614</v>
      </c>
      <c r="M918" s="2" t="s">
        <v>2317</v>
      </c>
      <c r="N918" s="31">
        <v>45859</v>
      </c>
    </row>
    <row r="919" spans="1:14" x14ac:dyDescent="0.25">
      <c r="A919" s="29">
        <v>918</v>
      </c>
      <c r="B919" s="1" t="s">
        <v>86</v>
      </c>
      <c r="C919" s="31">
        <v>45942</v>
      </c>
      <c r="D919" s="1" t="s">
        <v>444</v>
      </c>
      <c r="E919" s="13" t="s">
        <v>2318</v>
      </c>
      <c r="F919" s="1" t="s">
        <v>33</v>
      </c>
      <c r="G919" s="1" t="s">
        <v>337</v>
      </c>
      <c r="H919" s="1" t="s">
        <v>427</v>
      </c>
      <c r="I919" s="31">
        <v>45968</v>
      </c>
      <c r="J919" s="1" t="s">
        <v>617</v>
      </c>
      <c r="K919" s="1" t="s">
        <v>37</v>
      </c>
      <c r="L919" s="1" t="s">
        <v>618</v>
      </c>
      <c r="M919" s="2" t="s">
        <v>2319</v>
      </c>
      <c r="N919" s="31">
        <v>45846</v>
      </c>
    </row>
    <row r="920" spans="1:14" x14ac:dyDescent="0.25">
      <c r="A920" s="29">
        <v>919</v>
      </c>
      <c r="B920" s="1" t="s">
        <v>95</v>
      </c>
      <c r="C920" s="31">
        <v>45910</v>
      </c>
      <c r="D920" s="1" t="s">
        <v>246</v>
      </c>
      <c r="E920" s="13" t="s">
        <v>2320</v>
      </c>
      <c r="F920" s="1" t="s">
        <v>33</v>
      </c>
      <c r="G920" s="1" t="s">
        <v>43</v>
      </c>
      <c r="H920" s="1" t="s">
        <v>127</v>
      </c>
      <c r="I920" s="31">
        <v>45999</v>
      </c>
      <c r="J920" s="1" t="s">
        <v>622</v>
      </c>
      <c r="K920" s="1" t="s">
        <v>37</v>
      </c>
      <c r="L920" s="1" t="s">
        <v>623</v>
      </c>
      <c r="M920" s="2" t="s">
        <v>2321</v>
      </c>
      <c r="N920" s="31">
        <v>45896</v>
      </c>
    </row>
    <row r="921" spans="1:14" x14ac:dyDescent="0.25">
      <c r="A921" s="29">
        <v>920</v>
      </c>
      <c r="B921" s="1" t="s">
        <v>103</v>
      </c>
      <c r="C921" s="31">
        <v>45912</v>
      </c>
      <c r="D921" s="1" t="s">
        <v>552</v>
      </c>
      <c r="E921" s="13" t="s">
        <v>2322</v>
      </c>
      <c r="F921" s="1" t="s">
        <v>33</v>
      </c>
      <c r="G921" s="1" t="s">
        <v>179</v>
      </c>
      <c r="H921" s="1" t="s">
        <v>421</v>
      </c>
      <c r="I921" s="31">
        <v>45979</v>
      </c>
      <c r="J921" s="1" t="s">
        <v>107</v>
      </c>
      <c r="K921" s="1" t="s">
        <v>37</v>
      </c>
      <c r="L921" s="1" t="s">
        <v>626</v>
      </c>
      <c r="M921" s="2" t="s">
        <v>2323</v>
      </c>
      <c r="N921" s="31">
        <v>45848</v>
      </c>
    </row>
    <row r="922" spans="1:14" x14ac:dyDescent="0.25">
      <c r="A922" s="29">
        <v>921</v>
      </c>
      <c r="B922" s="1" t="s">
        <v>110</v>
      </c>
      <c r="C922" s="31">
        <v>45743</v>
      </c>
      <c r="D922" s="1" t="s">
        <v>285</v>
      </c>
      <c r="E922" s="13" t="s">
        <v>2324</v>
      </c>
      <c r="F922" s="1" t="s">
        <v>89</v>
      </c>
      <c r="G922" s="1" t="s">
        <v>208</v>
      </c>
      <c r="H922" s="1" t="s">
        <v>415</v>
      </c>
      <c r="I922" s="31">
        <v>45808</v>
      </c>
      <c r="J922" s="1" t="s">
        <v>236</v>
      </c>
      <c r="K922" s="1" t="s">
        <v>37</v>
      </c>
      <c r="L922" s="1" t="s">
        <v>629</v>
      </c>
      <c r="M922" s="2" t="s">
        <v>2325</v>
      </c>
      <c r="N922" s="31">
        <v>45884</v>
      </c>
    </row>
    <row r="923" spans="1:14" x14ac:dyDescent="0.25">
      <c r="A923" s="29">
        <v>922</v>
      </c>
      <c r="B923" s="1" t="s">
        <v>117</v>
      </c>
      <c r="C923" s="31">
        <v>45749</v>
      </c>
      <c r="D923" s="1" t="s">
        <v>41</v>
      </c>
      <c r="E923" s="13" t="s">
        <v>2326</v>
      </c>
      <c r="F923" s="1" t="s">
        <v>89</v>
      </c>
      <c r="G923" s="1" t="s">
        <v>513</v>
      </c>
      <c r="H923" s="1" t="s">
        <v>235</v>
      </c>
      <c r="I923" s="31">
        <v>45786</v>
      </c>
      <c r="J923" s="1" t="s">
        <v>602</v>
      </c>
      <c r="K923" s="1" t="s">
        <v>37</v>
      </c>
      <c r="L923" s="1" t="s">
        <v>633</v>
      </c>
      <c r="M923" s="2" t="s">
        <v>2327</v>
      </c>
      <c r="N923" s="31">
        <v>45872</v>
      </c>
    </row>
    <row r="924" spans="1:14" x14ac:dyDescent="0.25">
      <c r="A924" s="29">
        <v>923</v>
      </c>
      <c r="B924" s="1" t="s">
        <v>125</v>
      </c>
      <c r="C924" s="31">
        <v>45800</v>
      </c>
      <c r="D924" s="1" t="s">
        <v>267</v>
      </c>
      <c r="E924" s="13" t="s">
        <v>2328</v>
      </c>
      <c r="F924" s="1" t="s">
        <v>89</v>
      </c>
      <c r="G924" s="1" t="s">
        <v>561</v>
      </c>
      <c r="H924" s="1" t="s">
        <v>453</v>
      </c>
      <c r="I924" s="31">
        <v>45873</v>
      </c>
      <c r="J924" s="1" t="s">
        <v>637</v>
      </c>
      <c r="K924" s="1" t="s">
        <v>37</v>
      </c>
      <c r="L924" s="1" t="s">
        <v>638</v>
      </c>
      <c r="M924" s="2" t="s">
        <v>2329</v>
      </c>
      <c r="N924" s="31">
        <v>45841</v>
      </c>
    </row>
    <row r="925" spans="1:14" x14ac:dyDescent="0.25">
      <c r="A925" s="29">
        <v>924</v>
      </c>
      <c r="B925" s="1" t="s">
        <v>131</v>
      </c>
      <c r="C925" s="31">
        <v>45819</v>
      </c>
      <c r="D925" s="1" t="s">
        <v>363</v>
      </c>
      <c r="E925" s="13" t="s">
        <v>2330</v>
      </c>
      <c r="F925" s="1" t="s">
        <v>89</v>
      </c>
      <c r="G925" s="1" t="s">
        <v>187</v>
      </c>
      <c r="H925" s="1" t="s">
        <v>641</v>
      </c>
      <c r="I925" s="31">
        <v>45937</v>
      </c>
      <c r="J925" s="1" t="s">
        <v>562</v>
      </c>
      <c r="K925" s="1" t="s">
        <v>37</v>
      </c>
      <c r="L925" s="1" t="s">
        <v>642</v>
      </c>
      <c r="M925" s="2" t="s">
        <v>2331</v>
      </c>
      <c r="N925" s="31">
        <v>45845</v>
      </c>
    </row>
    <row r="926" spans="1:14" x14ac:dyDescent="0.25">
      <c r="A926" s="29">
        <v>925</v>
      </c>
      <c r="B926" s="1" t="s">
        <v>138</v>
      </c>
      <c r="C926" s="31">
        <v>45778</v>
      </c>
      <c r="D926" s="1" t="s">
        <v>387</v>
      </c>
      <c r="E926" s="13" t="s">
        <v>2332</v>
      </c>
      <c r="F926" s="1" t="s">
        <v>33</v>
      </c>
      <c r="G926" s="1" t="s">
        <v>120</v>
      </c>
      <c r="H926" s="1" t="s">
        <v>99</v>
      </c>
      <c r="I926" s="31">
        <v>45790</v>
      </c>
      <c r="J926" s="1" t="s">
        <v>645</v>
      </c>
      <c r="K926" s="1" t="s">
        <v>37</v>
      </c>
      <c r="L926" s="1" t="s">
        <v>646</v>
      </c>
      <c r="M926" s="2" t="s">
        <v>2333</v>
      </c>
      <c r="N926" s="31">
        <v>45876</v>
      </c>
    </row>
    <row r="927" spans="1:14" x14ac:dyDescent="0.25">
      <c r="A927" s="29">
        <v>926</v>
      </c>
      <c r="B927" s="1" t="s">
        <v>146</v>
      </c>
      <c r="C927" s="31">
        <v>45735</v>
      </c>
      <c r="D927" s="1" t="s">
        <v>648</v>
      </c>
      <c r="E927" s="13" t="s">
        <v>2334</v>
      </c>
      <c r="F927" s="1" t="s">
        <v>33</v>
      </c>
      <c r="G927" s="1" t="s">
        <v>337</v>
      </c>
      <c r="H927" s="1" t="s">
        <v>59</v>
      </c>
      <c r="I927" s="31">
        <v>45767</v>
      </c>
      <c r="J927" s="1" t="s">
        <v>422</v>
      </c>
      <c r="K927" s="1" t="s">
        <v>37</v>
      </c>
      <c r="L927" s="1" t="s">
        <v>650</v>
      </c>
      <c r="M927" s="2" t="s">
        <v>2335</v>
      </c>
      <c r="N927" s="31">
        <v>45890</v>
      </c>
    </row>
    <row r="928" spans="1:14" x14ac:dyDescent="0.25">
      <c r="A928" s="29">
        <v>927</v>
      </c>
      <c r="B928" s="1" t="s">
        <v>153</v>
      </c>
      <c r="C928" s="31">
        <v>45865</v>
      </c>
      <c r="D928" s="1" t="s">
        <v>363</v>
      </c>
      <c r="E928" s="13" t="s">
        <v>2336</v>
      </c>
      <c r="F928" s="1" t="s">
        <v>33</v>
      </c>
      <c r="G928" s="1" t="s">
        <v>269</v>
      </c>
      <c r="H928" s="1" t="s">
        <v>654</v>
      </c>
      <c r="I928" s="31">
        <v>45873</v>
      </c>
      <c r="J928" s="1" t="s">
        <v>655</v>
      </c>
      <c r="K928" s="1" t="s">
        <v>37</v>
      </c>
      <c r="L928" s="1" t="s">
        <v>656</v>
      </c>
      <c r="M928" s="2" t="s">
        <v>2337</v>
      </c>
      <c r="N928" s="31">
        <v>45898</v>
      </c>
    </row>
    <row r="929" spans="1:14" x14ac:dyDescent="0.25">
      <c r="A929" s="29">
        <v>928</v>
      </c>
      <c r="B929" s="1" t="s">
        <v>161</v>
      </c>
      <c r="C929" s="31">
        <v>45874</v>
      </c>
      <c r="D929" s="1" t="s">
        <v>552</v>
      </c>
      <c r="E929" s="13" t="s">
        <v>2338</v>
      </c>
      <c r="F929" s="1" t="s">
        <v>33</v>
      </c>
      <c r="G929" s="1" t="s">
        <v>187</v>
      </c>
      <c r="H929" s="1" t="s">
        <v>121</v>
      </c>
      <c r="I929" s="31">
        <v>45926</v>
      </c>
      <c r="J929" s="1" t="s">
        <v>659</v>
      </c>
      <c r="K929" s="1" t="s">
        <v>37</v>
      </c>
      <c r="L929" s="1" t="s">
        <v>660</v>
      </c>
      <c r="M929" s="2" t="s">
        <v>2339</v>
      </c>
      <c r="N929" s="31">
        <v>45866</v>
      </c>
    </row>
    <row r="930" spans="1:14" x14ac:dyDescent="0.25">
      <c r="A930" s="29">
        <v>929</v>
      </c>
      <c r="B930" s="1" t="s">
        <v>169</v>
      </c>
      <c r="C930" s="31">
        <v>45670</v>
      </c>
      <c r="D930" s="1" t="s">
        <v>374</v>
      </c>
      <c r="E930" s="13" t="s">
        <v>2340</v>
      </c>
      <c r="F930" s="1" t="s">
        <v>33</v>
      </c>
      <c r="G930" s="1" t="s">
        <v>208</v>
      </c>
      <c r="H930" s="1" t="s">
        <v>196</v>
      </c>
      <c r="I930" s="31">
        <v>45679</v>
      </c>
      <c r="J930" s="1" t="s">
        <v>663</v>
      </c>
      <c r="K930" s="1" t="s">
        <v>37</v>
      </c>
      <c r="L930" s="1" t="s">
        <v>664</v>
      </c>
      <c r="M930" s="2" t="s">
        <v>2341</v>
      </c>
      <c r="N930" s="31">
        <v>45897</v>
      </c>
    </row>
    <row r="931" spans="1:14" x14ac:dyDescent="0.25">
      <c r="A931" s="29">
        <v>930</v>
      </c>
      <c r="B931" s="1" t="s">
        <v>177</v>
      </c>
      <c r="C931" s="31">
        <v>45874</v>
      </c>
      <c r="D931" s="1" t="s">
        <v>467</v>
      </c>
      <c r="E931" s="13" t="s">
        <v>2342</v>
      </c>
      <c r="F931" s="1" t="s">
        <v>89</v>
      </c>
      <c r="G931" s="1" t="s">
        <v>227</v>
      </c>
      <c r="H931" s="1" t="s">
        <v>580</v>
      </c>
      <c r="I931" s="31">
        <v>45982</v>
      </c>
      <c r="J931" s="1" t="s">
        <v>668</v>
      </c>
      <c r="K931" s="1" t="s">
        <v>37</v>
      </c>
      <c r="L931" s="1" t="s">
        <v>669</v>
      </c>
      <c r="M931" s="2" t="s">
        <v>2343</v>
      </c>
      <c r="N931" s="31">
        <v>45885</v>
      </c>
    </row>
    <row r="932" spans="1:14" x14ac:dyDescent="0.25">
      <c r="A932" s="29">
        <v>931</v>
      </c>
      <c r="B932" s="1" t="s">
        <v>184</v>
      </c>
      <c r="C932" s="31">
        <v>45783</v>
      </c>
      <c r="D932" s="1" t="s">
        <v>49</v>
      </c>
      <c r="E932" s="13" t="s">
        <v>2344</v>
      </c>
      <c r="F932" s="1" t="s">
        <v>33</v>
      </c>
      <c r="G932" s="1" t="s">
        <v>337</v>
      </c>
      <c r="H932" s="1" t="s">
        <v>427</v>
      </c>
      <c r="I932" s="31">
        <v>45863</v>
      </c>
      <c r="J932" s="1" t="s">
        <v>673</v>
      </c>
      <c r="K932" s="1" t="s">
        <v>37</v>
      </c>
      <c r="L932" s="1" t="s">
        <v>674</v>
      </c>
      <c r="M932" s="2" t="s">
        <v>2345</v>
      </c>
      <c r="N932" s="31">
        <v>45868</v>
      </c>
    </row>
    <row r="933" spans="1:14" x14ac:dyDescent="0.25">
      <c r="A933" s="29">
        <v>932</v>
      </c>
      <c r="B933" s="1" t="s">
        <v>192</v>
      </c>
      <c r="C933" s="31">
        <v>45945</v>
      </c>
      <c r="D933" s="1" t="s">
        <v>351</v>
      </c>
      <c r="E933" s="13" t="s">
        <v>2346</v>
      </c>
      <c r="F933" s="1" t="s">
        <v>89</v>
      </c>
      <c r="G933" s="1" t="s">
        <v>490</v>
      </c>
      <c r="H933" s="1" t="s">
        <v>188</v>
      </c>
      <c r="I933" s="31">
        <v>45955</v>
      </c>
      <c r="J933" s="1" t="s">
        <v>45</v>
      </c>
      <c r="K933" s="1" t="s">
        <v>37</v>
      </c>
      <c r="L933" s="1" t="s">
        <v>677</v>
      </c>
      <c r="M933" s="2" t="s">
        <v>2347</v>
      </c>
      <c r="N933" s="31">
        <v>45858</v>
      </c>
    </row>
    <row r="934" spans="1:14" x14ac:dyDescent="0.25">
      <c r="A934" s="29">
        <v>933</v>
      </c>
      <c r="B934" s="1" t="s">
        <v>48</v>
      </c>
      <c r="C934" s="31">
        <v>45679</v>
      </c>
      <c r="D934" s="1" t="s">
        <v>154</v>
      </c>
      <c r="E934" s="13" t="s">
        <v>2348</v>
      </c>
      <c r="F934" s="1" t="s">
        <v>33</v>
      </c>
      <c r="G934" s="1" t="s">
        <v>34</v>
      </c>
      <c r="H934" s="1" t="s">
        <v>597</v>
      </c>
      <c r="I934" s="31">
        <v>45704</v>
      </c>
      <c r="J934" s="1" t="s">
        <v>354</v>
      </c>
      <c r="K934" s="1" t="s">
        <v>37</v>
      </c>
      <c r="L934" s="1" t="s">
        <v>680</v>
      </c>
      <c r="M934" s="2" t="s">
        <v>2349</v>
      </c>
      <c r="N934" s="31">
        <v>45852</v>
      </c>
    </row>
    <row r="935" spans="1:14" x14ac:dyDescent="0.25">
      <c r="A935" s="29">
        <v>934</v>
      </c>
      <c r="B935" s="1" t="s">
        <v>205</v>
      </c>
      <c r="C935" s="31">
        <v>45928</v>
      </c>
      <c r="D935" s="1" t="s">
        <v>480</v>
      </c>
      <c r="E935" s="13" t="s">
        <v>2350</v>
      </c>
      <c r="F935" s="1" t="s">
        <v>33</v>
      </c>
      <c r="G935" s="1" t="s">
        <v>179</v>
      </c>
      <c r="H935" s="1" t="s">
        <v>180</v>
      </c>
      <c r="I935" s="31">
        <v>45960</v>
      </c>
      <c r="J935" s="1" t="s">
        <v>683</v>
      </c>
      <c r="K935" s="1" t="s">
        <v>37</v>
      </c>
      <c r="L935" s="1" t="s">
        <v>684</v>
      </c>
      <c r="M935" s="2" t="s">
        <v>2351</v>
      </c>
      <c r="N935" s="31">
        <v>45855</v>
      </c>
    </row>
    <row r="936" spans="1:14" x14ac:dyDescent="0.25">
      <c r="A936" s="29">
        <v>935</v>
      </c>
      <c r="B936" s="1" t="s">
        <v>212</v>
      </c>
      <c r="C936" s="31">
        <v>45947</v>
      </c>
      <c r="D936" s="1" t="s">
        <v>170</v>
      </c>
      <c r="E936" s="13" t="s">
        <v>2352</v>
      </c>
      <c r="F936" s="1" t="s">
        <v>33</v>
      </c>
      <c r="G936" s="1" t="s">
        <v>255</v>
      </c>
      <c r="H936" s="1" t="s">
        <v>376</v>
      </c>
      <c r="I936" s="31">
        <v>46053</v>
      </c>
      <c r="J936" s="1" t="s">
        <v>257</v>
      </c>
      <c r="K936" s="1" t="s">
        <v>37</v>
      </c>
      <c r="L936" s="1" t="s">
        <v>688</v>
      </c>
      <c r="M936" s="2" t="s">
        <v>2353</v>
      </c>
      <c r="N936" s="31">
        <v>45880</v>
      </c>
    </row>
    <row r="937" spans="1:14" x14ac:dyDescent="0.25">
      <c r="A937" s="29">
        <v>936</v>
      </c>
      <c r="B937" s="1" t="s">
        <v>217</v>
      </c>
      <c r="C937" s="31">
        <v>45765</v>
      </c>
      <c r="D937" s="1" t="s">
        <v>292</v>
      </c>
      <c r="E937" s="13" t="s">
        <v>2354</v>
      </c>
      <c r="F937" s="1" t="s">
        <v>33</v>
      </c>
      <c r="G937" s="1" t="s">
        <v>691</v>
      </c>
      <c r="H937" s="1" t="s">
        <v>288</v>
      </c>
      <c r="I937" s="31">
        <v>45824</v>
      </c>
      <c r="J937" s="1" t="s">
        <v>181</v>
      </c>
      <c r="K937" s="1" t="s">
        <v>37</v>
      </c>
      <c r="L937" s="1" t="s">
        <v>692</v>
      </c>
      <c r="M937" s="2" t="s">
        <v>2355</v>
      </c>
      <c r="N937" s="31">
        <v>45859</v>
      </c>
    </row>
    <row r="938" spans="1:14" x14ac:dyDescent="0.25">
      <c r="A938" s="29">
        <v>937</v>
      </c>
      <c r="B938" s="1" t="s">
        <v>224</v>
      </c>
      <c r="C938" s="31">
        <v>45887</v>
      </c>
      <c r="D938" s="1" t="s">
        <v>218</v>
      </c>
      <c r="E938" s="13" t="s">
        <v>2356</v>
      </c>
      <c r="F938" s="1" t="s">
        <v>89</v>
      </c>
      <c r="G938" s="1" t="s">
        <v>220</v>
      </c>
      <c r="H938" s="1" t="s">
        <v>421</v>
      </c>
      <c r="I938" s="31">
        <v>45936</v>
      </c>
      <c r="J938" s="1" t="s">
        <v>60</v>
      </c>
      <c r="K938" s="1" t="s">
        <v>37</v>
      </c>
      <c r="L938" s="1" t="s">
        <v>696</v>
      </c>
      <c r="M938" s="2" t="s">
        <v>2357</v>
      </c>
      <c r="N938" s="31">
        <v>45842</v>
      </c>
    </row>
    <row r="939" spans="1:14" x14ac:dyDescent="0.25">
      <c r="A939" s="29">
        <v>938</v>
      </c>
      <c r="B939" s="1" t="s">
        <v>232</v>
      </c>
      <c r="C939" s="31">
        <v>45686</v>
      </c>
      <c r="D939" s="1" t="s">
        <v>391</v>
      </c>
      <c r="E939" s="13" t="s">
        <v>2358</v>
      </c>
      <c r="F939" s="1" t="s">
        <v>33</v>
      </c>
      <c r="G939" s="1" t="s">
        <v>310</v>
      </c>
      <c r="H939" s="1" t="s">
        <v>180</v>
      </c>
      <c r="I939" s="31">
        <v>45704</v>
      </c>
      <c r="J939" s="1" t="s">
        <v>699</v>
      </c>
      <c r="K939" s="1" t="s">
        <v>37</v>
      </c>
      <c r="L939" s="1" t="s">
        <v>700</v>
      </c>
      <c r="M939" s="2" t="s">
        <v>2359</v>
      </c>
      <c r="N939" s="31">
        <v>45886</v>
      </c>
    </row>
    <row r="940" spans="1:14" x14ac:dyDescent="0.25">
      <c r="A940" s="29">
        <v>939</v>
      </c>
      <c r="B940" s="1" t="s">
        <v>239</v>
      </c>
      <c r="C940" s="31">
        <v>45768</v>
      </c>
      <c r="D940" s="1" t="s">
        <v>253</v>
      </c>
      <c r="E940" s="13" t="s">
        <v>2360</v>
      </c>
      <c r="F940" s="1" t="s">
        <v>89</v>
      </c>
      <c r="G940" s="1" t="s">
        <v>561</v>
      </c>
      <c r="H940" s="1" t="s">
        <v>703</v>
      </c>
      <c r="I940" s="31">
        <v>45805</v>
      </c>
      <c r="J940" s="1" t="s">
        <v>135</v>
      </c>
      <c r="K940" s="1" t="s">
        <v>37</v>
      </c>
      <c r="L940" s="1" t="s">
        <v>704</v>
      </c>
      <c r="M940" s="2" t="s">
        <v>2361</v>
      </c>
      <c r="N940" s="31">
        <v>45892</v>
      </c>
    </row>
    <row r="941" spans="1:14" x14ac:dyDescent="0.25">
      <c r="A941" s="29">
        <v>940</v>
      </c>
      <c r="B941" s="1" t="s">
        <v>48</v>
      </c>
      <c r="C941" s="31">
        <v>45701</v>
      </c>
      <c r="D941" s="1" t="s">
        <v>706</v>
      </c>
      <c r="E941" s="13" t="s">
        <v>2362</v>
      </c>
      <c r="F941" s="1" t="s">
        <v>33</v>
      </c>
      <c r="G941" s="1" t="s">
        <v>98</v>
      </c>
      <c r="H941" s="1" t="s">
        <v>383</v>
      </c>
      <c r="I941" s="31">
        <v>45738</v>
      </c>
      <c r="J941" s="1" t="s">
        <v>428</v>
      </c>
      <c r="K941" s="1" t="s">
        <v>37</v>
      </c>
      <c r="L941" s="1" t="s">
        <v>708</v>
      </c>
      <c r="M941" s="2" t="s">
        <v>2363</v>
      </c>
      <c r="N941" s="31">
        <v>45893</v>
      </c>
    </row>
    <row r="942" spans="1:14" x14ac:dyDescent="0.25">
      <c r="A942" s="29">
        <v>941</v>
      </c>
      <c r="B942" s="1" t="s">
        <v>252</v>
      </c>
      <c r="C942" s="31">
        <v>45709</v>
      </c>
      <c r="D942" s="1" t="s">
        <v>111</v>
      </c>
      <c r="E942" s="13" t="s">
        <v>2364</v>
      </c>
      <c r="F942" s="1" t="s">
        <v>89</v>
      </c>
      <c r="G942" s="1" t="s">
        <v>712</v>
      </c>
      <c r="H942" s="1" t="s">
        <v>317</v>
      </c>
      <c r="I942" s="31">
        <v>45797</v>
      </c>
      <c r="J942" s="1" t="s">
        <v>598</v>
      </c>
      <c r="K942" s="1" t="s">
        <v>37</v>
      </c>
      <c r="L942" s="1" t="s">
        <v>713</v>
      </c>
      <c r="M942" s="2" t="s">
        <v>2365</v>
      </c>
      <c r="N942" s="31">
        <v>45877</v>
      </c>
    </row>
    <row r="943" spans="1:14" x14ac:dyDescent="0.25">
      <c r="A943" s="29">
        <v>942</v>
      </c>
      <c r="B943" s="1" t="s">
        <v>110</v>
      </c>
      <c r="C943" s="31">
        <v>45811</v>
      </c>
      <c r="D943" s="1" t="s">
        <v>308</v>
      </c>
      <c r="E943" s="13" t="s">
        <v>2366</v>
      </c>
      <c r="F943" s="1" t="s">
        <v>33</v>
      </c>
      <c r="G943" s="1" t="s">
        <v>248</v>
      </c>
      <c r="H943" s="1" t="s">
        <v>51</v>
      </c>
      <c r="I943" s="31">
        <v>45898</v>
      </c>
      <c r="J943" s="1" t="s">
        <v>263</v>
      </c>
      <c r="K943" s="1" t="s">
        <v>37</v>
      </c>
      <c r="L943" s="1" t="s">
        <v>716</v>
      </c>
      <c r="M943" s="2" t="s">
        <v>2367</v>
      </c>
      <c r="N943" s="31">
        <v>45848</v>
      </c>
    </row>
    <row r="944" spans="1:14" x14ac:dyDescent="0.25">
      <c r="A944" s="29">
        <v>943</v>
      </c>
      <c r="B944" s="1" t="s">
        <v>266</v>
      </c>
      <c r="C944" s="31">
        <v>45699</v>
      </c>
      <c r="D944" s="1" t="s">
        <v>332</v>
      </c>
      <c r="E944" s="13" t="s">
        <v>2368</v>
      </c>
      <c r="F944" s="1" t="s">
        <v>89</v>
      </c>
      <c r="G944" s="1" t="s">
        <v>316</v>
      </c>
      <c r="H944" s="1" t="s">
        <v>719</v>
      </c>
      <c r="I944" s="31">
        <v>45721</v>
      </c>
      <c r="J944" s="1" t="s">
        <v>720</v>
      </c>
      <c r="K944" s="1" t="s">
        <v>37</v>
      </c>
      <c r="L944" s="1" t="s">
        <v>721</v>
      </c>
      <c r="M944" s="2" t="s">
        <v>2369</v>
      </c>
      <c r="N944" s="31">
        <v>45881</v>
      </c>
    </row>
    <row r="945" spans="1:14" x14ac:dyDescent="0.25">
      <c r="A945" s="29">
        <v>944</v>
      </c>
      <c r="B945" s="1" t="s">
        <v>274</v>
      </c>
      <c r="C945" s="31">
        <v>45945</v>
      </c>
      <c r="D945" s="1" t="s">
        <v>340</v>
      </c>
      <c r="E945" s="13" t="s">
        <v>2370</v>
      </c>
      <c r="F945" s="1" t="s">
        <v>89</v>
      </c>
      <c r="G945" s="1" t="s">
        <v>74</v>
      </c>
      <c r="H945" s="1" t="s">
        <v>127</v>
      </c>
      <c r="I945" s="31">
        <v>46061</v>
      </c>
      <c r="J945" s="1" t="s">
        <v>725</v>
      </c>
      <c r="K945" s="1" t="s">
        <v>37</v>
      </c>
      <c r="L945" s="1" t="s">
        <v>726</v>
      </c>
      <c r="M945" s="2" t="s">
        <v>2371</v>
      </c>
      <c r="N945" s="31">
        <v>45878</v>
      </c>
    </row>
    <row r="946" spans="1:14" x14ac:dyDescent="0.25">
      <c r="A946" s="29">
        <v>945</v>
      </c>
      <c r="B946" s="1" t="s">
        <v>279</v>
      </c>
      <c r="C946" s="31">
        <v>45736</v>
      </c>
      <c r="D946" s="1" t="s">
        <v>728</v>
      </c>
      <c r="E946" s="13" t="s">
        <v>2372</v>
      </c>
      <c r="F946" s="1" t="s">
        <v>89</v>
      </c>
      <c r="G946" s="1" t="s">
        <v>66</v>
      </c>
      <c r="H946" s="1" t="s">
        <v>421</v>
      </c>
      <c r="I946" s="31">
        <v>45837</v>
      </c>
      <c r="J946" s="1" t="s">
        <v>52</v>
      </c>
      <c r="K946" s="1" t="s">
        <v>37</v>
      </c>
      <c r="L946" s="1" t="s">
        <v>730</v>
      </c>
      <c r="M946" s="2" t="s">
        <v>2373</v>
      </c>
      <c r="N946" s="31">
        <v>45877</v>
      </c>
    </row>
    <row r="947" spans="1:14" x14ac:dyDescent="0.25">
      <c r="A947" s="29">
        <v>946</v>
      </c>
      <c r="B947" s="1" t="s">
        <v>284</v>
      </c>
      <c r="C947" s="31">
        <v>45828</v>
      </c>
      <c r="D947" s="1" t="s">
        <v>480</v>
      </c>
      <c r="E947" s="13" t="s">
        <v>2374</v>
      </c>
      <c r="F947" s="1" t="s">
        <v>89</v>
      </c>
      <c r="G947" s="1" t="s">
        <v>81</v>
      </c>
      <c r="H947" s="1" t="s">
        <v>311</v>
      </c>
      <c r="I947" s="31">
        <v>45844</v>
      </c>
      <c r="J947" s="1" t="s">
        <v>463</v>
      </c>
      <c r="K947" s="1" t="s">
        <v>37</v>
      </c>
      <c r="L947" s="1" t="s">
        <v>733</v>
      </c>
      <c r="M947" s="2" t="s">
        <v>2375</v>
      </c>
      <c r="N947" s="31">
        <v>45864</v>
      </c>
    </row>
    <row r="948" spans="1:14" x14ac:dyDescent="0.25">
      <c r="A948" s="29">
        <v>947</v>
      </c>
      <c r="B948" s="1" t="s">
        <v>177</v>
      </c>
      <c r="C948" s="31">
        <v>45838</v>
      </c>
      <c r="D948" s="1" t="s">
        <v>332</v>
      </c>
      <c r="E948" s="13" t="s">
        <v>2376</v>
      </c>
      <c r="F948" s="1" t="s">
        <v>89</v>
      </c>
      <c r="G948" s="1" t="s">
        <v>452</v>
      </c>
      <c r="H948" s="1" t="s">
        <v>719</v>
      </c>
      <c r="I948" s="31">
        <v>45918</v>
      </c>
      <c r="J948" s="1" t="s">
        <v>566</v>
      </c>
      <c r="K948" s="1" t="s">
        <v>37</v>
      </c>
      <c r="L948" s="1" t="s">
        <v>737</v>
      </c>
      <c r="M948" s="2" t="s">
        <v>2377</v>
      </c>
      <c r="N948" s="31">
        <v>45857</v>
      </c>
    </row>
    <row r="949" spans="1:14" x14ac:dyDescent="0.25">
      <c r="A949" s="29">
        <v>948</v>
      </c>
      <c r="B949" s="1" t="s">
        <v>131</v>
      </c>
      <c r="C949" s="31">
        <v>45900</v>
      </c>
      <c r="D949" s="1" t="s">
        <v>41</v>
      </c>
      <c r="E949" s="13" t="s">
        <v>2378</v>
      </c>
      <c r="F949" s="1" t="s">
        <v>89</v>
      </c>
      <c r="G949" s="1" t="s">
        <v>187</v>
      </c>
      <c r="H949" s="1" t="s">
        <v>188</v>
      </c>
      <c r="I949" s="31">
        <v>45984</v>
      </c>
      <c r="J949" s="1" t="s">
        <v>741</v>
      </c>
      <c r="K949" s="1" t="s">
        <v>37</v>
      </c>
      <c r="L949" s="1" t="s">
        <v>742</v>
      </c>
      <c r="M949" s="2" t="s">
        <v>2379</v>
      </c>
      <c r="N949" s="31">
        <v>45844</v>
      </c>
    </row>
    <row r="950" spans="1:14" x14ac:dyDescent="0.25">
      <c r="A950" s="29">
        <v>949</v>
      </c>
      <c r="B950" s="1" t="s">
        <v>303</v>
      </c>
      <c r="C950" s="31">
        <v>45953</v>
      </c>
      <c r="D950" s="1" t="s">
        <v>31</v>
      </c>
      <c r="E950" s="13" t="s">
        <v>2380</v>
      </c>
      <c r="F950" s="1" t="s">
        <v>33</v>
      </c>
      <c r="G950" s="1" t="s">
        <v>34</v>
      </c>
      <c r="H950" s="1" t="s">
        <v>35</v>
      </c>
      <c r="I950" s="31">
        <v>45959</v>
      </c>
      <c r="J950" s="1" t="s">
        <v>36</v>
      </c>
      <c r="K950" s="1" t="s">
        <v>37</v>
      </c>
      <c r="L950" s="1" t="s">
        <v>38</v>
      </c>
      <c r="M950" s="2" t="s">
        <v>2381</v>
      </c>
      <c r="N950" s="31">
        <v>45864</v>
      </c>
    </row>
    <row r="951" spans="1:14" x14ac:dyDescent="0.25">
      <c r="A951" s="29">
        <v>950</v>
      </c>
      <c r="B951" s="1" t="s">
        <v>274</v>
      </c>
      <c r="C951" s="31">
        <v>45774</v>
      </c>
      <c r="D951" s="1" t="s">
        <v>41</v>
      </c>
      <c r="E951" s="13" t="s">
        <v>2382</v>
      </c>
      <c r="F951" s="1" t="s">
        <v>33</v>
      </c>
      <c r="G951" s="1" t="s">
        <v>43</v>
      </c>
      <c r="H951" s="1" t="s">
        <v>44</v>
      </c>
      <c r="I951" s="31">
        <v>45805</v>
      </c>
      <c r="J951" s="1" t="s">
        <v>45</v>
      </c>
      <c r="K951" s="1" t="s">
        <v>37</v>
      </c>
      <c r="L951" s="1" t="s">
        <v>46</v>
      </c>
      <c r="M951" s="2" t="s">
        <v>2383</v>
      </c>
      <c r="N951" s="31">
        <v>45840</v>
      </c>
    </row>
    <row r="952" spans="1:14" x14ac:dyDescent="0.25">
      <c r="A952" s="29">
        <v>951</v>
      </c>
      <c r="B952" s="1" t="s">
        <v>314</v>
      </c>
      <c r="C952" s="31">
        <v>45936</v>
      </c>
      <c r="D952" s="1" t="s">
        <v>49</v>
      </c>
      <c r="E952" s="13" t="s">
        <v>2384</v>
      </c>
      <c r="F952" s="1" t="s">
        <v>33</v>
      </c>
      <c r="G952" s="1" t="s">
        <v>34</v>
      </c>
      <c r="H952" s="1" t="s">
        <v>51</v>
      </c>
      <c r="I952" s="31">
        <v>45992</v>
      </c>
      <c r="J952" s="1" t="s">
        <v>52</v>
      </c>
      <c r="K952" s="1" t="s">
        <v>37</v>
      </c>
      <c r="L952" s="1" t="s">
        <v>53</v>
      </c>
      <c r="M952" s="2" t="s">
        <v>2385</v>
      </c>
      <c r="N952" s="31">
        <v>45868</v>
      </c>
    </row>
    <row r="953" spans="1:14" x14ac:dyDescent="0.25">
      <c r="A953" s="29">
        <v>952</v>
      </c>
      <c r="B953" s="1" t="s">
        <v>103</v>
      </c>
      <c r="C953" s="31">
        <v>45743</v>
      </c>
      <c r="D953" s="1" t="s">
        <v>56</v>
      </c>
      <c r="E953" s="13" t="s">
        <v>2386</v>
      </c>
      <c r="F953" s="1" t="s">
        <v>33</v>
      </c>
      <c r="G953" s="1" t="s">
        <v>58</v>
      </c>
      <c r="H953" s="1" t="s">
        <v>59</v>
      </c>
      <c r="I953" s="31">
        <v>45754</v>
      </c>
      <c r="J953" s="1" t="s">
        <v>60</v>
      </c>
      <c r="K953" s="1" t="s">
        <v>37</v>
      </c>
      <c r="L953" s="1" t="s">
        <v>61</v>
      </c>
      <c r="M953" s="2" t="s">
        <v>2387</v>
      </c>
      <c r="N953" s="31">
        <v>45849</v>
      </c>
    </row>
    <row r="954" spans="1:14" x14ac:dyDescent="0.25">
      <c r="A954" s="29">
        <v>953</v>
      </c>
      <c r="B954" s="1" t="s">
        <v>325</v>
      </c>
      <c r="C954" s="31">
        <v>45950</v>
      </c>
      <c r="D954" s="1" t="s">
        <v>64</v>
      </c>
      <c r="E954" s="13" t="s">
        <v>2388</v>
      </c>
      <c r="F954" s="1" t="s">
        <v>33</v>
      </c>
      <c r="G954" s="1" t="s">
        <v>66</v>
      </c>
      <c r="H954" s="1" t="s">
        <v>67</v>
      </c>
      <c r="I954" s="31">
        <v>45969</v>
      </c>
      <c r="J954" s="1" t="s">
        <v>68</v>
      </c>
      <c r="K954" s="1" t="s">
        <v>37</v>
      </c>
      <c r="L954" s="1" t="s">
        <v>69</v>
      </c>
      <c r="M954" s="2" t="s">
        <v>2389</v>
      </c>
      <c r="N954" s="31">
        <v>45855</v>
      </c>
    </row>
    <row r="955" spans="1:14" x14ac:dyDescent="0.25">
      <c r="A955" s="29">
        <v>954</v>
      </c>
      <c r="B955" s="1" t="s">
        <v>331</v>
      </c>
      <c r="C955" s="31">
        <v>45659</v>
      </c>
      <c r="D955" s="1" t="s">
        <v>72</v>
      </c>
      <c r="E955" s="13" t="s">
        <v>2390</v>
      </c>
      <c r="F955" s="1" t="s">
        <v>33</v>
      </c>
      <c r="G955" s="1" t="s">
        <v>74</v>
      </c>
      <c r="H955" s="1" t="s">
        <v>44</v>
      </c>
      <c r="I955" s="31">
        <v>45686</v>
      </c>
      <c r="J955" s="1" t="s">
        <v>75</v>
      </c>
      <c r="K955" s="1" t="s">
        <v>37</v>
      </c>
      <c r="L955" s="1" t="s">
        <v>76</v>
      </c>
      <c r="M955" s="2" t="s">
        <v>2391</v>
      </c>
      <c r="N955" s="31">
        <v>45879</v>
      </c>
    </row>
    <row r="956" spans="1:14" x14ac:dyDescent="0.25">
      <c r="A956" s="29">
        <v>955</v>
      </c>
      <c r="B956" s="1" t="s">
        <v>86</v>
      </c>
      <c r="C956" s="31">
        <v>45841</v>
      </c>
      <c r="D956" s="1" t="s">
        <v>79</v>
      </c>
      <c r="E956" s="13" t="s">
        <v>2392</v>
      </c>
      <c r="F956" s="1" t="s">
        <v>33</v>
      </c>
      <c r="G956" s="1" t="s">
        <v>81</v>
      </c>
      <c r="H956" s="1" t="s">
        <v>82</v>
      </c>
      <c r="I956" s="31">
        <v>45924</v>
      </c>
      <c r="J956" s="1" t="s">
        <v>83</v>
      </c>
      <c r="K956" s="1" t="s">
        <v>37</v>
      </c>
      <c r="L956" s="1" t="s">
        <v>84</v>
      </c>
      <c r="M956" s="2" t="s">
        <v>2393</v>
      </c>
      <c r="N956" s="31">
        <v>45897</v>
      </c>
    </row>
    <row r="957" spans="1:14" x14ac:dyDescent="0.25">
      <c r="A957" s="29">
        <v>956</v>
      </c>
      <c r="B957" s="1" t="s">
        <v>169</v>
      </c>
      <c r="C957" s="31">
        <v>45835</v>
      </c>
      <c r="D957" s="1" t="s">
        <v>87</v>
      </c>
      <c r="E957" s="13" t="s">
        <v>2394</v>
      </c>
      <c r="F957" s="1" t="s">
        <v>89</v>
      </c>
      <c r="G957" s="1" t="s">
        <v>90</v>
      </c>
      <c r="H957" s="1" t="s">
        <v>91</v>
      </c>
      <c r="I957" s="31">
        <v>45893</v>
      </c>
      <c r="J957" s="1" t="s">
        <v>92</v>
      </c>
      <c r="K957" s="1" t="s">
        <v>37</v>
      </c>
      <c r="L957" s="1" t="s">
        <v>93</v>
      </c>
      <c r="M957" s="2" t="s">
        <v>2395</v>
      </c>
      <c r="N957" s="31">
        <v>45839</v>
      </c>
    </row>
    <row r="958" spans="1:14" x14ac:dyDescent="0.25">
      <c r="A958" s="29">
        <v>957</v>
      </c>
      <c r="B958" s="1" t="s">
        <v>40</v>
      </c>
      <c r="C958" s="31">
        <v>45926</v>
      </c>
      <c r="D958" s="1" t="s">
        <v>96</v>
      </c>
      <c r="E958" s="13" t="s">
        <v>2396</v>
      </c>
      <c r="F958" s="1" t="s">
        <v>89</v>
      </c>
      <c r="G958" s="1" t="s">
        <v>98</v>
      </c>
      <c r="H958" s="1" t="s">
        <v>99</v>
      </c>
      <c r="I958" s="31">
        <v>45969</v>
      </c>
      <c r="J958" s="1" t="s">
        <v>100</v>
      </c>
      <c r="K958" s="1" t="s">
        <v>37</v>
      </c>
      <c r="L958" s="1" t="s">
        <v>101</v>
      </c>
      <c r="M958" s="2" t="s">
        <v>2397</v>
      </c>
      <c r="N958" s="31">
        <v>45893</v>
      </c>
    </row>
    <row r="959" spans="1:14" x14ac:dyDescent="0.25">
      <c r="A959" s="29">
        <v>958</v>
      </c>
      <c r="B959" s="1" t="s">
        <v>350</v>
      </c>
      <c r="C959" s="31">
        <v>45663</v>
      </c>
      <c r="D959" s="1" t="s">
        <v>56</v>
      </c>
      <c r="E959" s="13" t="s">
        <v>2398</v>
      </c>
      <c r="F959" s="1" t="s">
        <v>33</v>
      </c>
      <c r="G959" s="1" t="s">
        <v>105</v>
      </c>
      <c r="H959" s="1" t="s">
        <v>106</v>
      </c>
      <c r="I959" s="31">
        <v>45730</v>
      </c>
      <c r="J959" s="1" t="s">
        <v>107</v>
      </c>
      <c r="K959" s="1" t="s">
        <v>37</v>
      </c>
      <c r="L959" s="1" t="s">
        <v>108</v>
      </c>
      <c r="M959" s="2" t="s">
        <v>2399</v>
      </c>
      <c r="N959" s="31">
        <v>45881</v>
      </c>
    </row>
    <row r="960" spans="1:14" x14ac:dyDescent="0.25">
      <c r="A960" s="29">
        <v>959</v>
      </c>
      <c r="B960" s="1" t="s">
        <v>357</v>
      </c>
      <c r="C960" s="31">
        <v>45706</v>
      </c>
      <c r="D960" s="1" t="s">
        <v>111</v>
      </c>
      <c r="E960" s="13" t="s">
        <v>2400</v>
      </c>
      <c r="F960" s="1" t="s">
        <v>89</v>
      </c>
      <c r="G960" s="1" t="s">
        <v>113</v>
      </c>
      <c r="H960" s="1" t="s">
        <v>35</v>
      </c>
      <c r="I960" s="31">
        <v>45815</v>
      </c>
      <c r="J960" s="1" t="s">
        <v>114</v>
      </c>
      <c r="K960" s="1" t="s">
        <v>37</v>
      </c>
      <c r="L960" s="1" t="s">
        <v>115</v>
      </c>
      <c r="M960" s="2" t="s">
        <v>2401</v>
      </c>
      <c r="N960" s="31">
        <v>45862</v>
      </c>
    </row>
    <row r="961" spans="1:14" x14ac:dyDescent="0.25">
      <c r="A961" s="29">
        <v>960</v>
      </c>
      <c r="B961" s="1" t="s">
        <v>177</v>
      </c>
      <c r="C961" s="31">
        <v>45854</v>
      </c>
      <c r="D961" s="1" t="s">
        <v>118</v>
      </c>
      <c r="E961" s="13" t="s">
        <v>2402</v>
      </c>
      <c r="F961" s="1" t="s">
        <v>33</v>
      </c>
      <c r="G961" s="1" t="s">
        <v>120</v>
      </c>
      <c r="H961" s="1" t="s">
        <v>121</v>
      </c>
      <c r="I961" s="31">
        <v>45971</v>
      </c>
      <c r="J961" s="1" t="s">
        <v>122</v>
      </c>
      <c r="K961" s="1" t="s">
        <v>37</v>
      </c>
      <c r="L961" s="1" t="s">
        <v>123</v>
      </c>
      <c r="M961" s="2" t="s">
        <v>2403</v>
      </c>
      <c r="N961" s="31">
        <v>45886</v>
      </c>
    </row>
    <row r="962" spans="1:14" x14ac:dyDescent="0.25">
      <c r="A962" s="29">
        <v>961</v>
      </c>
      <c r="B962" s="1" t="s">
        <v>30</v>
      </c>
      <c r="C962" s="31">
        <v>45946</v>
      </c>
      <c r="D962" s="1" t="s">
        <v>79</v>
      </c>
      <c r="E962" s="13" t="s">
        <v>2404</v>
      </c>
      <c r="F962" s="1" t="s">
        <v>33</v>
      </c>
      <c r="G962" s="1" t="s">
        <v>43</v>
      </c>
      <c r="H962" s="1" t="s">
        <v>127</v>
      </c>
      <c r="I962" s="31">
        <v>46009</v>
      </c>
      <c r="J962" s="1" t="s">
        <v>128</v>
      </c>
      <c r="K962" s="1" t="s">
        <v>37</v>
      </c>
      <c r="L962" s="1" t="s">
        <v>129</v>
      </c>
      <c r="M962" s="2" t="s">
        <v>2405</v>
      </c>
      <c r="N962" s="31">
        <v>45866</v>
      </c>
    </row>
    <row r="963" spans="1:14" x14ac:dyDescent="0.25">
      <c r="A963" s="29">
        <v>962</v>
      </c>
      <c r="B963" s="1" t="s">
        <v>266</v>
      </c>
      <c r="C963" s="31">
        <v>45940</v>
      </c>
      <c r="D963" s="1" t="s">
        <v>132</v>
      </c>
      <c r="E963" s="13" t="s">
        <v>2406</v>
      </c>
      <c r="F963" s="1" t="s">
        <v>89</v>
      </c>
      <c r="G963" s="1" t="s">
        <v>34</v>
      </c>
      <c r="H963" s="1" t="s">
        <v>134</v>
      </c>
      <c r="I963" s="31">
        <v>46053</v>
      </c>
      <c r="J963" s="1" t="s">
        <v>135</v>
      </c>
      <c r="K963" s="1" t="s">
        <v>37</v>
      </c>
      <c r="L963" s="1" t="s">
        <v>136</v>
      </c>
      <c r="M963" s="2" t="s">
        <v>2407</v>
      </c>
      <c r="N963" s="31">
        <v>45851</v>
      </c>
    </row>
    <row r="964" spans="1:14" x14ac:dyDescent="0.25">
      <c r="A964" s="29">
        <v>963</v>
      </c>
      <c r="B964" s="1" t="s">
        <v>380</v>
      </c>
      <c r="C964" s="31">
        <v>45698</v>
      </c>
      <c r="D964" s="1" t="s">
        <v>139</v>
      </c>
      <c r="E964" s="13" t="s">
        <v>2408</v>
      </c>
      <c r="F964" s="1" t="s">
        <v>89</v>
      </c>
      <c r="G964" s="1" t="s">
        <v>141</v>
      </c>
      <c r="H964" s="1" t="s">
        <v>142</v>
      </c>
      <c r="I964" s="31">
        <v>45746</v>
      </c>
      <c r="J964" s="1" t="s">
        <v>143</v>
      </c>
      <c r="K964" s="1" t="s">
        <v>37</v>
      </c>
      <c r="L964" s="1" t="s">
        <v>144</v>
      </c>
      <c r="M964" s="2" t="s">
        <v>2409</v>
      </c>
      <c r="N964" s="31">
        <v>45885</v>
      </c>
    </row>
    <row r="965" spans="1:14" x14ac:dyDescent="0.25">
      <c r="A965" s="29">
        <v>964</v>
      </c>
      <c r="B965" s="1" t="s">
        <v>386</v>
      </c>
      <c r="C965" s="31">
        <v>45786</v>
      </c>
      <c r="D965" s="1" t="s">
        <v>147</v>
      </c>
      <c r="E965" s="13" t="s">
        <v>2410</v>
      </c>
      <c r="F965" s="1" t="s">
        <v>33</v>
      </c>
      <c r="G965" s="1" t="s">
        <v>34</v>
      </c>
      <c r="H965" s="1" t="s">
        <v>149</v>
      </c>
      <c r="I965" s="31">
        <v>45815</v>
      </c>
      <c r="J965" s="1" t="s">
        <v>150</v>
      </c>
      <c r="K965" s="1" t="s">
        <v>37</v>
      </c>
      <c r="L965" s="1" t="s">
        <v>151</v>
      </c>
      <c r="M965" s="2" t="s">
        <v>2411</v>
      </c>
      <c r="N965" s="31">
        <v>45897</v>
      </c>
    </row>
    <row r="966" spans="1:14" x14ac:dyDescent="0.25">
      <c r="A966" s="29">
        <v>965</v>
      </c>
      <c r="B966" s="1" t="s">
        <v>125</v>
      </c>
      <c r="C966" s="31">
        <v>45828</v>
      </c>
      <c r="D966" s="1" t="s">
        <v>154</v>
      </c>
      <c r="E966" s="13" t="s">
        <v>2412</v>
      </c>
      <c r="F966" s="1" t="s">
        <v>33</v>
      </c>
      <c r="G966" s="1" t="s">
        <v>156</v>
      </c>
      <c r="H966" s="1" t="s">
        <v>157</v>
      </c>
      <c r="I966" s="31">
        <v>45852</v>
      </c>
      <c r="J966" s="1" t="s">
        <v>158</v>
      </c>
      <c r="K966" s="1" t="s">
        <v>37</v>
      </c>
      <c r="L966" s="1" t="s">
        <v>159</v>
      </c>
      <c r="M966" s="2" t="s">
        <v>2413</v>
      </c>
      <c r="N966" s="31">
        <v>45858</v>
      </c>
    </row>
    <row r="967" spans="1:14" x14ac:dyDescent="0.25">
      <c r="A967" s="29">
        <v>966</v>
      </c>
      <c r="B967" s="1" t="s">
        <v>397</v>
      </c>
      <c r="C967" s="31">
        <v>45699</v>
      </c>
      <c r="D967" s="1" t="s">
        <v>162</v>
      </c>
      <c r="E967" s="13" t="s">
        <v>2414</v>
      </c>
      <c r="F967" s="1" t="s">
        <v>33</v>
      </c>
      <c r="G967" s="1" t="s">
        <v>164</v>
      </c>
      <c r="H967" s="1" t="s">
        <v>165</v>
      </c>
      <c r="I967" s="31">
        <v>45809</v>
      </c>
      <c r="J967" s="1" t="s">
        <v>166</v>
      </c>
      <c r="K967" s="1" t="s">
        <v>37</v>
      </c>
      <c r="L967" s="1" t="s">
        <v>167</v>
      </c>
      <c r="M967" s="2" t="s">
        <v>2415</v>
      </c>
      <c r="N967" s="31">
        <v>45859</v>
      </c>
    </row>
    <row r="968" spans="1:14" x14ac:dyDescent="0.25">
      <c r="A968" s="29">
        <v>967</v>
      </c>
      <c r="B968" s="1" t="s">
        <v>401</v>
      </c>
      <c r="C968" s="31">
        <v>45703</v>
      </c>
      <c r="D968" s="1" t="s">
        <v>170</v>
      </c>
      <c r="E968" s="13" t="s">
        <v>2416</v>
      </c>
      <c r="F968" s="1" t="s">
        <v>33</v>
      </c>
      <c r="G968" s="1" t="s">
        <v>172</v>
      </c>
      <c r="H968" s="1" t="s">
        <v>173</v>
      </c>
      <c r="I968" s="31">
        <v>45820</v>
      </c>
      <c r="J968" s="1" t="s">
        <v>174</v>
      </c>
      <c r="K968" s="1" t="s">
        <v>37</v>
      </c>
      <c r="L968" s="1" t="s">
        <v>175</v>
      </c>
      <c r="M968" s="2" t="s">
        <v>2417</v>
      </c>
      <c r="N968" s="31">
        <v>45895</v>
      </c>
    </row>
    <row r="969" spans="1:14" x14ac:dyDescent="0.25">
      <c r="A969" s="29">
        <v>968</v>
      </c>
      <c r="B969" s="1" t="s">
        <v>103</v>
      </c>
      <c r="C969" s="31">
        <v>45737</v>
      </c>
      <c r="D969" s="1" t="s">
        <v>96</v>
      </c>
      <c r="E969" s="13" t="s">
        <v>2418</v>
      </c>
      <c r="F969" s="1" t="s">
        <v>89</v>
      </c>
      <c r="G969" s="1" t="s">
        <v>179</v>
      </c>
      <c r="H969" s="1" t="s">
        <v>180</v>
      </c>
      <c r="I969" s="31">
        <v>45800</v>
      </c>
      <c r="J969" s="1" t="s">
        <v>181</v>
      </c>
      <c r="K969" s="1" t="s">
        <v>37</v>
      </c>
      <c r="L969" s="1" t="s">
        <v>182</v>
      </c>
      <c r="M969" s="2" t="s">
        <v>2419</v>
      </c>
      <c r="N969" s="31">
        <v>45884</v>
      </c>
    </row>
    <row r="970" spans="1:14" x14ac:dyDescent="0.25">
      <c r="A970" s="29">
        <v>969</v>
      </c>
      <c r="B970" s="1" t="s">
        <v>412</v>
      </c>
      <c r="C970" s="31">
        <v>45955</v>
      </c>
      <c r="D970" s="1" t="s">
        <v>185</v>
      </c>
      <c r="E970" s="13" t="s">
        <v>2420</v>
      </c>
      <c r="F970" s="1" t="s">
        <v>89</v>
      </c>
      <c r="G970" s="1" t="s">
        <v>187</v>
      </c>
      <c r="H970" s="1" t="s">
        <v>188</v>
      </c>
      <c r="I970" s="31">
        <v>45983</v>
      </c>
      <c r="J970" s="1" t="s">
        <v>189</v>
      </c>
      <c r="K970" s="1" t="s">
        <v>37</v>
      </c>
      <c r="L970" s="1" t="s">
        <v>190</v>
      </c>
      <c r="M970" s="2" t="s">
        <v>2421</v>
      </c>
      <c r="N970" s="31">
        <v>45857</v>
      </c>
    </row>
    <row r="971" spans="1:14" x14ac:dyDescent="0.25">
      <c r="A971" s="29">
        <v>970</v>
      </c>
      <c r="B971" s="1" t="s">
        <v>419</v>
      </c>
      <c r="C971" s="31">
        <v>45826</v>
      </c>
      <c r="D971" s="1" t="s">
        <v>193</v>
      </c>
      <c r="E971" s="13" t="s">
        <v>2422</v>
      </c>
      <c r="F971" s="1" t="s">
        <v>89</v>
      </c>
      <c r="G971" s="1" t="s">
        <v>195</v>
      </c>
      <c r="H971" s="1" t="s">
        <v>196</v>
      </c>
      <c r="I971" s="31">
        <v>45840</v>
      </c>
      <c r="J971" s="1" t="s">
        <v>197</v>
      </c>
      <c r="K971" s="1" t="s">
        <v>37</v>
      </c>
      <c r="L971" s="1" t="s">
        <v>198</v>
      </c>
      <c r="M971" s="2" t="s">
        <v>2423</v>
      </c>
      <c r="N971" s="31">
        <v>45856</v>
      </c>
    </row>
    <row r="972" spans="1:14" x14ac:dyDescent="0.25">
      <c r="A972" s="29">
        <v>971</v>
      </c>
      <c r="B972" s="1" t="s">
        <v>425</v>
      </c>
      <c r="C972" s="31">
        <v>45782</v>
      </c>
      <c r="D972" s="1" t="s">
        <v>132</v>
      </c>
      <c r="E972" s="13" t="s">
        <v>2424</v>
      </c>
      <c r="F972" s="1" t="s">
        <v>33</v>
      </c>
      <c r="G972" s="1" t="s">
        <v>201</v>
      </c>
      <c r="H972" s="1" t="s">
        <v>202</v>
      </c>
      <c r="I972" s="31">
        <v>45787</v>
      </c>
      <c r="J972" s="1" t="s">
        <v>92</v>
      </c>
      <c r="K972" s="1" t="s">
        <v>37</v>
      </c>
      <c r="L972" s="1" t="s">
        <v>203</v>
      </c>
      <c r="M972" s="2" t="s">
        <v>2425</v>
      </c>
      <c r="N972" s="31">
        <v>45870</v>
      </c>
    </row>
    <row r="973" spans="1:14" x14ac:dyDescent="0.25">
      <c r="A973" s="29">
        <v>972</v>
      </c>
      <c r="B973" s="1" t="s">
        <v>431</v>
      </c>
      <c r="C973" s="31">
        <v>45754</v>
      </c>
      <c r="D973" s="1" t="s">
        <v>206</v>
      </c>
      <c r="E973" s="13" t="s">
        <v>2426</v>
      </c>
      <c r="F973" s="1" t="s">
        <v>89</v>
      </c>
      <c r="G973" s="1" t="s">
        <v>208</v>
      </c>
      <c r="H973" s="1" t="s">
        <v>196</v>
      </c>
      <c r="I973" s="31">
        <v>45765</v>
      </c>
      <c r="J973" s="1" t="s">
        <v>209</v>
      </c>
      <c r="K973" s="1" t="s">
        <v>37</v>
      </c>
      <c r="L973" s="1" t="s">
        <v>210</v>
      </c>
      <c r="M973" s="2" t="s">
        <v>2427</v>
      </c>
      <c r="N973" s="31">
        <v>45885</v>
      </c>
    </row>
    <row r="974" spans="1:14" x14ac:dyDescent="0.25">
      <c r="A974" s="29">
        <v>973</v>
      </c>
      <c r="B974" s="1" t="s">
        <v>437</v>
      </c>
      <c r="C974" s="31">
        <v>45951</v>
      </c>
      <c r="D974" s="1" t="s">
        <v>185</v>
      </c>
      <c r="E974" s="13" t="s">
        <v>2428</v>
      </c>
      <c r="F974" s="1" t="s">
        <v>89</v>
      </c>
      <c r="G974" s="1" t="s">
        <v>172</v>
      </c>
      <c r="H974" s="1" t="s">
        <v>173</v>
      </c>
      <c r="I974" s="31">
        <v>46031</v>
      </c>
      <c r="J974" s="1" t="s">
        <v>214</v>
      </c>
      <c r="K974" s="1" t="s">
        <v>37</v>
      </c>
      <c r="L974" s="1" t="s">
        <v>215</v>
      </c>
      <c r="M974" s="2" t="s">
        <v>2429</v>
      </c>
      <c r="N974" s="31">
        <v>45871</v>
      </c>
    </row>
    <row r="975" spans="1:14" x14ac:dyDescent="0.25">
      <c r="A975" s="29">
        <v>974</v>
      </c>
      <c r="B975" s="1" t="s">
        <v>443</v>
      </c>
      <c r="C975" s="31">
        <v>45804</v>
      </c>
      <c r="D975" s="1" t="s">
        <v>218</v>
      </c>
      <c r="E975" s="13" t="s">
        <v>2430</v>
      </c>
      <c r="F975" s="1" t="s">
        <v>89</v>
      </c>
      <c r="G975" s="1" t="s">
        <v>220</v>
      </c>
      <c r="H975" s="1" t="s">
        <v>67</v>
      </c>
      <c r="I975" s="31">
        <v>45918</v>
      </c>
      <c r="J975" s="1" t="s">
        <v>221</v>
      </c>
      <c r="K975" s="1" t="s">
        <v>37</v>
      </c>
      <c r="L975" s="1" t="s">
        <v>222</v>
      </c>
      <c r="M975" s="2" t="s">
        <v>2431</v>
      </c>
      <c r="N975" s="31">
        <v>45861</v>
      </c>
    </row>
    <row r="976" spans="1:14" x14ac:dyDescent="0.25">
      <c r="A976" s="29">
        <v>975</v>
      </c>
      <c r="B976" s="1" t="s">
        <v>450</v>
      </c>
      <c r="C976" s="31">
        <v>45908</v>
      </c>
      <c r="D976" s="1" t="s">
        <v>225</v>
      </c>
      <c r="E976" s="13" t="s">
        <v>2432</v>
      </c>
      <c r="F976" s="1" t="s">
        <v>33</v>
      </c>
      <c r="G976" s="1" t="s">
        <v>227</v>
      </c>
      <c r="H976" s="1" t="s">
        <v>228</v>
      </c>
      <c r="I976" s="31">
        <v>45915</v>
      </c>
      <c r="J976" s="1" t="s">
        <v>229</v>
      </c>
      <c r="K976" s="1" t="s">
        <v>37</v>
      </c>
      <c r="L976" s="1" t="s">
        <v>230</v>
      </c>
      <c r="M976" s="2" t="s">
        <v>2433</v>
      </c>
      <c r="N976" s="31">
        <v>45873</v>
      </c>
    </row>
    <row r="977" spans="1:14" x14ac:dyDescent="0.25">
      <c r="A977" s="29">
        <v>976</v>
      </c>
      <c r="B977" s="1" t="s">
        <v>456</v>
      </c>
      <c r="C977" s="31">
        <v>45692</v>
      </c>
      <c r="D977" s="1" t="s">
        <v>233</v>
      </c>
      <c r="E977" s="13" t="s">
        <v>2434</v>
      </c>
      <c r="F977" s="1" t="s">
        <v>33</v>
      </c>
      <c r="G977" s="1" t="s">
        <v>156</v>
      </c>
      <c r="H977" s="1" t="s">
        <v>235</v>
      </c>
      <c r="I977" s="31">
        <v>45717</v>
      </c>
      <c r="J977" s="1" t="s">
        <v>236</v>
      </c>
      <c r="K977" s="1" t="s">
        <v>37</v>
      </c>
      <c r="L977" s="1" t="s">
        <v>237</v>
      </c>
      <c r="M977" s="2" t="s">
        <v>2435</v>
      </c>
      <c r="N977" s="31">
        <v>45853</v>
      </c>
    </row>
    <row r="978" spans="1:14" x14ac:dyDescent="0.25">
      <c r="A978" s="29">
        <v>977</v>
      </c>
      <c r="B978" s="1" t="s">
        <v>461</v>
      </c>
      <c r="C978" s="31">
        <v>45695</v>
      </c>
      <c r="D978" s="1" t="s">
        <v>240</v>
      </c>
      <c r="E978" s="13" t="s">
        <v>2436</v>
      </c>
      <c r="F978" s="1" t="s">
        <v>89</v>
      </c>
      <c r="G978" s="1" t="s">
        <v>105</v>
      </c>
      <c r="H978" s="1" t="s">
        <v>242</v>
      </c>
      <c r="I978" s="31">
        <v>45747</v>
      </c>
      <c r="J978" s="1" t="s">
        <v>243</v>
      </c>
      <c r="K978" s="1" t="s">
        <v>37</v>
      </c>
      <c r="L978" s="1" t="s">
        <v>244</v>
      </c>
      <c r="M978" s="2" t="s">
        <v>2437</v>
      </c>
      <c r="N978" s="31">
        <v>45865</v>
      </c>
    </row>
    <row r="979" spans="1:14" x14ac:dyDescent="0.25">
      <c r="A979" s="29">
        <v>978</v>
      </c>
      <c r="B979" s="1" t="s">
        <v>466</v>
      </c>
      <c r="C979" s="31">
        <v>45833</v>
      </c>
      <c r="D979" s="1" t="s">
        <v>246</v>
      </c>
      <c r="E979" s="13" t="s">
        <v>2438</v>
      </c>
      <c r="F979" s="1" t="s">
        <v>33</v>
      </c>
      <c r="G979" s="1" t="s">
        <v>248</v>
      </c>
      <c r="H979" s="1" t="s">
        <v>134</v>
      </c>
      <c r="I979" s="31">
        <v>45856</v>
      </c>
      <c r="J979" s="1" t="s">
        <v>249</v>
      </c>
      <c r="K979" s="1" t="s">
        <v>37</v>
      </c>
      <c r="L979" s="1" t="s">
        <v>250</v>
      </c>
      <c r="M979" s="2" t="s">
        <v>2439</v>
      </c>
      <c r="N979" s="31">
        <v>45840</v>
      </c>
    </row>
    <row r="980" spans="1:14" x14ac:dyDescent="0.25">
      <c r="A980" s="29">
        <v>979</v>
      </c>
      <c r="B980" s="1" t="s">
        <v>466</v>
      </c>
      <c r="C980" s="31">
        <v>45812</v>
      </c>
      <c r="D980" s="1" t="s">
        <v>253</v>
      </c>
      <c r="E980" s="13" t="s">
        <v>2440</v>
      </c>
      <c r="F980" s="1" t="s">
        <v>33</v>
      </c>
      <c r="G980" s="1" t="s">
        <v>255</v>
      </c>
      <c r="H980" s="1" t="s">
        <v>256</v>
      </c>
      <c r="I980" s="31">
        <v>45931</v>
      </c>
      <c r="J980" s="1" t="s">
        <v>257</v>
      </c>
      <c r="K980" s="1" t="s">
        <v>37</v>
      </c>
      <c r="L980" s="1" t="s">
        <v>258</v>
      </c>
      <c r="M980" s="2" t="s">
        <v>2441</v>
      </c>
      <c r="N980" s="31">
        <v>45878</v>
      </c>
    </row>
    <row r="981" spans="1:14" x14ac:dyDescent="0.25">
      <c r="A981" s="29">
        <v>980</v>
      </c>
      <c r="B981" s="1" t="s">
        <v>479</v>
      </c>
      <c r="C981" s="31">
        <v>45833</v>
      </c>
      <c r="D981" s="1" t="s">
        <v>260</v>
      </c>
      <c r="E981" s="13" t="s">
        <v>2442</v>
      </c>
      <c r="F981" s="1" t="s">
        <v>89</v>
      </c>
      <c r="G981" s="1" t="s">
        <v>113</v>
      </c>
      <c r="H981" s="1" t="s">
        <v>262</v>
      </c>
      <c r="I981" s="31">
        <v>45935</v>
      </c>
      <c r="J981" s="1" t="s">
        <v>263</v>
      </c>
      <c r="K981" s="1" t="s">
        <v>37</v>
      </c>
      <c r="L981" s="1" t="s">
        <v>264</v>
      </c>
      <c r="M981" s="2" t="s">
        <v>2443</v>
      </c>
      <c r="N981" s="31">
        <v>45845</v>
      </c>
    </row>
    <row r="982" spans="1:14" x14ac:dyDescent="0.25">
      <c r="A982" s="29">
        <v>981</v>
      </c>
      <c r="B982" s="1" t="s">
        <v>71</v>
      </c>
      <c r="C982" s="31">
        <v>45834</v>
      </c>
      <c r="D982" s="1" t="s">
        <v>267</v>
      </c>
      <c r="E982" s="13" t="s">
        <v>2444</v>
      </c>
      <c r="F982" s="1" t="s">
        <v>89</v>
      </c>
      <c r="G982" s="1" t="s">
        <v>269</v>
      </c>
      <c r="H982" s="1" t="s">
        <v>270</v>
      </c>
      <c r="I982" s="31">
        <v>45866</v>
      </c>
      <c r="J982" s="1" t="s">
        <v>271</v>
      </c>
      <c r="K982" s="1" t="s">
        <v>37</v>
      </c>
      <c r="L982" s="1" t="s">
        <v>272</v>
      </c>
      <c r="M982" s="2" t="s">
        <v>2445</v>
      </c>
      <c r="N982" s="31">
        <v>45858</v>
      </c>
    </row>
    <row r="983" spans="1:14" x14ac:dyDescent="0.25">
      <c r="A983" s="29">
        <v>982</v>
      </c>
      <c r="B983" s="1" t="s">
        <v>488</v>
      </c>
      <c r="C983" s="31">
        <v>45787</v>
      </c>
      <c r="D983" s="1" t="s">
        <v>154</v>
      </c>
      <c r="E983" s="13" t="s">
        <v>2446</v>
      </c>
      <c r="F983" s="1" t="s">
        <v>89</v>
      </c>
      <c r="G983" s="1" t="s">
        <v>66</v>
      </c>
      <c r="H983" s="1" t="s">
        <v>82</v>
      </c>
      <c r="I983" s="31">
        <v>45833</v>
      </c>
      <c r="J983" s="1" t="s">
        <v>276</v>
      </c>
      <c r="K983" s="1" t="s">
        <v>37</v>
      </c>
      <c r="L983" s="1" t="s">
        <v>277</v>
      </c>
      <c r="M983" s="2" t="s">
        <v>2447</v>
      </c>
      <c r="N983" s="31">
        <v>45865</v>
      </c>
    </row>
    <row r="984" spans="1:14" x14ac:dyDescent="0.25">
      <c r="A984" s="29">
        <v>983</v>
      </c>
      <c r="B984" s="1" t="s">
        <v>161</v>
      </c>
      <c r="C984" s="31">
        <v>45667</v>
      </c>
      <c r="D984" s="1" t="s">
        <v>233</v>
      </c>
      <c r="E984" s="13" t="s">
        <v>2448</v>
      </c>
      <c r="F984" s="1" t="s">
        <v>89</v>
      </c>
      <c r="G984" s="1" t="s">
        <v>105</v>
      </c>
      <c r="H984" s="1" t="s">
        <v>256</v>
      </c>
      <c r="I984" s="31">
        <v>45721</v>
      </c>
      <c r="J984" s="1" t="s">
        <v>281</v>
      </c>
      <c r="K984" s="1" t="s">
        <v>37</v>
      </c>
      <c r="L984" s="1" t="s">
        <v>282</v>
      </c>
      <c r="M984" s="2" t="s">
        <v>2449</v>
      </c>
      <c r="N984" s="31">
        <v>45885</v>
      </c>
    </row>
    <row r="985" spans="1:14" x14ac:dyDescent="0.25">
      <c r="A985" s="29">
        <v>984</v>
      </c>
      <c r="B985" s="1" t="s">
        <v>184</v>
      </c>
      <c r="C985" s="31">
        <v>45956</v>
      </c>
      <c r="D985" s="1" t="s">
        <v>285</v>
      </c>
      <c r="E985" s="13" t="s">
        <v>2450</v>
      </c>
      <c r="F985" s="1" t="s">
        <v>33</v>
      </c>
      <c r="G985" s="1" t="s">
        <v>287</v>
      </c>
      <c r="H985" s="1" t="s">
        <v>288</v>
      </c>
      <c r="I985" s="31">
        <v>45962</v>
      </c>
      <c r="J985" s="1" t="s">
        <v>289</v>
      </c>
      <c r="K985" s="1" t="s">
        <v>37</v>
      </c>
      <c r="L985" s="1" t="s">
        <v>290</v>
      </c>
      <c r="M985" s="2" t="s">
        <v>2451</v>
      </c>
      <c r="N985" s="31">
        <v>45867</v>
      </c>
    </row>
    <row r="986" spans="1:14" x14ac:dyDescent="0.25">
      <c r="A986" s="29">
        <v>985</v>
      </c>
      <c r="B986" s="1" t="s">
        <v>40</v>
      </c>
      <c r="C986" s="31">
        <v>45901</v>
      </c>
      <c r="D986" s="1" t="s">
        <v>292</v>
      </c>
      <c r="E986" s="13" t="s">
        <v>2452</v>
      </c>
      <c r="F986" s="1" t="s">
        <v>89</v>
      </c>
      <c r="G986" s="1" t="s">
        <v>66</v>
      </c>
      <c r="H986" s="1" t="s">
        <v>67</v>
      </c>
      <c r="I986" s="31">
        <v>45941</v>
      </c>
      <c r="J986" s="1" t="s">
        <v>294</v>
      </c>
      <c r="K986" s="1" t="s">
        <v>37</v>
      </c>
      <c r="L986" s="1" t="s">
        <v>295</v>
      </c>
      <c r="M986" s="2" t="s">
        <v>2453</v>
      </c>
      <c r="N986" s="31">
        <v>45895</v>
      </c>
    </row>
    <row r="987" spans="1:14" x14ac:dyDescent="0.25">
      <c r="A987" s="29">
        <v>986</v>
      </c>
      <c r="B987" s="1" t="s">
        <v>503</v>
      </c>
      <c r="C987" s="31">
        <v>45860</v>
      </c>
      <c r="D987" s="1" t="s">
        <v>297</v>
      </c>
      <c r="E987" s="13" t="s">
        <v>2454</v>
      </c>
      <c r="F987" s="1" t="s">
        <v>89</v>
      </c>
      <c r="G987" s="1" t="s">
        <v>34</v>
      </c>
      <c r="H987" s="1" t="s">
        <v>299</v>
      </c>
      <c r="I987" s="31">
        <v>45905</v>
      </c>
      <c r="J987" s="1" t="s">
        <v>300</v>
      </c>
      <c r="K987" s="1" t="s">
        <v>37</v>
      </c>
      <c r="L987" s="1" t="s">
        <v>301</v>
      </c>
      <c r="M987" s="2" t="s">
        <v>2455</v>
      </c>
      <c r="N987" s="31">
        <v>45847</v>
      </c>
    </row>
    <row r="988" spans="1:14" x14ac:dyDescent="0.25">
      <c r="A988" s="29">
        <v>987</v>
      </c>
      <c r="B988" s="1" t="s">
        <v>103</v>
      </c>
      <c r="C988" s="31">
        <v>45828</v>
      </c>
      <c r="D988" s="1" t="s">
        <v>111</v>
      </c>
      <c r="E988" s="13" t="s">
        <v>2456</v>
      </c>
      <c r="F988" s="1" t="s">
        <v>33</v>
      </c>
      <c r="G988" s="1" t="s">
        <v>34</v>
      </c>
      <c r="H988" s="1" t="s">
        <v>134</v>
      </c>
      <c r="I988" s="31">
        <v>45872</v>
      </c>
      <c r="J988" s="1" t="s">
        <v>305</v>
      </c>
      <c r="K988" s="1" t="s">
        <v>37</v>
      </c>
      <c r="L988" s="1" t="s">
        <v>306</v>
      </c>
      <c r="M988" s="2" t="s">
        <v>2457</v>
      </c>
      <c r="N988" s="31">
        <v>45896</v>
      </c>
    </row>
    <row r="989" spans="1:14" x14ac:dyDescent="0.25">
      <c r="A989" s="29">
        <v>988</v>
      </c>
      <c r="B989" s="1" t="s">
        <v>511</v>
      </c>
      <c r="C989" s="31">
        <v>45775</v>
      </c>
      <c r="D989" s="1" t="s">
        <v>308</v>
      </c>
      <c r="E989" s="13" t="s">
        <v>2458</v>
      </c>
      <c r="F989" s="1" t="s">
        <v>89</v>
      </c>
      <c r="G989" s="1" t="s">
        <v>310</v>
      </c>
      <c r="H989" s="1" t="s">
        <v>311</v>
      </c>
      <c r="I989" s="31">
        <v>45873</v>
      </c>
      <c r="J989" s="1" t="s">
        <v>150</v>
      </c>
      <c r="K989" s="1" t="s">
        <v>37</v>
      </c>
      <c r="L989" s="1" t="s">
        <v>312</v>
      </c>
      <c r="M989" s="2" t="s">
        <v>2459</v>
      </c>
      <c r="N989" s="31">
        <v>45858</v>
      </c>
    </row>
    <row r="990" spans="1:14" x14ac:dyDescent="0.25">
      <c r="A990" s="29">
        <v>989</v>
      </c>
      <c r="B990" s="1" t="s">
        <v>516</v>
      </c>
      <c r="C990" s="31">
        <v>46012</v>
      </c>
      <c r="D990" s="1" t="s">
        <v>2460</v>
      </c>
      <c r="E990" s="13" t="s">
        <v>2461</v>
      </c>
      <c r="F990" s="1" t="s">
        <v>33</v>
      </c>
      <c r="G990" s="1" t="s">
        <v>2462</v>
      </c>
      <c r="H990" s="1" t="s">
        <v>2463</v>
      </c>
      <c r="I990" s="31">
        <v>46065</v>
      </c>
      <c r="J990" s="1" t="s">
        <v>2464</v>
      </c>
      <c r="K990" s="1" t="s">
        <v>2465</v>
      </c>
      <c r="L990" s="1" t="s">
        <v>2466</v>
      </c>
      <c r="M990" s="2" t="s">
        <v>2467</v>
      </c>
      <c r="N990" s="31">
        <v>45869</v>
      </c>
    </row>
    <row r="991" spans="1:14" x14ac:dyDescent="0.25">
      <c r="A991" s="29">
        <v>990</v>
      </c>
      <c r="B991" s="1" t="s">
        <v>521</v>
      </c>
      <c r="C991" s="31">
        <v>46012</v>
      </c>
      <c r="D991" s="1" t="s">
        <v>2460</v>
      </c>
      <c r="E991" s="13" t="s">
        <v>2468</v>
      </c>
      <c r="F991" s="1" t="s">
        <v>33</v>
      </c>
      <c r="G991" s="1" t="s">
        <v>2462</v>
      </c>
      <c r="H991" s="1" t="s">
        <v>2463</v>
      </c>
      <c r="I991" s="31">
        <v>46065</v>
      </c>
      <c r="J991" s="1" t="s">
        <v>2464</v>
      </c>
      <c r="K991" s="1" t="s">
        <v>2465</v>
      </c>
      <c r="L991" s="1" t="s">
        <v>2466</v>
      </c>
      <c r="M991" s="2" t="s">
        <v>2467</v>
      </c>
      <c r="N991" s="31">
        <v>45853</v>
      </c>
    </row>
    <row r="992" spans="1:14" x14ac:dyDescent="0.25">
      <c r="A992" s="29">
        <v>991</v>
      </c>
      <c r="B992" s="1" t="s">
        <v>526</v>
      </c>
      <c r="C992" s="31">
        <v>45751</v>
      </c>
      <c r="D992" s="1" t="s">
        <v>2469</v>
      </c>
      <c r="E992" s="13" t="s">
        <v>2470</v>
      </c>
      <c r="F992" s="1" t="s">
        <v>33</v>
      </c>
      <c r="G992" s="1" t="s">
        <v>2471</v>
      </c>
      <c r="H992" s="1" t="s">
        <v>2472</v>
      </c>
      <c r="I992" s="31">
        <v>46065</v>
      </c>
      <c r="J992" s="1" t="s">
        <v>2473</v>
      </c>
      <c r="K992" s="1" t="s">
        <v>2474</v>
      </c>
      <c r="L992" s="1" t="s">
        <v>2475</v>
      </c>
      <c r="M992" s="2" t="s">
        <v>2476</v>
      </c>
      <c r="N992" s="31">
        <v>45893</v>
      </c>
    </row>
    <row r="993" spans="1:14" x14ac:dyDescent="0.25">
      <c r="A993" s="29">
        <v>992</v>
      </c>
      <c r="B993" s="1" t="s">
        <v>532</v>
      </c>
      <c r="C993" s="31">
        <v>45751</v>
      </c>
      <c r="D993" s="1" t="s">
        <v>2469</v>
      </c>
      <c r="E993" s="13" t="s">
        <v>2477</v>
      </c>
      <c r="F993" s="1" t="s">
        <v>33</v>
      </c>
      <c r="G993" s="1" t="s">
        <v>2471</v>
      </c>
      <c r="H993" s="1" t="s">
        <v>2472</v>
      </c>
      <c r="I993" s="31">
        <v>46065</v>
      </c>
      <c r="J993" s="1" t="s">
        <v>2473</v>
      </c>
      <c r="K993" s="1" t="s">
        <v>2474</v>
      </c>
      <c r="L993" s="1" t="s">
        <v>2475</v>
      </c>
      <c r="M993" s="2" t="s">
        <v>2476</v>
      </c>
      <c r="N993" s="31">
        <v>45868</v>
      </c>
    </row>
    <row r="994" spans="1:14" x14ac:dyDescent="0.25">
      <c r="A994" s="29">
        <v>993</v>
      </c>
      <c r="B994" s="1" t="s">
        <v>538</v>
      </c>
      <c r="C994" s="31">
        <v>45992</v>
      </c>
      <c r="D994" s="1" t="s">
        <v>2478</v>
      </c>
      <c r="E994" s="13" t="s">
        <v>2479</v>
      </c>
      <c r="F994" s="1" t="s">
        <v>89</v>
      </c>
      <c r="G994" s="1" t="s">
        <v>2480</v>
      </c>
      <c r="H994" s="1" t="s">
        <v>2481</v>
      </c>
      <c r="I994" s="31">
        <v>46065</v>
      </c>
      <c r="J994" s="1" t="s">
        <v>2482</v>
      </c>
      <c r="K994" s="1" t="s">
        <v>2483</v>
      </c>
      <c r="L994" s="1" t="s">
        <v>2484</v>
      </c>
      <c r="M994" s="2" t="s">
        <v>2485</v>
      </c>
      <c r="N994" s="31">
        <v>45885</v>
      </c>
    </row>
    <row r="995" spans="1:14" x14ac:dyDescent="0.25">
      <c r="A995" s="29">
        <v>994</v>
      </c>
      <c r="B995" s="1" t="s">
        <v>543</v>
      </c>
      <c r="C995" s="31">
        <v>45992</v>
      </c>
      <c r="D995" s="1" t="s">
        <v>2478</v>
      </c>
      <c r="E995" s="13" t="s">
        <v>2486</v>
      </c>
      <c r="F995" s="1" t="s">
        <v>89</v>
      </c>
      <c r="G995" s="1" t="s">
        <v>2480</v>
      </c>
      <c r="H995" s="1" t="s">
        <v>2481</v>
      </c>
      <c r="I995" s="31">
        <v>46065</v>
      </c>
      <c r="J995" s="1" t="s">
        <v>2482</v>
      </c>
      <c r="K995" s="1" t="s">
        <v>2483</v>
      </c>
      <c r="L995" s="1" t="s">
        <v>2484</v>
      </c>
      <c r="M995" s="2" t="s">
        <v>2485</v>
      </c>
      <c r="N995" s="31">
        <v>45878</v>
      </c>
    </row>
    <row r="996" spans="1:14" x14ac:dyDescent="0.25">
      <c r="A996" s="29">
        <v>995</v>
      </c>
      <c r="B996" s="1" t="s">
        <v>284</v>
      </c>
      <c r="C996" s="31">
        <v>45941</v>
      </c>
      <c r="D996" s="1" t="s">
        <v>2487</v>
      </c>
      <c r="E996" s="13" t="s">
        <v>2488</v>
      </c>
      <c r="F996" s="1" t="s">
        <v>33</v>
      </c>
      <c r="G996" s="1" t="s">
        <v>2489</v>
      </c>
      <c r="H996" s="1" t="s">
        <v>2490</v>
      </c>
      <c r="I996" s="31">
        <v>46065</v>
      </c>
      <c r="J996" s="1" t="s">
        <v>2491</v>
      </c>
      <c r="K996" s="1" t="s">
        <v>2492</v>
      </c>
      <c r="L996" s="1" t="s">
        <v>2493</v>
      </c>
      <c r="M996" s="2" t="s">
        <v>2494</v>
      </c>
      <c r="N996" s="31">
        <v>45854</v>
      </c>
    </row>
    <row r="997" spans="1:14" x14ac:dyDescent="0.25">
      <c r="A997" s="29">
        <v>996</v>
      </c>
      <c r="B997" s="1" t="s">
        <v>350</v>
      </c>
      <c r="C997" s="31">
        <v>45941</v>
      </c>
      <c r="D997" s="1" t="s">
        <v>2487</v>
      </c>
      <c r="E997" s="13" t="s">
        <v>2495</v>
      </c>
      <c r="F997" s="1" t="s">
        <v>33</v>
      </c>
      <c r="G997" s="1" t="s">
        <v>2489</v>
      </c>
      <c r="H997" s="1" t="s">
        <v>2490</v>
      </c>
      <c r="I997" s="31">
        <v>46065</v>
      </c>
      <c r="J997" s="1" t="s">
        <v>2491</v>
      </c>
      <c r="K997" s="1" t="s">
        <v>2492</v>
      </c>
      <c r="L997" s="1" t="s">
        <v>2493</v>
      </c>
      <c r="M997" s="2" t="s">
        <v>2494</v>
      </c>
      <c r="N997" s="31">
        <v>45844</v>
      </c>
    </row>
    <row r="998" spans="1:14" x14ac:dyDescent="0.25">
      <c r="A998" s="29">
        <v>997</v>
      </c>
      <c r="B998" s="1" t="s">
        <v>437</v>
      </c>
      <c r="C998" s="31">
        <v>46003</v>
      </c>
      <c r="D998" s="1" t="s">
        <v>2496</v>
      </c>
      <c r="E998" s="13" t="s">
        <v>2497</v>
      </c>
      <c r="F998" s="1" t="s">
        <v>33</v>
      </c>
      <c r="G998" s="1" t="s">
        <v>2498</v>
      </c>
      <c r="H998" s="1" t="s">
        <v>2499</v>
      </c>
      <c r="I998" s="31">
        <v>46065</v>
      </c>
      <c r="J998" s="1" t="s">
        <v>2500</v>
      </c>
      <c r="K998" s="1" t="s">
        <v>2501</v>
      </c>
      <c r="L998" s="1" t="s">
        <v>2502</v>
      </c>
      <c r="M998" s="2" t="s">
        <v>2503</v>
      </c>
      <c r="N998" s="31">
        <v>45885</v>
      </c>
    </row>
    <row r="999" spans="1:14" x14ac:dyDescent="0.25">
      <c r="A999" s="29">
        <v>998</v>
      </c>
      <c r="B999" s="1" t="s">
        <v>450</v>
      </c>
      <c r="C999" s="31">
        <v>46003</v>
      </c>
      <c r="D999" s="1" t="s">
        <v>2496</v>
      </c>
      <c r="E999" s="13" t="s">
        <v>2504</v>
      </c>
      <c r="F999" s="1" t="s">
        <v>33</v>
      </c>
      <c r="G999" s="1" t="s">
        <v>2498</v>
      </c>
      <c r="H999" s="1" t="s">
        <v>2499</v>
      </c>
      <c r="I999" s="31">
        <v>46065</v>
      </c>
      <c r="J999" s="1" t="s">
        <v>2500</v>
      </c>
      <c r="K999" s="1" t="s">
        <v>2501</v>
      </c>
      <c r="L999" s="1" t="s">
        <v>2502</v>
      </c>
      <c r="M999" s="2" t="s">
        <v>2503</v>
      </c>
      <c r="N999" s="31">
        <v>45891</v>
      </c>
    </row>
    <row r="1000" spans="1:14" x14ac:dyDescent="0.25">
      <c r="A1000" s="29">
        <v>999</v>
      </c>
      <c r="B1000" s="1" t="s">
        <v>212</v>
      </c>
      <c r="C1000" s="31">
        <v>45854</v>
      </c>
      <c r="D1000" s="1" t="s">
        <v>2505</v>
      </c>
      <c r="E1000" s="13" t="s">
        <v>2506</v>
      </c>
      <c r="F1000" s="1" t="s">
        <v>33</v>
      </c>
      <c r="G1000" s="1" t="s">
        <v>2507</v>
      </c>
      <c r="H1000" s="1" t="s">
        <v>2508</v>
      </c>
      <c r="I1000" s="31">
        <v>46065</v>
      </c>
      <c r="J1000" s="1" t="s">
        <v>2509</v>
      </c>
      <c r="K1000" s="1" t="s">
        <v>2510</v>
      </c>
      <c r="L1000" s="1" t="s">
        <v>2511</v>
      </c>
      <c r="M1000" s="2" t="s">
        <v>2512</v>
      </c>
      <c r="N1000" s="31">
        <v>45847</v>
      </c>
    </row>
    <row r="1001" spans="1:14" x14ac:dyDescent="0.25">
      <c r="A1001" s="29">
        <v>1000</v>
      </c>
      <c r="B1001" s="1" t="s">
        <v>569</v>
      </c>
      <c r="C1001" s="31">
        <v>45854</v>
      </c>
      <c r="D1001" s="1" t="s">
        <v>2505</v>
      </c>
      <c r="E1001" s="13" t="s">
        <v>2513</v>
      </c>
      <c r="F1001" s="1" t="s">
        <v>33</v>
      </c>
      <c r="G1001" s="1" t="s">
        <v>2507</v>
      </c>
      <c r="H1001" s="1" t="s">
        <v>2508</v>
      </c>
      <c r="I1001" s="31">
        <v>46065</v>
      </c>
      <c r="J1001" s="1" t="s">
        <v>2509</v>
      </c>
      <c r="K1001" s="1" t="s">
        <v>2510</v>
      </c>
      <c r="L1001" s="1" t="s">
        <v>2511</v>
      </c>
      <c r="M1001" s="2" t="s">
        <v>2512</v>
      </c>
      <c r="N1001" s="31">
        <v>45884</v>
      </c>
    </row>
    <row r="1002" spans="1:14" x14ac:dyDescent="0.25">
      <c r="A1002" s="29">
        <v>1001</v>
      </c>
      <c r="B1002" s="1" t="s">
        <v>425</v>
      </c>
      <c r="C1002" s="31">
        <v>45965</v>
      </c>
      <c r="D1002" s="1" t="s">
        <v>2514</v>
      </c>
      <c r="E1002" s="13" t="s">
        <v>2515</v>
      </c>
      <c r="F1002" s="1" t="s">
        <v>33</v>
      </c>
      <c r="G1002" s="1" t="s">
        <v>2516</v>
      </c>
      <c r="H1002" s="1" t="s">
        <v>2517</v>
      </c>
      <c r="I1002" s="31">
        <v>46065</v>
      </c>
      <c r="J1002" s="1" t="s">
        <v>2518</v>
      </c>
      <c r="K1002" s="1" t="s">
        <v>2519</v>
      </c>
      <c r="L1002" s="1" t="s">
        <v>2520</v>
      </c>
      <c r="M1002" s="2" t="s">
        <v>2521</v>
      </c>
      <c r="N1002" s="31">
        <v>45873</v>
      </c>
    </row>
    <row r="1003" spans="1:14" x14ac:dyDescent="0.25">
      <c r="A1003" s="29">
        <v>1002</v>
      </c>
      <c r="B1003" s="1" t="s">
        <v>578</v>
      </c>
      <c r="C1003" s="31">
        <v>45965</v>
      </c>
      <c r="D1003" s="1" t="s">
        <v>2514</v>
      </c>
      <c r="E1003" s="13" t="s">
        <v>2522</v>
      </c>
      <c r="F1003" s="1" t="s">
        <v>33</v>
      </c>
      <c r="G1003" s="1" t="s">
        <v>2516</v>
      </c>
      <c r="H1003" s="1" t="s">
        <v>2517</v>
      </c>
      <c r="I1003" s="31">
        <v>46065</v>
      </c>
      <c r="J1003" s="1" t="s">
        <v>2518</v>
      </c>
      <c r="K1003" s="1" t="s">
        <v>2519</v>
      </c>
      <c r="L1003" s="1" t="s">
        <v>2520</v>
      </c>
      <c r="M1003" s="2" t="s">
        <v>2521</v>
      </c>
      <c r="N1003" s="31">
        <v>45844</v>
      </c>
    </row>
    <row r="1004" spans="1:14" x14ac:dyDescent="0.25">
      <c r="A1004" s="29">
        <v>1003</v>
      </c>
      <c r="B1004" s="1" t="s">
        <v>169</v>
      </c>
      <c r="C1004" s="31">
        <v>45720</v>
      </c>
      <c r="D1004" s="1" t="s">
        <v>2523</v>
      </c>
      <c r="E1004" s="13" t="s">
        <v>2524</v>
      </c>
      <c r="F1004" s="1" t="s">
        <v>89</v>
      </c>
      <c r="G1004" s="1" t="s">
        <v>2525</v>
      </c>
      <c r="H1004" s="1" t="s">
        <v>2526</v>
      </c>
      <c r="I1004" s="31">
        <v>46065</v>
      </c>
      <c r="J1004" s="1" t="s">
        <v>2527</v>
      </c>
      <c r="K1004" s="1" t="s">
        <v>2528</v>
      </c>
      <c r="L1004" s="1" t="s">
        <v>2529</v>
      </c>
      <c r="M1004" s="2" t="s">
        <v>2530</v>
      </c>
      <c r="N1004" s="31">
        <v>45887</v>
      </c>
    </row>
    <row r="1005" spans="1:14" x14ac:dyDescent="0.25">
      <c r="A1005" s="29">
        <v>1004</v>
      </c>
      <c r="B1005" s="1" t="s">
        <v>177</v>
      </c>
      <c r="C1005" s="31">
        <v>45720</v>
      </c>
      <c r="D1005" s="1" t="s">
        <v>2523</v>
      </c>
      <c r="E1005" s="13" t="s">
        <v>2531</v>
      </c>
      <c r="F1005" s="1" t="s">
        <v>89</v>
      </c>
      <c r="G1005" s="1" t="s">
        <v>2525</v>
      </c>
      <c r="H1005" s="1" t="s">
        <v>2526</v>
      </c>
      <c r="I1005" s="31">
        <v>46065</v>
      </c>
      <c r="J1005" s="1" t="s">
        <v>2527</v>
      </c>
      <c r="K1005" s="1" t="s">
        <v>2528</v>
      </c>
      <c r="L1005" s="1" t="s">
        <v>2529</v>
      </c>
      <c r="M1005" s="2" t="s">
        <v>2530</v>
      </c>
      <c r="N1005" s="31">
        <v>45858</v>
      </c>
    </row>
    <row r="1006" spans="1:14" x14ac:dyDescent="0.25">
      <c r="A1006" s="29">
        <v>1005</v>
      </c>
      <c r="B1006" s="1" t="s">
        <v>450</v>
      </c>
      <c r="C1006" s="31">
        <v>45841</v>
      </c>
      <c r="D1006" s="1" t="s">
        <v>2532</v>
      </c>
      <c r="E1006" s="13" t="s">
        <v>2533</v>
      </c>
      <c r="F1006" s="1" t="s">
        <v>89</v>
      </c>
      <c r="G1006" s="1" t="s">
        <v>2534</v>
      </c>
      <c r="H1006" s="1" t="s">
        <v>2535</v>
      </c>
      <c r="I1006" s="31">
        <v>46065</v>
      </c>
      <c r="J1006" s="1" t="s">
        <v>2536</v>
      </c>
      <c r="K1006" s="1" t="s">
        <v>2537</v>
      </c>
      <c r="L1006" s="1" t="s">
        <v>2538</v>
      </c>
      <c r="M1006" s="2" t="s">
        <v>2539</v>
      </c>
      <c r="N1006" s="31">
        <v>45860</v>
      </c>
    </row>
    <row r="1007" spans="1:14" x14ac:dyDescent="0.25">
      <c r="A1007" s="29">
        <v>1006</v>
      </c>
      <c r="B1007" s="1" t="s">
        <v>48</v>
      </c>
      <c r="C1007" s="31">
        <v>45841</v>
      </c>
      <c r="D1007" s="1" t="s">
        <v>2532</v>
      </c>
      <c r="E1007" s="13" t="s">
        <v>2540</v>
      </c>
      <c r="F1007" s="1" t="s">
        <v>89</v>
      </c>
      <c r="G1007" s="1" t="s">
        <v>2534</v>
      </c>
      <c r="H1007" s="1" t="s">
        <v>2535</v>
      </c>
      <c r="I1007" s="31">
        <v>46065</v>
      </c>
      <c r="J1007" s="1" t="s">
        <v>2536</v>
      </c>
      <c r="K1007" s="1" t="s">
        <v>2537</v>
      </c>
      <c r="L1007" s="1" t="s">
        <v>2538</v>
      </c>
      <c r="M1007" s="2" t="s">
        <v>2539</v>
      </c>
      <c r="N1007" s="31">
        <v>45870</v>
      </c>
    </row>
    <row r="1008" spans="1:14" x14ac:dyDescent="0.25">
      <c r="A1008" s="29">
        <v>1007</v>
      </c>
      <c r="B1008" s="1" t="s">
        <v>252</v>
      </c>
      <c r="C1008" s="31">
        <v>45760</v>
      </c>
      <c r="D1008" s="1" t="s">
        <v>2541</v>
      </c>
      <c r="E1008" s="13" t="s">
        <v>2542</v>
      </c>
      <c r="F1008" s="1" t="s">
        <v>89</v>
      </c>
      <c r="G1008" s="1" t="s">
        <v>2543</v>
      </c>
      <c r="H1008" s="1" t="s">
        <v>2544</v>
      </c>
      <c r="I1008" s="31">
        <v>46065</v>
      </c>
      <c r="J1008" s="1" t="s">
        <v>2545</v>
      </c>
      <c r="K1008" s="1" t="s">
        <v>2546</v>
      </c>
      <c r="L1008" s="1" t="s">
        <v>2547</v>
      </c>
      <c r="M1008" s="2" t="s">
        <v>2548</v>
      </c>
      <c r="N1008" s="31">
        <v>45866</v>
      </c>
    </row>
    <row r="1009" spans="1:14" x14ac:dyDescent="0.25">
      <c r="A1009" s="29">
        <v>1008</v>
      </c>
      <c r="B1009" s="1" t="s">
        <v>466</v>
      </c>
      <c r="C1009" s="31">
        <v>45760</v>
      </c>
      <c r="D1009" s="1" t="s">
        <v>2541</v>
      </c>
      <c r="E1009" s="13" t="s">
        <v>2549</v>
      </c>
      <c r="F1009" s="1" t="s">
        <v>89</v>
      </c>
      <c r="G1009" s="1" t="s">
        <v>2543</v>
      </c>
      <c r="H1009" s="1" t="s">
        <v>2544</v>
      </c>
      <c r="I1009" s="31">
        <v>46065</v>
      </c>
      <c r="J1009" s="1" t="s">
        <v>2545</v>
      </c>
      <c r="K1009" s="1" t="s">
        <v>2546</v>
      </c>
      <c r="L1009" s="1" t="s">
        <v>2547</v>
      </c>
      <c r="M1009" s="2" t="s">
        <v>2548</v>
      </c>
      <c r="N1009" s="31">
        <v>45858</v>
      </c>
    </row>
    <row r="1010" spans="1:14" x14ac:dyDescent="0.25">
      <c r="A1010" s="29">
        <v>1009</v>
      </c>
      <c r="B1010" s="1" t="s">
        <v>610</v>
      </c>
      <c r="C1010" s="31">
        <v>45894</v>
      </c>
      <c r="D1010" s="1" t="s">
        <v>2550</v>
      </c>
      <c r="E1010" s="13" t="s">
        <v>2551</v>
      </c>
      <c r="F1010" s="1" t="s">
        <v>33</v>
      </c>
      <c r="G1010" s="1" t="s">
        <v>2552</v>
      </c>
      <c r="H1010" s="1" t="s">
        <v>2553</v>
      </c>
      <c r="I1010" s="31">
        <v>46065</v>
      </c>
      <c r="J1010" s="1" t="s">
        <v>2554</v>
      </c>
      <c r="K1010" s="1" t="s">
        <v>2555</v>
      </c>
      <c r="L1010" s="1" t="s">
        <v>2556</v>
      </c>
      <c r="M1010" s="2" t="s">
        <v>2557</v>
      </c>
      <c r="N1010" s="31">
        <v>45880</v>
      </c>
    </row>
    <row r="1011" spans="1:14" x14ac:dyDescent="0.25">
      <c r="A1011" s="29">
        <v>1010</v>
      </c>
      <c r="B1011" s="1" t="s">
        <v>71</v>
      </c>
      <c r="C1011" s="31">
        <v>45894</v>
      </c>
      <c r="D1011" s="1" t="s">
        <v>2550</v>
      </c>
      <c r="E1011" s="13" t="s">
        <v>2558</v>
      </c>
      <c r="F1011" s="1" t="s">
        <v>33</v>
      </c>
      <c r="G1011" s="1" t="s">
        <v>2552</v>
      </c>
      <c r="H1011" s="1" t="s">
        <v>2553</v>
      </c>
      <c r="I1011" s="31">
        <v>46065</v>
      </c>
      <c r="J1011" s="1" t="s">
        <v>2554</v>
      </c>
      <c r="K1011" s="1" t="s">
        <v>2555</v>
      </c>
      <c r="L1011" s="1" t="s">
        <v>2556</v>
      </c>
      <c r="M1011" s="2" t="s">
        <v>2557</v>
      </c>
      <c r="N1011" s="31">
        <v>45878</v>
      </c>
    </row>
    <row r="1012" spans="1:14" x14ac:dyDescent="0.25">
      <c r="A1012" s="29">
        <v>1011</v>
      </c>
      <c r="B1012" s="1" t="s">
        <v>620</v>
      </c>
      <c r="C1012" s="31">
        <v>46020</v>
      </c>
      <c r="D1012" s="1" t="s">
        <v>2559</v>
      </c>
      <c r="E1012" s="13" t="s">
        <v>2560</v>
      </c>
      <c r="F1012" s="1" t="s">
        <v>89</v>
      </c>
      <c r="G1012" s="1" t="s">
        <v>2561</v>
      </c>
      <c r="H1012" s="1" t="s">
        <v>2562</v>
      </c>
      <c r="I1012" s="31">
        <v>46065</v>
      </c>
      <c r="J1012" s="1" t="s">
        <v>2563</v>
      </c>
      <c r="K1012" s="1" t="s">
        <v>2564</v>
      </c>
      <c r="L1012" s="1" t="s">
        <v>2565</v>
      </c>
      <c r="M1012" s="2" t="s">
        <v>2566</v>
      </c>
      <c r="N1012" s="31">
        <v>45895</v>
      </c>
    </row>
    <row r="1013" spans="1:14" x14ac:dyDescent="0.25">
      <c r="A1013" s="29">
        <v>1012</v>
      </c>
      <c r="B1013" s="1" t="s">
        <v>63</v>
      </c>
      <c r="C1013" s="31">
        <v>46020</v>
      </c>
      <c r="D1013" s="1" t="s">
        <v>2559</v>
      </c>
      <c r="E1013" s="13" t="s">
        <v>2567</v>
      </c>
      <c r="F1013" s="1" t="s">
        <v>89</v>
      </c>
      <c r="G1013" s="1" t="s">
        <v>2561</v>
      </c>
      <c r="H1013" s="1" t="s">
        <v>2562</v>
      </c>
      <c r="I1013" s="31">
        <v>46065</v>
      </c>
      <c r="J1013" s="1" t="s">
        <v>2563</v>
      </c>
      <c r="K1013" s="1" t="s">
        <v>2564</v>
      </c>
      <c r="L1013" s="1" t="s">
        <v>2565</v>
      </c>
      <c r="M1013" s="2" t="s">
        <v>2566</v>
      </c>
      <c r="N1013" s="31">
        <v>45894</v>
      </c>
    </row>
    <row r="1014" spans="1:14" x14ac:dyDescent="0.25">
      <c r="A1014" s="29">
        <v>1013</v>
      </c>
      <c r="B1014" s="1" t="s">
        <v>205</v>
      </c>
      <c r="C1014" s="31">
        <v>45729</v>
      </c>
      <c r="D1014" s="1" t="s">
        <v>2568</v>
      </c>
      <c r="E1014" s="13" t="s">
        <v>2569</v>
      </c>
      <c r="F1014" s="1" t="s">
        <v>89</v>
      </c>
      <c r="G1014" s="1" t="s">
        <v>2570</v>
      </c>
      <c r="H1014" s="1" t="s">
        <v>2571</v>
      </c>
      <c r="I1014" s="31">
        <v>46065</v>
      </c>
      <c r="J1014" s="1" t="s">
        <v>2572</v>
      </c>
      <c r="K1014" s="1" t="s">
        <v>2573</v>
      </c>
      <c r="L1014" s="1" t="s">
        <v>2574</v>
      </c>
      <c r="M1014" s="2" t="s">
        <v>2575</v>
      </c>
      <c r="N1014" s="31">
        <v>45846</v>
      </c>
    </row>
    <row r="1015" spans="1:14" x14ac:dyDescent="0.25">
      <c r="A1015" s="29">
        <v>1014</v>
      </c>
      <c r="B1015" s="1" t="s">
        <v>631</v>
      </c>
      <c r="C1015" s="31">
        <v>45729</v>
      </c>
      <c r="D1015" s="1" t="s">
        <v>2568</v>
      </c>
      <c r="E1015" s="13" t="s">
        <v>2576</v>
      </c>
      <c r="F1015" s="1" t="s">
        <v>89</v>
      </c>
      <c r="G1015" s="1" t="s">
        <v>2570</v>
      </c>
      <c r="H1015" s="1" t="s">
        <v>2571</v>
      </c>
      <c r="I1015" s="31">
        <v>46065</v>
      </c>
      <c r="J1015" s="1" t="s">
        <v>2572</v>
      </c>
      <c r="K1015" s="1" t="s">
        <v>2573</v>
      </c>
      <c r="L1015" s="1" t="s">
        <v>2574</v>
      </c>
      <c r="M1015" s="2" t="s">
        <v>2575</v>
      </c>
      <c r="N1015" s="31">
        <v>45862</v>
      </c>
    </row>
    <row r="1016" spans="1:14" x14ac:dyDescent="0.25">
      <c r="A1016" s="29">
        <v>1015</v>
      </c>
      <c r="B1016" s="1" t="s">
        <v>635</v>
      </c>
      <c r="C1016" s="31">
        <v>45961</v>
      </c>
      <c r="D1016" s="1" t="s">
        <v>2577</v>
      </c>
      <c r="E1016" s="13" t="s">
        <v>2578</v>
      </c>
      <c r="F1016" s="1" t="s">
        <v>89</v>
      </c>
      <c r="G1016" s="1" t="s">
        <v>2579</v>
      </c>
      <c r="H1016" s="1" t="s">
        <v>2580</v>
      </c>
      <c r="I1016" s="31">
        <v>46065</v>
      </c>
      <c r="J1016" s="1" t="s">
        <v>2581</v>
      </c>
      <c r="K1016" s="1" t="s">
        <v>2582</v>
      </c>
      <c r="L1016" s="1" t="s">
        <v>2583</v>
      </c>
      <c r="M1016" s="2" t="s">
        <v>2584</v>
      </c>
      <c r="N1016" s="31">
        <v>45878</v>
      </c>
    </row>
    <row r="1017" spans="1:14" x14ac:dyDescent="0.25">
      <c r="A1017" s="29">
        <v>1016</v>
      </c>
      <c r="B1017" s="1" t="s">
        <v>437</v>
      </c>
      <c r="C1017" s="31">
        <v>45961</v>
      </c>
      <c r="D1017" s="1" t="s">
        <v>2577</v>
      </c>
      <c r="E1017" s="13" t="s">
        <v>2585</v>
      </c>
      <c r="F1017" s="1" t="s">
        <v>89</v>
      </c>
      <c r="G1017" s="1" t="s">
        <v>2579</v>
      </c>
      <c r="H1017" s="1" t="s">
        <v>2580</v>
      </c>
      <c r="I1017" s="31">
        <v>46065</v>
      </c>
      <c r="J1017" s="1" t="s">
        <v>2581</v>
      </c>
      <c r="K1017" s="1" t="s">
        <v>2582</v>
      </c>
      <c r="L1017" s="1" t="s">
        <v>2583</v>
      </c>
      <c r="M1017" s="2" t="s">
        <v>2584</v>
      </c>
      <c r="N1017" s="31">
        <v>45895</v>
      </c>
    </row>
    <row r="1018" spans="1:14" x14ac:dyDescent="0.25">
      <c r="A1018" s="29">
        <v>1017</v>
      </c>
      <c r="B1018" s="1" t="s">
        <v>610</v>
      </c>
      <c r="C1018" s="31">
        <v>46009</v>
      </c>
      <c r="D1018" s="1" t="s">
        <v>2586</v>
      </c>
      <c r="E1018" s="13" t="s">
        <v>2587</v>
      </c>
      <c r="F1018" s="1" t="s">
        <v>33</v>
      </c>
      <c r="G1018" s="1" t="s">
        <v>2588</v>
      </c>
      <c r="H1018" s="1" t="s">
        <v>2589</v>
      </c>
      <c r="I1018" s="31">
        <v>46065</v>
      </c>
      <c r="J1018" s="1" t="s">
        <v>2590</v>
      </c>
      <c r="K1018" s="1" t="s">
        <v>2591</v>
      </c>
      <c r="L1018" s="1" t="s">
        <v>2592</v>
      </c>
      <c r="M1018" s="2" t="s">
        <v>2593</v>
      </c>
      <c r="N1018" s="31">
        <v>45844</v>
      </c>
    </row>
    <row r="1019" spans="1:14" x14ac:dyDescent="0.25">
      <c r="A1019" s="29">
        <v>1018</v>
      </c>
      <c r="B1019" s="1" t="s">
        <v>125</v>
      </c>
      <c r="C1019" s="31">
        <v>46009</v>
      </c>
      <c r="D1019" s="1" t="s">
        <v>2586</v>
      </c>
      <c r="E1019" s="13" t="s">
        <v>2594</v>
      </c>
      <c r="F1019" s="1" t="s">
        <v>33</v>
      </c>
      <c r="G1019" s="1" t="s">
        <v>2588</v>
      </c>
      <c r="H1019" s="1" t="s">
        <v>2589</v>
      </c>
      <c r="I1019" s="31">
        <v>46065</v>
      </c>
      <c r="J1019" s="1" t="s">
        <v>2590</v>
      </c>
      <c r="K1019" s="1" t="s">
        <v>2591</v>
      </c>
      <c r="L1019" s="1" t="s">
        <v>2592</v>
      </c>
      <c r="M1019" s="2" t="s">
        <v>2593</v>
      </c>
      <c r="N1019" s="31">
        <v>45872</v>
      </c>
    </row>
    <row r="1020" spans="1:14" x14ac:dyDescent="0.25">
      <c r="A1020" s="29">
        <v>1019</v>
      </c>
      <c r="B1020" s="1" t="s">
        <v>652</v>
      </c>
      <c r="C1020" s="31">
        <v>45800</v>
      </c>
      <c r="D1020" s="1" t="s">
        <v>2595</v>
      </c>
      <c r="E1020" s="13" t="s">
        <v>2596</v>
      </c>
      <c r="F1020" s="1" t="s">
        <v>89</v>
      </c>
      <c r="G1020" s="1" t="s">
        <v>2597</v>
      </c>
      <c r="H1020" s="1" t="s">
        <v>2598</v>
      </c>
      <c r="I1020" s="31">
        <v>46065</v>
      </c>
      <c r="J1020" s="1" t="s">
        <v>2599</v>
      </c>
      <c r="K1020" s="1" t="s">
        <v>2600</v>
      </c>
      <c r="L1020" s="1" t="s">
        <v>2601</v>
      </c>
      <c r="M1020" s="2" t="s">
        <v>2602</v>
      </c>
      <c r="N1020" s="31">
        <v>45852</v>
      </c>
    </row>
    <row r="1021" spans="1:14" x14ac:dyDescent="0.25">
      <c r="A1021" s="29">
        <v>1020</v>
      </c>
      <c r="B1021" s="1" t="s">
        <v>516</v>
      </c>
      <c r="C1021" s="31">
        <v>45800</v>
      </c>
      <c r="D1021" s="1" t="s">
        <v>2595</v>
      </c>
      <c r="E1021" s="13" t="s">
        <v>2603</v>
      </c>
      <c r="F1021" s="1" t="s">
        <v>89</v>
      </c>
      <c r="G1021" s="1" t="s">
        <v>2597</v>
      </c>
      <c r="H1021" s="1" t="s">
        <v>2598</v>
      </c>
      <c r="I1021" s="31">
        <v>46065</v>
      </c>
      <c r="J1021" s="1" t="s">
        <v>2599</v>
      </c>
      <c r="K1021" s="1" t="s">
        <v>2600</v>
      </c>
      <c r="L1021" s="1" t="s">
        <v>2601</v>
      </c>
      <c r="M1021" s="2" t="s">
        <v>2602</v>
      </c>
      <c r="N1021" s="31">
        <v>45873</v>
      </c>
    </row>
    <row r="1022" spans="1:14" x14ac:dyDescent="0.25">
      <c r="A1022" s="29">
        <v>1021</v>
      </c>
      <c r="B1022" s="1" t="s">
        <v>153</v>
      </c>
      <c r="C1022" s="31">
        <v>45894</v>
      </c>
      <c r="D1022" s="1" t="s">
        <v>2604</v>
      </c>
      <c r="E1022" s="13" t="s">
        <v>2605</v>
      </c>
      <c r="F1022" s="1" t="s">
        <v>89</v>
      </c>
      <c r="G1022" s="1" t="s">
        <v>2606</v>
      </c>
      <c r="H1022" s="1" t="s">
        <v>2607</v>
      </c>
      <c r="I1022" s="31">
        <v>46065</v>
      </c>
      <c r="J1022" s="1" t="s">
        <v>2608</v>
      </c>
      <c r="K1022" s="1" t="s">
        <v>2609</v>
      </c>
      <c r="L1022" s="1" t="s">
        <v>2610</v>
      </c>
      <c r="M1022" s="2" t="s">
        <v>2611</v>
      </c>
      <c r="N1022" s="31">
        <v>45844</v>
      </c>
    </row>
    <row r="1023" spans="1:14" x14ac:dyDescent="0.25">
      <c r="A1023" s="29">
        <v>1022</v>
      </c>
      <c r="B1023" s="1" t="s">
        <v>666</v>
      </c>
      <c r="C1023" s="31">
        <v>45894</v>
      </c>
      <c r="D1023" s="1" t="s">
        <v>2604</v>
      </c>
      <c r="E1023" s="13" t="s">
        <v>2612</v>
      </c>
      <c r="F1023" s="1" t="s">
        <v>89</v>
      </c>
      <c r="G1023" s="1" t="s">
        <v>2606</v>
      </c>
      <c r="H1023" s="1" t="s">
        <v>2607</v>
      </c>
      <c r="I1023" s="31">
        <v>46065</v>
      </c>
      <c r="J1023" s="1" t="s">
        <v>2608</v>
      </c>
      <c r="K1023" s="1" t="s">
        <v>2609</v>
      </c>
      <c r="L1023" s="1" t="s">
        <v>2610</v>
      </c>
      <c r="M1023" s="2" t="s">
        <v>2611</v>
      </c>
      <c r="N1023" s="31">
        <v>45897</v>
      </c>
    </row>
    <row r="1024" spans="1:14" x14ac:dyDescent="0.25">
      <c r="A1024" s="29">
        <v>1023</v>
      </c>
      <c r="B1024" s="1" t="s">
        <v>671</v>
      </c>
      <c r="C1024" s="31">
        <v>45726</v>
      </c>
      <c r="D1024" s="1" t="s">
        <v>2613</v>
      </c>
      <c r="E1024" s="13" t="s">
        <v>2614</v>
      </c>
      <c r="F1024" s="1" t="s">
        <v>33</v>
      </c>
      <c r="G1024" s="1" t="s">
        <v>2615</v>
      </c>
      <c r="H1024" s="1" t="s">
        <v>2616</v>
      </c>
      <c r="I1024" s="31">
        <v>46065</v>
      </c>
      <c r="J1024" s="1" t="s">
        <v>2617</v>
      </c>
      <c r="K1024" s="1" t="s">
        <v>2618</v>
      </c>
      <c r="L1024" s="1" t="s">
        <v>2619</v>
      </c>
      <c r="M1024" s="2" t="s">
        <v>2620</v>
      </c>
      <c r="N1024" s="31">
        <v>45862</v>
      </c>
    </row>
    <row r="1025" spans="1:14" x14ac:dyDescent="0.25">
      <c r="A1025" s="29">
        <v>1024</v>
      </c>
      <c r="B1025" s="1" t="s">
        <v>437</v>
      </c>
      <c r="C1025" s="31">
        <v>45726</v>
      </c>
      <c r="D1025" s="1" t="s">
        <v>2613</v>
      </c>
      <c r="E1025" s="13" t="s">
        <v>2621</v>
      </c>
      <c r="F1025" s="1" t="s">
        <v>33</v>
      </c>
      <c r="G1025" s="1" t="s">
        <v>2615</v>
      </c>
      <c r="H1025" s="1" t="s">
        <v>2616</v>
      </c>
      <c r="I1025" s="31">
        <v>46065</v>
      </c>
      <c r="J1025" s="1" t="s">
        <v>2617</v>
      </c>
      <c r="K1025" s="1" t="s">
        <v>2618</v>
      </c>
      <c r="L1025" s="1" t="s">
        <v>2619</v>
      </c>
      <c r="M1025" s="2" t="s">
        <v>2620</v>
      </c>
      <c r="N1025" s="31">
        <v>45850</v>
      </c>
    </row>
    <row r="1026" spans="1:14" x14ac:dyDescent="0.25">
      <c r="A1026" s="29">
        <v>1025</v>
      </c>
      <c r="B1026" s="1" t="s">
        <v>48</v>
      </c>
      <c r="C1026" s="31">
        <v>45860</v>
      </c>
      <c r="D1026" s="1" t="s">
        <v>2622</v>
      </c>
      <c r="E1026" s="13" t="s">
        <v>2623</v>
      </c>
      <c r="F1026" s="1" t="s">
        <v>89</v>
      </c>
      <c r="G1026" s="1" t="s">
        <v>2624</v>
      </c>
      <c r="H1026" s="1" t="s">
        <v>2625</v>
      </c>
      <c r="I1026" s="31">
        <v>46065</v>
      </c>
      <c r="J1026" s="1" t="s">
        <v>2626</v>
      </c>
      <c r="K1026" s="1" t="s">
        <v>2627</v>
      </c>
      <c r="L1026" s="1" t="s">
        <v>2628</v>
      </c>
      <c r="M1026" s="2" t="s">
        <v>2629</v>
      </c>
      <c r="N1026" s="31">
        <v>45888</v>
      </c>
    </row>
    <row r="1027" spans="1:14" x14ac:dyDescent="0.25">
      <c r="A1027" s="29">
        <v>1026</v>
      </c>
      <c r="B1027" s="1" t="s">
        <v>532</v>
      </c>
      <c r="C1027" s="31">
        <v>45860</v>
      </c>
      <c r="D1027" s="1" t="s">
        <v>2622</v>
      </c>
      <c r="E1027" s="13" t="s">
        <v>2630</v>
      </c>
      <c r="F1027" s="1" t="s">
        <v>89</v>
      </c>
      <c r="G1027" s="1" t="s">
        <v>2624</v>
      </c>
      <c r="H1027" s="1" t="s">
        <v>2625</v>
      </c>
      <c r="I1027" s="31">
        <v>46065</v>
      </c>
      <c r="J1027" s="1" t="s">
        <v>2626</v>
      </c>
      <c r="K1027" s="1" t="s">
        <v>2627</v>
      </c>
      <c r="L1027" s="1" t="s">
        <v>2628</v>
      </c>
      <c r="M1027" s="2" t="s">
        <v>2629</v>
      </c>
      <c r="N1027" s="31">
        <v>45881</v>
      </c>
    </row>
    <row r="1028" spans="1:14" x14ac:dyDescent="0.25">
      <c r="A1028" s="29">
        <v>1027</v>
      </c>
      <c r="B1028" s="1" t="s">
        <v>686</v>
      </c>
      <c r="C1028" s="31">
        <v>45984</v>
      </c>
      <c r="D1028" s="1" t="s">
        <v>2631</v>
      </c>
      <c r="E1028" s="13" t="s">
        <v>2632</v>
      </c>
      <c r="F1028" s="1" t="s">
        <v>33</v>
      </c>
      <c r="G1028" s="1" t="s">
        <v>2633</v>
      </c>
      <c r="H1028" s="1" t="s">
        <v>2634</v>
      </c>
      <c r="I1028" s="31">
        <v>46065</v>
      </c>
      <c r="J1028" s="1" t="s">
        <v>2635</v>
      </c>
      <c r="K1028" s="1" t="s">
        <v>2636</v>
      </c>
      <c r="L1028" s="1" t="s">
        <v>2637</v>
      </c>
      <c r="M1028" s="2" t="s">
        <v>2638</v>
      </c>
      <c r="N1028" s="31">
        <v>45870</v>
      </c>
    </row>
    <row r="1029" spans="1:14" x14ac:dyDescent="0.25">
      <c r="A1029" s="29">
        <v>1028</v>
      </c>
      <c r="B1029" s="1" t="s">
        <v>153</v>
      </c>
      <c r="C1029" s="31">
        <v>45984</v>
      </c>
      <c r="D1029" s="1" t="s">
        <v>2631</v>
      </c>
      <c r="E1029" s="13" t="s">
        <v>2639</v>
      </c>
      <c r="F1029" s="1" t="s">
        <v>33</v>
      </c>
      <c r="G1029" s="1" t="s">
        <v>2633</v>
      </c>
      <c r="H1029" s="1" t="s">
        <v>2634</v>
      </c>
      <c r="I1029" s="31">
        <v>46065</v>
      </c>
      <c r="J1029" s="1" t="s">
        <v>2635</v>
      </c>
      <c r="K1029" s="1" t="s">
        <v>2636</v>
      </c>
      <c r="L1029" s="1" t="s">
        <v>2637</v>
      </c>
      <c r="M1029" s="2" t="s">
        <v>2638</v>
      </c>
      <c r="N1029" s="31">
        <v>45879</v>
      </c>
    </row>
    <row r="1030" spans="1:14" x14ac:dyDescent="0.25">
      <c r="A1030" s="29">
        <v>1029</v>
      </c>
      <c r="B1030" s="1" t="s">
        <v>694</v>
      </c>
      <c r="C1030" s="31">
        <v>45890</v>
      </c>
      <c r="D1030" s="1" t="s">
        <v>2640</v>
      </c>
      <c r="E1030" s="13" t="s">
        <v>2641</v>
      </c>
      <c r="F1030" s="1" t="s">
        <v>89</v>
      </c>
      <c r="G1030" s="1" t="s">
        <v>2642</v>
      </c>
      <c r="H1030" s="1" t="s">
        <v>2643</v>
      </c>
      <c r="I1030" s="31">
        <v>46065</v>
      </c>
      <c r="J1030" s="1" t="s">
        <v>2644</v>
      </c>
      <c r="K1030" s="1" t="s">
        <v>2645</v>
      </c>
      <c r="L1030" s="1" t="s">
        <v>2646</v>
      </c>
      <c r="M1030" s="2" t="s">
        <v>2647</v>
      </c>
      <c r="N1030" s="31">
        <v>45844</v>
      </c>
    </row>
    <row r="1031" spans="1:14" x14ac:dyDescent="0.25">
      <c r="A1031" s="29">
        <v>1030</v>
      </c>
      <c r="B1031" s="1" t="s">
        <v>419</v>
      </c>
      <c r="C1031" s="31">
        <v>45890</v>
      </c>
      <c r="D1031" s="1" t="s">
        <v>2640</v>
      </c>
      <c r="E1031" s="13" t="s">
        <v>2648</v>
      </c>
      <c r="F1031" s="1" t="s">
        <v>89</v>
      </c>
      <c r="G1031" s="1" t="s">
        <v>2642</v>
      </c>
      <c r="H1031" s="1" t="s">
        <v>2643</v>
      </c>
      <c r="I1031" s="31">
        <v>46065</v>
      </c>
      <c r="J1031" s="1" t="s">
        <v>2644</v>
      </c>
      <c r="K1031" s="1" t="s">
        <v>2645</v>
      </c>
      <c r="L1031" s="1" t="s">
        <v>2646</v>
      </c>
      <c r="M1031" s="2" t="s">
        <v>2647</v>
      </c>
      <c r="N1031" s="31">
        <v>45898</v>
      </c>
    </row>
    <row r="1032" spans="1:14" x14ac:dyDescent="0.25">
      <c r="A1032" s="29">
        <v>1031</v>
      </c>
      <c r="B1032" s="1" t="s">
        <v>666</v>
      </c>
      <c r="C1032" s="31">
        <v>46035</v>
      </c>
      <c r="D1032" s="1" t="s">
        <v>2649</v>
      </c>
      <c r="E1032" s="13" t="s">
        <v>2650</v>
      </c>
      <c r="F1032" s="1" t="s">
        <v>33</v>
      </c>
      <c r="G1032" s="1" t="s">
        <v>2651</v>
      </c>
      <c r="H1032" s="1" t="s">
        <v>2652</v>
      </c>
      <c r="I1032" s="31">
        <v>46065</v>
      </c>
      <c r="J1032" s="1" t="s">
        <v>2653</v>
      </c>
      <c r="K1032" s="1" t="s">
        <v>2654</v>
      </c>
      <c r="L1032" s="1" t="s">
        <v>2655</v>
      </c>
      <c r="M1032" s="2" t="s">
        <v>2656</v>
      </c>
      <c r="N1032" s="31">
        <v>45853</v>
      </c>
    </row>
    <row r="1033" spans="1:14" x14ac:dyDescent="0.25">
      <c r="A1033" s="29">
        <v>1032</v>
      </c>
      <c r="B1033" s="1" t="s">
        <v>117</v>
      </c>
      <c r="C1033" s="31">
        <v>46035</v>
      </c>
      <c r="D1033" s="1" t="s">
        <v>2649</v>
      </c>
      <c r="E1033" s="13" t="s">
        <v>2657</v>
      </c>
      <c r="F1033" s="1" t="s">
        <v>33</v>
      </c>
      <c r="G1033" s="1" t="s">
        <v>2651</v>
      </c>
      <c r="H1033" s="1" t="s">
        <v>2652</v>
      </c>
      <c r="I1033" s="31">
        <v>46065</v>
      </c>
      <c r="J1033" s="1" t="s">
        <v>2653</v>
      </c>
      <c r="K1033" s="1" t="s">
        <v>2654</v>
      </c>
      <c r="L1033" s="1" t="s">
        <v>2655</v>
      </c>
      <c r="M1033" s="2" t="s">
        <v>2656</v>
      </c>
      <c r="N1033" s="31">
        <v>45841</v>
      </c>
    </row>
    <row r="1034" spans="1:14" x14ac:dyDescent="0.25">
      <c r="A1034" s="29">
        <v>1033</v>
      </c>
      <c r="B1034" s="1" t="s">
        <v>710</v>
      </c>
      <c r="C1034" s="31">
        <v>45712</v>
      </c>
      <c r="D1034" s="1" t="s">
        <v>2658</v>
      </c>
      <c r="E1034" s="13" t="s">
        <v>2659</v>
      </c>
      <c r="F1034" s="1" t="s">
        <v>33</v>
      </c>
      <c r="G1034" s="1" t="s">
        <v>2660</v>
      </c>
      <c r="H1034" s="1" t="s">
        <v>2661</v>
      </c>
      <c r="I1034" s="31">
        <v>46065</v>
      </c>
      <c r="J1034" s="1" t="s">
        <v>2662</v>
      </c>
      <c r="K1034" s="1" t="s">
        <v>2663</v>
      </c>
      <c r="L1034" s="1" t="s">
        <v>2664</v>
      </c>
      <c r="M1034" s="2" t="s">
        <v>2665</v>
      </c>
      <c r="N1034" s="31">
        <v>45851</v>
      </c>
    </row>
    <row r="1035" spans="1:14" x14ac:dyDescent="0.25">
      <c r="A1035" s="29">
        <v>1034</v>
      </c>
      <c r="B1035" s="1" t="s">
        <v>30</v>
      </c>
      <c r="C1035" s="31">
        <v>45712</v>
      </c>
      <c r="D1035" s="1" t="s">
        <v>2658</v>
      </c>
      <c r="E1035" s="13" t="s">
        <v>2666</v>
      </c>
      <c r="F1035" s="1" t="s">
        <v>33</v>
      </c>
      <c r="G1035" s="1" t="s">
        <v>2660</v>
      </c>
      <c r="H1035" s="1" t="s">
        <v>2661</v>
      </c>
      <c r="I1035" s="31">
        <v>46065</v>
      </c>
      <c r="J1035" s="1" t="s">
        <v>2662</v>
      </c>
      <c r="K1035" s="1" t="s">
        <v>2663</v>
      </c>
      <c r="L1035" s="1" t="s">
        <v>2664</v>
      </c>
      <c r="M1035" s="2" t="s">
        <v>2665</v>
      </c>
      <c r="N1035" s="31">
        <v>45849</v>
      </c>
    </row>
    <row r="1036" spans="1:14" x14ac:dyDescent="0.25">
      <c r="A1036" s="29">
        <v>1035</v>
      </c>
      <c r="B1036" s="1" t="s">
        <v>710</v>
      </c>
      <c r="C1036" s="31">
        <v>45974</v>
      </c>
      <c r="D1036" s="1" t="s">
        <v>2667</v>
      </c>
      <c r="E1036" s="13" t="s">
        <v>2668</v>
      </c>
      <c r="F1036" s="1" t="s">
        <v>89</v>
      </c>
      <c r="G1036" s="1" t="s">
        <v>2669</v>
      </c>
      <c r="H1036" s="1" t="s">
        <v>2670</v>
      </c>
      <c r="I1036" s="31">
        <v>46065</v>
      </c>
      <c r="J1036" s="1" t="s">
        <v>2671</v>
      </c>
      <c r="K1036" s="1" t="s">
        <v>2672</v>
      </c>
      <c r="L1036" s="1" t="s">
        <v>2673</v>
      </c>
      <c r="M1036" s="2" t="s">
        <v>2674</v>
      </c>
      <c r="N1036" s="31">
        <v>45883</v>
      </c>
    </row>
    <row r="1037" spans="1:14" x14ac:dyDescent="0.25">
      <c r="A1037" s="29">
        <v>1036</v>
      </c>
      <c r="B1037" s="1" t="s">
        <v>723</v>
      </c>
      <c r="C1037" s="31">
        <v>45974</v>
      </c>
      <c r="D1037" s="1" t="s">
        <v>2667</v>
      </c>
      <c r="E1037" s="13" t="s">
        <v>2675</v>
      </c>
      <c r="F1037" s="1" t="s">
        <v>89</v>
      </c>
      <c r="G1037" s="1" t="s">
        <v>2669</v>
      </c>
      <c r="H1037" s="1" t="s">
        <v>2670</v>
      </c>
      <c r="I1037" s="31">
        <v>46065</v>
      </c>
      <c r="J1037" s="1" t="s">
        <v>2671</v>
      </c>
      <c r="K1037" s="1" t="s">
        <v>2672</v>
      </c>
      <c r="L1037" s="1" t="s">
        <v>2673</v>
      </c>
      <c r="M1037" s="2" t="s">
        <v>2674</v>
      </c>
      <c r="N1037" s="31">
        <v>45843</v>
      </c>
    </row>
    <row r="1038" spans="1:14" x14ac:dyDescent="0.25">
      <c r="A1038" s="29">
        <v>1037</v>
      </c>
      <c r="B1038" s="1" t="s">
        <v>274</v>
      </c>
      <c r="C1038" s="31">
        <v>45991</v>
      </c>
      <c r="D1038" s="1" t="s">
        <v>2676</v>
      </c>
      <c r="E1038" s="13" t="s">
        <v>2677</v>
      </c>
      <c r="F1038" s="1" t="s">
        <v>33</v>
      </c>
      <c r="G1038" s="1" t="s">
        <v>2678</v>
      </c>
      <c r="H1038" s="1" t="s">
        <v>2679</v>
      </c>
      <c r="I1038" s="31">
        <v>46065</v>
      </c>
      <c r="J1038" s="1" t="s">
        <v>2680</v>
      </c>
      <c r="K1038" s="1" t="s">
        <v>2681</v>
      </c>
      <c r="L1038" s="1" t="s">
        <v>2682</v>
      </c>
      <c r="M1038" s="2" t="s">
        <v>2683</v>
      </c>
      <c r="N1038" s="31">
        <v>45862</v>
      </c>
    </row>
    <row r="1039" spans="1:14" x14ac:dyDescent="0.25">
      <c r="A1039" s="29">
        <v>1038</v>
      </c>
      <c r="B1039" s="1" t="s">
        <v>325</v>
      </c>
      <c r="C1039" s="31">
        <v>45991</v>
      </c>
      <c r="D1039" s="1" t="s">
        <v>2676</v>
      </c>
      <c r="E1039" s="13" t="s">
        <v>2684</v>
      </c>
      <c r="F1039" s="1" t="s">
        <v>33</v>
      </c>
      <c r="G1039" s="1" t="s">
        <v>2678</v>
      </c>
      <c r="H1039" s="1" t="s">
        <v>2679</v>
      </c>
      <c r="I1039" s="31">
        <v>46065</v>
      </c>
      <c r="J1039" s="1" t="s">
        <v>2680</v>
      </c>
      <c r="K1039" s="1" t="s">
        <v>2681</v>
      </c>
      <c r="L1039" s="1" t="s">
        <v>2682</v>
      </c>
      <c r="M1039" s="2" t="s">
        <v>2683</v>
      </c>
      <c r="N1039" s="31">
        <v>45844</v>
      </c>
    </row>
    <row r="1040" spans="1:14" x14ac:dyDescent="0.25">
      <c r="A1040" s="29">
        <v>1039</v>
      </c>
      <c r="B1040" s="1" t="s">
        <v>735</v>
      </c>
      <c r="C1040" s="31">
        <v>46009</v>
      </c>
      <c r="D1040" s="1" t="s">
        <v>2685</v>
      </c>
      <c r="E1040" s="13" t="s">
        <v>2686</v>
      </c>
      <c r="F1040" s="1" t="s">
        <v>89</v>
      </c>
      <c r="G1040" s="1" t="s">
        <v>2687</v>
      </c>
      <c r="H1040" s="1" t="s">
        <v>2688</v>
      </c>
      <c r="I1040" s="31">
        <v>46065</v>
      </c>
      <c r="J1040" s="1" t="s">
        <v>2689</v>
      </c>
      <c r="K1040" s="1" t="s">
        <v>2690</v>
      </c>
      <c r="L1040" s="1" t="s">
        <v>2691</v>
      </c>
      <c r="M1040" s="2" t="s">
        <v>2692</v>
      </c>
      <c r="N1040" s="31">
        <v>45890</v>
      </c>
    </row>
    <row r="1041" spans="1:14" x14ac:dyDescent="0.25">
      <c r="A1041" s="29">
        <v>1040</v>
      </c>
      <c r="B1041" s="1" t="s">
        <v>739</v>
      </c>
      <c r="C1041" s="31">
        <v>46009</v>
      </c>
      <c r="D1041" s="1" t="s">
        <v>2685</v>
      </c>
      <c r="E1041" s="13" t="s">
        <v>2693</v>
      </c>
      <c r="F1041" s="1" t="s">
        <v>89</v>
      </c>
      <c r="G1041" s="1" t="s">
        <v>2687</v>
      </c>
      <c r="H1041" s="1" t="s">
        <v>2688</v>
      </c>
      <c r="I1041" s="31">
        <v>46065</v>
      </c>
      <c r="J1041" s="1" t="s">
        <v>2689</v>
      </c>
      <c r="K1041" s="1" t="s">
        <v>2690</v>
      </c>
      <c r="L1041" s="1" t="s">
        <v>2691</v>
      </c>
      <c r="M1041" s="2" t="s">
        <v>2692</v>
      </c>
      <c r="N1041" s="31">
        <v>45846</v>
      </c>
    </row>
    <row r="1042" spans="1:14" x14ac:dyDescent="0.25">
      <c r="A1042" s="29">
        <v>1041</v>
      </c>
      <c r="B1042" s="1" t="s">
        <v>30</v>
      </c>
      <c r="C1042" s="31">
        <v>45851</v>
      </c>
      <c r="D1042" s="1" t="s">
        <v>2694</v>
      </c>
      <c r="E1042" s="13" t="s">
        <v>2695</v>
      </c>
      <c r="F1042" s="1" t="s">
        <v>33</v>
      </c>
      <c r="G1042" s="1" t="s">
        <v>2696</v>
      </c>
      <c r="H1042" s="1" t="s">
        <v>2697</v>
      </c>
      <c r="I1042" s="31">
        <v>46065</v>
      </c>
      <c r="J1042" s="1" t="s">
        <v>2698</v>
      </c>
      <c r="K1042" s="1" t="s">
        <v>2699</v>
      </c>
      <c r="L1042" s="1" t="s">
        <v>2700</v>
      </c>
      <c r="M1042" s="2" t="s">
        <v>2701</v>
      </c>
      <c r="N1042" s="31">
        <v>45845</v>
      </c>
    </row>
    <row r="1043" spans="1:14" x14ac:dyDescent="0.25">
      <c r="A1043" s="29">
        <v>1042</v>
      </c>
      <c r="B1043" s="1" t="s">
        <v>40</v>
      </c>
      <c r="C1043" s="31">
        <v>45851</v>
      </c>
      <c r="D1043" s="1" t="s">
        <v>2694</v>
      </c>
      <c r="E1043" s="13" t="s">
        <v>2702</v>
      </c>
      <c r="F1043" s="1" t="s">
        <v>33</v>
      </c>
      <c r="G1043" s="1" t="s">
        <v>2696</v>
      </c>
      <c r="H1043" s="1" t="s">
        <v>2697</v>
      </c>
      <c r="I1043" s="31">
        <v>46065</v>
      </c>
      <c r="J1043" s="1" t="s">
        <v>2698</v>
      </c>
      <c r="K1043" s="1" t="s">
        <v>2699</v>
      </c>
      <c r="L1043" s="1" t="s">
        <v>2700</v>
      </c>
      <c r="M1043" s="2" t="s">
        <v>2701</v>
      </c>
      <c r="N1043" s="31">
        <v>45898</v>
      </c>
    </row>
    <row r="1044" spans="1:14" x14ac:dyDescent="0.25">
      <c r="A1044" s="29">
        <v>1043</v>
      </c>
      <c r="B1044" s="1" t="s">
        <v>48</v>
      </c>
      <c r="C1044" s="31">
        <v>45862</v>
      </c>
      <c r="D1044" s="1" t="s">
        <v>2703</v>
      </c>
      <c r="E1044" s="13" t="s">
        <v>2704</v>
      </c>
      <c r="F1044" s="1" t="s">
        <v>33</v>
      </c>
      <c r="G1044" s="1" t="s">
        <v>2705</v>
      </c>
      <c r="H1044" s="1" t="s">
        <v>2706</v>
      </c>
      <c r="I1044" s="31">
        <v>46065</v>
      </c>
      <c r="J1044" s="1" t="s">
        <v>2707</v>
      </c>
      <c r="K1044" s="1" t="s">
        <v>2708</v>
      </c>
      <c r="L1044" s="1" t="s">
        <v>2709</v>
      </c>
      <c r="M1044" s="2" t="s">
        <v>2710</v>
      </c>
      <c r="N1044" s="31">
        <v>45877</v>
      </c>
    </row>
    <row r="1045" spans="1:14" x14ac:dyDescent="0.25">
      <c r="A1045" s="29">
        <v>1044</v>
      </c>
      <c r="B1045" s="1" t="s">
        <v>55</v>
      </c>
      <c r="C1045" s="31">
        <v>45862</v>
      </c>
      <c r="D1045" s="1" t="s">
        <v>2703</v>
      </c>
      <c r="E1045" s="13" t="s">
        <v>2711</v>
      </c>
      <c r="F1045" s="1" t="s">
        <v>33</v>
      </c>
      <c r="G1045" s="1" t="s">
        <v>2705</v>
      </c>
      <c r="H1045" s="1" t="s">
        <v>2706</v>
      </c>
      <c r="I1045" s="31">
        <v>46065</v>
      </c>
      <c r="J1045" s="1" t="s">
        <v>2707</v>
      </c>
      <c r="K1045" s="1" t="s">
        <v>2708</v>
      </c>
      <c r="L1045" s="1" t="s">
        <v>2709</v>
      </c>
      <c r="M1045" s="2" t="s">
        <v>2710</v>
      </c>
      <c r="N1045" s="31">
        <v>45872</v>
      </c>
    </row>
    <row r="1046" spans="1:14" x14ac:dyDescent="0.25">
      <c r="A1046" s="29">
        <v>1045</v>
      </c>
      <c r="B1046" s="1" t="s">
        <v>63</v>
      </c>
      <c r="C1046" s="31">
        <v>45760</v>
      </c>
      <c r="D1046" s="1" t="s">
        <v>2712</v>
      </c>
      <c r="E1046" s="13" t="s">
        <v>2713</v>
      </c>
      <c r="F1046" s="1" t="s">
        <v>33</v>
      </c>
      <c r="G1046" s="1" t="s">
        <v>2714</v>
      </c>
      <c r="H1046" s="1" t="s">
        <v>2715</v>
      </c>
      <c r="I1046" s="31">
        <v>46065</v>
      </c>
      <c r="J1046" s="1" t="s">
        <v>2716</v>
      </c>
      <c r="K1046" s="1" t="s">
        <v>2717</v>
      </c>
      <c r="L1046" s="1" t="s">
        <v>2718</v>
      </c>
      <c r="M1046" s="2" t="s">
        <v>2719</v>
      </c>
      <c r="N1046" s="31">
        <v>45840</v>
      </c>
    </row>
    <row r="1047" spans="1:14" x14ac:dyDescent="0.25">
      <c r="A1047" s="29">
        <v>1046</v>
      </c>
      <c r="B1047" s="1" t="s">
        <v>71</v>
      </c>
      <c r="C1047" s="31">
        <v>45760</v>
      </c>
      <c r="D1047" s="1" t="s">
        <v>2712</v>
      </c>
      <c r="E1047" s="13" t="s">
        <v>2720</v>
      </c>
      <c r="F1047" s="1" t="s">
        <v>33</v>
      </c>
      <c r="G1047" s="1" t="s">
        <v>2714</v>
      </c>
      <c r="H1047" s="1" t="s">
        <v>2715</v>
      </c>
      <c r="I1047" s="31">
        <v>46065</v>
      </c>
      <c r="J1047" s="1" t="s">
        <v>2716</v>
      </c>
      <c r="K1047" s="1" t="s">
        <v>2717</v>
      </c>
      <c r="L1047" s="1" t="s">
        <v>2718</v>
      </c>
      <c r="M1047" s="2" t="s">
        <v>2719</v>
      </c>
      <c r="N1047" s="31">
        <v>45858</v>
      </c>
    </row>
    <row r="1048" spans="1:14" x14ac:dyDescent="0.25">
      <c r="A1048" s="29">
        <v>1047</v>
      </c>
      <c r="B1048" s="1" t="s">
        <v>78</v>
      </c>
      <c r="C1048" s="31">
        <v>45921</v>
      </c>
      <c r="D1048" s="1" t="s">
        <v>2721</v>
      </c>
      <c r="E1048" s="13" t="s">
        <v>2722</v>
      </c>
      <c r="F1048" s="1" t="s">
        <v>33</v>
      </c>
      <c r="G1048" s="1" t="s">
        <v>2723</v>
      </c>
      <c r="H1048" s="1" t="s">
        <v>2724</v>
      </c>
      <c r="I1048" s="31">
        <v>46065</v>
      </c>
      <c r="J1048" s="1" t="s">
        <v>2725</v>
      </c>
      <c r="K1048" s="1" t="s">
        <v>2726</v>
      </c>
      <c r="L1048" s="1" t="s">
        <v>2727</v>
      </c>
      <c r="M1048" s="2" t="s">
        <v>2728</v>
      </c>
      <c r="N1048" s="31">
        <v>45859</v>
      </c>
    </row>
    <row r="1049" spans="1:14" x14ac:dyDescent="0.25">
      <c r="A1049" s="29">
        <v>1048</v>
      </c>
      <c r="B1049" s="1" t="s">
        <v>86</v>
      </c>
      <c r="C1049" s="31">
        <v>45921</v>
      </c>
      <c r="D1049" s="1" t="s">
        <v>2721</v>
      </c>
      <c r="E1049" s="13" t="s">
        <v>2729</v>
      </c>
      <c r="F1049" s="1" t="s">
        <v>33</v>
      </c>
      <c r="G1049" s="1" t="s">
        <v>2723</v>
      </c>
      <c r="H1049" s="1" t="s">
        <v>2724</v>
      </c>
      <c r="I1049" s="31">
        <v>46065</v>
      </c>
      <c r="J1049" s="1" t="s">
        <v>2725</v>
      </c>
      <c r="K1049" s="1" t="s">
        <v>2726</v>
      </c>
      <c r="L1049" s="1" t="s">
        <v>2727</v>
      </c>
      <c r="M1049" s="2" t="s">
        <v>2728</v>
      </c>
      <c r="N1049" s="31">
        <v>45846</v>
      </c>
    </row>
    <row r="1050" spans="1:14" x14ac:dyDescent="0.25">
      <c r="A1050" s="29">
        <v>1049</v>
      </c>
      <c r="B1050" s="1" t="s">
        <v>95</v>
      </c>
      <c r="C1050" s="31">
        <v>46034</v>
      </c>
      <c r="D1050" s="1" t="s">
        <v>2730</v>
      </c>
      <c r="E1050" s="13" t="s">
        <v>2731</v>
      </c>
      <c r="F1050" s="1" t="s">
        <v>33</v>
      </c>
      <c r="G1050" s="1" t="s">
        <v>2732</v>
      </c>
      <c r="H1050" s="1" t="s">
        <v>2733</v>
      </c>
      <c r="I1050" s="31">
        <v>46065</v>
      </c>
      <c r="J1050" s="1" t="s">
        <v>2734</v>
      </c>
      <c r="K1050" s="1" t="s">
        <v>2735</v>
      </c>
      <c r="L1050" s="1" t="s">
        <v>2736</v>
      </c>
      <c r="M1050" s="2" t="s">
        <v>2737</v>
      </c>
      <c r="N1050" s="31">
        <v>45896</v>
      </c>
    </row>
    <row r="1051" spans="1:14" x14ac:dyDescent="0.25">
      <c r="A1051" s="29">
        <v>1050</v>
      </c>
      <c r="B1051" s="1" t="s">
        <v>103</v>
      </c>
      <c r="C1051" s="31">
        <v>46034</v>
      </c>
      <c r="D1051" s="1" t="s">
        <v>2730</v>
      </c>
      <c r="E1051" s="13" t="s">
        <v>2738</v>
      </c>
      <c r="F1051" s="1" t="s">
        <v>33</v>
      </c>
      <c r="G1051" s="1" t="s">
        <v>2732</v>
      </c>
      <c r="H1051" s="1" t="s">
        <v>2733</v>
      </c>
      <c r="I1051" s="31">
        <v>46065</v>
      </c>
      <c r="J1051" s="1" t="s">
        <v>2734</v>
      </c>
      <c r="K1051" s="1" t="s">
        <v>2735</v>
      </c>
      <c r="L1051" s="1" t="s">
        <v>2736</v>
      </c>
      <c r="M1051" s="2" t="s">
        <v>2737</v>
      </c>
      <c r="N1051" s="31">
        <v>45848</v>
      </c>
    </row>
    <row r="1052" spans="1:14" x14ac:dyDescent="0.25">
      <c r="A1052" s="29">
        <v>1051</v>
      </c>
      <c r="B1052" s="1" t="s">
        <v>110</v>
      </c>
      <c r="C1052" s="31">
        <v>45801</v>
      </c>
      <c r="D1052" s="1" t="s">
        <v>2739</v>
      </c>
      <c r="E1052" s="13" t="s">
        <v>2740</v>
      </c>
      <c r="F1052" s="1" t="s">
        <v>89</v>
      </c>
      <c r="G1052" s="1" t="s">
        <v>2741</v>
      </c>
      <c r="H1052" s="1" t="s">
        <v>2742</v>
      </c>
      <c r="I1052" s="31">
        <v>46065</v>
      </c>
      <c r="J1052" s="1" t="s">
        <v>2743</v>
      </c>
      <c r="K1052" s="1" t="s">
        <v>2744</v>
      </c>
      <c r="L1052" s="1" t="s">
        <v>2745</v>
      </c>
      <c r="M1052" s="2" t="s">
        <v>2746</v>
      </c>
      <c r="N1052" s="31">
        <v>45884</v>
      </c>
    </row>
    <row r="1053" spans="1:14" x14ac:dyDescent="0.25">
      <c r="A1053" s="29">
        <v>1052</v>
      </c>
      <c r="B1053" s="1" t="s">
        <v>117</v>
      </c>
      <c r="C1053" s="31">
        <v>45801</v>
      </c>
      <c r="D1053" s="1" t="s">
        <v>2739</v>
      </c>
      <c r="E1053" s="13" t="s">
        <v>2747</v>
      </c>
      <c r="F1053" s="1" t="s">
        <v>89</v>
      </c>
      <c r="G1053" s="1" t="s">
        <v>2741</v>
      </c>
      <c r="H1053" s="1" t="s">
        <v>2742</v>
      </c>
      <c r="I1053" s="31">
        <v>46065</v>
      </c>
      <c r="J1053" s="1" t="s">
        <v>2743</v>
      </c>
      <c r="K1053" s="1" t="s">
        <v>2744</v>
      </c>
      <c r="L1053" s="1" t="s">
        <v>2745</v>
      </c>
      <c r="M1053" s="2" t="s">
        <v>2746</v>
      </c>
      <c r="N1053" s="31">
        <v>45872</v>
      </c>
    </row>
    <row r="1054" spans="1:14" x14ac:dyDescent="0.25">
      <c r="A1054" s="29">
        <v>1053</v>
      </c>
      <c r="B1054" s="1" t="s">
        <v>125</v>
      </c>
      <c r="C1054" s="31">
        <v>45903</v>
      </c>
      <c r="D1054" s="1" t="s">
        <v>2748</v>
      </c>
      <c r="E1054" s="13" t="s">
        <v>2749</v>
      </c>
      <c r="F1054" s="1" t="s">
        <v>89</v>
      </c>
      <c r="G1054" s="1" t="s">
        <v>2750</v>
      </c>
      <c r="H1054" s="1" t="s">
        <v>2751</v>
      </c>
      <c r="I1054" s="31">
        <v>46065</v>
      </c>
      <c r="J1054" s="1" t="s">
        <v>2752</v>
      </c>
      <c r="K1054" s="1" t="s">
        <v>2753</v>
      </c>
      <c r="L1054" s="1" t="s">
        <v>2754</v>
      </c>
      <c r="M1054" s="2" t="s">
        <v>2755</v>
      </c>
      <c r="N1054" s="31">
        <v>45841</v>
      </c>
    </row>
    <row r="1055" spans="1:14" x14ac:dyDescent="0.25">
      <c r="A1055" s="29">
        <v>1054</v>
      </c>
      <c r="B1055" s="1" t="s">
        <v>131</v>
      </c>
      <c r="C1055" s="31">
        <v>45903</v>
      </c>
      <c r="D1055" s="1" t="s">
        <v>2748</v>
      </c>
      <c r="E1055" s="13" t="s">
        <v>2756</v>
      </c>
      <c r="F1055" s="1" t="s">
        <v>89</v>
      </c>
      <c r="G1055" s="1" t="s">
        <v>2750</v>
      </c>
      <c r="H1055" s="1" t="s">
        <v>2751</v>
      </c>
      <c r="I1055" s="31">
        <v>46065</v>
      </c>
      <c r="J1055" s="1" t="s">
        <v>2752</v>
      </c>
      <c r="K1055" s="1" t="s">
        <v>2753</v>
      </c>
      <c r="L1055" s="1" t="s">
        <v>2754</v>
      </c>
      <c r="M1055" s="2" t="s">
        <v>2755</v>
      </c>
      <c r="N1055" s="31">
        <v>45845</v>
      </c>
    </row>
    <row r="1056" spans="1:14" x14ac:dyDescent="0.25">
      <c r="A1056" s="29">
        <v>1055</v>
      </c>
      <c r="B1056" s="1" t="s">
        <v>138</v>
      </c>
      <c r="C1056" s="31">
        <v>46028</v>
      </c>
      <c r="D1056" s="1" t="s">
        <v>2757</v>
      </c>
      <c r="E1056" s="13" t="s">
        <v>2758</v>
      </c>
      <c r="F1056" s="1" t="s">
        <v>89</v>
      </c>
      <c r="G1056" s="1" t="s">
        <v>2759</v>
      </c>
      <c r="H1056" s="1" t="s">
        <v>2760</v>
      </c>
      <c r="I1056" s="31">
        <v>46065</v>
      </c>
      <c r="J1056" s="1" t="s">
        <v>2761</v>
      </c>
      <c r="K1056" s="1" t="s">
        <v>2762</v>
      </c>
      <c r="L1056" s="1" t="s">
        <v>2763</v>
      </c>
      <c r="M1056" s="2" t="s">
        <v>2764</v>
      </c>
      <c r="N1056" s="31">
        <v>45876</v>
      </c>
    </row>
    <row r="1057" spans="1:14" x14ac:dyDescent="0.25">
      <c r="A1057" s="29">
        <v>1056</v>
      </c>
      <c r="B1057" s="1" t="s">
        <v>146</v>
      </c>
      <c r="C1057" s="31">
        <v>46028</v>
      </c>
      <c r="D1057" s="1" t="s">
        <v>2757</v>
      </c>
      <c r="E1057" s="13" t="s">
        <v>2765</v>
      </c>
      <c r="F1057" s="1" t="s">
        <v>89</v>
      </c>
      <c r="G1057" s="1" t="s">
        <v>2759</v>
      </c>
      <c r="H1057" s="1" t="s">
        <v>2760</v>
      </c>
      <c r="I1057" s="31">
        <v>46065</v>
      </c>
      <c r="J1057" s="1" t="s">
        <v>2761</v>
      </c>
      <c r="K1057" s="1" t="s">
        <v>2762</v>
      </c>
      <c r="L1057" s="1" t="s">
        <v>2763</v>
      </c>
      <c r="M1057" s="2" t="s">
        <v>2764</v>
      </c>
      <c r="N1057" s="31">
        <v>45890</v>
      </c>
    </row>
    <row r="1058" spans="1:14" x14ac:dyDescent="0.25">
      <c r="A1058" s="29">
        <v>1057</v>
      </c>
      <c r="B1058" s="1" t="s">
        <v>153</v>
      </c>
      <c r="C1058" s="31">
        <v>45730</v>
      </c>
      <c r="D1058" s="1" t="s">
        <v>2766</v>
      </c>
      <c r="E1058" s="13" t="s">
        <v>2767</v>
      </c>
      <c r="F1058" s="1" t="s">
        <v>89</v>
      </c>
      <c r="G1058" s="1" t="s">
        <v>2768</v>
      </c>
      <c r="H1058" s="1" t="s">
        <v>2769</v>
      </c>
      <c r="I1058" s="31">
        <v>46065</v>
      </c>
      <c r="J1058" s="1" t="s">
        <v>2770</v>
      </c>
      <c r="K1058" s="1" t="s">
        <v>2771</v>
      </c>
      <c r="L1058" s="1" t="s">
        <v>2772</v>
      </c>
      <c r="M1058" s="2" t="s">
        <v>2773</v>
      </c>
      <c r="N1058" s="31">
        <v>45898</v>
      </c>
    </row>
    <row r="1059" spans="1:14" x14ac:dyDescent="0.25">
      <c r="A1059" s="29">
        <v>1058</v>
      </c>
      <c r="B1059" s="1" t="s">
        <v>161</v>
      </c>
      <c r="C1059" s="31">
        <v>45730</v>
      </c>
      <c r="D1059" s="1" t="s">
        <v>2766</v>
      </c>
      <c r="E1059" s="13" t="s">
        <v>2774</v>
      </c>
      <c r="F1059" s="1" t="s">
        <v>89</v>
      </c>
      <c r="G1059" s="1" t="s">
        <v>2768</v>
      </c>
      <c r="H1059" s="1" t="s">
        <v>2769</v>
      </c>
      <c r="I1059" s="31">
        <v>46065</v>
      </c>
      <c r="J1059" s="1" t="s">
        <v>2770</v>
      </c>
      <c r="K1059" s="1" t="s">
        <v>2771</v>
      </c>
      <c r="L1059" s="1" t="s">
        <v>2772</v>
      </c>
      <c r="M1059" s="2" t="s">
        <v>2773</v>
      </c>
      <c r="N1059" s="31">
        <v>45866</v>
      </c>
    </row>
    <row r="1060" spans="1:14" x14ac:dyDescent="0.25">
      <c r="A1060" s="29">
        <v>1059</v>
      </c>
      <c r="B1060" s="1" t="s">
        <v>169</v>
      </c>
      <c r="C1060" s="31">
        <v>45892</v>
      </c>
      <c r="D1060" s="1" t="s">
        <v>2775</v>
      </c>
      <c r="E1060" s="13" t="s">
        <v>2776</v>
      </c>
      <c r="F1060" s="1" t="s">
        <v>33</v>
      </c>
      <c r="G1060" s="1" t="s">
        <v>2777</v>
      </c>
      <c r="H1060" s="1" t="s">
        <v>2778</v>
      </c>
      <c r="I1060" s="31">
        <v>46065</v>
      </c>
      <c r="J1060" s="1" t="s">
        <v>2779</v>
      </c>
      <c r="K1060" s="1" t="s">
        <v>2780</v>
      </c>
      <c r="L1060" s="1" t="s">
        <v>2781</v>
      </c>
      <c r="M1060" s="2" t="s">
        <v>2782</v>
      </c>
      <c r="N1060" s="31">
        <v>45897</v>
      </c>
    </row>
    <row r="1061" spans="1:14" x14ac:dyDescent="0.25">
      <c r="A1061" s="29">
        <v>1060</v>
      </c>
      <c r="B1061" s="1" t="s">
        <v>177</v>
      </c>
      <c r="C1061" s="31">
        <v>45892</v>
      </c>
      <c r="D1061" s="1" t="s">
        <v>2775</v>
      </c>
      <c r="E1061" s="13" t="s">
        <v>2783</v>
      </c>
      <c r="F1061" s="1" t="s">
        <v>33</v>
      </c>
      <c r="G1061" s="1" t="s">
        <v>2777</v>
      </c>
      <c r="H1061" s="1" t="s">
        <v>2778</v>
      </c>
      <c r="I1061" s="31">
        <v>46065</v>
      </c>
      <c r="J1061" s="1" t="s">
        <v>2779</v>
      </c>
      <c r="K1061" s="1" t="s">
        <v>2780</v>
      </c>
      <c r="L1061" s="1" t="s">
        <v>2781</v>
      </c>
      <c r="M1061" s="2" t="s">
        <v>2782</v>
      </c>
      <c r="N1061" s="31">
        <v>45885</v>
      </c>
    </row>
    <row r="1062" spans="1:14" x14ac:dyDescent="0.25">
      <c r="A1062" s="29">
        <v>1061</v>
      </c>
      <c r="B1062" s="1" t="s">
        <v>184</v>
      </c>
      <c r="C1062" s="31">
        <v>45866</v>
      </c>
      <c r="D1062" s="1" t="s">
        <v>2784</v>
      </c>
      <c r="E1062" s="13" t="s">
        <v>2785</v>
      </c>
      <c r="F1062" s="1" t="s">
        <v>33</v>
      </c>
      <c r="G1062" s="1" t="s">
        <v>2786</v>
      </c>
      <c r="H1062" s="1" t="s">
        <v>2787</v>
      </c>
      <c r="I1062" s="31">
        <v>46065</v>
      </c>
      <c r="J1062" s="1" t="s">
        <v>2788</v>
      </c>
      <c r="K1062" s="1" t="s">
        <v>2789</v>
      </c>
      <c r="L1062" s="1" t="s">
        <v>2790</v>
      </c>
      <c r="M1062" s="2" t="s">
        <v>2791</v>
      </c>
      <c r="N1062" s="31">
        <v>45868</v>
      </c>
    </row>
    <row r="1063" spans="1:14" x14ac:dyDescent="0.25">
      <c r="A1063" s="29">
        <v>1062</v>
      </c>
      <c r="B1063" s="1" t="s">
        <v>192</v>
      </c>
      <c r="C1063" s="31">
        <v>45866</v>
      </c>
      <c r="D1063" s="1" t="s">
        <v>2784</v>
      </c>
      <c r="E1063" s="13" t="s">
        <v>2792</v>
      </c>
      <c r="F1063" s="1" t="s">
        <v>33</v>
      </c>
      <c r="G1063" s="1" t="s">
        <v>2786</v>
      </c>
      <c r="H1063" s="1" t="s">
        <v>2787</v>
      </c>
      <c r="I1063" s="31">
        <v>46065</v>
      </c>
      <c r="J1063" s="1" t="s">
        <v>2788</v>
      </c>
      <c r="K1063" s="1" t="s">
        <v>2789</v>
      </c>
      <c r="L1063" s="1" t="s">
        <v>2790</v>
      </c>
      <c r="M1063" s="2" t="s">
        <v>2791</v>
      </c>
      <c r="N1063" s="31">
        <v>45858</v>
      </c>
    </row>
    <row r="1064" spans="1:14" x14ac:dyDescent="0.25">
      <c r="A1064" s="29">
        <v>1063</v>
      </c>
      <c r="B1064" s="1" t="s">
        <v>48</v>
      </c>
      <c r="C1064" s="31">
        <v>46005</v>
      </c>
      <c r="D1064" s="1" t="s">
        <v>2793</v>
      </c>
      <c r="E1064" s="13" t="s">
        <v>2794</v>
      </c>
      <c r="F1064" s="1" t="s">
        <v>33</v>
      </c>
      <c r="G1064" s="1" t="s">
        <v>2795</v>
      </c>
      <c r="H1064" s="1" t="s">
        <v>2796</v>
      </c>
      <c r="I1064" s="31">
        <v>46065</v>
      </c>
      <c r="J1064" s="1" t="s">
        <v>2797</v>
      </c>
      <c r="K1064" s="1" t="s">
        <v>2798</v>
      </c>
      <c r="L1064" s="1" t="s">
        <v>2799</v>
      </c>
      <c r="M1064" s="2" t="s">
        <v>2800</v>
      </c>
      <c r="N1064" s="31">
        <v>45852</v>
      </c>
    </row>
    <row r="1065" spans="1:14" x14ac:dyDescent="0.25">
      <c r="A1065" s="29">
        <v>1064</v>
      </c>
      <c r="B1065" s="1" t="s">
        <v>205</v>
      </c>
      <c r="C1065" s="31">
        <v>46005</v>
      </c>
      <c r="D1065" s="1" t="s">
        <v>2793</v>
      </c>
      <c r="E1065" s="13" t="s">
        <v>2801</v>
      </c>
      <c r="F1065" s="1" t="s">
        <v>33</v>
      </c>
      <c r="G1065" s="1" t="s">
        <v>2795</v>
      </c>
      <c r="H1065" s="1" t="s">
        <v>2796</v>
      </c>
      <c r="I1065" s="31">
        <v>46065</v>
      </c>
      <c r="J1065" s="1" t="s">
        <v>2797</v>
      </c>
      <c r="K1065" s="1" t="s">
        <v>2798</v>
      </c>
      <c r="L1065" s="1" t="s">
        <v>2799</v>
      </c>
      <c r="M1065" s="2" t="s">
        <v>2800</v>
      </c>
      <c r="N1065" s="31">
        <v>45855</v>
      </c>
    </row>
    <row r="1066" spans="1:14" x14ac:dyDescent="0.25">
      <c r="A1066" s="29">
        <v>1065</v>
      </c>
      <c r="B1066" s="1" t="s">
        <v>212</v>
      </c>
      <c r="C1066" s="31">
        <v>46023</v>
      </c>
      <c r="D1066" s="1" t="s">
        <v>2802</v>
      </c>
      <c r="E1066" s="13" t="s">
        <v>2803</v>
      </c>
      <c r="F1066" s="1" t="s">
        <v>89</v>
      </c>
      <c r="G1066" s="1" t="s">
        <v>2804</v>
      </c>
      <c r="H1066" s="1" t="s">
        <v>2805</v>
      </c>
      <c r="I1066" s="31">
        <v>46065</v>
      </c>
      <c r="J1066" s="1" t="s">
        <v>2806</v>
      </c>
      <c r="K1066" s="1" t="s">
        <v>2807</v>
      </c>
      <c r="L1066" s="1" t="s">
        <v>2808</v>
      </c>
      <c r="M1066" s="2" t="s">
        <v>2809</v>
      </c>
      <c r="N1066" s="31">
        <v>45880</v>
      </c>
    </row>
    <row r="1067" spans="1:14" x14ac:dyDescent="0.25">
      <c r="A1067" s="29">
        <v>1066</v>
      </c>
      <c r="B1067" s="1" t="s">
        <v>217</v>
      </c>
      <c r="C1067" s="31">
        <v>46023</v>
      </c>
      <c r="D1067" s="1" t="s">
        <v>2802</v>
      </c>
      <c r="E1067" s="13" t="s">
        <v>2810</v>
      </c>
      <c r="F1067" s="1" t="s">
        <v>89</v>
      </c>
      <c r="G1067" s="1" t="s">
        <v>2804</v>
      </c>
      <c r="H1067" s="1" t="s">
        <v>2805</v>
      </c>
      <c r="I1067" s="31">
        <v>46065</v>
      </c>
      <c r="J1067" s="1" t="s">
        <v>2806</v>
      </c>
      <c r="K1067" s="1" t="s">
        <v>2807</v>
      </c>
      <c r="L1067" s="1" t="s">
        <v>2808</v>
      </c>
      <c r="M1067" s="2" t="s">
        <v>2809</v>
      </c>
      <c r="N1067" s="31">
        <v>45859</v>
      </c>
    </row>
    <row r="1068" spans="1:14" x14ac:dyDescent="0.25">
      <c r="A1068" s="29">
        <v>1067</v>
      </c>
      <c r="B1068" s="1" t="s">
        <v>224</v>
      </c>
      <c r="C1068" s="31">
        <v>45859</v>
      </c>
      <c r="D1068" s="1" t="s">
        <v>2811</v>
      </c>
      <c r="E1068" s="13" t="s">
        <v>2812</v>
      </c>
      <c r="F1068" s="1" t="s">
        <v>89</v>
      </c>
      <c r="G1068" s="1" t="s">
        <v>2813</v>
      </c>
      <c r="H1068" s="1" t="s">
        <v>2814</v>
      </c>
      <c r="I1068" s="31">
        <v>46065</v>
      </c>
      <c r="J1068" s="1" t="s">
        <v>2815</v>
      </c>
      <c r="K1068" s="1" t="s">
        <v>2816</v>
      </c>
      <c r="L1068" s="1" t="s">
        <v>2817</v>
      </c>
      <c r="M1068" s="2" t="s">
        <v>2818</v>
      </c>
      <c r="N1068" s="31">
        <v>45842</v>
      </c>
    </row>
    <row r="1069" spans="1:14" x14ac:dyDescent="0.25">
      <c r="A1069" s="29">
        <v>1068</v>
      </c>
      <c r="B1069" s="1" t="s">
        <v>232</v>
      </c>
      <c r="C1069" s="31">
        <v>45859</v>
      </c>
      <c r="D1069" s="1" t="s">
        <v>2811</v>
      </c>
      <c r="E1069" s="13" t="s">
        <v>2819</v>
      </c>
      <c r="F1069" s="1" t="s">
        <v>89</v>
      </c>
      <c r="G1069" s="1" t="s">
        <v>2813</v>
      </c>
      <c r="H1069" s="1" t="s">
        <v>2814</v>
      </c>
      <c r="I1069" s="31">
        <v>46065</v>
      </c>
      <c r="J1069" s="1" t="s">
        <v>2815</v>
      </c>
      <c r="K1069" s="1" t="s">
        <v>2816</v>
      </c>
      <c r="L1069" s="1" t="s">
        <v>2817</v>
      </c>
      <c r="M1069" s="2" t="s">
        <v>2818</v>
      </c>
      <c r="N1069" s="31">
        <v>45886</v>
      </c>
    </row>
    <row r="1070" spans="1:14" x14ac:dyDescent="0.25">
      <c r="A1070" s="29">
        <v>1069</v>
      </c>
      <c r="B1070" s="1" t="s">
        <v>239</v>
      </c>
      <c r="C1070" s="31">
        <v>45799</v>
      </c>
      <c r="D1070" s="1" t="s">
        <v>2820</v>
      </c>
      <c r="E1070" s="13" t="s">
        <v>2821</v>
      </c>
      <c r="F1070" s="1" t="s">
        <v>89</v>
      </c>
      <c r="G1070" s="1" t="s">
        <v>2822</v>
      </c>
      <c r="H1070" s="1" t="s">
        <v>2823</v>
      </c>
      <c r="I1070" s="31">
        <v>46065</v>
      </c>
      <c r="J1070" s="1" t="s">
        <v>2824</v>
      </c>
      <c r="K1070" s="1" t="s">
        <v>2825</v>
      </c>
      <c r="L1070" s="1" t="s">
        <v>2826</v>
      </c>
      <c r="M1070" s="2" t="s">
        <v>2827</v>
      </c>
      <c r="N1070" s="31">
        <v>45892</v>
      </c>
    </row>
    <row r="1071" spans="1:14" x14ac:dyDescent="0.25">
      <c r="A1071" s="29">
        <v>1070</v>
      </c>
      <c r="B1071" s="1" t="s">
        <v>48</v>
      </c>
      <c r="C1071" s="31">
        <v>45799</v>
      </c>
      <c r="D1071" s="1" t="s">
        <v>2820</v>
      </c>
      <c r="E1071" s="13" t="s">
        <v>2828</v>
      </c>
      <c r="F1071" s="1" t="s">
        <v>89</v>
      </c>
      <c r="G1071" s="1" t="s">
        <v>2822</v>
      </c>
      <c r="H1071" s="1" t="s">
        <v>2823</v>
      </c>
      <c r="I1071" s="31">
        <v>46065</v>
      </c>
      <c r="J1071" s="1" t="s">
        <v>2824</v>
      </c>
      <c r="K1071" s="1" t="s">
        <v>2825</v>
      </c>
      <c r="L1071" s="1" t="s">
        <v>2826</v>
      </c>
      <c r="M1071" s="2" t="s">
        <v>2827</v>
      </c>
      <c r="N1071" s="31">
        <v>45893</v>
      </c>
    </row>
    <row r="1072" spans="1:14" x14ac:dyDescent="0.25">
      <c r="A1072" s="29">
        <v>1071</v>
      </c>
      <c r="B1072" s="1" t="s">
        <v>252</v>
      </c>
      <c r="C1072" s="31">
        <v>45830</v>
      </c>
      <c r="D1072" s="1" t="s">
        <v>2829</v>
      </c>
      <c r="E1072" s="13" t="s">
        <v>2830</v>
      </c>
      <c r="F1072" s="1" t="s">
        <v>33</v>
      </c>
      <c r="G1072" s="1" t="s">
        <v>2831</v>
      </c>
      <c r="H1072" s="1" t="s">
        <v>2832</v>
      </c>
      <c r="I1072" s="31">
        <v>46065</v>
      </c>
      <c r="J1072" s="1" t="s">
        <v>2833</v>
      </c>
      <c r="K1072" s="1" t="s">
        <v>2834</v>
      </c>
      <c r="L1072" s="1" t="s">
        <v>2835</v>
      </c>
      <c r="M1072" s="2" t="s">
        <v>2836</v>
      </c>
      <c r="N1072" s="31">
        <v>45877</v>
      </c>
    </row>
    <row r="1073" spans="1:14" x14ac:dyDescent="0.25">
      <c r="A1073" s="29">
        <v>1072</v>
      </c>
      <c r="B1073" s="1" t="s">
        <v>110</v>
      </c>
      <c r="C1073" s="31">
        <v>45830</v>
      </c>
      <c r="D1073" s="1" t="s">
        <v>2829</v>
      </c>
      <c r="E1073" s="13" t="s">
        <v>2837</v>
      </c>
      <c r="F1073" s="1" t="s">
        <v>33</v>
      </c>
      <c r="G1073" s="1" t="s">
        <v>2831</v>
      </c>
      <c r="H1073" s="1" t="s">
        <v>2832</v>
      </c>
      <c r="I1073" s="31">
        <v>46065</v>
      </c>
      <c r="J1073" s="1" t="s">
        <v>2833</v>
      </c>
      <c r="K1073" s="1" t="s">
        <v>2834</v>
      </c>
      <c r="L1073" s="1" t="s">
        <v>2835</v>
      </c>
      <c r="M1073" s="2" t="s">
        <v>2836</v>
      </c>
      <c r="N1073" s="31">
        <v>45848</v>
      </c>
    </row>
    <row r="1074" spans="1:14" x14ac:dyDescent="0.25">
      <c r="A1074" s="29">
        <v>1073</v>
      </c>
      <c r="B1074" s="1" t="s">
        <v>266</v>
      </c>
      <c r="C1074" s="31">
        <v>45996</v>
      </c>
      <c r="D1074" s="1" t="s">
        <v>2838</v>
      </c>
      <c r="E1074" s="13" t="s">
        <v>2839</v>
      </c>
      <c r="F1074" s="1" t="s">
        <v>33</v>
      </c>
      <c r="G1074" s="1" t="s">
        <v>2840</v>
      </c>
      <c r="H1074" s="1" t="s">
        <v>2841</v>
      </c>
      <c r="I1074" s="31">
        <v>46065</v>
      </c>
      <c r="J1074" s="1" t="s">
        <v>2842</v>
      </c>
      <c r="K1074" s="1" t="s">
        <v>2843</v>
      </c>
      <c r="L1074" s="1" t="s">
        <v>2844</v>
      </c>
      <c r="M1074" s="2" t="s">
        <v>2845</v>
      </c>
      <c r="N1074" s="31">
        <v>45881</v>
      </c>
    </row>
    <row r="1075" spans="1:14" x14ac:dyDescent="0.25">
      <c r="A1075" s="29">
        <v>1074</v>
      </c>
      <c r="B1075" s="1" t="s">
        <v>274</v>
      </c>
      <c r="C1075" s="31">
        <v>45996</v>
      </c>
      <c r="D1075" s="1" t="s">
        <v>2838</v>
      </c>
      <c r="E1075" s="13" t="s">
        <v>2846</v>
      </c>
      <c r="F1075" s="1" t="s">
        <v>33</v>
      </c>
      <c r="G1075" s="1" t="s">
        <v>2840</v>
      </c>
      <c r="H1075" s="1" t="s">
        <v>2841</v>
      </c>
      <c r="I1075" s="31">
        <v>46065</v>
      </c>
      <c r="J1075" s="1" t="s">
        <v>2842</v>
      </c>
      <c r="K1075" s="1" t="s">
        <v>2843</v>
      </c>
      <c r="L1075" s="1" t="s">
        <v>2844</v>
      </c>
      <c r="M1075" s="2" t="s">
        <v>2845</v>
      </c>
      <c r="N1075" s="31">
        <v>45878</v>
      </c>
    </row>
    <row r="1076" spans="1:14" x14ac:dyDescent="0.25">
      <c r="A1076" s="29">
        <v>1075</v>
      </c>
      <c r="B1076" s="1" t="s">
        <v>279</v>
      </c>
      <c r="C1076" s="31">
        <v>45781</v>
      </c>
      <c r="D1076" s="1" t="s">
        <v>2847</v>
      </c>
      <c r="E1076" s="13" t="s">
        <v>2848</v>
      </c>
      <c r="F1076" s="1" t="s">
        <v>89</v>
      </c>
      <c r="G1076" s="1" t="s">
        <v>2849</v>
      </c>
      <c r="H1076" s="1" t="s">
        <v>2850</v>
      </c>
      <c r="I1076" s="31">
        <v>46065</v>
      </c>
      <c r="J1076" s="1" t="s">
        <v>2851</v>
      </c>
      <c r="K1076" s="1" t="s">
        <v>2852</v>
      </c>
      <c r="L1076" s="1" t="s">
        <v>2853</v>
      </c>
      <c r="M1076" s="2" t="s">
        <v>2854</v>
      </c>
      <c r="N1076" s="31">
        <v>45877</v>
      </c>
    </row>
    <row r="1077" spans="1:14" x14ac:dyDescent="0.25">
      <c r="A1077" s="29">
        <v>1076</v>
      </c>
      <c r="B1077" s="1" t="s">
        <v>284</v>
      </c>
      <c r="C1077" s="31">
        <v>45781</v>
      </c>
      <c r="D1077" s="1" t="s">
        <v>2847</v>
      </c>
      <c r="E1077" s="13" t="s">
        <v>2855</v>
      </c>
      <c r="F1077" s="1" t="s">
        <v>89</v>
      </c>
      <c r="G1077" s="1" t="s">
        <v>2849</v>
      </c>
      <c r="H1077" s="1" t="s">
        <v>2850</v>
      </c>
      <c r="I1077" s="31">
        <v>46065</v>
      </c>
      <c r="J1077" s="1" t="s">
        <v>2851</v>
      </c>
      <c r="K1077" s="1" t="s">
        <v>2852</v>
      </c>
      <c r="L1077" s="1" t="s">
        <v>2853</v>
      </c>
      <c r="M1077" s="2" t="s">
        <v>2854</v>
      </c>
      <c r="N1077" s="31">
        <v>45864</v>
      </c>
    </row>
    <row r="1078" spans="1:14" x14ac:dyDescent="0.25">
      <c r="A1078" s="29">
        <v>1077</v>
      </c>
      <c r="B1078" s="1" t="s">
        <v>177</v>
      </c>
      <c r="C1078" s="31">
        <v>45724</v>
      </c>
      <c r="D1078" s="1" t="s">
        <v>2856</v>
      </c>
      <c r="E1078" s="13" t="s">
        <v>2857</v>
      </c>
      <c r="F1078" s="1" t="s">
        <v>33</v>
      </c>
      <c r="G1078" s="1" t="s">
        <v>2858</v>
      </c>
      <c r="H1078" s="1" t="s">
        <v>2859</v>
      </c>
      <c r="I1078" s="31">
        <v>46065</v>
      </c>
      <c r="J1078" s="1" t="s">
        <v>2860</v>
      </c>
      <c r="K1078" s="1" t="s">
        <v>2861</v>
      </c>
      <c r="L1078" s="1" t="s">
        <v>2862</v>
      </c>
      <c r="M1078" s="2" t="s">
        <v>2863</v>
      </c>
      <c r="N1078" s="31">
        <v>45857</v>
      </c>
    </row>
    <row r="1079" spans="1:14" x14ac:dyDescent="0.25">
      <c r="A1079" s="29">
        <v>1078</v>
      </c>
      <c r="B1079" s="1" t="s">
        <v>131</v>
      </c>
      <c r="C1079" s="31">
        <v>45724</v>
      </c>
      <c r="D1079" s="1" t="s">
        <v>2856</v>
      </c>
      <c r="E1079" s="13" t="s">
        <v>2864</v>
      </c>
      <c r="F1079" s="1" t="s">
        <v>33</v>
      </c>
      <c r="G1079" s="1" t="s">
        <v>2858</v>
      </c>
      <c r="H1079" s="1" t="s">
        <v>2859</v>
      </c>
      <c r="I1079" s="31">
        <v>46065</v>
      </c>
      <c r="J1079" s="1" t="s">
        <v>2860</v>
      </c>
      <c r="K1079" s="1" t="s">
        <v>2861</v>
      </c>
      <c r="L1079" s="1" t="s">
        <v>2862</v>
      </c>
      <c r="M1079" s="2" t="s">
        <v>2863</v>
      </c>
      <c r="N1079" s="31">
        <v>45844</v>
      </c>
    </row>
    <row r="1080" spans="1:14" x14ac:dyDescent="0.25">
      <c r="A1080" s="29">
        <v>1079</v>
      </c>
      <c r="B1080" s="1" t="s">
        <v>303</v>
      </c>
      <c r="C1080" s="31">
        <v>46019</v>
      </c>
      <c r="D1080" s="1" t="s">
        <v>2865</v>
      </c>
      <c r="E1080" s="13" t="s">
        <v>2866</v>
      </c>
      <c r="F1080" s="1" t="s">
        <v>33</v>
      </c>
      <c r="G1080" s="1" t="s">
        <v>2867</v>
      </c>
      <c r="H1080" s="1" t="s">
        <v>2868</v>
      </c>
      <c r="I1080" s="31">
        <v>46065</v>
      </c>
      <c r="J1080" s="1" t="s">
        <v>2869</v>
      </c>
      <c r="K1080" s="1" t="s">
        <v>2870</v>
      </c>
      <c r="L1080" s="1" t="s">
        <v>2871</v>
      </c>
      <c r="M1080" s="2" t="s">
        <v>2872</v>
      </c>
      <c r="N1080" s="31">
        <v>45864</v>
      </c>
    </row>
    <row r="1081" spans="1:14" x14ac:dyDescent="0.25">
      <c r="A1081" s="29">
        <v>1080</v>
      </c>
      <c r="B1081" s="1" t="s">
        <v>274</v>
      </c>
      <c r="C1081" s="31">
        <v>46019</v>
      </c>
      <c r="D1081" s="1" t="s">
        <v>2865</v>
      </c>
      <c r="E1081" s="13" t="s">
        <v>2873</v>
      </c>
      <c r="F1081" s="1" t="s">
        <v>33</v>
      </c>
      <c r="G1081" s="1" t="s">
        <v>2867</v>
      </c>
      <c r="H1081" s="1" t="s">
        <v>2868</v>
      </c>
      <c r="I1081" s="31">
        <v>46065</v>
      </c>
      <c r="J1081" s="1" t="s">
        <v>2869</v>
      </c>
      <c r="K1081" s="1" t="s">
        <v>2870</v>
      </c>
      <c r="L1081" s="1" t="s">
        <v>2871</v>
      </c>
      <c r="M1081" s="2" t="s">
        <v>2872</v>
      </c>
      <c r="N1081" s="31">
        <v>45840</v>
      </c>
    </row>
    <row r="1082" spans="1:14" x14ac:dyDescent="0.25">
      <c r="A1082" s="29">
        <v>1081</v>
      </c>
      <c r="B1082" s="1" t="s">
        <v>2874</v>
      </c>
      <c r="C1082" s="31">
        <v>45910</v>
      </c>
      <c r="D1082" s="1" t="s">
        <v>2875</v>
      </c>
      <c r="E1082" s="13" t="s">
        <v>2876</v>
      </c>
      <c r="F1082" s="1" t="s">
        <v>89</v>
      </c>
      <c r="G1082" s="1" t="s">
        <v>2877</v>
      </c>
      <c r="H1082" s="1" t="s">
        <v>2878</v>
      </c>
      <c r="I1082" s="31">
        <v>46065</v>
      </c>
      <c r="J1082" s="1" t="s">
        <v>2879</v>
      </c>
      <c r="K1082" s="1" t="s">
        <v>2880</v>
      </c>
      <c r="L1082" s="1" t="s">
        <v>2881</v>
      </c>
      <c r="M1082" s="2" t="s">
        <v>2882</v>
      </c>
      <c r="N1082" s="31">
        <v>46081</v>
      </c>
    </row>
    <row r="1083" spans="1:14" x14ac:dyDescent="0.25">
      <c r="A1083" s="29">
        <v>1082</v>
      </c>
      <c r="B1083" s="1" t="s">
        <v>2883</v>
      </c>
      <c r="C1083" s="31">
        <v>45910</v>
      </c>
      <c r="D1083" s="1" t="s">
        <v>2875</v>
      </c>
      <c r="E1083" s="13" t="s">
        <v>2884</v>
      </c>
      <c r="F1083" s="1" t="s">
        <v>89</v>
      </c>
      <c r="G1083" s="1" t="s">
        <v>2877</v>
      </c>
      <c r="H1083" s="1" t="s">
        <v>2878</v>
      </c>
      <c r="I1083" s="31">
        <v>46065</v>
      </c>
      <c r="J1083" s="1" t="s">
        <v>2879</v>
      </c>
      <c r="K1083" s="1" t="s">
        <v>2880</v>
      </c>
      <c r="L1083" s="1" t="s">
        <v>2881</v>
      </c>
      <c r="M1083" s="2" t="s">
        <v>2882</v>
      </c>
      <c r="N1083" s="31">
        <v>46075</v>
      </c>
    </row>
    <row r="1084" spans="1:14" x14ac:dyDescent="0.25">
      <c r="A1084" s="29">
        <v>1083</v>
      </c>
      <c r="B1084" s="1" t="s">
        <v>2885</v>
      </c>
      <c r="C1084" s="31">
        <v>45931</v>
      </c>
      <c r="D1084" s="1" t="s">
        <v>2886</v>
      </c>
      <c r="E1084" s="13" t="s">
        <v>2887</v>
      </c>
      <c r="F1084" s="1" t="s">
        <v>33</v>
      </c>
      <c r="G1084" s="1" t="s">
        <v>2867</v>
      </c>
      <c r="H1084" s="1" t="s">
        <v>2888</v>
      </c>
      <c r="I1084" s="31">
        <v>46065</v>
      </c>
      <c r="J1084" s="1" t="s">
        <v>2889</v>
      </c>
      <c r="K1084" s="1" t="s">
        <v>2890</v>
      </c>
      <c r="L1084" s="1" t="s">
        <v>2891</v>
      </c>
      <c r="M1084" s="2" t="s">
        <v>2892</v>
      </c>
      <c r="N1084" s="31">
        <v>46068</v>
      </c>
    </row>
    <row r="1085" spans="1:14" x14ac:dyDescent="0.25">
      <c r="A1085" s="29">
        <v>1084</v>
      </c>
      <c r="B1085" s="1" t="s">
        <v>2893</v>
      </c>
      <c r="C1085" s="31">
        <v>45931</v>
      </c>
      <c r="D1085" s="1" t="s">
        <v>2886</v>
      </c>
      <c r="E1085" s="13" t="s">
        <v>2894</v>
      </c>
      <c r="F1085" s="1" t="s">
        <v>33</v>
      </c>
      <c r="G1085" s="1" t="s">
        <v>2867</v>
      </c>
      <c r="H1085" s="1" t="s">
        <v>2888</v>
      </c>
      <c r="I1085" s="31">
        <v>46065</v>
      </c>
      <c r="J1085" s="1" t="s">
        <v>2889</v>
      </c>
      <c r="K1085" s="1" t="s">
        <v>2890</v>
      </c>
      <c r="L1085" s="1" t="s">
        <v>2891</v>
      </c>
      <c r="M1085" s="2" t="s">
        <v>2892</v>
      </c>
      <c r="N1085" s="31">
        <v>46081</v>
      </c>
    </row>
    <row r="1086" spans="1:14" x14ac:dyDescent="0.25">
      <c r="A1086" s="29">
        <v>1085</v>
      </c>
      <c r="B1086" s="1" t="s">
        <v>2895</v>
      </c>
      <c r="C1086" s="31">
        <v>45840</v>
      </c>
      <c r="D1086" s="1" t="s">
        <v>2896</v>
      </c>
      <c r="E1086" s="13" t="s">
        <v>2897</v>
      </c>
      <c r="F1086" s="1" t="s">
        <v>89</v>
      </c>
      <c r="G1086" s="1" t="s">
        <v>2898</v>
      </c>
      <c r="H1086" s="1" t="s">
        <v>2899</v>
      </c>
      <c r="I1086" s="31">
        <v>46065</v>
      </c>
      <c r="J1086" s="1" t="s">
        <v>2900</v>
      </c>
      <c r="K1086" s="1" t="s">
        <v>2901</v>
      </c>
      <c r="L1086" s="1" t="s">
        <v>2902</v>
      </c>
      <c r="M1086" s="2" t="s">
        <v>2903</v>
      </c>
      <c r="N1086" s="31">
        <v>46082</v>
      </c>
    </row>
    <row r="1087" spans="1:14" x14ac:dyDescent="0.25">
      <c r="A1087" s="29">
        <v>1086</v>
      </c>
      <c r="B1087" s="1" t="s">
        <v>2904</v>
      </c>
      <c r="C1087" s="31">
        <v>45840</v>
      </c>
      <c r="D1087" s="1" t="s">
        <v>2896</v>
      </c>
      <c r="E1087" s="13" t="s">
        <v>2905</v>
      </c>
      <c r="F1087" s="1" t="s">
        <v>89</v>
      </c>
      <c r="G1087" s="1" t="s">
        <v>2898</v>
      </c>
      <c r="H1087" s="1" t="s">
        <v>2899</v>
      </c>
      <c r="I1087" s="31">
        <v>46065</v>
      </c>
      <c r="J1087" s="1" t="s">
        <v>2900</v>
      </c>
      <c r="K1087" s="1" t="s">
        <v>2901</v>
      </c>
      <c r="L1087" s="1" t="s">
        <v>2902</v>
      </c>
      <c r="M1087" s="2" t="s">
        <v>2903</v>
      </c>
      <c r="N1087" s="31">
        <v>46072</v>
      </c>
    </row>
    <row r="1088" spans="1:14" x14ac:dyDescent="0.25">
      <c r="A1088" s="29">
        <v>1087</v>
      </c>
      <c r="B1088" s="1" t="s">
        <v>2906</v>
      </c>
      <c r="C1088" s="31">
        <v>45778</v>
      </c>
      <c r="D1088" s="1" t="s">
        <v>2907</v>
      </c>
      <c r="E1088" s="13" t="s">
        <v>2908</v>
      </c>
      <c r="F1088" s="1" t="s">
        <v>33</v>
      </c>
      <c r="G1088" s="1" t="s">
        <v>2909</v>
      </c>
      <c r="H1088" s="1" t="s">
        <v>2910</v>
      </c>
      <c r="I1088" s="31">
        <v>46065</v>
      </c>
      <c r="J1088" s="1" t="s">
        <v>2911</v>
      </c>
      <c r="K1088" s="1" t="s">
        <v>2912</v>
      </c>
      <c r="L1088" s="1" t="s">
        <v>2913</v>
      </c>
      <c r="M1088" s="2" t="s">
        <v>2914</v>
      </c>
      <c r="N1088" s="31">
        <v>46089</v>
      </c>
    </row>
    <row r="1089" spans="1:14" x14ac:dyDescent="0.25">
      <c r="A1089" s="29">
        <v>1088</v>
      </c>
      <c r="B1089" s="1" t="s">
        <v>2915</v>
      </c>
      <c r="C1089" s="31">
        <v>45778</v>
      </c>
      <c r="D1089" s="1" t="s">
        <v>2907</v>
      </c>
      <c r="E1089" s="13" t="s">
        <v>2916</v>
      </c>
      <c r="F1089" s="1" t="s">
        <v>33</v>
      </c>
      <c r="G1089" s="1" t="s">
        <v>2909</v>
      </c>
      <c r="H1089" s="1" t="s">
        <v>2910</v>
      </c>
      <c r="I1089" s="31">
        <v>46065</v>
      </c>
      <c r="J1089" s="1" t="s">
        <v>2911</v>
      </c>
      <c r="K1089" s="1" t="s">
        <v>2912</v>
      </c>
      <c r="L1089" s="1" t="s">
        <v>2913</v>
      </c>
      <c r="M1089" s="2" t="s">
        <v>2914</v>
      </c>
      <c r="N1089" s="31">
        <v>46079</v>
      </c>
    </row>
    <row r="1090" spans="1:14" x14ac:dyDescent="0.25">
      <c r="A1090" s="29">
        <v>1089</v>
      </c>
      <c r="B1090" s="1" t="s">
        <v>2917</v>
      </c>
      <c r="C1090" s="31">
        <v>45794</v>
      </c>
      <c r="D1090" s="1" t="s">
        <v>2918</v>
      </c>
      <c r="E1090" s="13" t="s">
        <v>2919</v>
      </c>
      <c r="F1090" s="1" t="s">
        <v>33</v>
      </c>
      <c r="G1090" s="1" t="s">
        <v>2920</v>
      </c>
      <c r="H1090" s="1" t="s">
        <v>2921</v>
      </c>
      <c r="I1090" s="31">
        <v>46065</v>
      </c>
      <c r="J1090" s="1" t="s">
        <v>2922</v>
      </c>
      <c r="K1090" s="1" t="s">
        <v>2923</v>
      </c>
      <c r="L1090" s="1" t="s">
        <v>2924</v>
      </c>
      <c r="M1090" s="2" t="s">
        <v>2925</v>
      </c>
      <c r="N1090" s="31">
        <v>46072</v>
      </c>
    </row>
    <row r="1091" spans="1:14" x14ac:dyDescent="0.25">
      <c r="A1091" s="29">
        <v>1090</v>
      </c>
      <c r="B1091" s="1" t="s">
        <v>2926</v>
      </c>
      <c r="C1091" s="31">
        <v>45794</v>
      </c>
      <c r="D1091" s="1" t="s">
        <v>2918</v>
      </c>
      <c r="E1091" s="13" t="s">
        <v>2927</v>
      </c>
      <c r="F1091" s="1" t="s">
        <v>33</v>
      </c>
      <c r="G1091" s="1" t="s">
        <v>2920</v>
      </c>
      <c r="H1091" s="1" t="s">
        <v>2921</v>
      </c>
      <c r="I1091" s="31">
        <v>46065</v>
      </c>
      <c r="J1091" s="1" t="s">
        <v>2922</v>
      </c>
      <c r="K1091" s="1" t="s">
        <v>2923</v>
      </c>
      <c r="L1091" s="1" t="s">
        <v>2924</v>
      </c>
      <c r="M1091" s="2" t="s">
        <v>2925</v>
      </c>
      <c r="N1091" s="31">
        <v>46093</v>
      </c>
    </row>
    <row r="1092" spans="1:14" x14ac:dyDescent="0.25">
      <c r="A1092" s="29">
        <v>1091</v>
      </c>
      <c r="B1092" s="1" t="s">
        <v>2928</v>
      </c>
      <c r="C1092" s="31">
        <v>45758</v>
      </c>
      <c r="D1092" s="1" t="s">
        <v>2929</v>
      </c>
      <c r="E1092" s="13" t="s">
        <v>2930</v>
      </c>
      <c r="F1092" s="1" t="s">
        <v>33</v>
      </c>
      <c r="G1092" s="1" t="s">
        <v>2931</v>
      </c>
      <c r="H1092" s="1" t="s">
        <v>2932</v>
      </c>
      <c r="I1092" s="31">
        <v>46065</v>
      </c>
      <c r="J1092" s="1" t="s">
        <v>2933</v>
      </c>
      <c r="K1092" s="1" t="s">
        <v>2934</v>
      </c>
      <c r="L1092" s="1" t="s">
        <v>2935</v>
      </c>
      <c r="M1092" s="2" t="s">
        <v>2936</v>
      </c>
      <c r="N1092" s="31">
        <v>46072</v>
      </c>
    </row>
    <row r="1093" spans="1:14" x14ac:dyDescent="0.25">
      <c r="A1093" s="29">
        <v>1092</v>
      </c>
      <c r="B1093" s="1" t="s">
        <v>2937</v>
      </c>
      <c r="C1093" s="31">
        <v>45758</v>
      </c>
      <c r="D1093" s="1" t="s">
        <v>2929</v>
      </c>
      <c r="E1093" s="13" t="s">
        <v>2938</v>
      </c>
      <c r="F1093" s="1" t="s">
        <v>33</v>
      </c>
      <c r="G1093" s="1" t="s">
        <v>2931</v>
      </c>
      <c r="H1093" s="1" t="s">
        <v>2932</v>
      </c>
      <c r="I1093" s="31">
        <v>46065</v>
      </c>
      <c r="J1093" s="1" t="s">
        <v>2933</v>
      </c>
      <c r="K1093" s="1" t="s">
        <v>2934</v>
      </c>
      <c r="L1093" s="1" t="s">
        <v>2935</v>
      </c>
      <c r="M1093" s="2" t="s">
        <v>2936</v>
      </c>
      <c r="N1093" s="31">
        <v>46092</v>
      </c>
    </row>
    <row r="1094" spans="1:14" x14ac:dyDescent="0.25">
      <c r="A1094" s="29">
        <v>1093</v>
      </c>
      <c r="B1094" s="1" t="s">
        <v>2939</v>
      </c>
      <c r="C1094" s="31">
        <v>45895</v>
      </c>
      <c r="D1094" s="1" t="s">
        <v>2940</v>
      </c>
      <c r="E1094" s="13" t="s">
        <v>2941</v>
      </c>
      <c r="F1094" s="1" t="s">
        <v>89</v>
      </c>
      <c r="G1094" s="1" t="s">
        <v>2942</v>
      </c>
      <c r="H1094" s="1" t="s">
        <v>2943</v>
      </c>
      <c r="I1094" s="31">
        <v>46065</v>
      </c>
      <c r="J1094" s="1" t="s">
        <v>2944</v>
      </c>
      <c r="K1094" s="1" t="s">
        <v>2945</v>
      </c>
      <c r="L1094" s="1" t="s">
        <v>2946</v>
      </c>
      <c r="M1094" s="2" t="s">
        <v>2947</v>
      </c>
      <c r="N1094" s="31">
        <v>46069</v>
      </c>
    </row>
    <row r="1095" spans="1:14" x14ac:dyDescent="0.25">
      <c r="A1095" s="29">
        <v>1094</v>
      </c>
      <c r="B1095" s="1" t="s">
        <v>2948</v>
      </c>
      <c r="C1095" s="31">
        <v>45895</v>
      </c>
      <c r="D1095" s="1" t="s">
        <v>2940</v>
      </c>
      <c r="E1095" s="13" t="s">
        <v>2949</v>
      </c>
      <c r="F1095" s="1" t="s">
        <v>89</v>
      </c>
      <c r="G1095" s="1" t="s">
        <v>2942</v>
      </c>
      <c r="H1095" s="1" t="s">
        <v>2943</v>
      </c>
      <c r="I1095" s="31">
        <v>46065</v>
      </c>
      <c r="J1095" s="1" t="s">
        <v>2944</v>
      </c>
      <c r="K1095" s="1" t="s">
        <v>2945</v>
      </c>
      <c r="L1095" s="1" t="s">
        <v>2946</v>
      </c>
      <c r="M1095" s="2" t="s">
        <v>2947</v>
      </c>
      <c r="N1095" s="31">
        <v>46068</v>
      </c>
    </row>
    <row r="1096" spans="1:14" x14ac:dyDescent="0.25">
      <c r="A1096" s="29">
        <v>1095</v>
      </c>
      <c r="B1096" s="1" t="s">
        <v>2950</v>
      </c>
      <c r="C1096" s="31">
        <v>45989</v>
      </c>
      <c r="D1096" s="1" t="s">
        <v>2951</v>
      </c>
      <c r="E1096" s="13" t="s">
        <v>2952</v>
      </c>
      <c r="F1096" s="1" t="s">
        <v>33</v>
      </c>
      <c r="G1096" s="1" t="s">
        <v>2953</v>
      </c>
      <c r="H1096" s="1" t="s">
        <v>2954</v>
      </c>
      <c r="I1096" s="31">
        <v>46065</v>
      </c>
      <c r="J1096" s="1" t="s">
        <v>2955</v>
      </c>
      <c r="K1096" s="1" t="s">
        <v>2956</v>
      </c>
      <c r="L1096" s="1" t="s">
        <v>2957</v>
      </c>
      <c r="M1096" s="2" t="s">
        <v>2958</v>
      </c>
      <c r="N1096" s="31">
        <v>46077</v>
      </c>
    </row>
    <row r="1097" spans="1:14" x14ac:dyDescent="0.25">
      <c r="A1097" s="29">
        <v>1096</v>
      </c>
      <c r="B1097" s="1" t="s">
        <v>2959</v>
      </c>
      <c r="C1097" s="31">
        <v>45989</v>
      </c>
      <c r="D1097" s="1" t="s">
        <v>2951</v>
      </c>
      <c r="E1097" s="13" t="s">
        <v>2960</v>
      </c>
      <c r="F1097" s="1" t="s">
        <v>33</v>
      </c>
      <c r="G1097" s="1" t="s">
        <v>2953</v>
      </c>
      <c r="H1097" s="1" t="s">
        <v>2954</v>
      </c>
      <c r="I1097" s="31">
        <v>46065</v>
      </c>
      <c r="J1097" s="1" t="s">
        <v>2955</v>
      </c>
      <c r="K1097" s="1" t="s">
        <v>2956</v>
      </c>
      <c r="L1097" s="1" t="s">
        <v>2957</v>
      </c>
      <c r="M1097" s="2" t="s">
        <v>2958</v>
      </c>
      <c r="N1097" s="31">
        <v>46069</v>
      </c>
    </row>
    <row r="1098" spans="1:14" x14ac:dyDescent="0.25">
      <c r="A1098" s="29">
        <v>1097</v>
      </c>
      <c r="B1098" s="1" t="s">
        <v>2961</v>
      </c>
      <c r="C1098" s="31">
        <v>45986</v>
      </c>
      <c r="D1098" s="1" t="s">
        <v>2962</v>
      </c>
      <c r="E1098" s="13" t="s">
        <v>2963</v>
      </c>
      <c r="F1098" s="1" t="s">
        <v>89</v>
      </c>
      <c r="G1098" s="1" t="s">
        <v>2964</v>
      </c>
      <c r="H1098" s="1" t="s">
        <v>2965</v>
      </c>
      <c r="I1098" s="31">
        <v>46065</v>
      </c>
      <c r="J1098" s="1" t="s">
        <v>2966</v>
      </c>
      <c r="K1098" s="1" t="s">
        <v>2967</v>
      </c>
      <c r="L1098" s="1" t="s">
        <v>2968</v>
      </c>
      <c r="M1098" s="2" t="s">
        <v>2969</v>
      </c>
      <c r="N1098" s="31">
        <v>46081</v>
      </c>
    </row>
    <row r="1099" spans="1:14" x14ac:dyDescent="0.25">
      <c r="A1099" s="29">
        <v>1098</v>
      </c>
      <c r="B1099" s="1" t="s">
        <v>2970</v>
      </c>
      <c r="C1099" s="31">
        <v>45986</v>
      </c>
      <c r="D1099" s="1" t="s">
        <v>2962</v>
      </c>
      <c r="E1099" s="13" t="s">
        <v>2971</v>
      </c>
      <c r="F1099" s="1" t="s">
        <v>89</v>
      </c>
      <c r="G1099" s="1" t="s">
        <v>2964</v>
      </c>
      <c r="H1099" s="1" t="s">
        <v>2965</v>
      </c>
      <c r="I1099" s="31">
        <v>46065</v>
      </c>
      <c r="J1099" s="1" t="s">
        <v>2966</v>
      </c>
      <c r="K1099" s="1" t="s">
        <v>2967</v>
      </c>
      <c r="L1099" s="1" t="s">
        <v>2968</v>
      </c>
      <c r="M1099" s="2" t="s">
        <v>2969</v>
      </c>
      <c r="N1099" s="31">
        <v>46077</v>
      </c>
    </row>
    <row r="1100" spans="1:14" x14ac:dyDescent="0.25">
      <c r="A1100" s="29">
        <v>1099</v>
      </c>
      <c r="B1100" s="1" t="s">
        <v>2972</v>
      </c>
      <c r="C1100" s="31">
        <v>45825</v>
      </c>
      <c r="D1100" s="1" t="s">
        <v>2973</v>
      </c>
      <c r="E1100" s="13" t="s">
        <v>2974</v>
      </c>
      <c r="F1100" s="1" t="s">
        <v>89</v>
      </c>
      <c r="G1100" s="1" t="s">
        <v>2975</v>
      </c>
      <c r="H1100" s="1" t="s">
        <v>2976</v>
      </c>
      <c r="I1100" s="31">
        <v>46065</v>
      </c>
      <c r="J1100" s="1" t="s">
        <v>2977</v>
      </c>
      <c r="K1100" s="1" t="s">
        <v>2978</v>
      </c>
      <c r="L1100" s="1" t="s">
        <v>2979</v>
      </c>
      <c r="M1100" s="2" t="s">
        <v>2980</v>
      </c>
      <c r="N1100" s="31">
        <v>46086</v>
      </c>
    </row>
    <row r="1101" spans="1:14" x14ac:dyDescent="0.25">
      <c r="A1101" s="29">
        <v>1100</v>
      </c>
      <c r="B1101" s="1" t="s">
        <v>2981</v>
      </c>
      <c r="C1101" s="31">
        <v>45825</v>
      </c>
      <c r="D1101" s="1" t="s">
        <v>2973</v>
      </c>
      <c r="E1101" s="13" t="s">
        <v>2982</v>
      </c>
      <c r="F1101" s="1" t="s">
        <v>89</v>
      </c>
      <c r="G1101" s="1" t="s">
        <v>2975</v>
      </c>
      <c r="H1101" s="1" t="s">
        <v>2976</v>
      </c>
      <c r="I1101" s="31">
        <v>46065</v>
      </c>
      <c r="J1101" s="1" t="s">
        <v>2977</v>
      </c>
      <c r="K1101" s="1" t="s">
        <v>2978</v>
      </c>
      <c r="L1101" s="1" t="s">
        <v>2979</v>
      </c>
      <c r="M1101" s="2" t="s">
        <v>2980</v>
      </c>
      <c r="N1101" s="31">
        <v>46091</v>
      </c>
    </row>
    <row r="1102" spans="1:14" x14ac:dyDescent="0.25">
      <c r="A1102" s="29">
        <v>1101</v>
      </c>
      <c r="B1102" s="1" t="s">
        <v>2983</v>
      </c>
      <c r="C1102" s="31">
        <v>45816</v>
      </c>
      <c r="D1102" s="1" t="s">
        <v>2984</v>
      </c>
      <c r="E1102" s="13" t="s">
        <v>2985</v>
      </c>
      <c r="F1102" s="1" t="s">
        <v>33</v>
      </c>
      <c r="G1102" s="1" t="s">
        <v>2986</v>
      </c>
      <c r="H1102" s="1" t="s">
        <v>2987</v>
      </c>
      <c r="I1102" s="31">
        <v>46065</v>
      </c>
      <c r="J1102" s="1" t="s">
        <v>2988</v>
      </c>
      <c r="K1102" s="1" t="s">
        <v>2989</v>
      </c>
      <c r="L1102" s="1" t="s">
        <v>2990</v>
      </c>
      <c r="M1102" s="2" t="s">
        <v>2991</v>
      </c>
      <c r="N1102" s="31">
        <v>46069</v>
      </c>
    </row>
    <row r="1103" spans="1:14" x14ac:dyDescent="0.25">
      <c r="A1103" s="29">
        <v>1102</v>
      </c>
      <c r="B1103" s="1" t="s">
        <v>2992</v>
      </c>
      <c r="C1103" s="31">
        <v>45816</v>
      </c>
      <c r="D1103" s="1" t="s">
        <v>2984</v>
      </c>
      <c r="E1103" s="13" t="s">
        <v>2993</v>
      </c>
      <c r="F1103" s="1" t="s">
        <v>33</v>
      </c>
      <c r="G1103" s="1" t="s">
        <v>2986</v>
      </c>
      <c r="H1103" s="1" t="s">
        <v>2987</v>
      </c>
      <c r="I1103" s="31">
        <v>46065</v>
      </c>
      <c r="J1103" s="1" t="s">
        <v>2988</v>
      </c>
      <c r="K1103" s="1" t="s">
        <v>2989</v>
      </c>
      <c r="L1103" s="1" t="s">
        <v>2990</v>
      </c>
      <c r="M1103" s="2" t="s">
        <v>2991</v>
      </c>
      <c r="N1103" s="31">
        <v>46088</v>
      </c>
    </row>
    <row r="1104" spans="1:14" x14ac:dyDescent="0.25">
      <c r="A1104" s="29">
        <v>1103</v>
      </c>
      <c r="B1104" s="1" t="s">
        <v>2994</v>
      </c>
      <c r="C1104" s="31">
        <v>46036</v>
      </c>
      <c r="D1104" s="1" t="s">
        <v>2995</v>
      </c>
      <c r="E1104" s="13" t="s">
        <v>2996</v>
      </c>
      <c r="F1104" s="1" t="s">
        <v>89</v>
      </c>
      <c r="G1104" s="1" t="s">
        <v>2997</v>
      </c>
      <c r="H1104" s="1" t="s">
        <v>2998</v>
      </c>
      <c r="I1104" s="31">
        <v>46065</v>
      </c>
      <c r="J1104" s="1" t="s">
        <v>2999</v>
      </c>
      <c r="K1104" s="1" t="s">
        <v>3000</v>
      </c>
      <c r="L1104" s="1" t="s">
        <v>3001</v>
      </c>
      <c r="M1104" s="2" t="s">
        <v>3002</v>
      </c>
      <c r="N1104" s="31">
        <v>46092</v>
      </c>
    </row>
    <row r="1105" spans="1:14" x14ac:dyDescent="0.25">
      <c r="A1105" s="29">
        <v>1104</v>
      </c>
      <c r="B1105" s="1" t="s">
        <v>3003</v>
      </c>
      <c r="C1105" s="31">
        <v>46036</v>
      </c>
      <c r="D1105" s="1" t="s">
        <v>2995</v>
      </c>
      <c r="E1105" s="13" t="s">
        <v>3004</v>
      </c>
      <c r="F1105" s="1" t="s">
        <v>89</v>
      </c>
      <c r="G1105" s="1" t="s">
        <v>2997</v>
      </c>
      <c r="H1105" s="1" t="s">
        <v>2998</v>
      </c>
      <c r="I1105" s="31">
        <v>46065</v>
      </c>
      <c r="J1105" s="1" t="s">
        <v>2999</v>
      </c>
      <c r="K1105" s="1" t="s">
        <v>3000</v>
      </c>
      <c r="L1105" s="1" t="s">
        <v>3001</v>
      </c>
      <c r="M1105" s="2" t="s">
        <v>3002</v>
      </c>
      <c r="N1105" s="31">
        <v>46075</v>
      </c>
    </row>
    <row r="1106" spans="1:14" x14ac:dyDescent="0.25">
      <c r="A1106" s="29">
        <v>1105</v>
      </c>
      <c r="B1106" s="1" t="s">
        <v>3005</v>
      </c>
      <c r="C1106" s="31">
        <v>46001</v>
      </c>
      <c r="D1106" s="1" t="s">
        <v>3006</v>
      </c>
      <c r="E1106" s="13" t="s">
        <v>3007</v>
      </c>
      <c r="F1106" s="1" t="s">
        <v>89</v>
      </c>
      <c r="G1106" s="1" t="s">
        <v>3008</v>
      </c>
      <c r="H1106" s="1" t="s">
        <v>3009</v>
      </c>
      <c r="I1106" s="31">
        <v>46065</v>
      </c>
      <c r="J1106" s="1" t="s">
        <v>3010</v>
      </c>
      <c r="K1106" s="1" t="s">
        <v>3011</v>
      </c>
      <c r="L1106" s="1" t="s">
        <v>3012</v>
      </c>
      <c r="M1106" s="2" t="s">
        <v>3013</v>
      </c>
      <c r="N1106" s="31">
        <v>46068</v>
      </c>
    </row>
    <row r="1107" spans="1:14" x14ac:dyDescent="0.25">
      <c r="A1107" s="29">
        <v>1106</v>
      </c>
      <c r="B1107" s="1" t="s">
        <v>3014</v>
      </c>
      <c r="C1107" s="31">
        <v>46001</v>
      </c>
      <c r="D1107" s="1" t="s">
        <v>3006</v>
      </c>
      <c r="E1107" s="13" t="s">
        <v>3015</v>
      </c>
      <c r="F1107" s="1" t="s">
        <v>89</v>
      </c>
      <c r="G1107" s="1" t="s">
        <v>3008</v>
      </c>
      <c r="H1107" s="1" t="s">
        <v>3009</v>
      </c>
      <c r="I1107" s="31">
        <v>46065</v>
      </c>
      <c r="J1107" s="1" t="s">
        <v>3010</v>
      </c>
      <c r="K1107" s="1" t="s">
        <v>3011</v>
      </c>
      <c r="L1107" s="1" t="s">
        <v>3012</v>
      </c>
      <c r="M1107" s="2" t="s">
        <v>3013</v>
      </c>
      <c r="N1107" s="31">
        <v>46070</v>
      </c>
    </row>
    <row r="1108" spans="1:14" x14ac:dyDescent="0.25">
      <c r="A1108" s="29">
        <v>1107</v>
      </c>
      <c r="B1108" s="1" t="s">
        <v>3016</v>
      </c>
      <c r="C1108" s="31">
        <v>45937</v>
      </c>
      <c r="D1108" s="1" t="s">
        <v>3017</v>
      </c>
      <c r="E1108" s="13" t="s">
        <v>3018</v>
      </c>
      <c r="F1108" s="1" t="s">
        <v>89</v>
      </c>
      <c r="G1108" s="1" t="s">
        <v>3019</v>
      </c>
      <c r="H1108" s="1" t="s">
        <v>3020</v>
      </c>
      <c r="I1108" s="31">
        <v>46065</v>
      </c>
      <c r="J1108" s="1" t="s">
        <v>3021</v>
      </c>
      <c r="K1108" s="1" t="s">
        <v>3022</v>
      </c>
      <c r="L1108" s="1" t="s">
        <v>3023</v>
      </c>
      <c r="M1108" s="2" t="s">
        <v>3024</v>
      </c>
      <c r="N1108" s="31">
        <v>46091</v>
      </c>
    </row>
    <row r="1109" spans="1:14" x14ac:dyDescent="0.25">
      <c r="A1109" s="29">
        <v>1108</v>
      </c>
      <c r="B1109" s="1" t="s">
        <v>3025</v>
      </c>
      <c r="C1109" s="31">
        <v>45937</v>
      </c>
      <c r="D1109" s="1" t="s">
        <v>3017</v>
      </c>
      <c r="E1109" s="13" t="s">
        <v>3026</v>
      </c>
      <c r="F1109" s="1" t="s">
        <v>89</v>
      </c>
      <c r="G1109" s="1" t="s">
        <v>3019</v>
      </c>
      <c r="H1109" s="1" t="s">
        <v>3020</v>
      </c>
      <c r="I1109" s="31">
        <v>46065</v>
      </c>
      <c r="J1109" s="1" t="s">
        <v>3021</v>
      </c>
      <c r="K1109" s="1" t="s">
        <v>3022</v>
      </c>
      <c r="L1109" s="1" t="s">
        <v>3023</v>
      </c>
      <c r="M1109" s="2" t="s">
        <v>3024</v>
      </c>
      <c r="N1109" s="31">
        <v>46092</v>
      </c>
    </row>
    <row r="1110" spans="1:14" x14ac:dyDescent="0.25">
      <c r="A1110" s="29">
        <v>1109</v>
      </c>
      <c r="B1110" s="1" t="s">
        <v>3027</v>
      </c>
      <c r="C1110" s="31">
        <v>45945</v>
      </c>
      <c r="D1110" s="1" t="s">
        <v>3028</v>
      </c>
      <c r="E1110" s="13" t="s">
        <v>3029</v>
      </c>
      <c r="F1110" s="1" t="s">
        <v>33</v>
      </c>
      <c r="G1110" s="1" t="s">
        <v>3030</v>
      </c>
      <c r="H1110" s="1" t="s">
        <v>3031</v>
      </c>
      <c r="I1110" s="31">
        <v>46065</v>
      </c>
      <c r="J1110" s="1" t="s">
        <v>3032</v>
      </c>
      <c r="K1110" s="1" t="s">
        <v>3033</v>
      </c>
      <c r="L1110" s="1" t="s">
        <v>3034</v>
      </c>
      <c r="M1110" s="2" t="s">
        <v>3035</v>
      </c>
      <c r="N1110" s="31">
        <v>46077</v>
      </c>
    </row>
    <row r="1111" spans="1:14" x14ac:dyDescent="0.25">
      <c r="A1111" s="29">
        <v>1110</v>
      </c>
      <c r="B1111" s="1" t="s">
        <v>3036</v>
      </c>
      <c r="C1111" s="31">
        <v>45945</v>
      </c>
      <c r="D1111" s="1" t="s">
        <v>3028</v>
      </c>
      <c r="E1111" s="13" t="s">
        <v>3037</v>
      </c>
      <c r="F1111" s="1" t="s">
        <v>33</v>
      </c>
      <c r="G1111" s="1" t="s">
        <v>3030</v>
      </c>
      <c r="H1111" s="1" t="s">
        <v>3031</v>
      </c>
      <c r="I1111" s="31">
        <v>46065</v>
      </c>
      <c r="J1111" s="1" t="s">
        <v>3032</v>
      </c>
      <c r="K1111" s="1" t="s">
        <v>3033</v>
      </c>
      <c r="L1111" s="1" t="s">
        <v>3034</v>
      </c>
      <c r="M1111" s="2" t="s">
        <v>3035</v>
      </c>
      <c r="N1111" s="31">
        <v>46073</v>
      </c>
    </row>
    <row r="1112" spans="1:14" x14ac:dyDescent="0.25">
      <c r="A1112" s="29">
        <v>1111</v>
      </c>
      <c r="B1112" s="1" t="s">
        <v>3038</v>
      </c>
      <c r="C1112" s="31">
        <v>45867</v>
      </c>
      <c r="D1112" s="1" t="s">
        <v>3039</v>
      </c>
      <c r="E1112" s="13" t="s">
        <v>3040</v>
      </c>
      <c r="F1112" s="1" t="s">
        <v>89</v>
      </c>
      <c r="G1112" s="1" t="s">
        <v>3041</v>
      </c>
      <c r="H1112" s="1" t="s">
        <v>3042</v>
      </c>
      <c r="I1112" s="31">
        <v>46065</v>
      </c>
      <c r="J1112" s="1" t="s">
        <v>3043</v>
      </c>
      <c r="K1112" s="1" t="s">
        <v>3044</v>
      </c>
      <c r="L1112" s="1" t="s">
        <v>3045</v>
      </c>
      <c r="M1112" s="2" t="s">
        <v>3046</v>
      </c>
      <c r="N1112" s="31">
        <v>46074</v>
      </c>
    </row>
    <row r="1113" spans="1:14" x14ac:dyDescent="0.25">
      <c r="A1113" s="29">
        <v>1112</v>
      </c>
      <c r="B1113" s="1" t="s">
        <v>3047</v>
      </c>
      <c r="C1113" s="31">
        <v>45867</v>
      </c>
      <c r="D1113" s="1" t="s">
        <v>3039</v>
      </c>
      <c r="E1113" s="13" t="s">
        <v>3048</v>
      </c>
      <c r="F1113" s="1" t="s">
        <v>89</v>
      </c>
      <c r="G1113" s="1" t="s">
        <v>3041</v>
      </c>
      <c r="H1113" s="1" t="s">
        <v>3042</v>
      </c>
      <c r="I1113" s="31">
        <v>46065</v>
      </c>
      <c r="J1113" s="1" t="s">
        <v>3043</v>
      </c>
      <c r="K1113" s="1" t="s">
        <v>3044</v>
      </c>
      <c r="L1113" s="1" t="s">
        <v>3045</v>
      </c>
      <c r="M1113" s="2" t="s">
        <v>3046</v>
      </c>
      <c r="N1113" s="31">
        <v>46077</v>
      </c>
    </row>
    <row r="1114" spans="1:14" x14ac:dyDescent="0.25">
      <c r="A1114" s="29">
        <v>1113</v>
      </c>
      <c r="B1114" s="1" t="s">
        <v>3049</v>
      </c>
      <c r="C1114" s="31">
        <v>45913</v>
      </c>
      <c r="D1114" s="1" t="s">
        <v>3050</v>
      </c>
      <c r="E1114" s="13" t="s">
        <v>3051</v>
      </c>
      <c r="F1114" s="1" t="s">
        <v>33</v>
      </c>
      <c r="G1114" s="1" t="s">
        <v>3052</v>
      </c>
      <c r="H1114" s="1" t="s">
        <v>3053</v>
      </c>
      <c r="I1114" s="31">
        <v>46065</v>
      </c>
      <c r="J1114" s="1" t="s">
        <v>3054</v>
      </c>
      <c r="K1114" s="1" t="s">
        <v>3055</v>
      </c>
      <c r="L1114" s="1" t="s">
        <v>3056</v>
      </c>
      <c r="M1114" s="2" t="s">
        <v>3057</v>
      </c>
      <c r="N1114" s="31">
        <v>46082</v>
      </c>
    </row>
    <row r="1115" spans="1:14" x14ac:dyDescent="0.25">
      <c r="A1115" s="29">
        <v>1114</v>
      </c>
      <c r="B1115" s="1" t="s">
        <v>3058</v>
      </c>
      <c r="C1115" s="31">
        <v>45913</v>
      </c>
      <c r="D1115" s="1" t="s">
        <v>3050</v>
      </c>
      <c r="E1115" s="13" t="s">
        <v>3059</v>
      </c>
      <c r="F1115" s="1" t="s">
        <v>33</v>
      </c>
      <c r="G1115" s="1" t="s">
        <v>3052</v>
      </c>
      <c r="H1115" s="1" t="s">
        <v>3053</v>
      </c>
      <c r="I1115" s="31">
        <v>46065</v>
      </c>
      <c r="J1115" s="1" t="s">
        <v>3054</v>
      </c>
      <c r="K1115" s="1" t="s">
        <v>3055</v>
      </c>
      <c r="L1115" s="1" t="s">
        <v>3056</v>
      </c>
      <c r="M1115" s="2" t="s">
        <v>3057</v>
      </c>
      <c r="N1115" s="31">
        <v>46069</v>
      </c>
    </row>
    <row r="1116" spans="1:14" x14ac:dyDescent="0.25">
      <c r="A1116" s="29">
        <v>1115</v>
      </c>
      <c r="B1116" s="1" t="s">
        <v>3060</v>
      </c>
      <c r="C1116" s="31">
        <v>45703</v>
      </c>
      <c r="D1116" s="1" t="s">
        <v>3061</v>
      </c>
      <c r="E1116" s="13" t="s">
        <v>3062</v>
      </c>
      <c r="F1116" s="1" t="s">
        <v>33</v>
      </c>
      <c r="G1116" s="1" t="s">
        <v>3063</v>
      </c>
      <c r="H1116" s="1" t="s">
        <v>3064</v>
      </c>
      <c r="I1116" s="31">
        <v>46065</v>
      </c>
      <c r="J1116" s="1" t="s">
        <v>3065</v>
      </c>
      <c r="K1116" s="1" t="s">
        <v>3066</v>
      </c>
      <c r="L1116" s="1" t="s">
        <v>3067</v>
      </c>
      <c r="M1116" s="2" t="s">
        <v>3068</v>
      </c>
      <c r="N1116" s="31">
        <v>46088</v>
      </c>
    </row>
    <row r="1117" spans="1:14" x14ac:dyDescent="0.25">
      <c r="A1117" s="29">
        <v>1116</v>
      </c>
      <c r="B1117" s="1" t="s">
        <v>3069</v>
      </c>
      <c r="C1117" s="31">
        <v>45703</v>
      </c>
      <c r="D1117" s="1" t="s">
        <v>3061</v>
      </c>
      <c r="E1117" s="13" t="s">
        <v>3070</v>
      </c>
      <c r="F1117" s="1" t="s">
        <v>33</v>
      </c>
      <c r="G1117" s="1" t="s">
        <v>3063</v>
      </c>
      <c r="H1117" s="1" t="s">
        <v>3064</v>
      </c>
      <c r="I1117" s="31">
        <v>46065</v>
      </c>
      <c r="J1117" s="1" t="s">
        <v>3065</v>
      </c>
      <c r="K1117" s="1" t="s">
        <v>3066</v>
      </c>
      <c r="L1117" s="1" t="s">
        <v>3067</v>
      </c>
      <c r="M1117" s="2" t="s">
        <v>3068</v>
      </c>
      <c r="N1117" s="31">
        <v>46081</v>
      </c>
    </row>
    <row r="1118" spans="1:14" x14ac:dyDescent="0.25">
      <c r="A1118" s="29">
        <v>1117</v>
      </c>
      <c r="B1118" s="1" t="s">
        <v>3071</v>
      </c>
      <c r="C1118" s="31">
        <v>45771</v>
      </c>
      <c r="D1118" s="1" t="s">
        <v>3072</v>
      </c>
      <c r="E1118" s="13" t="s">
        <v>3073</v>
      </c>
      <c r="F1118" s="1" t="s">
        <v>89</v>
      </c>
      <c r="G1118" s="1" t="s">
        <v>3074</v>
      </c>
      <c r="H1118" s="1" t="s">
        <v>3075</v>
      </c>
      <c r="I1118" s="31">
        <v>46065</v>
      </c>
      <c r="J1118" s="1" t="s">
        <v>3076</v>
      </c>
      <c r="K1118" s="1" t="s">
        <v>3077</v>
      </c>
      <c r="L1118" s="1" t="s">
        <v>3078</v>
      </c>
      <c r="M1118" s="2" t="s">
        <v>3079</v>
      </c>
      <c r="N1118" s="31">
        <v>46079</v>
      </c>
    </row>
    <row r="1119" spans="1:14" x14ac:dyDescent="0.25">
      <c r="A1119" s="29">
        <v>1118</v>
      </c>
      <c r="B1119" s="1" t="s">
        <v>3080</v>
      </c>
      <c r="C1119" s="31">
        <v>45771</v>
      </c>
      <c r="D1119" s="1" t="s">
        <v>3072</v>
      </c>
      <c r="E1119" s="13" t="s">
        <v>3081</v>
      </c>
      <c r="F1119" s="1" t="s">
        <v>89</v>
      </c>
      <c r="G1119" s="1" t="s">
        <v>3074</v>
      </c>
      <c r="H1119" s="1" t="s">
        <v>3075</v>
      </c>
      <c r="I1119" s="31">
        <v>46065</v>
      </c>
      <c r="J1119" s="1" t="s">
        <v>3076</v>
      </c>
      <c r="K1119" s="1" t="s">
        <v>3077</v>
      </c>
      <c r="L1119" s="1" t="s">
        <v>3078</v>
      </c>
      <c r="M1119" s="2" t="s">
        <v>3079</v>
      </c>
      <c r="N1119" s="31">
        <v>46073</v>
      </c>
    </row>
    <row r="1120" spans="1:14" x14ac:dyDescent="0.25">
      <c r="A1120" s="29">
        <v>1119</v>
      </c>
      <c r="B1120" s="1" t="s">
        <v>3082</v>
      </c>
      <c r="C1120" s="31">
        <v>45997</v>
      </c>
      <c r="D1120" s="1" t="s">
        <v>3083</v>
      </c>
      <c r="E1120" s="13" t="s">
        <v>3084</v>
      </c>
      <c r="F1120" s="1" t="s">
        <v>89</v>
      </c>
      <c r="G1120" s="1" t="s">
        <v>3085</v>
      </c>
      <c r="H1120" s="1" t="s">
        <v>3086</v>
      </c>
      <c r="I1120" s="31">
        <v>46065</v>
      </c>
      <c r="J1120" s="1" t="s">
        <v>3087</v>
      </c>
      <c r="K1120" s="1" t="s">
        <v>3088</v>
      </c>
      <c r="L1120" s="1" t="s">
        <v>3089</v>
      </c>
      <c r="M1120" s="2" t="s">
        <v>3090</v>
      </c>
      <c r="N1120" s="31">
        <v>46071</v>
      </c>
    </row>
    <row r="1121" spans="1:14" x14ac:dyDescent="0.25">
      <c r="A1121" s="29">
        <v>1120</v>
      </c>
      <c r="B1121" s="1" t="s">
        <v>3091</v>
      </c>
      <c r="C1121" s="31">
        <v>45997</v>
      </c>
      <c r="D1121" s="1" t="s">
        <v>3083</v>
      </c>
      <c r="E1121" s="13" t="s">
        <v>3092</v>
      </c>
      <c r="F1121" s="1" t="s">
        <v>89</v>
      </c>
      <c r="G1121" s="1" t="s">
        <v>3085</v>
      </c>
      <c r="H1121" s="1" t="s">
        <v>3086</v>
      </c>
      <c r="I1121" s="31">
        <v>46065</v>
      </c>
      <c r="J1121" s="1" t="s">
        <v>3087</v>
      </c>
      <c r="K1121" s="1" t="s">
        <v>3088</v>
      </c>
      <c r="L1121" s="1" t="s">
        <v>3089</v>
      </c>
      <c r="M1121" s="2" t="s">
        <v>3090</v>
      </c>
      <c r="N1121" s="31">
        <v>46085</v>
      </c>
    </row>
    <row r="1122" spans="1:14" x14ac:dyDescent="0.25">
      <c r="A1122" s="29">
        <v>1121</v>
      </c>
      <c r="B1122" s="1" t="s">
        <v>3093</v>
      </c>
      <c r="C1122" s="31">
        <v>46051</v>
      </c>
      <c r="D1122" s="1" t="s">
        <v>3094</v>
      </c>
      <c r="E1122" s="13" t="s">
        <v>3095</v>
      </c>
      <c r="F1122" s="1" t="s">
        <v>89</v>
      </c>
      <c r="G1122" s="1" t="s">
        <v>3096</v>
      </c>
      <c r="H1122" s="1" t="s">
        <v>3097</v>
      </c>
      <c r="I1122" s="31">
        <v>46065</v>
      </c>
      <c r="J1122" s="1" t="s">
        <v>3098</v>
      </c>
      <c r="K1122" s="1" t="s">
        <v>3099</v>
      </c>
      <c r="L1122" s="1" t="s">
        <v>3100</v>
      </c>
      <c r="M1122" s="2" t="s">
        <v>3101</v>
      </c>
      <c r="N1122" s="31">
        <v>46094</v>
      </c>
    </row>
    <row r="1123" spans="1:14" x14ac:dyDescent="0.25">
      <c r="A1123" s="29">
        <v>1122</v>
      </c>
      <c r="B1123" s="1" t="s">
        <v>3102</v>
      </c>
      <c r="C1123" s="31">
        <v>46051</v>
      </c>
      <c r="D1123" s="1" t="s">
        <v>3094</v>
      </c>
      <c r="E1123" s="13" t="s">
        <v>3103</v>
      </c>
      <c r="F1123" s="1" t="s">
        <v>89</v>
      </c>
      <c r="G1123" s="1" t="s">
        <v>3096</v>
      </c>
      <c r="H1123" s="1" t="s">
        <v>3097</v>
      </c>
      <c r="I1123" s="31">
        <v>46065</v>
      </c>
      <c r="J1123" s="1" t="s">
        <v>3098</v>
      </c>
      <c r="K1123" s="1" t="s">
        <v>3099</v>
      </c>
      <c r="L1123" s="1" t="s">
        <v>3100</v>
      </c>
      <c r="M1123" s="2" t="s">
        <v>3101</v>
      </c>
      <c r="N1123" s="31">
        <v>46087</v>
      </c>
    </row>
    <row r="1124" spans="1:14" x14ac:dyDescent="0.25">
      <c r="A1124" s="29">
        <v>1123</v>
      </c>
      <c r="B1124" s="1" t="s">
        <v>3104</v>
      </c>
      <c r="C1124" s="31">
        <v>45800</v>
      </c>
      <c r="D1124" s="1" t="s">
        <v>3105</v>
      </c>
      <c r="E1124" s="13" t="s">
        <v>3106</v>
      </c>
      <c r="F1124" s="1" t="s">
        <v>33</v>
      </c>
      <c r="G1124" s="1" t="s">
        <v>3107</v>
      </c>
      <c r="H1124" s="1" t="s">
        <v>3108</v>
      </c>
      <c r="I1124" s="31">
        <v>46065</v>
      </c>
      <c r="J1124" s="1" t="s">
        <v>3109</v>
      </c>
      <c r="K1124" s="1" t="s">
        <v>3110</v>
      </c>
      <c r="L1124" s="1" t="s">
        <v>3111</v>
      </c>
      <c r="M1124" s="2" t="s">
        <v>3112</v>
      </c>
      <c r="N1124" s="31">
        <v>46077</v>
      </c>
    </row>
    <row r="1125" spans="1:14" x14ac:dyDescent="0.25">
      <c r="A1125" s="29">
        <v>1124</v>
      </c>
      <c r="B1125" s="1" t="s">
        <v>3113</v>
      </c>
      <c r="C1125" s="31">
        <v>45800</v>
      </c>
      <c r="D1125" s="1" t="s">
        <v>3105</v>
      </c>
      <c r="E1125" s="13" t="s">
        <v>3114</v>
      </c>
      <c r="F1125" s="1" t="s">
        <v>33</v>
      </c>
      <c r="G1125" s="1" t="s">
        <v>3107</v>
      </c>
      <c r="H1125" s="1" t="s">
        <v>3108</v>
      </c>
      <c r="I1125" s="31">
        <v>46065</v>
      </c>
      <c r="J1125" s="1" t="s">
        <v>3109</v>
      </c>
      <c r="K1125" s="1" t="s">
        <v>3110</v>
      </c>
      <c r="L1125" s="1" t="s">
        <v>3111</v>
      </c>
      <c r="M1125" s="2" t="s">
        <v>3112</v>
      </c>
      <c r="N1125" s="31">
        <v>46084</v>
      </c>
    </row>
    <row r="1126" spans="1:14" x14ac:dyDescent="0.25">
      <c r="A1126" s="29">
        <v>1125</v>
      </c>
      <c r="B1126" s="1" t="s">
        <v>3115</v>
      </c>
      <c r="C1126" s="31">
        <v>45751</v>
      </c>
      <c r="D1126" s="1" t="s">
        <v>3116</v>
      </c>
      <c r="E1126" s="13" t="s">
        <v>3117</v>
      </c>
      <c r="F1126" s="1" t="s">
        <v>89</v>
      </c>
      <c r="G1126" s="1" t="s">
        <v>3118</v>
      </c>
      <c r="H1126" s="1" t="s">
        <v>3119</v>
      </c>
      <c r="I1126" s="31">
        <v>46065</v>
      </c>
      <c r="J1126" s="1" t="s">
        <v>3120</v>
      </c>
      <c r="K1126" s="1" t="s">
        <v>3121</v>
      </c>
      <c r="L1126" s="1" t="s">
        <v>3122</v>
      </c>
      <c r="M1126" s="2" t="s">
        <v>3123</v>
      </c>
      <c r="N1126" s="31">
        <v>46078</v>
      </c>
    </row>
    <row r="1127" spans="1:14" x14ac:dyDescent="0.25">
      <c r="A1127" s="29">
        <v>1126</v>
      </c>
      <c r="B1127" s="1" t="s">
        <v>3124</v>
      </c>
      <c r="C1127" s="31">
        <v>45751</v>
      </c>
      <c r="D1127" s="1" t="s">
        <v>3116</v>
      </c>
      <c r="E1127" s="13" t="s">
        <v>3125</v>
      </c>
      <c r="F1127" s="1" t="s">
        <v>89</v>
      </c>
      <c r="G1127" s="1" t="s">
        <v>3118</v>
      </c>
      <c r="H1127" s="1" t="s">
        <v>3119</v>
      </c>
      <c r="I1127" s="31">
        <v>46065</v>
      </c>
      <c r="J1127" s="1" t="s">
        <v>3120</v>
      </c>
      <c r="K1127" s="1" t="s">
        <v>3121</v>
      </c>
      <c r="L1127" s="1" t="s">
        <v>3122</v>
      </c>
      <c r="M1127" s="2" t="s">
        <v>3123</v>
      </c>
      <c r="N1127" s="31">
        <v>46083</v>
      </c>
    </row>
    <row r="1128" spans="1:14" x14ac:dyDescent="0.25">
      <c r="A1128" s="29">
        <v>1127</v>
      </c>
      <c r="B1128" s="1" t="s">
        <v>3126</v>
      </c>
      <c r="C1128" s="31">
        <v>45795</v>
      </c>
      <c r="D1128" s="1" t="s">
        <v>3127</v>
      </c>
      <c r="E1128" s="13" t="s">
        <v>3128</v>
      </c>
      <c r="F1128" s="1" t="s">
        <v>33</v>
      </c>
      <c r="G1128" s="1" t="s">
        <v>3129</v>
      </c>
      <c r="H1128" s="1" t="s">
        <v>3130</v>
      </c>
      <c r="I1128" s="31">
        <v>46065</v>
      </c>
      <c r="J1128" s="1" t="s">
        <v>3131</v>
      </c>
      <c r="K1128" s="1" t="s">
        <v>3132</v>
      </c>
      <c r="L1128" s="1" t="s">
        <v>3133</v>
      </c>
      <c r="M1128" s="2" t="s">
        <v>3134</v>
      </c>
      <c r="N1128" s="31">
        <v>46071</v>
      </c>
    </row>
    <row r="1129" spans="1:14" x14ac:dyDescent="0.25">
      <c r="A1129" s="29">
        <v>1128</v>
      </c>
      <c r="B1129" s="1" t="s">
        <v>3135</v>
      </c>
      <c r="C1129" s="31">
        <v>45795</v>
      </c>
      <c r="D1129" s="1" t="s">
        <v>3127</v>
      </c>
      <c r="E1129" s="13" t="s">
        <v>3136</v>
      </c>
      <c r="F1129" s="1" t="s">
        <v>33</v>
      </c>
      <c r="G1129" s="1" t="s">
        <v>3129</v>
      </c>
      <c r="H1129" s="1" t="s">
        <v>3130</v>
      </c>
      <c r="I1129" s="31">
        <v>46065</v>
      </c>
      <c r="J1129" s="1" t="s">
        <v>3131</v>
      </c>
      <c r="K1129" s="1" t="s">
        <v>3132</v>
      </c>
      <c r="L1129" s="1" t="s">
        <v>3133</v>
      </c>
      <c r="M1129" s="2" t="s">
        <v>3134</v>
      </c>
      <c r="N1129" s="31">
        <v>46079</v>
      </c>
    </row>
    <row r="1130" spans="1:14" x14ac:dyDescent="0.25">
      <c r="A1130" s="29">
        <v>1129</v>
      </c>
      <c r="B1130" s="1" t="s">
        <v>3137</v>
      </c>
      <c r="C1130" s="31">
        <v>45904</v>
      </c>
      <c r="D1130" s="1" t="s">
        <v>3138</v>
      </c>
      <c r="E1130" s="13" t="s">
        <v>3139</v>
      </c>
      <c r="F1130" s="1" t="s">
        <v>89</v>
      </c>
      <c r="G1130" s="1" t="s">
        <v>3140</v>
      </c>
      <c r="H1130" s="1" t="s">
        <v>3141</v>
      </c>
      <c r="I1130" s="31">
        <v>46065</v>
      </c>
      <c r="J1130" s="1" t="s">
        <v>3142</v>
      </c>
      <c r="K1130" s="1" t="s">
        <v>3143</v>
      </c>
      <c r="L1130" s="1" t="s">
        <v>3144</v>
      </c>
      <c r="M1130" s="2" t="s">
        <v>3145</v>
      </c>
      <c r="N1130" s="31">
        <v>46079</v>
      </c>
    </row>
    <row r="1131" spans="1:14" x14ac:dyDescent="0.25">
      <c r="A1131" s="29">
        <v>1130</v>
      </c>
      <c r="B1131" s="1" t="s">
        <v>3146</v>
      </c>
      <c r="C1131" s="31">
        <v>45904</v>
      </c>
      <c r="D1131" s="1" t="s">
        <v>3138</v>
      </c>
      <c r="E1131" s="13" t="s">
        <v>3147</v>
      </c>
      <c r="F1131" s="1" t="s">
        <v>89</v>
      </c>
      <c r="G1131" s="1" t="s">
        <v>3140</v>
      </c>
      <c r="H1131" s="1" t="s">
        <v>3141</v>
      </c>
      <c r="I1131" s="31">
        <v>46065</v>
      </c>
      <c r="J1131" s="1" t="s">
        <v>3142</v>
      </c>
      <c r="K1131" s="1" t="s">
        <v>3143</v>
      </c>
      <c r="L1131" s="1" t="s">
        <v>3144</v>
      </c>
      <c r="M1131" s="2" t="s">
        <v>3145</v>
      </c>
      <c r="N1131" s="31">
        <v>46067</v>
      </c>
    </row>
    <row r="1132" spans="1:14" x14ac:dyDescent="0.25">
      <c r="A1132" s="29">
        <v>1131</v>
      </c>
      <c r="B1132" s="1" t="s">
        <v>3148</v>
      </c>
      <c r="C1132" s="31">
        <v>46033</v>
      </c>
      <c r="D1132" s="1" t="s">
        <v>3149</v>
      </c>
      <c r="E1132" s="13" t="s">
        <v>3150</v>
      </c>
      <c r="F1132" s="1" t="s">
        <v>33</v>
      </c>
      <c r="G1132" s="1" t="s">
        <v>3151</v>
      </c>
      <c r="H1132" s="1" t="s">
        <v>3152</v>
      </c>
      <c r="I1132" s="31">
        <v>46065</v>
      </c>
      <c r="J1132" s="1" t="s">
        <v>3153</v>
      </c>
      <c r="K1132" s="1" t="s">
        <v>3154</v>
      </c>
      <c r="L1132" s="1" t="s">
        <v>3155</v>
      </c>
      <c r="M1132" s="2" t="s">
        <v>3156</v>
      </c>
      <c r="N1132" s="31">
        <v>46077</v>
      </c>
    </row>
    <row r="1133" spans="1:14" x14ac:dyDescent="0.25">
      <c r="A1133" s="29">
        <v>1132</v>
      </c>
      <c r="B1133" s="1" t="s">
        <v>3157</v>
      </c>
      <c r="C1133" s="31">
        <v>46033</v>
      </c>
      <c r="D1133" s="1" t="s">
        <v>3149</v>
      </c>
      <c r="E1133" s="13" t="s">
        <v>3158</v>
      </c>
      <c r="F1133" s="1" t="s">
        <v>33</v>
      </c>
      <c r="G1133" s="1" t="s">
        <v>3151</v>
      </c>
      <c r="H1133" s="1" t="s">
        <v>3152</v>
      </c>
      <c r="I1133" s="31">
        <v>46065</v>
      </c>
      <c r="J1133" s="1" t="s">
        <v>3153</v>
      </c>
      <c r="K1133" s="1" t="s">
        <v>3154</v>
      </c>
      <c r="L1133" s="1" t="s">
        <v>3155</v>
      </c>
      <c r="M1133" s="2" t="s">
        <v>3156</v>
      </c>
      <c r="N1133" s="31">
        <v>46083</v>
      </c>
    </row>
    <row r="1134" spans="1:14" x14ac:dyDescent="0.25">
      <c r="A1134" s="29">
        <v>1133</v>
      </c>
      <c r="B1134" s="1" t="s">
        <v>3159</v>
      </c>
      <c r="C1134" s="31">
        <v>45801</v>
      </c>
      <c r="D1134" s="1" t="s">
        <v>3160</v>
      </c>
      <c r="E1134" s="13" t="s">
        <v>3161</v>
      </c>
      <c r="F1134" s="1" t="s">
        <v>89</v>
      </c>
      <c r="G1134" s="1" t="s">
        <v>3162</v>
      </c>
      <c r="H1134" s="1" t="s">
        <v>3163</v>
      </c>
      <c r="I1134" s="31">
        <v>46065</v>
      </c>
      <c r="J1134" s="1" t="s">
        <v>3164</v>
      </c>
      <c r="K1134" s="1" t="s">
        <v>3165</v>
      </c>
      <c r="L1134" s="1" t="s">
        <v>3166</v>
      </c>
      <c r="M1134" s="2" t="s">
        <v>3167</v>
      </c>
      <c r="N1134" s="31">
        <v>46084</v>
      </c>
    </row>
    <row r="1135" spans="1:14" x14ac:dyDescent="0.25">
      <c r="A1135" s="29">
        <v>1134</v>
      </c>
      <c r="B1135" s="1" t="s">
        <v>3168</v>
      </c>
      <c r="C1135" s="31">
        <v>45801</v>
      </c>
      <c r="D1135" s="1" t="s">
        <v>3160</v>
      </c>
      <c r="E1135" s="13" t="s">
        <v>3169</v>
      </c>
      <c r="F1135" s="1" t="s">
        <v>89</v>
      </c>
      <c r="G1135" s="1" t="s">
        <v>3162</v>
      </c>
      <c r="H1135" s="1" t="s">
        <v>3163</v>
      </c>
      <c r="I1135" s="31">
        <v>46065</v>
      </c>
      <c r="J1135" s="1" t="s">
        <v>3164</v>
      </c>
      <c r="K1135" s="1" t="s">
        <v>3165</v>
      </c>
      <c r="L1135" s="1" t="s">
        <v>3166</v>
      </c>
      <c r="M1135" s="2" t="s">
        <v>3167</v>
      </c>
      <c r="N1135" s="31">
        <v>46088</v>
      </c>
    </row>
    <row r="1136" spans="1:14" x14ac:dyDescent="0.25">
      <c r="A1136" s="29">
        <v>1135</v>
      </c>
      <c r="B1136" s="1" t="s">
        <v>3170</v>
      </c>
      <c r="C1136" s="31">
        <v>45991</v>
      </c>
      <c r="D1136" s="1" t="s">
        <v>3171</v>
      </c>
      <c r="E1136" s="13" t="s">
        <v>3172</v>
      </c>
      <c r="F1136" s="1" t="s">
        <v>33</v>
      </c>
      <c r="G1136" s="1" t="s">
        <v>3173</v>
      </c>
      <c r="H1136" s="1" t="s">
        <v>3174</v>
      </c>
      <c r="I1136" s="31">
        <v>46065</v>
      </c>
      <c r="J1136" s="1" t="s">
        <v>3175</v>
      </c>
      <c r="K1136" s="1" t="s">
        <v>3176</v>
      </c>
      <c r="L1136" s="1" t="s">
        <v>3177</v>
      </c>
      <c r="M1136" s="2" t="s">
        <v>3178</v>
      </c>
      <c r="N1136" s="31">
        <v>46089</v>
      </c>
    </row>
    <row r="1137" spans="1:14" x14ac:dyDescent="0.25">
      <c r="A1137" s="29">
        <v>1136</v>
      </c>
      <c r="B1137" s="1" t="s">
        <v>3179</v>
      </c>
      <c r="C1137" s="31">
        <v>45991</v>
      </c>
      <c r="D1137" s="1" t="s">
        <v>3171</v>
      </c>
      <c r="E1137" s="13" t="s">
        <v>3180</v>
      </c>
      <c r="F1137" s="1" t="s">
        <v>33</v>
      </c>
      <c r="G1137" s="1" t="s">
        <v>3173</v>
      </c>
      <c r="H1137" s="1" t="s">
        <v>3174</v>
      </c>
      <c r="I1137" s="31">
        <v>46065</v>
      </c>
      <c r="J1137" s="1" t="s">
        <v>3175</v>
      </c>
      <c r="K1137" s="1" t="s">
        <v>3176</v>
      </c>
      <c r="L1137" s="1" t="s">
        <v>3177</v>
      </c>
      <c r="M1137" s="2" t="s">
        <v>3178</v>
      </c>
      <c r="N1137" s="31">
        <v>46069</v>
      </c>
    </row>
    <row r="1138" spans="1:14" x14ac:dyDescent="0.25">
      <c r="A1138" s="29">
        <v>1137</v>
      </c>
      <c r="B1138" s="1" t="s">
        <v>3181</v>
      </c>
      <c r="C1138" s="31">
        <v>45802</v>
      </c>
      <c r="D1138" s="1" t="s">
        <v>2838</v>
      </c>
      <c r="E1138" s="13" t="s">
        <v>3182</v>
      </c>
      <c r="F1138" s="1" t="s">
        <v>33</v>
      </c>
      <c r="G1138" s="1" t="s">
        <v>3183</v>
      </c>
      <c r="H1138" s="1" t="s">
        <v>3184</v>
      </c>
      <c r="I1138" s="31">
        <v>46065</v>
      </c>
      <c r="J1138" s="1" t="s">
        <v>3185</v>
      </c>
      <c r="K1138" s="1" t="s">
        <v>3186</v>
      </c>
      <c r="L1138" s="1" t="s">
        <v>3187</v>
      </c>
      <c r="M1138" s="2" t="s">
        <v>3188</v>
      </c>
      <c r="N1138" s="31">
        <v>46092</v>
      </c>
    </row>
    <row r="1139" spans="1:14" x14ac:dyDescent="0.25">
      <c r="A1139" s="29">
        <v>1138</v>
      </c>
      <c r="B1139" s="1" t="s">
        <v>3189</v>
      </c>
      <c r="C1139" s="31">
        <v>45891</v>
      </c>
      <c r="D1139" s="1" t="s">
        <v>3190</v>
      </c>
      <c r="E1139" s="13" t="s">
        <v>3191</v>
      </c>
      <c r="F1139" s="1" t="s">
        <v>33</v>
      </c>
      <c r="G1139" s="1" t="s">
        <v>3192</v>
      </c>
      <c r="H1139" s="1" t="s">
        <v>3193</v>
      </c>
      <c r="I1139" s="31">
        <v>46065</v>
      </c>
      <c r="J1139" s="1" t="s">
        <v>3194</v>
      </c>
      <c r="K1139" s="1" t="s">
        <v>3195</v>
      </c>
      <c r="L1139" s="1" t="s">
        <v>3196</v>
      </c>
      <c r="M1139" s="2" t="s">
        <v>3197</v>
      </c>
      <c r="N1139" s="31">
        <v>46077</v>
      </c>
    </row>
    <row r="1140" spans="1:14" x14ac:dyDescent="0.25">
      <c r="A1140" s="29">
        <v>1139</v>
      </c>
      <c r="B1140" s="1" t="s">
        <v>3198</v>
      </c>
      <c r="C1140" s="31">
        <v>45967</v>
      </c>
      <c r="D1140" s="1" t="s">
        <v>3199</v>
      </c>
      <c r="E1140" s="13" t="s">
        <v>3200</v>
      </c>
      <c r="F1140" s="1" t="s">
        <v>33</v>
      </c>
      <c r="G1140" s="1" t="s">
        <v>3201</v>
      </c>
      <c r="H1140" s="1" t="s">
        <v>3202</v>
      </c>
      <c r="I1140" s="31">
        <v>46065</v>
      </c>
      <c r="J1140" s="1" t="s">
        <v>3203</v>
      </c>
      <c r="K1140" s="1" t="s">
        <v>3055</v>
      </c>
      <c r="L1140" s="1" t="s">
        <v>3204</v>
      </c>
      <c r="M1140" s="2" t="s">
        <v>3205</v>
      </c>
      <c r="N1140" s="31">
        <v>46066</v>
      </c>
    </row>
    <row r="1141" spans="1:14" x14ac:dyDescent="0.25">
      <c r="A1141" s="29">
        <v>1140</v>
      </c>
      <c r="B1141" s="1" t="s">
        <v>3206</v>
      </c>
      <c r="C1141" s="31">
        <v>45928</v>
      </c>
      <c r="D1141" s="1" t="s">
        <v>3207</v>
      </c>
      <c r="E1141" s="13" t="s">
        <v>3208</v>
      </c>
      <c r="F1141" s="1" t="s">
        <v>33</v>
      </c>
      <c r="G1141" s="1" t="s">
        <v>3209</v>
      </c>
      <c r="H1141" s="1" t="s">
        <v>3210</v>
      </c>
      <c r="I1141" s="31">
        <v>46065</v>
      </c>
      <c r="J1141" s="1" t="s">
        <v>3211</v>
      </c>
      <c r="K1141" s="1" t="s">
        <v>3212</v>
      </c>
      <c r="L1141" s="1" t="s">
        <v>3213</v>
      </c>
      <c r="M1141" s="2" t="s">
        <v>3214</v>
      </c>
      <c r="N1141" s="31">
        <v>46078</v>
      </c>
    </row>
    <row r="1142" spans="1:14" x14ac:dyDescent="0.25">
      <c r="A1142" s="29">
        <v>1141</v>
      </c>
      <c r="B1142" s="1" t="s">
        <v>3215</v>
      </c>
      <c r="C1142" s="31">
        <v>45800</v>
      </c>
      <c r="D1142" s="1" t="s">
        <v>3216</v>
      </c>
      <c r="E1142" s="13" t="s">
        <v>3217</v>
      </c>
      <c r="F1142" s="1" t="s">
        <v>33</v>
      </c>
      <c r="G1142" s="1" t="s">
        <v>3218</v>
      </c>
      <c r="H1142" s="1" t="s">
        <v>3219</v>
      </c>
      <c r="I1142" s="31">
        <v>46065</v>
      </c>
      <c r="J1142" s="1" t="s">
        <v>3220</v>
      </c>
      <c r="K1142" s="1" t="s">
        <v>3221</v>
      </c>
      <c r="L1142" s="1" t="s">
        <v>3222</v>
      </c>
      <c r="M1142" s="2" t="s">
        <v>3223</v>
      </c>
      <c r="N1142" s="31">
        <v>46081</v>
      </c>
    </row>
    <row r="1143" spans="1:14" x14ac:dyDescent="0.25">
      <c r="A1143" s="29">
        <v>1142</v>
      </c>
      <c r="B1143" s="1" t="s">
        <v>3224</v>
      </c>
      <c r="C1143" s="31">
        <v>45880</v>
      </c>
      <c r="D1143" s="1" t="s">
        <v>3225</v>
      </c>
      <c r="E1143" s="13" t="s">
        <v>3226</v>
      </c>
      <c r="F1143" s="1" t="s">
        <v>89</v>
      </c>
      <c r="G1143" s="1" t="s">
        <v>3227</v>
      </c>
      <c r="H1143" s="1" t="s">
        <v>3228</v>
      </c>
      <c r="I1143" s="31">
        <v>46065</v>
      </c>
      <c r="J1143" s="1" t="s">
        <v>3229</v>
      </c>
      <c r="K1143" s="1" t="s">
        <v>3230</v>
      </c>
      <c r="L1143" s="1" t="s">
        <v>3231</v>
      </c>
      <c r="M1143" s="2" t="s">
        <v>3232</v>
      </c>
      <c r="N1143" s="31">
        <v>46082</v>
      </c>
    </row>
    <row r="1144" spans="1:14" x14ac:dyDescent="0.25">
      <c r="A1144" s="29">
        <v>1143</v>
      </c>
      <c r="B1144" s="1" t="s">
        <v>3233</v>
      </c>
      <c r="C1144" s="31">
        <v>45994</v>
      </c>
      <c r="D1144" s="1" t="s">
        <v>3234</v>
      </c>
      <c r="E1144" s="13" t="s">
        <v>3235</v>
      </c>
      <c r="F1144" s="1" t="s">
        <v>89</v>
      </c>
      <c r="G1144" s="1" t="s">
        <v>3236</v>
      </c>
      <c r="H1144" s="1" t="s">
        <v>3237</v>
      </c>
      <c r="I1144" s="31">
        <v>46065</v>
      </c>
      <c r="J1144" s="1" t="s">
        <v>3238</v>
      </c>
      <c r="K1144" s="1" t="s">
        <v>3239</v>
      </c>
      <c r="L1144" s="1" t="s">
        <v>3240</v>
      </c>
      <c r="M1144" s="2" t="s">
        <v>3241</v>
      </c>
      <c r="N1144" s="31">
        <v>46088</v>
      </c>
    </row>
    <row r="1145" spans="1:14" x14ac:dyDescent="0.25">
      <c r="A1145" s="29">
        <v>1144</v>
      </c>
      <c r="B1145" s="1" t="s">
        <v>3242</v>
      </c>
      <c r="C1145" s="31">
        <v>45906</v>
      </c>
      <c r="D1145" s="1" t="s">
        <v>3243</v>
      </c>
      <c r="E1145" s="13" t="s">
        <v>3244</v>
      </c>
      <c r="F1145" s="1" t="s">
        <v>33</v>
      </c>
      <c r="G1145" s="1" t="s">
        <v>3245</v>
      </c>
      <c r="H1145" s="1" t="s">
        <v>3246</v>
      </c>
      <c r="I1145" s="31">
        <v>46065</v>
      </c>
      <c r="J1145" s="1" t="s">
        <v>3247</v>
      </c>
      <c r="K1145" s="1" t="s">
        <v>3248</v>
      </c>
      <c r="L1145" s="1" t="s">
        <v>3249</v>
      </c>
      <c r="M1145" s="2" t="s">
        <v>3250</v>
      </c>
      <c r="N1145" s="31">
        <v>46076</v>
      </c>
    </row>
    <row r="1146" spans="1:14" x14ac:dyDescent="0.25">
      <c r="A1146" s="29">
        <v>1145</v>
      </c>
      <c r="B1146" s="1" t="s">
        <v>3251</v>
      </c>
      <c r="C1146" s="31">
        <v>45952</v>
      </c>
      <c r="D1146" s="1" t="s">
        <v>3252</v>
      </c>
      <c r="E1146" s="13" t="s">
        <v>3253</v>
      </c>
      <c r="F1146" s="1" t="s">
        <v>89</v>
      </c>
      <c r="G1146" s="1" t="s">
        <v>3254</v>
      </c>
      <c r="H1146" s="1" t="s">
        <v>3255</v>
      </c>
      <c r="I1146" s="31">
        <v>46065</v>
      </c>
      <c r="J1146" s="1" t="s">
        <v>3256</v>
      </c>
      <c r="K1146" s="1" t="s">
        <v>3257</v>
      </c>
      <c r="L1146" s="1" t="s">
        <v>3258</v>
      </c>
      <c r="M1146" s="2" t="s">
        <v>3259</v>
      </c>
      <c r="N1146" s="31">
        <v>46071</v>
      </c>
    </row>
    <row r="1147" spans="1:14" x14ac:dyDescent="0.25">
      <c r="A1147" s="29">
        <v>1146</v>
      </c>
      <c r="B1147" s="1" t="s">
        <v>3260</v>
      </c>
      <c r="C1147" s="31">
        <v>45752</v>
      </c>
      <c r="D1147" s="1" t="s">
        <v>3261</v>
      </c>
      <c r="E1147" s="13" t="s">
        <v>3262</v>
      </c>
      <c r="F1147" s="1" t="s">
        <v>89</v>
      </c>
      <c r="G1147" s="1" t="s">
        <v>3263</v>
      </c>
      <c r="H1147" s="1" t="s">
        <v>3264</v>
      </c>
      <c r="I1147" s="31">
        <v>46065</v>
      </c>
      <c r="J1147" s="1" t="s">
        <v>3265</v>
      </c>
      <c r="K1147" s="1" t="s">
        <v>3266</v>
      </c>
      <c r="L1147" s="1" t="s">
        <v>3267</v>
      </c>
      <c r="M1147" s="2" t="s">
        <v>3268</v>
      </c>
      <c r="N1147" s="31">
        <v>46068</v>
      </c>
    </row>
    <row r="1148" spans="1:14" x14ac:dyDescent="0.25">
      <c r="A1148" s="29">
        <v>1147</v>
      </c>
      <c r="B1148" s="1" t="s">
        <v>3269</v>
      </c>
      <c r="C1148" s="31">
        <v>46001</v>
      </c>
      <c r="D1148" s="1" t="s">
        <v>3270</v>
      </c>
      <c r="E1148" s="13" t="s">
        <v>3271</v>
      </c>
      <c r="F1148" s="1" t="s">
        <v>89</v>
      </c>
      <c r="G1148" s="1" t="s">
        <v>3272</v>
      </c>
      <c r="H1148" s="1" t="s">
        <v>3273</v>
      </c>
      <c r="I1148" s="31">
        <v>46065</v>
      </c>
      <c r="J1148" s="1" t="s">
        <v>3274</v>
      </c>
      <c r="K1148" s="1" t="s">
        <v>3275</v>
      </c>
      <c r="L1148" s="1" t="s">
        <v>3276</v>
      </c>
      <c r="M1148" s="2" t="s">
        <v>3277</v>
      </c>
      <c r="N1148" s="31">
        <v>46087</v>
      </c>
    </row>
    <row r="1149" spans="1:14" x14ac:dyDescent="0.25">
      <c r="A1149" s="29">
        <v>1148</v>
      </c>
      <c r="B1149" s="1" t="s">
        <v>3278</v>
      </c>
      <c r="C1149" s="31">
        <v>45755</v>
      </c>
      <c r="D1149" s="1" t="s">
        <v>3279</v>
      </c>
      <c r="E1149" s="13" t="s">
        <v>3280</v>
      </c>
      <c r="F1149" s="1" t="s">
        <v>33</v>
      </c>
      <c r="G1149" s="1" t="s">
        <v>3281</v>
      </c>
      <c r="H1149" s="1" t="s">
        <v>3282</v>
      </c>
      <c r="I1149" s="31">
        <v>46065</v>
      </c>
      <c r="J1149" s="1" t="s">
        <v>3283</v>
      </c>
      <c r="K1149" s="1" t="s">
        <v>3284</v>
      </c>
      <c r="L1149" s="1" t="s">
        <v>3285</v>
      </c>
      <c r="M1149" s="2" t="s">
        <v>3286</v>
      </c>
      <c r="N1149" s="31">
        <v>46089</v>
      </c>
    </row>
    <row r="1150" spans="1:14" x14ac:dyDescent="0.25">
      <c r="A1150" s="29">
        <v>1149</v>
      </c>
      <c r="B1150" s="1" t="s">
        <v>3287</v>
      </c>
      <c r="C1150" s="31">
        <v>45747</v>
      </c>
      <c r="D1150" s="1" t="s">
        <v>3288</v>
      </c>
      <c r="E1150" s="13" t="s">
        <v>3289</v>
      </c>
      <c r="F1150" s="1" t="s">
        <v>33</v>
      </c>
      <c r="G1150" s="1" t="s">
        <v>3290</v>
      </c>
      <c r="H1150" s="1" t="s">
        <v>3291</v>
      </c>
      <c r="I1150" s="31">
        <v>46065</v>
      </c>
      <c r="J1150" s="1" t="s">
        <v>3292</v>
      </c>
      <c r="K1150" s="1" t="s">
        <v>3293</v>
      </c>
      <c r="L1150" s="1" t="s">
        <v>3294</v>
      </c>
      <c r="M1150" s="2" t="s">
        <v>3295</v>
      </c>
      <c r="N1150" s="31">
        <v>46094</v>
      </c>
    </row>
    <row r="1151" spans="1:14" x14ac:dyDescent="0.25">
      <c r="A1151" s="29">
        <v>1150</v>
      </c>
      <c r="B1151" s="1" t="s">
        <v>3296</v>
      </c>
      <c r="C1151" s="31">
        <v>45726</v>
      </c>
      <c r="D1151" s="1" t="s">
        <v>3297</v>
      </c>
      <c r="E1151" s="13" t="s">
        <v>3298</v>
      </c>
      <c r="F1151" s="1" t="s">
        <v>33</v>
      </c>
      <c r="G1151" s="1" t="s">
        <v>3299</v>
      </c>
      <c r="H1151" s="1" t="s">
        <v>3300</v>
      </c>
      <c r="I1151" s="31">
        <v>46065</v>
      </c>
      <c r="J1151" s="1" t="s">
        <v>3301</v>
      </c>
      <c r="K1151" s="1" t="s">
        <v>3302</v>
      </c>
      <c r="L1151" s="1" t="s">
        <v>3303</v>
      </c>
      <c r="M1151" s="2" t="s">
        <v>3304</v>
      </c>
      <c r="N1151" s="31">
        <v>46093</v>
      </c>
    </row>
    <row r="1152" spans="1:14" x14ac:dyDescent="0.25">
      <c r="A1152" s="29">
        <v>1151</v>
      </c>
      <c r="B1152" s="1" t="s">
        <v>3305</v>
      </c>
      <c r="C1152" s="31">
        <v>45712</v>
      </c>
      <c r="D1152" s="1" t="s">
        <v>3306</v>
      </c>
      <c r="E1152" s="13" t="s">
        <v>3307</v>
      </c>
      <c r="F1152" s="1" t="s">
        <v>89</v>
      </c>
      <c r="G1152" s="1" t="s">
        <v>3308</v>
      </c>
      <c r="H1152" s="1" t="s">
        <v>3309</v>
      </c>
      <c r="I1152" s="31">
        <v>46065</v>
      </c>
      <c r="J1152" s="1" t="s">
        <v>3310</v>
      </c>
      <c r="K1152" s="1" t="s">
        <v>3311</v>
      </c>
      <c r="L1152" s="1" t="s">
        <v>3312</v>
      </c>
      <c r="M1152" s="2" t="s">
        <v>3313</v>
      </c>
      <c r="N1152" s="31">
        <v>46079</v>
      </c>
    </row>
    <row r="1153" spans="1:14" x14ac:dyDescent="0.25">
      <c r="A1153" s="29">
        <v>1152</v>
      </c>
      <c r="B1153" s="1" t="s">
        <v>3314</v>
      </c>
      <c r="C1153" s="31">
        <v>45758</v>
      </c>
      <c r="D1153" s="1" t="s">
        <v>3315</v>
      </c>
      <c r="E1153" s="13" t="s">
        <v>3316</v>
      </c>
      <c r="F1153" s="1" t="s">
        <v>33</v>
      </c>
      <c r="G1153" s="1" t="s">
        <v>3317</v>
      </c>
      <c r="H1153" s="1" t="s">
        <v>3318</v>
      </c>
      <c r="I1153" s="31">
        <v>46065</v>
      </c>
      <c r="J1153" s="1" t="s">
        <v>3319</v>
      </c>
      <c r="K1153" s="1" t="s">
        <v>3320</v>
      </c>
      <c r="L1153" s="1" t="s">
        <v>3321</v>
      </c>
      <c r="M1153" s="2" t="s">
        <v>3322</v>
      </c>
      <c r="N1153" s="31">
        <v>46090</v>
      </c>
    </row>
    <row r="1154" spans="1:14" x14ac:dyDescent="0.25">
      <c r="A1154" s="29">
        <v>1153</v>
      </c>
      <c r="B1154" s="1" t="s">
        <v>3323</v>
      </c>
      <c r="C1154" s="31">
        <v>45864</v>
      </c>
      <c r="D1154" s="1" t="s">
        <v>3324</v>
      </c>
      <c r="E1154" s="13" t="s">
        <v>3325</v>
      </c>
      <c r="F1154" s="1" t="s">
        <v>33</v>
      </c>
      <c r="G1154" s="1" t="s">
        <v>3326</v>
      </c>
      <c r="H1154" s="1" t="s">
        <v>3327</v>
      </c>
      <c r="I1154" s="31">
        <v>46065</v>
      </c>
      <c r="J1154" s="1" t="s">
        <v>3328</v>
      </c>
      <c r="K1154" s="1" t="s">
        <v>3329</v>
      </c>
      <c r="L1154" s="1" t="s">
        <v>3330</v>
      </c>
      <c r="M1154" s="2" t="s">
        <v>3331</v>
      </c>
      <c r="N1154" s="31">
        <v>46088</v>
      </c>
    </row>
    <row r="1155" spans="1:14" x14ac:dyDescent="0.25">
      <c r="A1155" s="29">
        <v>1154</v>
      </c>
      <c r="B1155" s="1" t="s">
        <v>3332</v>
      </c>
      <c r="C1155" s="31">
        <v>45955</v>
      </c>
      <c r="D1155" s="1" t="s">
        <v>3333</v>
      </c>
      <c r="E1155" s="13" t="s">
        <v>3334</v>
      </c>
      <c r="F1155" s="1" t="s">
        <v>89</v>
      </c>
      <c r="G1155" s="1" t="s">
        <v>3335</v>
      </c>
      <c r="H1155" s="1" t="s">
        <v>3336</v>
      </c>
      <c r="I1155" s="31">
        <v>46065</v>
      </c>
      <c r="J1155" s="1" t="s">
        <v>3337</v>
      </c>
      <c r="K1155" s="1" t="s">
        <v>3338</v>
      </c>
      <c r="L1155" s="1" t="s">
        <v>3339</v>
      </c>
      <c r="M1155" s="2" t="s">
        <v>3340</v>
      </c>
      <c r="N1155" s="31">
        <v>46068</v>
      </c>
    </row>
    <row r="1156" spans="1:14" x14ac:dyDescent="0.25">
      <c r="A1156" s="29">
        <v>1155</v>
      </c>
      <c r="B1156" s="1" t="s">
        <v>3341</v>
      </c>
      <c r="C1156" s="31">
        <v>45989</v>
      </c>
      <c r="D1156" s="1" t="s">
        <v>3342</v>
      </c>
      <c r="E1156" s="13" t="s">
        <v>3343</v>
      </c>
      <c r="F1156" s="1" t="s">
        <v>89</v>
      </c>
      <c r="G1156" s="1" t="s">
        <v>3344</v>
      </c>
      <c r="H1156" s="1" t="s">
        <v>3345</v>
      </c>
      <c r="I1156" s="31">
        <v>46065</v>
      </c>
      <c r="J1156" s="1" t="s">
        <v>3346</v>
      </c>
      <c r="K1156" s="1" t="s">
        <v>3347</v>
      </c>
      <c r="L1156" s="1" t="s">
        <v>3348</v>
      </c>
      <c r="M1156" s="2" t="s">
        <v>3349</v>
      </c>
      <c r="N1156" s="31">
        <v>46071</v>
      </c>
    </row>
    <row r="1157" spans="1:14" x14ac:dyDescent="0.25">
      <c r="A1157" s="29">
        <v>1156</v>
      </c>
      <c r="B1157" s="1" t="s">
        <v>3350</v>
      </c>
      <c r="C1157" s="31">
        <v>45875</v>
      </c>
      <c r="D1157" s="1" t="s">
        <v>3351</v>
      </c>
      <c r="E1157" s="13" t="s">
        <v>3352</v>
      </c>
      <c r="F1157" s="1" t="s">
        <v>33</v>
      </c>
      <c r="G1157" s="1" t="s">
        <v>2831</v>
      </c>
      <c r="H1157" s="1" t="s">
        <v>3353</v>
      </c>
      <c r="I1157" s="31">
        <v>46065</v>
      </c>
      <c r="J1157" s="1" t="s">
        <v>3354</v>
      </c>
      <c r="K1157" s="1" t="s">
        <v>3355</v>
      </c>
      <c r="L1157" s="1" t="s">
        <v>3356</v>
      </c>
      <c r="M1157" s="2" t="s">
        <v>3357</v>
      </c>
      <c r="N1157" s="31">
        <v>46071</v>
      </c>
    </row>
    <row r="1158" spans="1:14" x14ac:dyDescent="0.25">
      <c r="A1158" s="29">
        <v>1157</v>
      </c>
      <c r="B1158" s="1" t="s">
        <v>3358</v>
      </c>
      <c r="C1158" s="31">
        <v>45951</v>
      </c>
      <c r="D1158" s="1" t="s">
        <v>3359</v>
      </c>
      <c r="E1158" s="13" t="s">
        <v>3360</v>
      </c>
      <c r="F1158" s="1" t="s">
        <v>33</v>
      </c>
      <c r="G1158" s="1" t="s">
        <v>3361</v>
      </c>
      <c r="H1158" s="1" t="s">
        <v>3362</v>
      </c>
      <c r="I1158" s="31">
        <v>46065</v>
      </c>
      <c r="J1158" s="1" t="s">
        <v>3363</v>
      </c>
      <c r="K1158" s="1" t="s">
        <v>3364</v>
      </c>
      <c r="L1158" s="1" t="s">
        <v>3365</v>
      </c>
      <c r="M1158" s="2" t="s">
        <v>3366</v>
      </c>
      <c r="N1158" s="31">
        <v>46095</v>
      </c>
    </row>
    <row r="1159" spans="1:14" x14ac:dyDescent="0.25">
      <c r="A1159" s="29">
        <v>1158</v>
      </c>
      <c r="B1159" s="1" t="s">
        <v>3367</v>
      </c>
      <c r="C1159" s="31">
        <v>45749</v>
      </c>
      <c r="D1159" s="1" t="s">
        <v>3368</v>
      </c>
      <c r="E1159" s="13" t="s">
        <v>3369</v>
      </c>
      <c r="F1159" s="1" t="s">
        <v>33</v>
      </c>
      <c r="G1159" s="1" t="s">
        <v>3370</v>
      </c>
      <c r="H1159" s="1" t="s">
        <v>3371</v>
      </c>
      <c r="I1159" s="31">
        <v>46065</v>
      </c>
      <c r="J1159" s="1" t="s">
        <v>3372</v>
      </c>
      <c r="K1159" s="1" t="s">
        <v>3373</v>
      </c>
      <c r="L1159" s="1" t="s">
        <v>3374</v>
      </c>
      <c r="M1159" s="2" t="s">
        <v>3375</v>
      </c>
      <c r="N1159" s="31">
        <v>46069</v>
      </c>
    </row>
    <row r="1160" spans="1:14" x14ac:dyDescent="0.25">
      <c r="A1160" s="29">
        <v>1159</v>
      </c>
      <c r="B1160" s="1" t="s">
        <v>3376</v>
      </c>
      <c r="C1160" s="31">
        <v>45857</v>
      </c>
      <c r="D1160" s="1" t="s">
        <v>3377</v>
      </c>
      <c r="E1160" s="13" t="s">
        <v>3378</v>
      </c>
      <c r="F1160" s="1" t="s">
        <v>33</v>
      </c>
      <c r="G1160" s="1" t="s">
        <v>3379</v>
      </c>
      <c r="H1160" s="1" t="s">
        <v>3380</v>
      </c>
      <c r="I1160" s="31">
        <v>46065</v>
      </c>
      <c r="J1160" s="1" t="s">
        <v>3381</v>
      </c>
      <c r="K1160" s="1" t="s">
        <v>3382</v>
      </c>
      <c r="L1160" s="1" t="s">
        <v>3383</v>
      </c>
      <c r="M1160" s="2" t="s">
        <v>3384</v>
      </c>
      <c r="N1160" s="31">
        <v>46066</v>
      </c>
    </row>
    <row r="1161" spans="1:14" x14ac:dyDescent="0.25">
      <c r="A1161" s="29">
        <v>1160</v>
      </c>
      <c r="B1161" s="1" t="s">
        <v>3385</v>
      </c>
      <c r="C1161" s="31">
        <v>46041</v>
      </c>
      <c r="D1161" s="1" t="s">
        <v>3386</v>
      </c>
      <c r="E1161" s="13" t="s">
        <v>3387</v>
      </c>
      <c r="F1161" s="1" t="s">
        <v>33</v>
      </c>
      <c r="G1161" s="1" t="s">
        <v>3388</v>
      </c>
      <c r="H1161" s="1" t="s">
        <v>3389</v>
      </c>
      <c r="I1161" s="31">
        <v>46065</v>
      </c>
      <c r="J1161" s="1" t="s">
        <v>3390</v>
      </c>
      <c r="K1161" s="1" t="s">
        <v>3391</v>
      </c>
      <c r="L1161" s="1" t="s">
        <v>3392</v>
      </c>
      <c r="M1161" s="2" t="s">
        <v>3393</v>
      </c>
      <c r="N1161" s="31">
        <v>46088</v>
      </c>
    </row>
    <row r="1162" spans="1:14" x14ac:dyDescent="0.25">
      <c r="A1162" s="29">
        <v>1161</v>
      </c>
      <c r="B1162" s="1" t="s">
        <v>3394</v>
      </c>
      <c r="C1162" s="31">
        <v>45889</v>
      </c>
      <c r="D1162" s="1" t="s">
        <v>3395</v>
      </c>
      <c r="E1162" s="13" t="s">
        <v>3396</v>
      </c>
      <c r="F1162" s="1" t="s">
        <v>89</v>
      </c>
      <c r="G1162" s="1" t="s">
        <v>3397</v>
      </c>
      <c r="H1162" s="1" t="s">
        <v>3398</v>
      </c>
      <c r="I1162" s="31">
        <v>46065</v>
      </c>
      <c r="J1162" s="1" t="s">
        <v>3399</v>
      </c>
      <c r="K1162" s="1" t="s">
        <v>3400</v>
      </c>
      <c r="L1162" s="1" t="s">
        <v>3401</v>
      </c>
      <c r="M1162" s="2" t="s">
        <v>3402</v>
      </c>
      <c r="N1162" s="31">
        <v>46073</v>
      </c>
    </row>
    <row r="1163" spans="1:14" x14ac:dyDescent="0.25">
      <c r="A1163" s="29">
        <v>1162</v>
      </c>
      <c r="B1163" s="1" t="s">
        <v>3403</v>
      </c>
      <c r="C1163" s="31">
        <v>45992</v>
      </c>
      <c r="D1163" s="1" t="s">
        <v>3404</v>
      </c>
      <c r="E1163" s="13" t="s">
        <v>3405</v>
      </c>
      <c r="F1163" s="1" t="s">
        <v>33</v>
      </c>
      <c r="G1163" s="1" t="s">
        <v>3406</v>
      </c>
      <c r="H1163" s="1" t="s">
        <v>3407</v>
      </c>
      <c r="I1163" s="31">
        <v>46065</v>
      </c>
      <c r="J1163" s="1" t="s">
        <v>3408</v>
      </c>
      <c r="K1163" s="1" t="s">
        <v>3409</v>
      </c>
      <c r="L1163" s="1" t="s">
        <v>3410</v>
      </c>
      <c r="M1163" s="2" t="s">
        <v>3411</v>
      </c>
      <c r="N1163" s="31">
        <v>46094</v>
      </c>
    </row>
    <row r="1164" spans="1:14" x14ac:dyDescent="0.25">
      <c r="A1164" s="29">
        <v>1163</v>
      </c>
      <c r="B1164" s="1" t="s">
        <v>3412</v>
      </c>
      <c r="C1164" s="31">
        <v>46055</v>
      </c>
      <c r="D1164" s="1" t="s">
        <v>3413</v>
      </c>
      <c r="E1164" s="13" t="s">
        <v>3414</v>
      </c>
      <c r="F1164" s="1" t="s">
        <v>33</v>
      </c>
      <c r="G1164" s="1" t="s">
        <v>3415</v>
      </c>
      <c r="H1164" s="1" t="s">
        <v>3416</v>
      </c>
      <c r="I1164" s="31">
        <v>46065</v>
      </c>
      <c r="J1164" s="1" t="s">
        <v>3417</v>
      </c>
      <c r="K1164" s="1" t="s">
        <v>3418</v>
      </c>
      <c r="L1164" s="1" t="s">
        <v>3419</v>
      </c>
      <c r="M1164" s="2" t="s">
        <v>3420</v>
      </c>
      <c r="N1164" s="31">
        <v>46092</v>
      </c>
    </row>
    <row r="1165" spans="1:14" x14ac:dyDescent="0.25">
      <c r="A1165" s="29">
        <v>1164</v>
      </c>
      <c r="B1165" s="1" t="s">
        <v>3421</v>
      </c>
      <c r="C1165" s="31">
        <v>45798</v>
      </c>
      <c r="D1165" s="1" t="s">
        <v>3422</v>
      </c>
      <c r="E1165" s="13" t="s">
        <v>3423</v>
      </c>
      <c r="F1165" s="1" t="s">
        <v>89</v>
      </c>
      <c r="G1165" s="1" t="s">
        <v>3424</v>
      </c>
      <c r="H1165" s="1" t="s">
        <v>3425</v>
      </c>
      <c r="I1165" s="31">
        <v>46065</v>
      </c>
      <c r="J1165" s="1" t="s">
        <v>3426</v>
      </c>
      <c r="K1165" s="1" t="s">
        <v>3427</v>
      </c>
      <c r="L1165" s="1" t="s">
        <v>3428</v>
      </c>
      <c r="M1165" s="2" t="s">
        <v>3429</v>
      </c>
      <c r="N1165" s="31">
        <v>46072</v>
      </c>
    </row>
    <row r="1166" spans="1:14" x14ac:dyDescent="0.25">
      <c r="A1166" s="29">
        <v>1165</v>
      </c>
      <c r="B1166" s="1" t="s">
        <v>3430</v>
      </c>
      <c r="C1166" s="31">
        <v>45920</v>
      </c>
      <c r="D1166" s="1" t="s">
        <v>3431</v>
      </c>
      <c r="E1166" s="13" t="s">
        <v>3432</v>
      </c>
      <c r="F1166" s="1" t="s">
        <v>89</v>
      </c>
      <c r="G1166" s="1" t="s">
        <v>3433</v>
      </c>
      <c r="H1166" s="1" t="s">
        <v>3434</v>
      </c>
      <c r="I1166" s="31">
        <v>46065</v>
      </c>
      <c r="J1166" s="1" t="s">
        <v>3435</v>
      </c>
      <c r="K1166" s="1" t="s">
        <v>3436</v>
      </c>
      <c r="L1166" s="1" t="s">
        <v>3437</v>
      </c>
      <c r="M1166" s="2" t="s">
        <v>3438</v>
      </c>
      <c r="N1166" s="31">
        <v>46074</v>
      </c>
    </row>
    <row r="1167" spans="1:14" x14ac:dyDescent="0.25">
      <c r="A1167" s="29">
        <v>1166</v>
      </c>
      <c r="B1167" s="1" t="s">
        <v>3439</v>
      </c>
      <c r="C1167" s="31">
        <v>45862</v>
      </c>
      <c r="D1167" s="1" t="s">
        <v>3440</v>
      </c>
      <c r="E1167" s="13" t="s">
        <v>3441</v>
      </c>
      <c r="F1167" s="1" t="s">
        <v>33</v>
      </c>
      <c r="G1167" s="1" t="s">
        <v>3442</v>
      </c>
      <c r="H1167" s="1" t="s">
        <v>3443</v>
      </c>
      <c r="I1167" s="31">
        <v>46065</v>
      </c>
      <c r="J1167" s="1" t="s">
        <v>3444</v>
      </c>
      <c r="K1167" s="1" t="s">
        <v>3445</v>
      </c>
      <c r="L1167" s="1" t="s">
        <v>3446</v>
      </c>
      <c r="M1167" s="2" t="s">
        <v>3447</v>
      </c>
      <c r="N1167" s="31">
        <v>46068</v>
      </c>
    </row>
    <row r="1168" spans="1:14" x14ac:dyDescent="0.25">
      <c r="A1168" s="29">
        <v>1167</v>
      </c>
      <c r="B1168" s="1" t="s">
        <v>3448</v>
      </c>
      <c r="C1168" s="31">
        <v>45937</v>
      </c>
      <c r="D1168" s="1" t="s">
        <v>3449</v>
      </c>
      <c r="E1168" s="13" t="s">
        <v>3450</v>
      </c>
      <c r="F1168" s="1" t="s">
        <v>89</v>
      </c>
      <c r="G1168" s="1" t="s">
        <v>3451</v>
      </c>
      <c r="H1168" s="1" t="s">
        <v>3452</v>
      </c>
      <c r="I1168" s="31">
        <v>46065</v>
      </c>
      <c r="J1168" s="1" t="s">
        <v>3453</v>
      </c>
      <c r="K1168" s="1" t="s">
        <v>3454</v>
      </c>
      <c r="L1168" s="1" t="s">
        <v>3455</v>
      </c>
      <c r="M1168" s="2" t="s">
        <v>3456</v>
      </c>
      <c r="N1168" s="31">
        <v>46092</v>
      </c>
    </row>
    <row r="1169" spans="1:14" x14ac:dyDescent="0.25">
      <c r="A1169" s="29">
        <v>1168</v>
      </c>
      <c r="B1169" s="1" t="s">
        <v>3457</v>
      </c>
      <c r="C1169" s="31">
        <v>46000</v>
      </c>
      <c r="D1169" s="1" t="s">
        <v>3458</v>
      </c>
      <c r="E1169" s="13" t="s">
        <v>3459</v>
      </c>
      <c r="F1169" s="1" t="s">
        <v>33</v>
      </c>
      <c r="G1169" s="1" t="s">
        <v>3460</v>
      </c>
      <c r="H1169" s="1" t="s">
        <v>3461</v>
      </c>
      <c r="I1169" s="31">
        <v>46065</v>
      </c>
      <c r="J1169" s="1" t="s">
        <v>3462</v>
      </c>
      <c r="K1169" s="1" t="s">
        <v>3463</v>
      </c>
      <c r="L1169" s="1" t="s">
        <v>3464</v>
      </c>
      <c r="M1169" s="2" t="s">
        <v>3465</v>
      </c>
      <c r="N1169" s="31">
        <v>46082</v>
      </c>
    </row>
    <row r="1170" spans="1:14" x14ac:dyDescent="0.25">
      <c r="A1170" s="29">
        <v>1169</v>
      </c>
      <c r="B1170" s="1" t="s">
        <v>3466</v>
      </c>
      <c r="C1170" s="31">
        <v>45907</v>
      </c>
      <c r="D1170" s="1" t="s">
        <v>3467</v>
      </c>
      <c r="E1170" s="13" t="s">
        <v>3468</v>
      </c>
      <c r="F1170" s="1" t="s">
        <v>33</v>
      </c>
      <c r="G1170" s="1" t="s">
        <v>3469</v>
      </c>
      <c r="H1170" s="1" t="s">
        <v>3470</v>
      </c>
      <c r="I1170" s="31">
        <v>46065</v>
      </c>
      <c r="J1170" s="1" t="s">
        <v>3471</v>
      </c>
      <c r="K1170" s="1" t="s">
        <v>3472</v>
      </c>
      <c r="L1170" s="1" t="s">
        <v>3473</v>
      </c>
      <c r="M1170" s="2" t="s">
        <v>3474</v>
      </c>
      <c r="N1170" s="31">
        <v>46091</v>
      </c>
    </row>
    <row r="1171" spans="1:14" x14ac:dyDescent="0.25">
      <c r="A1171" s="29">
        <v>1170</v>
      </c>
      <c r="B1171" s="1" t="s">
        <v>3475</v>
      </c>
      <c r="C1171" s="31">
        <v>45800</v>
      </c>
      <c r="D1171" s="1" t="s">
        <v>3476</v>
      </c>
      <c r="E1171" s="13" t="s">
        <v>3477</v>
      </c>
      <c r="F1171" s="1" t="s">
        <v>89</v>
      </c>
      <c r="G1171" s="1" t="s">
        <v>3478</v>
      </c>
      <c r="H1171" s="1" t="s">
        <v>3479</v>
      </c>
      <c r="I1171" s="31">
        <v>46065</v>
      </c>
      <c r="J1171" s="1" t="s">
        <v>3480</v>
      </c>
      <c r="K1171" s="1" t="s">
        <v>3481</v>
      </c>
      <c r="L1171" s="1" t="s">
        <v>3482</v>
      </c>
      <c r="M1171" s="2" t="s">
        <v>3483</v>
      </c>
      <c r="N1171" s="31">
        <v>46069</v>
      </c>
    </row>
    <row r="1172" spans="1:14" x14ac:dyDescent="0.25">
      <c r="A1172" s="29">
        <v>1171</v>
      </c>
      <c r="B1172" s="1" t="s">
        <v>3484</v>
      </c>
      <c r="C1172" s="31">
        <v>45944</v>
      </c>
      <c r="D1172" s="1" t="s">
        <v>3485</v>
      </c>
      <c r="E1172" s="13" t="s">
        <v>3486</v>
      </c>
      <c r="F1172" s="1" t="s">
        <v>89</v>
      </c>
      <c r="G1172" s="1" t="s">
        <v>3487</v>
      </c>
      <c r="H1172" s="1" t="s">
        <v>3488</v>
      </c>
      <c r="I1172" s="31">
        <v>46065</v>
      </c>
      <c r="J1172" s="1" t="s">
        <v>3489</v>
      </c>
      <c r="K1172" s="1" t="s">
        <v>3490</v>
      </c>
      <c r="L1172" s="1" t="s">
        <v>3491</v>
      </c>
      <c r="M1172" s="2" t="s">
        <v>3492</v>
      </c>
      <c r="N1172" s="31">
        <v>46074</v>
      </c>
    </row>
    <row r="1173" spans="1:14" x14ac:dyDescent="0.25">
      <c r="A1173" s="29">
        <v>1172</v>
      </c>
      <c r="B1173" s="1" t="s">
        <v>3493</v>
      </c>
      <c r="C1173" s="31">
        <v>46034</v>
      </c>
      <c r="D1173" s="1" t="s">
        <v>3494</v>
      </c>
      <c r="E1173" s="13" t="s">
        <v>3495</v>
      </c>
      <c r="F1173" s="1" t="s">
        <v>33</v>
      </c>
      <c r="G1173" s="1" t="s">
        <v>3496</v>
      </c>
      <c r="H1173" s="1" t="s">
        <v>3497</v>
      </c>
      <c r="I1173" s="31">
        <v>46065</v>
      </c>
      <c r="J1173" s="1" t="s">
        <v>3498</v>
      </c>
      <c r="K1173" s="1" t="s">
        <v>3499</v>
      </c>
      <c r="L1173" s="1" t="s">
        <v>3500</v>
      </c>
      <c r="M1173" s="2" t="s">
        <v>3501</v>
      </c>
      <c r="N1173" s="31">
        <v>46070</v>
      </c>
    </row>
    <row r="1174" spans="1:14" x14ac:dyDescent="0.25">
      <c r="A1174" s="29">
        <v>1173</v>
      </c>
      <c r="B1174" s="1" t="s">
        <v>3502</v>
      </c>
      <c r="C1174" s="31">
        <v>45853</v>
      </c>
      <c r="D1174" s="1" t="s">
        <v>3503</v>
      </c>
      <c r="E1174" s="13" t="s">
        <v>3504</v>
      </c>
      <c r="F1174" s="1" t="s">
        <v>89</v>
      </c>
      <c r="G1174" s="1" t="s">
        <v>3505</v>
      </c>
      <c r="H1174" s="1" t="s">
        <v>3506</v>
      </c>
      <c r="I1174" s="31">
        <v>46065</v>
      </c>
      <c r="J1174" s="1" t="s">
        <v>3507</v>
      </c>
      <c r="K1174" s="1" t="s">
        <v>3508</v>
      </c>
      <c r="L1174" s="1" t="s">
        <v>3509</v>
      </c>
      <c r="M1174" s="2" t="s">
        <v>3510</v>
      </c>
      <c r="N1174" s="31">
        <v>46093</v>
      </c>
    </row>
    <row r="1175" spans="1:14" x14ac:dyDescent="0.25">
      <c r="A1175" s="29">
        <v>1174</v>
      </c>
      <c r="B1175" s="1" t="s">
        <v>3511</v>
      </c>
      <c r="C1175" s="31">
        <v>45857</v>
      </c>
      <c r="D1175" s="1" t="s">
        <v>3512</v>
      </c>
      <c r="E1175" s="13" t="s">
        <v>3513</v>
      </c>
      <c r="F1175" s="1" t="s">
        <v>89</v>
      </c>
      <c r="G1175" s="1" t="s">
        <v>3514</v>
      </c>
      <c r="H1175" s="1" t="s">
        <v>3515</v>
      </c>
      <c r="I1175" s="31">
        <v>46065</v>
      </c>
      <c r="J1175" s="1" t="s">
        <v>3516</v>
      </c>
      <c r="K1175" s="1" t="s">
        <v>3517</v>
      </c>
      <c r="L1175" s="1" t="s">
        <v>3518</v>
      </c>
      <c r="M1175" s="2" t="s">
        <v>3519</v>
      </c>
      <c r="N1175" s="31">
        <v>46080</v>
      </c>
    </row>
    <row r="1176" spans="1:14" x14ac:dyDescent="0.25">
      <c r="A1176" s="29">
        <v>1175</v>
      </c>
      <c r="B1176" s="1" t="s">
        <v>3520</v>
      </c>
      <c r="C1176" s="31">
        <v>45783</v>
      </c>
      <c r="D1176" s="1" t="s">
        <v>3521</v>
      </c>
      <c r="E1176" s="13" t="s">
        <v>3522</v>
      </c>
      <c r="F1176" s="1" t="s">
        <v>89</v>
      </c>
      <c r="G1176" s="1" t="s">
        <v>3523</v>
      </c>
      <c r="H1176" s="1" t="s">
        <v>3524</v>
      </c>
      <c r="I1176" s="31">
        <v>46065</v>
      </c>
      <c r="J1176" s="1" t="s">
        <v>3525</v>
      </c>
      <c r="K1176" s="1" t="s">
        <v>3526</v>
      </c>
      <c r="L1176" s="1" t="s">
        <v>3527</v>
      </c>
      <c r="M1176" s="2" t="s">
        <v>3528</v>
      </c>
      <c r="N1176" s="31">
        <v>46069</v>
      </c>
    </row>
    <row r="1177" spans="1:14" x14ac:dyDescent="0.25">
      <c r="A1177" s="29">
        <v>1176</v>
      </c>
      <c r="B1177" s="1" t="s">
        <v>3529</v>
      </c>
      <c r="C1177" s="31">
        <v>45768</v>
      </c>
      <c r="D1177" s="1" t="s">
        <v>3530</v>
      </c>
      <c r="E1177" s="13" t="s">
        <v>3531</v>
      </c>
      <c r="F1177" s="1" t="s">
        <v>89</v>
      </c>
      <c r="G1177" s="1" t="s">
        <v>3532</v>
      </c>
      <c r="H1177" s="1" t="s">
        <v>3533</v>
      </c>
      <c r="I1177" s="31">
        <v>46065</v>
      </c>
      <c r="J1177" s="1" t="s">
        <v>3534</v>
      </c>
      <c r="K1177" s="1" t="s">
        <v>3535</v>
      </c>
      <c r="L1177" s="1" t="s">
        <v>3536</v>
      </c>
      <c r="M1177" s="2" t="s">
        <v>3537</v>
      </c>
      <c r="N1177" s="31">
        <v>46085</v>
      </c>
    </row>
    <row r="1178" spans="1:14" x14ac:dyDescent="0.25">
      <c r="A1178" s="29">
        <v>1177</v>
      </c>
      <c r="B1178" s="1" t="s">
        <v>3538</v>
      </c>
      <c r="C1178" s="31">
        <v>45857</v>
      </c>
      <c r="D1178" s="1" t="s">
        <v>3539</v>
      </c>
      <c r="E1178" s="13" t="s">
        <v>3540</v>
      </c>
      <c r="F1178" s="1" t="s">
        <v>33</v>
      </c>
      <c r="G1178" s="1" t="s">
        <v>3541</v>
      </c>
      <c r="H1178" s="1" t="s">
        <v>3542</v>
      </c>
      <c r="I1178" s="31">
        <v>46065</v>
      </c>
      <c r="J1178" s="1" t="s">
        <v>3543</v>
      </c>
      <c r="K1178" s="1" t="s">
        <v>3544</v>
      </c>
      <c r="L1178" s="1" t="s">
        <v>3545</v>
      </c>
      <c r="M1178" s="2" t="s">
        <v>3546</v>
      </c>
      <c r="N1178" s="31">
        <v>46069</v>
      </c>
    </row>
    <row r="1179" spans="1:14" x14ac:dyDescent="0.25">
      <c r="A1179" s="29">
        <v>1178</v>
      </c>
      <c r="B1179" s="1" t="s">
        <v>3547</v>
      </c>
      <c r="C1179" s="31">
        <v>45812</v>
      </c>
      <c r="D1179" s="1" t="s">
        <v>3548</v>
      </c>
      <c r="E1179" s="13" t="s">
        <v>3549</v>
      </c>
      <c r="F1179" s="1" t="s">
        <v>33</v>
      </c>
      <c r="G1179" s="1" t="s">
        <v>3550</v>
      </c>
      <c r="H1179" s="1" t="s">
        <v>3551</v>
      </c>
      <c r="I1179" s="31">
        <v>46065</v>
      </c>
      <c r="J1179" s="1" t="s">
        <v>3552</v>
      </c>
      <c r="K1179" s="1" t="s">
        <v>3553</v>
      </c>
      <c r="L1179" s="1" t="s">
        <v>3554</v>
      </c>
      <c r="M1179" s="2" t="s">
        <v>3555</v>
      </c>
      <c r="N1179" s="31">
        <v>46066</v>
      </c>
    </row>
    <row r="1180" spans="1:14" x14ac:dyDescent="0.25">
      <c r="A1180" s="29">
        <v>1179</v>
      </c>
      <c r="B1180" s="1" t="s">
        <v>3556</v>
      </c>
      <c r="C1180" s="31">
        <v>45822</v>
      </c>
      <c r="D1180" s="1" t="s">
        <v>3557</v>
      </c>
      <c r="E1180" s="13" t="s">
        <v>3558</v>
      </c>
      <c r="F1180" s="1" t="s">
        <v>33</v>
      </c>
      <c r="G1180" s="1" t="s">
        <v>3559</v>
      </c>
      <c r="H1180" s="1" t="s">
        <v>3560</v>
      </c>
      <c r="I1180" s="31">
        <v>46065</v>
      </c>
      <c r="J1180" s="1" t="s">
        <v>3561</v>
      </c>
      <c r="K1180" s="1" t="s">
        <v>3562</v>
      </c>
      <c r="L1180" s="1" t="s">
        <v>3563</v>
      </c>
      <c r="M1180" s="2" t="s">
        <v>3564</v>
      </c>
      <c r="N1180" s="31">
        <v>46084</v>
      </c>
    </row>
    <row r="1181" spans="1:14" x14ac:dyDescent="0.25">
      <c r="A1181" s="29">
        <v>1180</v>
      </c>
      <c r="B1181" s="1" t="s">
        <v>3565</v>
      </c>
      <c r="C1181" s="31">
        <v>45734</v>
      </c>
      <c r="D1181" s="1" t="s">
        <v>3566</v>
      </c>
      <c r="E1181" s="13" t="s">
        <v>3567</v>
      </c>
      <c r="F1181" s="1" t="s">
        <v>89</v>
      </c>
      <c r="G1181" s="1" t="s">
        <v>3568</v>
      </c>
      <c r="H1181" s="1" t="s">
        <v>3569</v>
      </c>
      <c r="I1181" s="31">
        <v>46065</v>
      </c>
      <c r="J1181" s="1" t="s">
        <v>3570</v>
      </c>
      <c r="K1181" s="1" t="s">
        <v>3571</v>
      </c>
      <c r="L1181" s="1" t="s">
        <v>3572</v>
      </c>
      <c r="M1181" s="2" t="s">
        <v>3573</v>
      </c>
      <c r="N1181" s="31">
        <v>46070</v>
      </c>
    </row>
    <row r="1182" spans="1:14" x14ac:dyDescent="0.25">
      <c r="A1182" s="29">
        <v>1181</v>
      </c>
      <c r="B1182" s="1" t="s">
        <v>3574</v>
      </c>
      <c r="C1182" s="31">
        <v>45809</v>
      </c>
      <c r="D1182" s="1" t="s">
        <v>3575</v>
      </c>
      <c r="E1182" s="13" t="s">
        <v>3576</v>
      </c>
      <c r="F1182" s="1" t="s">
        <v>33</v>
      </c>
      <c r="G1182" s="1" t="s">
        <v>3577</v>
      </c>
      <c r="H1182" s="1" t="s">
        <v>3578</v>
      </c>
      <c r="I1182" s="31">
        <v>46065</v>
      </c>
      <c r="J1182" s="1" t="s">
        <v>3579</v>
      </c>
      <c r="K1182" s="1" t="s">
        <v>3580</v>
      </c>
      <c r="L1182" s="1" t="s">
        <v>3581</v>
      </c>
      <c r="M1182" s="2" t="s">
        <v>3582</v>
      </c>
      <c r="N1182" s="31">
        <v>46074</v>
      </c>
    </row>
    <row r="1183" spans="1:14" x14ac:dyDescent="0.25">
      <c r="A1183" s="29">
        <v>1182</v>
      </c>
      <c r="B1183" s="1" t="s">
        <v>3583</v>
      </c>
      <c r="C1183" s="31">
        <v>45956</v>
      </c>
      <c r="D1183" s="1" t="s">
        <v>3584</v>
      </c>
      <c r="E1183" s="13" t="s">
        <v>3585</v>
      </c>
      <c r="F1183" s="1" t="s">
        <v>89</v>
      </c>
      <c r="G1183" s="1" t="s">
        <v>3586</v>
      </c>
      <c r="H1183" s="1" t="s">
        <v>3587</v>
      </c>
      <c r="I1183" s="31">
        <v>46065</v>
      </c>
      <c r="J1183" s="1" t="s">
        <v>3588</v>
      </c>
      <c r="K1183" s="1" t="s">
        <v>3589</v>
      </c>
      <c r="L1183" s="1" t="s">
        <v>3590</v>
      </c>
      <c r="M1183" s="2" t="s">
        <v>3591</v>
      </c>
      <c r="N1183" s="31">
        <v>46073</v>
      </c>
    </row>
    <row r="1184" spans="1:14" x14ac:dyDescent="0.25">
      <c r="A1184" s="29">
        <v>1183</v>
      </c>
      <c r="B1184" s="1" t="s">
        <v>3592</v>
      </c>
      <c r="C1184" s="31">
        <v>45733</v>
      </c>
      <c r="D1184" s="1" t="s">
        <v>3593</v>
      </c>
      <c r="E1184" s="13" t="s">
        <v>3594</v>
      </c>
      <c r="F1184" s="1" t="s">
        <v>33</v>
      </c>
      <c r="G1184" s="1" t="s">
        <v>3595</v>
      </c>
      <c r="H1184" s="1" t="s">
        <v>3596</v>
      </c>
      <c r="I1184" s="31">
        <v>46065</v>
      </c>
      <c r="J1184" s="1" t="s">
        <v>3597</v>
      </c>
      <c r="K1184" s="1" t="s">
        <v>3598</v>
      </c>
      <c r="L1184" s="1" t="s">
        <v>3599</v>
      </c>
      <c r="M1184" s="2" t="s">
        <v>3600</v>
      </c>
      <c r="N1184" s="31">
        <v>46095</v>
      </c>
    </row>
    <row r="1185" spans="1:14" x14ac:dyDescent="0.25">
      <c r="A1185" s="29">
        <v>1184</v>
      </c>
      <c r="B1185" s="1" t="s">
        <v>3601</v>
      </c>
      <c r="C1185" s="31">
        <v>45733</v>
      </c>
      <c r="D1185" s="1" t="s">
        <v>3593</v>
      </c>
      <c r="E1185" s="13" t="s">
        <v>3602</v>
      </c>
      <c r="F1185" s="1" t="s">
        <v>33</v>
      </c>
      <c r="G1185" s="1" t="s">
        <v>3595</v>
      </c>
      <c r="H1185" s="1" t="s">
        <v>3596</v>
      </c>
      <c r="I1185" s="31">
        <v>46065</v>
      </c>
      <c r="J1185" s="1" t="s">
        <v>3597</v>
      </c>
      <c r="K1185" s="1" t="s">
        <v>3598</v>
      </c>
      <c r="L1185" s="1" t="s">
        <v>3599</v>
      </c>
      <c r="M1185" s="2" t="s">
        <v>3600</v>
      </c>
      <c r="N1185" s="31">
        <v>46084</v>
      </c>
    </row>
    <row r="1186" spans="1:14" x14ac:dyDescent="0.25">
      <c r="A1186" s="29">
        <v>1185</v>
      </c>
      <c r="B1186" s="1" t="s">
        <v>3603</v>
      </c>
      <c r="C1186" s="31">
        <v>46047</v>
      </c>
      <c r="D1186" s="1" t="s">
        <v>3604</v>
      </c>
      <c r="E1186" s="13" t="s">
        <v>3605</v>
      </c>
      <c r="F1186" s="1" t="s">
        <v>33</v>
      </c>
      <c r="G1186" s="1" t="s">
        <v>3606</v>
      </c>
      <c r="H1186" s="1" t="s">
        <v>3607</v>
      </c>
      <c r="I1186" s="31">
        <v>46065</v>
      </c>
      <c r="J1186" s="1" t="s">
        <v>3608</v>
      </c>
      <c r="K1186" s="1" t="s">
        <v>3609</v>
      </c>
      <c r="L1186" s="1" t="s">
        <v>3610</v>
      </c>
      <c r="M1186" s="2" t="s">
        <v>3611</v>
      </c>
      <c r="N1186" s="31">
        <v>46068</v>
      </c>
    </row>
    <row r="1187" spans="1:14" x14ac:dyDescent="0.25">
      <c r="A1187" s="29">
        <v>1186</v>
      </c>
      <c r="B1187" s="1" t="s">
        <v>3612</v>
      </c>
      <c r="C1187" s="31">
        <v>46047</v>
      </c>
      <c r="D1187" s="1" t="s">
        <v>3604</v>
      </c>
      <c r="E1187" s="13" t="s">
        <v>3613</v>
      </c>
      <c r="F1187" s="1" t="s">
        <v>33</v>
      </c>
      <c r="G1187" s="1" t="s">
        <v>3606</v>
      </c>
      <c r="H1187" s="1" t="s">
        <v>3607</v>
      </c>
      <c r="I1187" s="31">
        <v>46065</v>
      </c>
      <c r="J1187" s="1" t="s">
        <v>3608</v>
      </c>
      <c r="K1187" s="1" t="s">
        <v>3609</v>
      </c>
      <c r="L1187" s="1" t="s">
        <v>3610</v>
      </c>
      <c r="M1187" s="2" t="s">
        <v>3611</v>
      </c>
      <c r="N1187" s="31">
        <v>46084</v>
      </c>
    </row>
    <row r="1188" spans="1:14" x14ac:dyDescent="0.25">
      <c r="A1188" s="29">
        <v>1187</v>
      </c>
      <c r="B1188" s="1" t="s">
        <v>3614</v>
      </c>
      <c r="C1188" s="31">
        <v>45990</v>
      </c>
      <c r="D1188" s="1" t="s">
        <v>3615</v>
      </c>
      <c r="E1188" s="13" t="s">
        <v>3616</v>
      </c>
      <c r="F1188" s="1" t="s">
        <v>89</v>
      </c>
      <c r="G1188" s="1" t="s">
        <v>3514</v>
      </c>
      <c r="H1188" s="1" t="s">
        <v>3617</v>
      </c>
      <c r="I1188" s="31">
        <v>46065</v>
      </c>
      <c r="J1188" s="1" t="s">
        <v>3618</v>
      </c>
      <c r="K1188" s="1" t="s">
        <v>3619</v>
      </c>
      <c r="L1188" s="1" t="s">
        <v>3620</v>
      </c>
      <c r="M1188" s="2" t="s">
        <v>3621</v>
      </c>
      <c r="N1188" s="31">
        <v>46080</v>
      </c>
    </row>
    <row r="1189" spans="1:14" x14ac:dyDescent="0.25">
      <c r="A1189" s="29">
        <v>1188</v>
      </c>
      <c r="B1189" s="1" t="s">
        <v>3622</v>
      </c>
      <c r="C1189" s="31">
        <v>45990</v>
      </c>
      <c r="D1189" s="1" t="s">
        <v>3615</v>
      </c>
      <c r="E1189" s="13" t="s">
        <v>3623</v>
      </c>
      <c r="F1189" s="1" t="s">
        <v>89</v>
      </c>
      <c r="G1189" s="1" t="s">
        <v>3514</v>
      </c>
      <c r="H1189" s="1" t="s">
        <v>3617</v>
      </c>
      <c r="I1189" s="31">
        <v>46065</v>
      </c>
      <c r="J1189" s="1" t="s">
        <v>3618</v>
      </c>
      <c r="K1189" s="1" t="s">
        <v>3619</v>
      </c>
      <c r="L1189" s="1" t="s">
        <v>3620</v>
      </c>
      <c r="M1189" s="2" t="s">
        <v>3621</v>
      </c>
      <c r="N1189" s="31">
        <v>46091</v>
      </c>
    </row>
    <row r="1190" spans="1:14" x14ac:dyDescent="0.25">
      <c r="A1190" s="29">
        <v>1189</v>
      </c>
      <c r="B1190" s="1" t="s">
        <v>3624</v>
      </c>
      <c r="C1190" s="31">
        <v>45725</v>
      </c>
      <c r="D1190" s="1" t="s">
        <v>3625</v>
      </c>
      <c r="E1190" s="13" t="s">
        <v>3626</v>
      </c>
      <c r="F1190" s="1" t="s">
        <v>33</v>
      </c>
      <c r="G1190" s="1" t="s">
        <v>3627</v>
      </c>
      <c r="H1190" s="1" t="s">
        <v>3628</v>
      </c>
      <c r="I1190" s="31">
        <v>46065</v>
      </c>
      <c r="J1190" s="1" t="s">
        <v>3629</v>
      </c>
      <c r="K1190" s="1" t="s">
        <v>3630</v>
      </c>
      <c r="L1190" s="1" t="s">
        <v>3631</v>
      </c>
      <c r="M1190" s="2" t="s">
        <v>3632</v>
      </c>
      <c r="N1190" s="31">
        <v>46089</v>
      </c>
    </row>
    <row r="1191" spans="1:14" x14ac:dyDescent="0.25">
      <c r="A1191" s="29">
        <v>1190</v>
      </c>
      <c r="B1191" s="1" t="s">
        <v>3633</v>
      </c>
      <c r="C1191" s="31">
        <v>45725</v>
      </c>
      <c r="D1191" s="1" t="s">
        <v>3625</v>
      </c>
      <c r="E1191" s="13" t="s">
        <v>3634</v>
      </c>
      <c r="F1191" s="1" t="s">
        <v>33</v>
      </c>
      <c r="G1191" s="1" t="s">
        <v>3627</v>
      </c>
      <c r="H1191" s="1" t="s">
        <v>3628</v>
      </c>
      <c r="I1191" s="31">
        <v>46065</v>
      </c>
      <c r="J1191" s="1" t="s">
        <v>3629</v>
      </c>
      <c r="K1191" s="1" t="s">
        <v>3630</v>
      </c>
      <c r="L1191" s="1" t="s">
        <v>3631</v>
      </c>
      <c r="M1191" s="2" t="s">
        <v>3632</v>
      </c>
      <c r="N1191" s="31">
        <v>46071</v>
      </c>
    </row>
    <row r="1192" spans="1:14" x14ac:dyDescent="0.25">
      <c r="A1192" s="29">
        <v>1191</v>
      </c>
      <c r="B1192" s="1" t="s">
        <v>3635</v>
      </c>
      <c r="C1192" s="31">
        <v>45795</v>
      </c>
      <c r="D1192" s="1" t="s">
        <v>3636</v>
      </c>
      <c r="E1192" s="13" t="s">
        <v>3637</v>
      </c>
      <c r="F1192" s="1" t="s">
        <v>33</v>
      </c>
      <c r="G1192" s="1" t="s">
        <v>3638</v>
      </c>
      <c r="H1192" s="1" t="s">
        <v>3639</v>
      </c>
      <c r="I1192" s="31">
        <v>46065</v>
      </c>
      <c r="J1192" s="1" t="s">
        <v>3640</v>
      </c>
      <c r="K1192" s="1" t="s">
        <v>3641</v>
      </c>
      <c r="L1192" s="1" t="s">
        <v>3642</v>
      </c>
      <c r="M1192" s="2" t="s">
        <v>3643</v>
      </c>
      <c r="N1192" s="31">
        <v>46084</v>
      </c>
    </row>
    <row r="1193" spans="1:14" x14ac:dyDescent="0.25">
      <c r="A1193" s="29">
        <v>1192</v>
      </c>
      <c r="B1193" s="1" t="s">
        <v>3644</v>
      </c>
      <c r="C1193" s="31">
        <v>45795</v>
      </c>
      <c r="D1193" s="1" t="s">
        <v>3636</v>
      </c>
      <c r="E1193" s="13" t="s">
        <v>3645</v>
      </c>
      <c r="F1193" s="1" t="s">
        <v>33</v>
      </c>
      <c r="G1193" s="1" t="s">
        <v>3638</v>
      </c>
      <c r="H1193" s="1" t="s">
        <v>3639</v>
      </c>
      <c r="I1193" s="31">
        <v>46065</v>
      </c>
      <c r="J1193" s="1" t="s">
        <v>3640</v>
      </c>
      <c r="K1193" s="1" t="s">
        <v>3641</v>
      </c>
      <c r="L1193" s="1" t="s">
        <v>3642</v>
      </c>
      <c r="M1193" s="2" t="s">
        <v>3643</v>
      </c>
      <c r="N1193" s="31">
        <v>46093</v>
      </c>
    </row>
    <row r="1194" spans="1:14" x14ac:dyDescent="0.25">
      <c r="A1194" s="29">
        <v>1193</v>
      </c>
      <c r="B1194" s="1" t="s">
        <v>3646</v>
      </c>
      <c r="C1194" s="31">
        <v>46037</v>
      </c>
      <c r="D1194" s="1" t="s">
        <v>3647</v>
      </c>
      <c r="E1194" s="13" t="s">
        <v>3648</v>
      </c>
      <c r="F1194" s="1" t="s">
        <v>33</v>
      </c>
      <c r="G1194" s="1" t="s">
        <v>3649</v>
      </c>
      <c r="H1194" s="1" t="s">
        <v>3650</v>
      </c>
      <c r="I1194" s="31">
        <v>46065</v>
      </c>
      <c r="J1194" s="1" t="s">
        <v>3651</v>
      </c>
      <c r="K1194" s="1" t="s">
        <v>3652</v>
      </c>
      <c r="L1194" s="1" t="s">
        <v>3653</v>
      </c>
      <c r="M1194" s="2" t="s">
        <v>3654</v>
      </c>
      <c r="N1194" s="31">
        <v>46074</v>
      </c>
    </row>
    <row r="1195" spans="1:14" x14ac:dyDescent="0.25">
      <c r="A1195" s="29">
        <v>1194</v>
      </c>
      <c r="B1195" s="1" t="s">
        <v>3655</v>
      </c>
      <c r="C1195" s="31">
        <v>46037</v>
      </c>
      <c r="D1195" s="1" t="s">
        <v>3647</v>
      </c>
      <c r="E1195" s="13" t="s">
        <v>3656</v>
      </c>
      <c r="F1195" s="1" t="s">
        <v>33</v>
      </c>
      <c r="G1195" s="1" t="s">
        <v>3649</v>
      </c>
      <c r="H1195" s="1" t="s">
        <v>3650</v>
      </c>
      <c r="I1195" s="31">
        <v>46065</v>
      </c>
      <c r="J1195" s="1" t="s">
        <v>3651</v>
      </c>
      <c r="K1195" s="1" t="s">
        <v>3652</v>
      </c>
      <c r="L1195" s="1" t="s">
        <v>3653</v>
      </c>
      <c r="M1195" s="2" t="s">
        <v>3654</v>
      </c>
      <c r="N1195" s="31">
        <v>46078</v>
      </c>
    </row>
    <row r="1196" spans="1:14" x14ac:dyDescent="0.25">
      <c r="A1196" s="29">
        <v>1195</v>
      </c>
      <c r="B1196" s="1" t="s">
        <v>3657</v>
      </c>
      <c r="C1196" s="31">
        <v>45924</v>
      </c>
      <c r="D1196" s="1" t="s">
        <v>3658</v>
      </c>
      <c r="E1196" s="13" t="s">
        <v>3659</v>
      </c>
      <c r="F1196" s="1" t="s">
        <v>33</v>
      </c>
      <c r="G1196" s="1" t="s">
        <v>3660</v>
      </c>
      <c r="H1196" s="1" t="s">
        <v>3661</v>
      </c>
      <c r="I1196" s="31">
        <v>46065</v>
      </c>
      <c r="J1196" s="1" t="s">
        <v>3662</v>
      </c>
      <c r="K1196" s="1" t="s">
        <v>3663</v>
      </c>
      <c r="L1196" s="1" t="s">
        <v>3664</v>
      </c>
      <c r="M1196" s="2" t="s">
        <v>3665</v>
      </c>
      <c r="N1196" s="31">
        <v>46084</v>
      </c>
    </row>
    <row r="1197" spans="1:14" x14ac:dyDescent="0.25">
      <c r="A1197" s="29">
        <v>1196</v>
      </c>
      <c r="B1197" s="1" t="s">
        <v>3666</v>
      </c>
      <c r="C1197" s="31">
        <v>45924</v>
      </c>
      <c r="D1197" s="1" t="s">
        <v>3658</v>
      </c>
      <c r="E1197" s="13" t="s">
        <v>3667</v>
      </c>
      <c r="F1197" s="1" t="s">
        <v>33</v>
      </c>
      <c r="G1197" s="1" t="s">
        <v>3660</v>
      </c>
      <c r="H1197" s="1" t="s">
        <v>3661</v>
      </c>
      <c r="I1197" s="31">
        <v>46065</v>
      </c>
      <c r="J1197" s="1" t="s">
        <v>3662</v>
      </c>
      <c r="K1197" s="1" t="s">
        <v>3663</v>
      </c>
      <c r="L1197" s="1" t="s">
        <v>3664</v>
      </c>
      <c r="M1197" s="2" t="s">
        <v>3665</v>
      </c>
      <c r="N1197" s="31">
        <v>46094</v>
      </c>
    </row>
    <row r="1198" spans="1:14" x14ac:dyDescent="0.25">
      <c r="A1198" s="29">
        <v>1197</v>
      </c>
      <c r="B1198" s="1" t="s">
        <v>3668</v>
      </c>
      <c r="C1198" s="31">
        <v>45892</v>
      </c>
      <c r="D1198" s="1" t="s">
        <v>3669</v>
      </c>
      <c r="E1198" s="13" t="s">
        <v>3670</v>
      </c>
      <c r="F1198" s="1" t="s">
        <v>33</v>
      </c>
      <c r="G1198" s="1" t="s">
        <v>3671</v>
      </c>
      <c r="H1198" s="1" t="s">
        <v>3672</v>
      </c>
      <c r="I1198" s="31">
        <v>46065</v>
      </c>
      <c r="J1198" s="1" t="s">
        <v>3673</v>
      </c>
      <c r="K1198" s="1" t="s">
        <v>3674</v>
      </c>
      <c r="L1198" s="1" t="s">
        <v>3675</v>
      </c>
      <c r="M1198" s="2" t="s">
        <v>3676</v>
      </c>
      <c r="N1198" s="31">
        <v>46088</v>
      </c>
    </row>
    <row r="1199" spans="1:14" x14ac:dyDescent="0.25">
      <c r="A1199" s="29">
        <v>1198</v>
      </c>
      <c r="B1199" s="1" t="s">
        <v>3677</v>
      </c>
      <c r="C1199" s="31">
        <v>45892</v>
      </c>
      <c r="D1199" s="1" t="s">
        <v>3669</v>
      </c>
      <c r="E1199" s="13" t="s">
        <v>3678</v>
      </c>
      <c r="F1199" s="1" t="s">
        <v>33</v>
      </c>
      <c r="G1199" s="1" t="s">
        <v>3671</v>
      </c>
      <c r="H1199" s="1" t="s">
        <v>3672</v>
      </c>
      <c r="I1199" s="31">
        <v>46065</v>
      </c>
      <c r="J1199" s="1" t="s">
        <v>3673</v>
      </c>
      <c r="K1199" s="1" t="s">
        <v>3674</v>
      </c>
      <c r="L1199" s="1" t="s">
        <v>3675</v>
      </c>
      <c r="M1199" s="2" t="s">
        <v>3676</v>
      </c>
      <c r="N1199" s="31">
        <v>46083</v>
      </c>
    </row>
    <row r="1200" spans="1:14" x14ac:dyDescent="0.25">
      <c r="A1200" s="29">
        <v>1199</v>
      </c>
      <c r="B1200" s="1" t="s">
        <v>3679</v>
      </c>
      <c r="C1200" s="31">
        <v>45826</v>
      </c>
      <c r="D1200" s="1" t="s">
        <v>3680</v>
      </c>
      <c r="E1200" s="13" t="s">
        <v>3681</v>
      </c>
      <c r="F1200" s="1" t="s">
        <v>33</v>
      </c>
      <c r="G1200" s="1" t="s">
        <v>3682</v>
      </c>
      <c r="H1200" s="1" t="s">
        <v>3683</v>
      </c>
      <c r="I1200" s="31">
        <v>46065</v>
      </c>
      <c r="J1200" s="1" t="s">
        <v>3684</v>
      </c>
      <c r="K1200" s="1" t="s">
        <v>3685</v>
      </c>
      <c r="L1200" s="1" t="s">
        <v>3686</v>
      </c>
      <c r="M1200" s="2" t="s">
        <v>3687</v>
      </c>
      <c r="N1200" s="31">
        <v>46067</v>
      </c>
    </row>
    <row r="1201" spans="1:14" x14ac:dyDescent="0.25">
      <c r="A1201" s="29">
        <v>1200</v>
      </c>
      <c r="B1201" s="1" t="s">
        <v>3688</v>
      </c>
      <c r="C1201" s="31">
        <v>45826</v>
      </c>
      <c r="D1201" s="1" t="s">
        <v>3680</v>
      </c>
      <c r="E1201" s="13" t="s">
        <v>3689</v>
      </c>
      <c r="F1201" s="1" t="s">
        <v>33</v>
      </c>
      <c r="G1201" s="1" t="s">
        <v>3682</v>
      </c>
      <c r="H1201" s="1" t="s">
        <v>3683</v>
      </c>
      <c r="I1201" s="31">
        <v>46065</v>
      </c>
      <c r="J1201" s="1" t="s">
        <v>3684</v>
      </c>
      <c r="K1201" s="1" t="s">
        <v>3685</v>
      </c>
      <c r="L1201" s="1" t="s">
        <v>3686</v>
      </c>
      <c r="M1201" s="2" t="s">
        <v>3687</v>
      </c>
      <c r="N1201" s="31">
        <v>46089</v>
      </c>
    </row>
    <row r="1202" spans="1:14" x14ac:dyDescent="0.25">
      <c r="A1202" s="29">
        <v>1201</v>
      </c>
      <c r="B1202" s="1" t="s">
        <v>3690</v>
      </c>
      <c r="C1202" s="31">
        <v>45923</v>
      </c>
      <c r="D1202" s="1" t="s">
        <v>3691</v>
      </c>
      <c r="E1202" s="13" t="s">
        <v>3692</v>
      </c>
      <c r="F1202" s="1" t="s">
        <v>33</v>
      </c>
      <c r="G1202" s="1" t="s">
        <v>3693</v>
      </c>
      <c r="H1202" s="1" t="s">
        <v>3694</v>
      </c>
      <c r="I1202" s="31">
        <v>46065</v>
      </c>
      <c r="J1202" s="1" t="s">
        <v>3695</v>
      </c>
      <c r="K1202" s="1" t="s">
        <v>3696</v>
      </c>
      <c r="L1202" s="1" t="s">
        <v>3697</v>
      </c>
      <c r="M1202" s="2" t="s">
        <v>3698</v>
      </c>
      <c r="N1202" s="31">
        <v>46078</v>
      </c>
    </row>
    <row r="1203" spans="1:14" x14ac:dyDescent="0.25">
      <c r="A1203" s="29">
        <v>1202</v>
      </c>
      <c r="B1203" s="1" t="s">
        <v>3699</v>
      </c>
      <c r="C1203" s="31">
        <v>45923</v>
      </c>
      <c r="D1203" s="1" t="s">
        <v>3691</v>
      </c>
      <c r="E1203" s="13" t="s">
        <v>3700</v>
      </c>
      <c r="F1203" s="1" t="s">
        <v>33</v>
      </c>
      <c r="G1203" s="1" t="s">
        <v>3693</v>
      </c>
      <c r="H1203" s="1" t="s">
        <v>3694</v>
      </c>
      <c r="I1203" s="31">
        <v>46065</v>
      </c>
      <c r="J1203" s="1" t="s">
        <v>3695</v>
      </c>
      <c r="K1203" s="1" t="s">
        <v>3696</v>
      </c>
      <c r="L1203" s="1" t="s">
        <v>3697</v>
      </c>
      <c r="M1203" s="2" t="s">
        <v>3698</v>
      </c>
      <c r="N1203" s="31">
        <v>46076</v>
      </c>
    </row>
    <row r="1204" spans="1:14" x14ac:dyDescent="0.25">
      <c r="A1204" s="29">
        <v>1203</v>
      </c>
      <c r="B1204" s="1" t="s">
        <v>3701</v>
      </c>
      <c r="C1204" s="31">
        <v>45852</v>
      </c>
      <c r="D1204" s="1" t="s">
        <v>3702</v>
      </c>
      <c r="E1204" s="13" t="s">
        <v>3703</v>
      </c>
      <c r="F1204" s="1" t="s">
        <v>33</v>
      </c>
      <c r="G1204" s="1" t="s">
        <v>3704</v>
      </c>
      <c r="H1204" s="1" t="s">
        <v>3705</v>
      </c>
      <c r="I1204" s="31">
        <v>46065</v>
      </c>
      <c r="J1204" s="1" t="s">
        <v>3706</v>
      </c>
      <c r="K1204" s="1" t="s">
        <v>3707</v>
      </c>
      <c r="L1204" s="1" t="s">
        <v>3708</v>
      </c>
      <c r="M1204" s="2" t="s">
        <v>3709</v>
      </c>
      <c r="N1204" s="31">
        <v>46082</v>
      </c>
    </row>
    <row r="1205" spans="1:14" x14ac:dyDescent="0.25">
      <c r="A1205" s="29">
        <v>1204</v>
      </c>
      <c r="B1205" s="1" t="s">
        <v>3710</v>
      </c>
      <c r="C1205" s="31">
        <v>45852</v>
      </c>
      <c r="D1205" s="1" t="s">
        <v>3702</v>
      </c>
      <c r="E1205" s="13" t="s">
        <v>3711</v>
      </c>
      <c r="F1205" s="1" t="s">
        <v>33</v>
      </c>
      <c r="G1205" s="1" t="s">
        <v>3704</v>
      </c>
      <c r="H1205" s="1" t="s">
        <v>3705</v>
      </c>
      <c r="I1205" s="31">
        <v>46065</v>
      </c>
      <c r="J1205" s="1" t="s">
        <v>3706</v>
      </c>
      <c r="K1205" s="1" t="s">
        <v>3707</v>
      </c>
      <c r="L1205" s="1" t="s">
        <v>3708</v>
      </c>
      <c r="M1205" s="2" t="s">
        <v>3709</v>
      </c>
      <c r="N1205" s="31">
        <v>46093</v>
      </c>
    </row>
    <row r="1206" spans="1:14" x14ac:dyDescent="0.25">
      <c r="A1206" s="29">
        <v>1205</v>
      </c>
      <c r="B1206" s="1" t="s">
        <v>3712</v>
      </c>
      <c r="C1206" s="31">
        <v>46001</v>
      </c>
      <c r="D1206" s="1" t="s">
        <v>3713</v>
      </c>
      <c r="E1206" s="13" t="s">
        <v>3714</v>
      </c>
      <c r="F1206" s="1" t="s">
        <v>89</v>
      </c>
      <c r="G1206" s="1" t="s">
        <v>3715</v>
      </c>
      <c r="H1206" s="1" t="s">
        <v>3716</v>
      </c>
      <c r="I1206" s="31">
        <v>46065</v>
      </c>
      <c r="J1206" s="1" t="s">
        <v>3717</v>
      </c>
      <c r="K1206" s="1" t="s">
        <v>3718</v>
      </c>
      <c r="L1206" s="1" t="s">
        <v>3719</v>
      </c>
      <c r="M1206" s="2" t="s">
        <v>3720</v>
      </c>
      <c r="N1206" s="31">
        <v>46078</v>
      </c>
    </row>
    <row r="1207" spans="1:14" x14ac:dyDescent="0.25">
      <c r="A1207" s="29">
        <v>1206</v>
      </c>
      <c r="B1207" s="1" t="s">
        <v>3721</v>
      </c>
      <c r="C1207" s="31">
        <v>46001</v>
      </c>
      <c r="D1207" s="1" t="s">
        <v>3713</v>
      </c>
      <c r="E1207" s="13" t="s">
        <v>3722</v>
      </c>
      <c r="F1207" s="1" t="s">
        <v>89</v>
      </c>
      <c r="G1207" s="1" t="s">
        <v>3715</v>
      </c>
      <c r="H1207" s="1" t="s">
        <v>3716</v>
      </c>
      <c r="I1207" s="31">
        <v>46065</v>
      </c>
      <c r="J1207" s="1" t="s">
        <v>3717</v>
      </c>
      <c r="K1207" s="1" t="s">
        <v>3718</v>
      </c>
      <c r="L1207" s="1" t="s">
        <v>3719</v>
      </c>
      <c r="M1207" s="2" t="s">
        <v>3720</v>
      </c>
      <c r="N1207" s="31">
        <v>46066</v>
      </c>
    </row>
    <row r="1208" spans="1:14" x14ac:dyDescent="0.25">
      <c r="A1208" s="29">
        <v>1207</v>
      </c>
      <c r="B1208" s="1" t="s">
        <v>3723</v>
      </c>
      <c r="C1208" s="31">
        <v>45802</v>
      </c>
      <c r="D1208" s="1" t="s">
        <v>3724</v>
      </c>
      <c r="E1208" s="13" t="s">
        <v>3725</v>
      </c>
      <c r="F1208" s="1" t="s">
        <v>33</v>
      </c>
      <c r="G1208" s="1" t="s">
        <v>3726</v>
      </c>
      <c r="H1208" s="1" t="s">
        <v>3727</v>
      </c>
      <c r="I1208" s="31">
        <v>46065</v>
      </c>
      <c r="J1208" s="1" t="s">
        <v>3728</v>
      </c>
      <c r="K1208" s="1" t="s">
        <v>3729</v>
      </c>
      <c r="L1208" s="1" t="s">
        <v>3730</v>
      </c>
      <c r="M1208" s="2" t="s">
        <v>3731</v>
      </c>
      <c r="N1208" s="31">
        <v>46084</v>
      </c>
    </row>
    <row r="1209" spans="1:14" x14ac:dyDescent="0.25">
      <c r="A1209" s="29">
        <v>1208</v>
      </c>
      <c r="B1209" s="1" t="s">
        <v>3732</v>
      </c>
      <c r="C1209" s="31">
        <v>45825</v>
      </c>
      <c r="D1209" s="1" t="s">
        <v>3733</v>
      </c>
      <c r="E1209" s="13" t="s">
        <v>3734</v>
      </c>
      <c r="F1209" s="1" t="s">
        <v>33</v>
      </c>
      <c r="G1209" s="1" t="s">
        <v>3735</v>
      </c>
      <c r="H1209" s="1" t="s">
        <v>3736</v>
      </c>
      <c r="I1209" s="31">
        <v>46065</v>
      </c>
      <c r="J1209" s="1" t="s">
        <v>3737</v>
      </c>
      <c r="K1209" s="1" t="s">
        <v>3738</v>
      </c>
      <c r="L1209" s="1" t="s">
        <v>3739</v>
      </c>
      <c r="M1209" s="2" t="s">
        <v>3740</v>
      </c>
      <c r="N1209" s="31">
        <v>46084</v>
      </c>
    </row>
    <row r="1210" spans="1:14" x14ac:dyDescent="0.25">
      <c r="A1210" s="29">
        <v>1209</v>
      </c>
      <c r="B1210" s="1" t="s">
        <v>3741</v>
      </c>
      <c r="C1210" s="31">
        <v>45779</v>
      </c>
      <c r="D1210" s="1" t="s">
        <v>3742</v>
      </c>
      <c r="E1210" s="13" t="s">
        <v>3743</v>
      </c>
      <c r="F1210" s="1" t="s">
        <v>33</v>
      </c>
      <c r="G1210" s="1" t="s">
        <v>3744</v>
      </c>
      <c r="H1210" s="1" t="s">
        <v>3745</v>
      </c>
      <c r="I1210" s="31">
        <v>46065</v>
      </c>
      <c r="J1210" s="1" t="s">
        <v>3746</v>
      </c>
      <c r="K1210" s="1" t="s">
        <v>3747</v>
      </c>
      <c r="L1210" s="1" t="s">
        <v>3748</v>
      </c>
      <c r="M1210" s="2" t="s">
        <v>3749</v>
      </c>
      <c r="N1210" s="31">
        <v>46094</v>
      </c>
    </row>
    <row r="1211" spans="1:14" x14ac:dyDescent="0.25">
      <c r="A1211" s="29">
        <v>1210</v>
      </c>
      <c r="B1211" s="1" t="s">
        <v>3750</v>
      </c>
      <c r="C1211" s="31">
        <v>45872</v>
      </c>
      <c r="D1211" s="1" t="s">
        <v>3751</v>
      </c>
      <c r="E1211" s="13" t="s">
        <v>3752</v>
      </c>
      <c r="F1211" s="1" t="s">
        <v>33</v>
      </c>
      <c r="G1211" s="1" t="s">
        <v>3753</v>
      </c>
      <c r="H1211" s="1" t="s">
        <v>3754</v>
      </c>
      <c r="I1211" s="31">
        <v>46065</v>
      </c>
      <c r="J1211" s="1" t="s">
        <v>3755</v>
      </c>
      <c r="K1211" s="1" t="s">
        <v>3756</v>
      </c>
      <c r="L1211" s="1" t="s">
        <v>3757</v>
      </c>
      <c r="M1211" s="2" t="s">
        <v>3758</v>
      </c>
      <c r="N1211" s="31">
        <v>46071</v>
      </c>
    </row>
    <row r="1212" spans="1:14" x14ac:dyDescent="0.25">
      <c r="A1212" s="29">
        <v>1211</v>
      </c>
      <c r="B1212" s="1" t="s">
        <v>3759</v>
      </c>
      <c r="C1212" s="31">
        <v>45807</v>
      </c>
      <c r="D1212" s="1" t="s">
        <v>3760</v>
      </c>
      <c r="E1212" s="13" t="s">
        <v>3761</v>
      </c>
      <c r="F1212" s="1" t="s">
        <v>89</v>
      </c>
      <c r="G1212" s="1" t="s">
        <v>3762</v>
      </c>
      <c r="H1212" s="1" t="s">
        <v>3763</v>
      </c>
      <c r="I1212" s="31">
        <v>46065</v>
      </c>
      <c r="J1212" s="1" t="s">
        <v>3764</v>
      </c>
      <c r="K1212" s="1" t="s">
        <v>3765</v>
      </c>
      <c r="L1212" s="1" t="s">
        <v>3766</v>
      </c>
      <c r="M1212" s="2" t="s">
        <v>3767</v>
      </c>
      <c r="N1212" s="31">
        <v>46073</v>
      </c>
    </row>
    <row r="1213" spans="1:14" x14ac:dyDescent="0.25">
      <c r="A1213" s="29">
        <v>1212</v>
      </c>
      <c r="B1213" s="1" t="s">
        <v>3768</v>
      </c>
      <c r="C1213" s="31">
        <v>45892</v>
      </c>
      <c r="D1213" s="1" t="s">
        <v>3769</v>
      </c>
      <c r="E1213" s="13" t="s">
        <v>3770</v>
      </c>
      <c r="F1213" s="1" t="s">
        <v>33</v>
      </c>
      <c r="G1213" s="1" t="s">
        <v>3771</v>
      </c>
      <c r="H1213" s="1" t="s">
        <v>3772</v>
      </c>
      <c r="I1213" s="31">
        <v>46065</v>
      </c>
      <c r="J1213" s="1" t="s">
        <v>3773</v>
      </c>
      <c r="K1213" s="1" t="s">
        <v>3774</v>
      </c>
      <c r="L1213" s="1" t="s">
        <v>3775</v>
      </c>
      <c r="M1213" s="2" t="s">
        <v>3776</v>
      </c>
      <c r="N1213" s="31">
        <v>46077</v>
      </c>
    </row>
    <row r="1214" spans="1:14" x14ac:dyDescent="0.25">
      <c r="A1214" s="29">
        <v>1213</v>
      </c>
      <c r="B1214" s="1" t="s">
        <v>3777</v>
      </c>
      <c r="C1214" s="31">
        <v>45815</v>
      </c>
      <c r="D1214" s="1" t="s">
        <v>3778</v>
      </c>
      <c r="E1214" s="13" t="s">
        <v>3779</v>
      </c>
      <c r="F1214" s="1" t="s">
        <v>33</v>
      </c>
      <c r="G1214" s="1" t="s">
        <v>3780</v>
      </c>
      <c r="H1214" s="1" t="s">
        <v>3781</v>
      </c>
      <c r="I1214" s="31">
        <v>46065</v>
      </c>
      <c r="J1214" s="1" t="s">
        <v>3782</v>
      </c>
      <c r="K1214" s="1" t="s">
        <v>3783</v>
      </c>
      <c r="L1214" s="1" t="s">
        <v>3784</v>
      </c>
      <c r="M1214" s="2" t="s">
        <v>3785</v>
      </c>
      <c r="N1214" s="31">
        <v>46076</v>
      </c>
    </row>
    <row r="1215" spans="1:14" x14ac:dyDescent="0.25">
      <c r="A1215" s="29">
        <v>1214</v>
      </c>
      <c r="B1215" s="1" t="s">
        <v>3786</v>
      </c>
      <c r="C1215" s="31">
        <v>45921</v>
      </c>
      <c r="D1215" s="1" t="s">
        <v>3787</v>
      </c>
      <c r="E1215" s="13" t="s">
        <v>3788</v>
      </c>
      <c r="F1215" s="1" t="s">
        <v>33</v>
      </c>
      <c r="G1215" s="1" t="s">
        <v>3789</v>
      </c>
      <c r="H1215" s="1" t="s">
        <v>3790</v>
      </c>
      <c r="I1215" s="31">
        <v>46065</v>
      </c>
      <c r="J1215" s="1" t="s">
        <v>3791</v>
      </c>
      <c r="K1215" s="1" t="s">
        <v>3792</v>
      </c>
      <c r="L1215" s="1" t="s">
        <v>3793</v>
      </c>
      <c r="M1215" s="2" t="s">
        <v>3794</v>
      </c>
      <c r="N1215" s="31">
        <v>46067</v>
      </c>
    </row>
    <row r="1216" spans="1:14" x14ac:dyDescent="0.25">
      <c r="A1216" s="29">
        <v>1215</v>
      </c>
      <c r="B1216" s="1" t="s">
        <v>3795</v>
      </c>
      <c r="C1216" s="31">
        <v>45921</v>
      </c>
      <c r="D1216" s="1" t="s">
        <v>3796</v>
      </c>
      <c r="E1216" s="13" t="s">
        <v>3797</v>
      </c>
      <c r="F1216" s="1" t="s">
        <v>33</v>
      </c>
      <c r="G1216" s="1" t="s">
        <v>3798</v>
      </c>
      <c r="H1216" s="1" t="s">
        <v>3799</v>
      </c>
      <c r="I1216" s="31">
        <v>46065</v>
      </c>
      <c r="J1216" s="1" t="s">
        <v>3800</v>
      </c>
      <c r="K1216" s="1" t="s">
        <v>3801</v>
      </c>
      <c r="L1216" s="1" t="s">
        <v>3802</v>
      </c>
      <c r="M1216" s="2" t="s">
        <v>3803</v>
      </c>
      <c r="N1216" s="31">
        <v>46083</v>
      </c>
    </row>
    <row r="1217" spans="1:14" x14ac:dyDescent="0.25">
      <c r="A1217" s="29">
        <v>1216</v>
      </c>
      <c r="B1217" s="1" t="s">
        <v>3804</v>
      </c>
      <c r="C1217" s="31">
        <v>45927</v>
      </c>
      <c r="D1217" s="1" t="s">
        <v>3805</v>
      </c>
      <c r="E1217" s="13" t="s">
        <v>3806</v>
      </c>
      <c r="F1217" s="1" t="s">
        <v>89</v>
      </c>
      <c r="G1217" s="1" t="s">
        <v>3807</v>
      </c>
      <c r="H1217" s="1" t="s">
        <v>3808</v>
      </c>
      <c r="I1217" s="31">
        <v>46065</v>
      </c>
      <c r="J1217" s="1" t="s">
        <v>3809</v>
      </c>
      <c r="K1217" s="1" t="s">
        <v>3810</v>
      </c>
      <c r="L1217" s="1" t="s">
        <v>3811</v>
      </c>
      <c r="M1217" s="2" t="s">
        <v>3812</v>
      </c>
      <c r="N1217" s="31">
        <v>46085</v>
      </c>
    </row>
    <row r="1218" spans="1:14" x14ac:dyDescent="0.25">
      <c r="A1218" s="29">
        <v>1217</v>
      </c>
      <c r="B1218" s="1" t="s">
        <v>3813</v>
      </c>
      <c r="C1218" s="31">
        <v>45998</v>
      </c>
      <c r="D1218" s="1" t="s">
        <v>3814</v>
      </c>
      <c r="E1218" s="13" t="s">
        <v>3815</v>
      </c>
      <c r="F1218" s="1" t="s">
        <v>33</v>
      </c>
      <c r="G1218" s="1" t="s">
        <v>3816</v>
      </c>
      <c r="H1218" s="1" t="s">
        <v>3817</v>
      </c>
      <c r="I1218" s="31">
        <v>46065</v>
      </c>
      <c r="J1218" s="1" t="s">
        <v>3818</v>
      </c>
      <c r="K1218" s="1" t="s">
        <v>3819</v>
      </c>
      <c r="L1218" s="1" t="s">
        <v>3820</v>
      </c>
      <c r="M1218" s="2" t="s">
        <v>3821</v>
      </c>
      <c r="N1218" s="31">
        <v>46090</v>
      </c>
    </row>
    <row r="1219" spans="1:14" x14ac:dyDescent="0.25">
      <c r="A1219" s="29">
        <v>1218</v>
      </c>
      <c r="B1219" s="1" t="s">
        <v>3822</v>
      </c>
      <c r="C1219" s="31">
        <v>45849</v>
      </c>
      <c r="D1219" s="1" t="s">
        <v>3823</v>
      </c>
      <c r="E1219" s="13" t="s">
        <v>3824</v>
      </c>
      <c r="F1219" s="1" t="s">
        <v>33</v>
      </c>
      <c r="G1219" s="1" t="s">
        <v>3825</v>
      </c>
      <c r="H1219" s="1" t="s">
        <v>3826</v>
      </c>
      <c r="I1219" s="31">
        <v>46065</v>
      </c>
      <c r="J1219" s="1" t="s">
        <v>3827</v>
      </c>
      <c r="K1219" s="1" t="s">
        <v>3828</v>
      </c>
      <c r="L1219" s="1" t="s">
        <v>3829</v>
      </c>
      <c r="M1219" s="2" t="s">
        <v>3830</v>
      </c>
      <c r="N1219" s="31">
        <v>46089</v>
      </c>
    </row>
    <row r="1220" spans="1:14" x14ac:dyDescent="0.25">
      <c r="A1220" s="29">
        <v>1219</v>
      </c>
      <c r="B1220" s="1" t="s">
        <v>3831</v>
      </c>
      <c r="C1220" s="31">
        <v>45888</v>
      </c>
      <c r="D1220" s="1" t="s">
        <v>3832</v>
      </c>
      <c r="E1220" s="13" t="s">
        <v>3833</v>
      </c>
      <c r="F1220" s="1" t="s">
        <v>33</v>
      </c>
      <c r="G1220" s="1" t="s">
        <v>3834</v>
      </c>
      <c r="H1220" s="1" t="s">
        <v>3835</v>
      </c>
      <c r="I1220" s="31">
        <v>46065</v>
      </c>
      <c r="J1220" s="1" t="s">
        <v>3836</v>
      </c>
      <c r="K1220" s="1" t="s">
        <v>3837</v>
      </c>
      <c r="L1220" s="1" t="s">
        <v>3838</v>
      </c>
      <c r="M1220" s="2" t="s">
        <v>3839</v>
      </c>
      <c r="N1220" s="31">
        <v>46078</v>
      </c>
    </row>
    <row r="1221" spans="1:14" x14ac:dyDescent="0.25">
      <c r="A1221" s="29">
        <v>1220</v>
      </c>
      <c r="B1221" s="1" t="s">
        <v>3840</v>
      </c>
      <c r="C1221" s="31">
        <v>45917</v>
      </c>
      <c r="D1221" s="1" t="s">
        <v>3841</v>
      </c>
      <c r="E1221" s="13" t="s">
        <v>3842</v>
      </c>
      <c r="F1221" s="1" t="s">
        <v>33</v>
      </c>
      <c r="G1221" s="1" t="s">
        <v>3843</v>
      </c>
      <c r="H1221" s="1" t="s">
        <v>3844</v>
      </c>
      <c r="I1221" s="31">
        <v>46065</v>
      </c>
      <c r="J1221" s="1" t="s">
        <v>3845</v>
      </c>
      <c r="K1221" s="1" t="s">
        <v>3846</v>
      </c>
      <c r="L1221" s="1" t="s">
        <v>3847</v>
      </c>
      <c r="M1221" s="2" t="s">
        <v>3848</v>
      </c>
      <c r="N1221" s="31">
        <v>46072</v>
      </c>
    </row>
    <row r="1222" spans="1:14" x14ac:dyDescent="0.25">
      <c r="A1222" s="29">
        <v>1221</v>
      </c>
      <c r="B1222" s="1" t="s">
        <v>3849</v>
      </c>
      <c r="C1222" s="31">
        <v>45951</v>
      </c>
      <c r="D1222" s="1" t="s">
        <v>3850</v>
      </c>
      <c r="E1222" s="13" t="s">
        <v>3851</v>
      </c>
      <c r="F1222" s="1" t="s">
        <v>89</v>
      </c>
      <c r="G1222" s="1" t="s">
        <v>3852</v>
      </c>
      <c r="H1222" s="1" t="s">
        <v>3853</v>
      </c>
      <c r="I1222" s="31">
        <v>46065</v>
      </c>
      <c r="J1222" s="1" t="s">
        <v>3854</v>
      </c>
      <c r="K1222" s="1" t="s">
        <v>3409</v>
      </c>
      <c r="L1222" s="1" t="s">
        <v>3855</v>
      </c>
      <c r="M1222" s="2" t="s">
        <v>3856</v>
      </c>
      <c r="N1222" s="31">
        <v>46091</v>
      </c>
    </row>
    <row r="1223" spans="1:14" x14ac:dyDescent="0.25">
      <c r="A1223" s="29">
        <v>1222</v>
      </c>
      <c r="B1223" s="1" t="s">
        <v>3857</v>
      </c>
      <c r="C1223" s="31">
        <v>45724</v>
      </c>
      <c r="D1223" s="1" t="s">
        <v>3858</v>
      </c>
      <c r="E1223" s="13" t="s">
        <v>3859</v>
      </c>
      <c r="F1223" s="1" t="s">
        <v>33</v>
      </c>
      <c r="G1223" s="1" t="s">
        <v>3860</v>
      </c>
      <c r="H1223" s="1" t="s">
        <v>3861</v>
      </c>
      <c r="I1223" s="31">
        <v>46065</v>
      </c>
      <c r="J1223" s="1" t="s">
        <v>3862</v>
      </c>
      <c r="K1223" s="1" t="s">
        <v>3863</v>
      </c>
      <c r="L1223" s="1" t="s">
        <v>3864</v>
      </c>
      <c r="M1223" s="2" t="s">
        <v>3865</v>
      </c>
      <c r="N1223" s="31">
        <v>46083</v>
      </c>
    </row>
    <row r="1224" spans="1:14" x14ac:dyDescent="0.25">
      <c r="A1224" s="29">
        <v>1223</v>
      </c>
      <c r="B1224" s="1" t="s">
        <v>3866</v>
      </c>
      <c r="C1224" s="31">
        <v>45786</v>
      </c>
      <c r="D1224" s="1" t="s">
        <v>3867</v>
      </c>
      <c r="E1224" s="13" t="s">
        <v>3868</v>
      </c>
      <c r="F1224" s="1" t="s">
        <v>89</v>
      </c>
      <c r="G1224" s="1" t="s">
        <v>3869</v>
      </c>
      <c r="H1224" s="1" t="s">
        <v>3870</v>
      </c>
      <c r="I1224" s="31">
        <v>46065</v>
      </c>
      <c r="J1224" s="1" t="s">
        <v>3871</v>
      </c>
      <c r="K1224" s="1" t="s">
        <v>3872</v>
      </c>
      <c r="L1224" s="1" t="s">
        <v>3873</v>
      </c>
      <c r="M1224" s="2" t="s">
        <v>3874</v>
      </c>
      <c r="N1224" s="31">
        <v>46068</v>
      </c>
    </row>
    <row r="1225" spans="1:14" x14ac:dyDescent="0.25">
      <c r="A1225" s="29">
        <v>1224</v>
      </c>
      <c r="B1225" s="1" t="s">
        <v>3690</v>
      </c>
      <c r="C1225" s="31">
        <v>46052</v>
      </c>
      <c r="D1225" s="1" t="s">
        <v>3875</v>
      </c>
      <c r="E1225" s="13" t="s">
        <v>3876</v>
      </c>
      <c r="F1225" s="1" t="s">
        <v>89</v>
      </c>
      <c r="G1225" s="1" t="s">
        <v>3877</v>
      </c>
      <c r="H1225" s="1" t="s">
        <v>3878</v>
      </c>
      <c r="I1225" s="31">
        <v>46065</v>
      </c>
      <c r="J1225" s="1" t="s">
        <v>3879</v>
      </c>
      <c r="K1225" s="1" t="s">
        <v>3880</v>
      </c>
      <c r="L1225" s="1" t="s">
        <v>3881</v>
      </c>
      <c r="M1225" s="2" t="s">
        <v>3882</v>
      </c>
      <c r="N1225" s="31">
        <v>46081</v>
      </c>
    </row>
    <row r="1226" spans="1:14" x14ac:dyDescent="0.25">
      <c r="A1226" s="29">
        <v>1225</v>
      </c>
      <c r="B1226" s="1" t="s">
        <v>3883</v>
      </c>
      <c r="C1226" s="31">
        <v>45842</v>
      </c>
      <c r="D1226" s="1" t="s">
        <v>3884</v>
      </c>
      <c r="E1226" s="13" t="s">
        <v>3885</v>
      </c>
      <c r="F1226" s="1" t="s">
        <v>89</v>
      </c>
      <c r="G1226" s="1" t="s">
        <v>3886</v>
      </c>
      <c r="H1226" s="1" t="s">
        <v>3887</v>
      </c>
      <c r="I1226" s="31">
        <v>46065</v>
      </c>
      <c r="J1226" s="1" t="s">
        <v>3888</v>
      </c>
      <c r="K1226" s="1" t="s">
        <v>3889</v>
      </c>
      <c r="L1226" s="1" t="s">
        <v>3890</v>
      </c>
      <c r="M1226" s="2" t="s">
        <v>3891</v>
      </c>
      <c r="N1226" s="31">
        <v>46071</v>
      </c>
    </row>
    <row r="1227" spans="1:14" x14ac:dyDescent="0.25">
      <c r="A1227" s="29">
        <v>1226</v>
      </c>
      <c r="B1227" s="1" t="s">
        <v>3892</v>
      </c>
      <c r="C1227" s="31">
        <v>45865</v>
      </c>
      <c r="D1227" s="1" t="s">
        <v>3893</v>
      </c>
      <c r="E1227" s="13" t="s">
        <v>3894</v>
      </c>
      <c r="F1227" s="1" t="s">
        <v>89</v>
      </c>
      <c r="G1227" s="1" t="s">
        <v>3895</v>
      </c>
      <c r="H1227" s="1" t="s">
        <v>3896</v>
      </c>
      <c r="I1227" s="31">
        <v>46065</v>
      </c>
      <c r="J1227" s="1" t="s">
        <v>3897</v>
      </c>
      <c r="K1227" s="1" t="s">
        <v>3898</v>
      </c>
      <c r="L1227" s="1" t="s">
        <v>3899</v>
      </c>
      <c r="M1227" s="2" t="s">
        <v>3900</v>
      </c>
      <c r="N1227" s="31">
        <v>46076</v>
      </c>
    </row>
    <row r="1228" spans="1:14" x14ac:dyDescent="0.25">
      <c r="A1228" s="29">
        <v>1227</v>
      </c>
      <c r="B1228" s="1" t="s">
        <v>3901</v>
      </c>
      <c r="C1228" s="31">
        <v>45819</v>
      </c>
      <c r="D1228" s="1" t="s">
        <v>3902</v>
      </c>
      <c r="E1228" s="13" t="s">
        <v>3903</v>
      </c>
      <c r="F1228" s="1" t="s">
        <v>89</v>
      </c>
      <c r="G1228" s="1" t="s">
        <v>3904</v>
      </c>
      <c r="H1228" s="1" t="s">
        <v>3905</v>
      </c>
      <c r="I1228" s="31">
        <v>46065</v>
      </c>
      <c r="J1228" s="1" t="s">
        <v>3906</v>
      </c>
      <c r="K1228" s="1" t="s">
        <v>3801</v>
      </c>
      <c r="L1228" s="1" t="s">
        <v>3907</v>
      </c>
      <c r="M1228" s="2" t="s">
        <v>3908</v>
      </c>
      <c r="N1228" s="31">
        <v>46069</v>
      </c>
    </row>
    <row r="1229" spans="1:14" x14ac:dyDescent="0.25">
      <c r="A1229" s="29">
        <v>1228</v>
      </c>
      <c r="B1229" s="1" t="s">
        <v>3909</v>
      </c>
      <c r="C1229" s="31">
        <v>45874</v>
      </c>
      <c r="D1229" s="1" t="s">
        <v>3910</v>
      </c>
      <c r="E1229" s="13" t="s">
        <v>3911</v>
      </c>
      <c r="F1229" s="1" t="s">
        <v>89</v>
      </c>
      <c r="G1229" s="1" t="s">
        <v>3912</v>
      </c>
      <c r="H1229" s="1" t="s">
        <v>3913</v>
      </c>
      <c r="I1229" s="31">
        <v>46065</v>
      </c>
      <c r="J1229" s="1" t="s">
        <v>3914</v>
      </c>
      <c r="K1229" s="1" t="s">
        <v>3915</v>
      </c>
      <c r="L1229" s="1" t="s">
        <v>3916</v>
      </c>
      <c r="M1229" s="2" t="s">
        <v>3917</v>
      </c>
      <c r="N1229" s="31">
        <v>46083</v>
      </c>
    </row>
    <row r="1230" spans="1:14" x14ac:dyDescent="0.25">
      <c r="A1230" s="29">
        <v>1229</v>
      </c>
      <c r="B1230" s="1" t="s">
        <v>3918</v>
      </c>
      <c r="C1230" s="31">
        <v>45915</v>
      </c>
      <c r="D1230" s="1" t="s">
        <v>3919</v>
      </c>
      <c r="E1230" s="13" t="s">
        <v>3920</v>
      </c>
      <c r="F1230" s="1" t="s">
        <v>89</v>
      </c>
      <c r="G1230" s="1" t="s">
        <v>3921</v>
      </c>
      <c r="H1230" s="1" t="s">
        <v>3922</v>
      </c>
      <c r="I1230" s="31">
        <v>46065</v>
      </c>
      <c r="J1230" s="1" t="s">
        <v>3923</v>
      </c>
      <c r="K1230" s="1" t="s">
        <v>2474</v>
      </c>
      <c r="L1230" s="1" t="s">
        <v>3924</v>
      </c>
      <c r="M1230" s="2" t="s">
        <v>3925</v>
      </c>
      <c r="N1230" s="31">
        <v>46070</v>
      </c>
    </row>
    <row r="1231" spans="1:14" x14ac:dyDescent="0.25">
      <c r="A1231" s="29">
        <v>1230</v>
      </c>
      <c r="B1231" s="1" t="s">
        <v>3926</v>
      </c>
      <c r="C1231" s="31">
        <v>45701</v>
      </c>
      <c r="D1231" s="1" t="s">
        <v>3927</v>
      </c>
      <c r="E1231" s="13" t="s">
        <v>3928</v>
      </c>
      <c r="F1231" s="1" t="s">
        <v>33</v>
      </c>
      <c r="G1231" s="1" t="s">
        <v>3929</v>
      </c>
      <c r="H1231" s="1" t="s">
        <v>3930</v>
      </c>
      <c r="I1231" s="31">
        <v>46065</v>
      </c>
      <c r="J1231" s="1" t="s">
        <v>3931</v>
      </c>
      <c r="K1231" s="1" t="s">
        <v>3932</v>
      </c>
      <c r="L1231" s="1" t="s">
        <v>3933</v>
      </c>
      <c r="M1231" s="2" t="s">
        <v>3934</v>
      </c>
      <c r="N1231" s="31">
        <v>46095</v>
      </c>
    </row>
    <row r="1232" spans="1:14" x14ac:dyDescent="0.25">
      <c r="A1232" s="29">
        <v>1231</v>
      </c>
      <c r="B1232" s="1" t="s">
        <v>3935</v>
      </c>
      <c r="C1232" s="31">
        <v>45919</v>
      </c>
      <c r="D1232" s="1" t="s">
        <v>3936</v>
      </c>
      <c r="E1232" s="13" t="s">
        <v>3937</v>
      </c>
      <c r="F1232" s="1" t="s">
        <v>89</v>
      </c>
      <c r="G1232" s="1" t="s">
        <v>3938</v>
      </c>
      <c r="H1232" s="1" t="s">
        <v>3939</v>
      </c>
      <c r="I1232" s="31">
        <v>46065</v>
      </c>
      <c r="J1232" s="1" t="s">
        <v>3940</v>
      </c>
      <c r="K1232" s="1" t="s">
        <v>3810</v>
      </c>
      <c r="L1232" s="1" t="s">
        <v>3941</v>
      </c>
      <c r="M1232" s="2" t="s">
        <v>3942</v>
      </c>
      <c r="N1232" s="31">
        <v>46073</v>
      </c>
    </row>
    <row r="1233" spans="1:14" x14ac:dyDescent="0.25">
      <c r="A1233" s="29">
        <v>1232</v>
      </c>
      <c r="B1233" s="1" t="s">
        <v>3943</v>
      </c>
      <c r="C1233" s="31">
        <v>45946</v>
      </c>
      <c r="D1233" s="1" t="s">
        <v>3944</v>
      </c>
      <c r="E1233" s="13" t="s">
        <v>3945</v>
      </c>
      <c r="F1233" s="1" t="s">
        <v>89</v>
      </c>
      <c r="G1233" s="1" t="s">
        <v>3946</v>
      </c>
      <c r="H1233" s="1" t="s">
        <v>3947</v>
      </c>
      <c r="I1233" s="31">
        <v>46065</v>
      </c>
      <c r="J1233" s="1" t="s">
        <v>3948</v>
      </c>
      <c r="K1233" s="1" t="s">
        <v>3949</v>
      </c>
      <c r="L1233" s="1" t="s">
        <v>3950</v>
      </c>
      <c r="M1233" s="2" t="s">
        <v>3951</v>
      </c>
      <c r="N1233" s="31">
        <v>46082</v>
      </c>
    </row>
    <row r="1234" spans="1:14" x14ac:dyDescent="0.25">
      <c r="A1234" s="29">
        <v>1233</v>
      </c>
      <c r="B1234" s="1" t="s">
        <v>3952</v>
      </c>
      <c r="C1234" s="31">
        <v>45962</v>
      </c>
      <c r="D1234" s="1" t="s">
        <v>3953</v>
      </c>
      <c r="E1234" s="13" t="s">
        <v>3954</v>
      </c>
      <c r="F1234" s="1" t="s">
        <v>89</v>
      </c>
      <c r="G1234" s="1" t="s">
        <v>3955</v>
      </c>
      <c r="H1234" s="1" t="s">
        <v>3956</v>
      </c>
      <c r="I1234" s="31">
        <v>46065</v>
      </c>
      <c r="J1234" s="1" t="s">
        <v>3957</v>
      </c>
      <c r="K1234" s="1" t="s">
        <v>3958</v>
      </c>
      <c r="L1234" s="1" t="s">
        <v>3959</v>
      </c>
      <c r="M1234" s="2" t="s">
        <v>3960</v>
      </c>
      <c r="N1234" s="31">
        <v>46073</v>
      </c>
    </row>
    <row r="1235" spans="1:14" x14ac:dyDescent="0.25">
      <c r="A1235" s="29">
        <v>1234</v>
      </c>
      <c r="B1235" s="1" t="s">
        <v>3961</v>
      </c>
      <c r="C1235" s="31">
        <v>45848</v>
      </c>
      <c r="D1235" s="1" t="s">
        <v>3962</v>
      </c>
      <c r="E1235" s="13" t="s">
        <v>3963</v>
      </c>
      <c r="F1235" s="1" t="s">
        <v>89</v>
      </c>
      <c r="G1235" s="1" t="s">
        <v>3964</v>
      </c>
      <c r="H1235" s="1" t="s">
        <v>3965</v>
      </c>
      <c r="I1235" s="31">
        <v>46065</v>
      </c>
      <c r="J1235" s="1" t="s">
        <v>3966</v>
      </c>
      <c r="K1235" s="1" t="s">
        <v>3967</v>
      </c>
      <c r="L1235" s="1" t="s">
        <v>3968</v>
      </c>
      <c r="M1235" s="2" t="s">
        <v>3969</v>
      </c>
      <c r="N1235" s="31">
        <v>46082</v>
      </c>
    </row>
    <row r="1236" spans="1:14" x14ac:dyDescent="0.25">
      <c r="A1236" s="29">
        <v>1235</v>
      </c>
      <c r="B1236" s="1" t="s">
        <v>3970</v>
      </c>
      <c r="C1236" s="31">
        <v>46029</v>
      </c>
      <c r="D1236" s="1" t="s">
        <v>3971</v>
      </c>
      <c r="E1236" s="13" t="s">
        <v>3972</v>
      </c>
      <c r="F1236" s="1" t="s">
        <v>33</v>
      </c>
      <c r="G1236" s="1" t="s">
        <v>3973</v>
      </c>
      <c r="H1236" s="1" t="s">
        <v>3974</v>
      </c>
      <c r="I1236" s="31">
        <v>46065</v>
      </c>
      <c r="J1236" s="1" t="s">
        <v>3975</v>
      </c>
      <c r="K1236" s="1" t="s">
        <v>3976</v>
      </c>
      <c r="L1236" s="1" t="s">
        <v>3977</v>
      </c>
      <c r="M1236" s="2" t="s">
        <v>3978</v>
      </c>
      <c r="N1236" s="31">
        <v>46095</v>
      </c>
    </row>
    <row r="1237" spans="1:14" x14ac:dyDescent="0.25">
      <c r="A1237" s="29">
        <v>1236</v>
      </c>
      <c r="B1237" s="1" t="s">
        <v>3979</v>
      </c>
      <c r="C1237" s="31">
        <v>45951</v>
      </c>
      <c r="D1237" s="1" t="s">
        <v>3980</v>
      </c>
      <c r="E1237" s="13" t="s">
        <v>3981</v>
      </c>
      <c r="F1237" s="1" t="s">
        <v>89</v>
      </c>
      <c r="G1237" s="1" t="s">
        <v>3982</v>
      </c>
      <c r="H1237" s="1" t="s">
        <v>3983</v>
      </c>
      <c r="I1237" s="31">
        <v>46065</v>
      </c>
      <c r="J1237" s="1" t="s">
        <v>3984</v>
      </c>
      <c r="K1237" s="1" t="s">
        <v>3985</v>
      </c>
      <c r="L1237" s="1" t="s">
        <v>3986</v>
      </c>
      <c r="M1237" s="2" t="s">
        <v>3987</v>
      </c>
      <c r="N1237" s="31">
        <v>46087</v>
      </c>
    </row>
    <row r="1238" spans="1:14" x14ac:dyDescent="0.25">
      <c r="A1238" s="29">
        <v>1237</v>
      </c>
      <c r="B1238" s="1" t="s">
        <v>3988</v>
      </c>
      <c r="C1238" s="31">
        <v>45817</v>
      </c>
      <c r="D1238" s="1" t="s">
        <v>3989</v>
      </c>
      <c r="E1238" s="13" t="s">
        <v>3990</v>
      </c>
      <c r="F1238" s="1" t="s">
        <v>89</v>
      </c>
      <c r="G1238" s="1" t="s">
        <v>3991</v>
      </c>
      <c r="H1238" s="1" t="s">
        <v>3992</v>
      </c>
      <c r="I1238" s="31">
        <v>46065</v>
      </c>
      <c r="J1238" s="1" t="s">
        <v>3993</v>
      </c>
      <c r="K1238" s="1" t="s">
        <v>3994</v>
      </c>
      <c r="L1238" s="1" t="s">
        <v>3995</v>
      </c>
      <c r="M1238" s="2" t="s">
        <v>3996</v>
      </c>
      <c r="N1238" s="31">
        <v>46074</v>
      </c>
    </row>
    <row r="1239" spans="1:14" x14ac:dyDescent="0.25">
      <c r="A1239" s="29">
        <v>1238</v>
      </c>
      <c r="B1239" s="1" t="s">
        <v>3997</v>
      </c>
      <c r="C1239" s="31">
        <v>46060</v>
      </c>
      <c r="D1239" s="1" t="s">
        <v>3998</v>
      </c>
      <c r="E1239" s="13" t="s">
        <v>3999</v>
      </c>
      <c r="F1239" s="1" t="s">
        <v>33</v>
      </c>
      <c r="G1239" s="1" t="s">
        <v>4000</v>
      </c>
      <c r="H1239" s="1" t="s">
        <v>4001</v>
      </c>
      <c r="I1239" s="31">
        <v>46065</v>
      </c>
      <c r="J1239" s="1" t="s">
        <v>4002</v>
      </c>
      <c r="K1239" s="1" t="s">
        <v>2789</v>
      </c>
      <c r="L1239" s="1" t="s">
        <v>4003</v>
      </c>
      <c r="M1239" s="2" t="s">
        <v>4004</v>
      </c>
      <c r="N1239" s="31">
        <v>46088</v>
      </c>
    </row>
    <row r="1240" spans="1:14" x14ac:dyDescent="0.25">
      <c r="A1240" s="29">
        <v>1239</v>
      </c>
      <c r="B1240" s="1" t="s">
        <v>4005</v>
      </c>
      <c r="C1240" s="31">
        <v>45820</v>
      </c>
      <c r="D1240" s="1" t="s">
        <v>4006</v>
      </c>
      <c r="E1240" s="13" t="s">
        <v>4007</v>
      </c>
      <c r="F1240" s="1" t="s">
        <v>33</v>
      </c>
      <c r="G1240" s="1" t="s">
        <v>4008</v>
      </c>
      <c r="H1240" s="1" t="s">
        <v>4009</v>
      </c>
      <c r="I1240" s="31">
        <v>46065</v>
      </c>
      <c r="J1240" s="1" t="s">
        <v>4010</v>
      </c>
      <c r="K1240" s="1" t="s">
        <v>4011</v>
      </c>
      <c r="L1240" s="1" t="s">
        <v>4012</v>
      </c>
      <c r="M1240" s="2" t="s">
        <v>4013</v>
      </c>
      <c r="N1240" s="31">
        <v>46077</v>
      </c>
    </row>
    <row r="1241" spans="1:14" x14ac:dyDescent="0.25">
      <c r="A1241" s="29">
        <v>1240</v>
      </c>
      <c r="B1241" s="1" t="s">
        <v>4014</v>
      </c>
      <c r="C1241" s="31">
        <v>45997</v>
      </c>
      <c r="D1241" s="1" t="s">
        <v>4015</v>
      </c>
      <c r="E1241" s="13" t="s">
        <v>4016</v>
      </c>
      <c r="F1241" s="1" t="s">
        <v>89</v>
      </c>
      <c r="G1241" s="1" t="s">
        <v>4017</v>
      </c>
      <c r="H1241" s="1" t="s">
        <v>4018</v>
      </c>
      <c r="I1241" s="31">
        <v>46065</v>
      </c>
      <c r="J1241" s="1" t="s">
        <v>4019</v>
      </c>
      <c r="K1241" s="1" t="s">
        <v>4020</v>
      </c>
      <c r="L1241" s="1" t="s">
        <v>4021</v>
      </c>
      <c r="M1241" s="2" t="s">
        <v>4022</v>
      </c>
      <c r="N1241" s="31">
        <v>46080</v>
      </c>
    </row>
    <row r="1242" spans="1:14" x14ac:dyDescent="0.25">
      <c r="A1242" s="29">
        <v>1241</v>
      </c>
      <c r="B1242" s="1" t="s">
        <v>4023</v>
      </c>
      <c r="C1242" s="31">
        <v>45822</v>
      </c>
      <c r="D1242" s="1" t="s">
        <v>4024</v>
      </c>
      <c r="E1242" s="13" t="s">
        <v>4025</v>
      </c>
      <c r="F1242" s="1" t="s">
        <v>33</v>
      </c>
      <c r="G1242" s="1" t="s">
        <v>4026</v>
      </c>
      <c r="H1242" s="1" t="s">
        <v>4027</v>
      </c>
      <c r="I1242" s="31">
        <v>46065</v>
      </c>
      <c r="J1242" s="1" t="s">
        <v>4028</v>
      </c>
      <c r="K1242" s="1" t="s">
        <v>4029</v>
      </c>
      <c r="L1242" s="1" t="s">
        <v>4030</v>
      </c>
      <c r="M1242" s="2" t="s">
        <v>4031</v>
      </c>
      <c r="N1242" s="31">
        <v>46066</v>
      </c>
    </row>
    <row r="1243" spans="1:14" x14ac:dyDescent="0.25">
      <c r="A1243" s="29">
        <v>1242</v>
      </c>
      <c r="B1243" s="1" t="s">
        <v>4032</v>
      </c>
      <c r="C1243" s="31">
        <v>45730</v>
      </c>
      <c r="D1243" s="1" t="s">
        <v>4033</v>
      </c>
      <c r="E1243" s="13" t="s">
        <v>4034</v>
      </c>
      <c r="F1243" s="1" t="s">
        <v>89</v>
      </c>
      <c r="G1243" s="1" t="s">
        <v>4035</v>
      </c>
      <c r="H1243" s="1" t="s">
        <v>4036</v>
      </c>
      <c r="I1243" s="31">
        <v>46065</v>
      </c>
      <c r="J1243" s="1" t="s">
        <v>4037</v>
      </c>
      <c r="K1243" s="1" t="s">
        <v>4038</v>
      </c>
      <c r="L1243" s="1" t="s">
        <v>4039</v>
      </c>
      <c r="M1243" s="2" t="s">
        <v>4040</v>
      </c>
      <c r="N1243" s="31">
        <v>46069</v>
      </c>
    </row>
    <row r="1244" spans="1:14" x14ac:dyDescent="0.25">
      <c r="A1244" s="29">
        <v>1243</v>
      </c>
      <c r="B1244" s="1" t="s">
        <v>4041</v>
      </c>
      <c r="C1244" s="31">
        <v>45703</v>
      </c>
      <c r="D1244" s="1" t="s">
        <v>4042</v>
      </c>
      <c r="E1244" s="13" t="s">
        <v>4043</v>
      </c>
      <c r="F1244" s="1" t="s">
        <v>33</v>
      </c>
      <c r="G1244" s="1" t="s">
        <v>4044</v>
      </c>
      <c r="H1244" s="1" t="s">
        <v>4045</v>
      </c>
      <c r="I1244" s="31">
        <v>46065</v>
      </c>
      <c r="J1244" s="1" t="s">
        <v>4046</v>
      </c>
      <c r="K1244" s="1" t="s">
        <v>4047</v>
      </c>
      <c r="L1244" s="1" t="s">
        <v>4048</v>
      </c>
      <c r="M1244" s="2" t="s">
        <v>4049</v>
      </c>
      <c r="N1244" s="31">
        <v>46075</v>
      </c>
    </row>
    <row r="1245" spans="1:14" x14ac:dyDescent="0.25">
      <c r="A1245" s="29">
        <v>1244</v>
      </c>
      <c r="B1245" s="1" t="s">
        <v>4050</v>
      </c>
      <c r="C1245" s="31">
        <v>45712</v>
      </c>
      <c r="D1245" s="1" t="s">
        <v>4051</v>
      </c>
      <c r="E1245" s="13" t="s">
        <v>4052</v>
      </c>
      <c r="F1245" s="1" t="s">
        <v>33</v>
      </c>
      <c r="G1245" s="1" t="s">
        <v>4053</v>
      </c>
      <c r="H1245" s="1" t="s">
        <v>4054</v>
      </c>
      <c r="I1245" s="31">
        <v>46065</v>
      </c>
      <c r="J1245" s="1" t="s">
        <v>4055</v>
      </c>
      <c r="K1245" s="1" t="s">
        <v>4056</v>
      </c>
      <c r="L1245" s="1" t="s">
        <v>4057</v>
      </c>
      <c r="M1245" s="2" t="s">
        <v>4058</v>
      </c>
      <c r="N1245" s="31">
        <v>46067</v>
      </c>
    </row>
    <row r="1246" spans="1:14" x14ac:dyDescent="0.25">
      <c r="A1246" s="29">
        <v>1245</v>
      </c>
      <c r="B1246" s="1" t="s">
        <v>4059</v>
      </c>
      <c r="C1246" s="31">
        <v>45891</v>
      </c>
      <c r="D1246" s="1" t="s">
        <v>4060</v>
      </c>
      <c r="E1246" s="13" t="s">
        <v>4061</v>
      </c>
      <c r="F1246" s="1" t="s">
        <v>33</v>
      </c>
      <c r="G1246" s="1" t="s">
        <v>4062</v>
      </c>
      <c r="H1246" s="1" t="s">
        <v>4063</v>
      </c>
      <c r="I1246" s="31">
        <v>46065</v>
      </c>
      <c r="J1246" s="1" t="s">
        <v>4064</v>
      </c>
      <c r="K1246" s="1" t="s">
        <v>3685</v>
      </c>
      <c r="L1246" s="1" t="s">
        <v>4065</v>
      </c>
      <c r="M1246" s="2" t="s">
        <v>4066</v>
      </c>
      <c r="N1246" s="31">
        <v>46078</v>
      </c>
    </row>
    <row r="1247" spans="1:14" x14ac:dyDescent="0.25">
      <c r="A1247" s="29">
        <v>1246</v>
      </c>
      <c r="B1247" s="1" t="s">
        <v>4067</v>
      </c>
      <c r="C1247" s="31">
        <v>45828</v>
      </c>
      <c r="D1247" s="1" t="s">
        <v>4068</v>
      </c>
      <c r="E1247" s="13" t="s">
        <v>4069</v>
      </c>
      <c r="F1247" s="1" t="s">
        <v>89</v>
      </c>
      <c r="G1247" s="1" t="s">
        <v>4070</v>
      </c>
      <c r="H1247" s="1" t="s">
        <v>4071</v>
      </c>
      <c r="I1247" s="31">
        <v>46065</v>
      </c>
      <c r="J1247" s="1" t="s">
        <v>4072</v>
      </c>
      <c r="K1247" s="1" t="s">
        <v>3302</v>
      </c>
      <c r="L1247" s="1" t="s">
        <v>4073</v>
      </c>
      <c r="M1247" s="2" t="s">
        <v>4074</v>
      </c>
      <c r="N1247" s="31">
        <v>46074</v>
      </c>
    </row>
    <row r="1248" spans="1:14" x14ac:dyDescent="0.25">
      <c r="A1248" s="29">
        <v>1247</v>
      </c>
      <c r="B1248" s="1" t="s">
        <v>4075</v>
      </c>
      <c r="C1248" s="31">
        <v>45828</v>
      </c>
      <c r="D1248" s="1" t="s">
        <v>4076</v>
      </c>
      <c r="E1248" s="13" t="s">
        <v>4077</v>
      </c>
      <c r="F1248" s="1" t="s">
        <v>89</v>
      </c>
      <c r="G1248" s="1" t="s">
        <v>4078</v>
      </c>
      <c r="H1248" s="1" t="s">
        <v>4079</v>
      </c>
      <c r="I1248" s="31">
        <v>46065</v>
      </c>
      <c r="J1248" s="1" t="s">
        <v>4080</v>
      </c>
      <c r="K1248" s="1" t="s">
        <v>4081</v>
      </c>
      <c r="L1248" s="1" t="s">
        <v>4082</v>
      </c>
      <c r="M1248" s="2" t="s">
        <v>4083</v>
      </c>
      <c r="N1248" s="31">
        <v>46082</v>
      </c>
    </row>
    <row r="1249" spans="1:14" x14ac:dyDescent="0.25">
      <c r="A1249" s="29">
        <v>1248</v>
      </c>
      <c r="B1249" s="1" t="s">
        <v>4084</v>
      </c>
      <c r="C1249" s="31">
        <v>45957</v>
      </c>
      <c r="D1249" s="1" t="s">
        <v>4085</v>
      </c>
      <c r="E1249" s="13" t="s">
        <v>4086</v>
      </c>
      <c r="F1249" s="1" t="s">
        <v>33</v>
      </c>
      <c r="G1249" s="1" t="s">
        <v>4087</v>
      </c>
      <c r="H1249" s="1" t="s">
        <v>4088</v>
      </c>
      <c r="I1249" s="31">
        <v>46065</v>
      </c>
      <c r="J1249" s="1" t="s">
        <v>4089</v>
      </c>
      <c r="K1249" s="1" t="s">
        <v>4090</v>
      </c>
      <c r="L1249" s="1" t="s">
        <v>4091</v>
      </c>
      <c r="M1249" s="2" t="s">
        <v>4092</v>
      </c>
      <c r="N1249" s="31">
        <v>46075</v>
      </c>
    </row>
    <row r="1250" spans="1:14" x14ac:dyDescent="0.25">
      <c r="A1250" s="29">
        <v>1249</v>
      </c>
      <c r="B1250" s="1" t="s">
        <v>4093</v>
      </c>
      <c r="C1250" s="31">
        <v>45819</v>
      </c>
      <c r="D1250" s="1" t="s">
        <v>4094</v>
      </c>
      <c r="E1250" s="13" t="s">
        <v>4095</v>
      </c>
      <c r="F1250" s="1" t="s">
        <v>33</v>
      </c>
      <c r="G1250" s="1" t="s">
        <v>4096</v>
      </c>
      <c r="H1250" s="1" t="s">
        <v>4097</v>
      </c>
      <c r="I1250" s="31">
        <v>46065</v>
      </c>
      <c r="J1250" s="1" t="s">
        <v>4098</v>
      </c>
      <c r="K1250" s="1" t="s">
        <v>4099</v>
      </c>
      <c r="L1250" s="1" t="s">
        <v>4100</v>
      </c>
      <c r="M1250" s="2" t="s">
        <v>4101</v>
      </c>
      <c r="N1250" s="31">
        <v>46073</v>
      </c>
    </row>
    <row r="1251" spans="1:14" x14ac:dyDescent="0.25">
      <c r="A1251" s="29">
        <v>1250</v>
      </c>
      <c r="B1251" s="1" t="s">
        <v>4102</v>
      </c>
      <c r="C1251" s="31">
        <v>45729</v>
      </c>
      <c r="D1251" s="1" t="s">
        <v>4103</v>
      </c>
      <c r="E1251" s="13" t="s">
        <v>4104</v>
      </c>
      <c r="F1251" s="1" t="s">
        <v>89</v>
      </c>
      <c r="G1251" s="1" t="s">
        <v>4105</v>
      </c>
      <c r="H1251" s="1" t="s">
        <v>4106</v>
      </c>
      <c r="I1251" s="31">
        <v>46065</v>
      </c>
      <c r="J1251" s="1" t="s">
        <v>4107</v>
      </c>
      <c r="K1251" s="1" t="s">
        <v>4108</v>
      </c>
      <c r="L1251" s="1" t="s">
        <v>4109</v>
      </c>
      <c r="M1251" s="2" t="s">
        <v>4110</v>
      </c>
      <c r="N1251" s="31">
        <v>46082</v>
      </c>
    </row>
    <row r="1252" spans="1:14" x14ac:dyDescent="0.25">
      <c r="A1252" s="29">
        <v>1251</v>
      </c>
      <c r="B1252" s="1" t="s">
        <v>4111</v>
      </c>
      <c r="C1252" s="31">
        <v>45765</v>
      </c>
      <c r="D1252" s="1" t="s">
        <v>4112</v>
      </c>
      <c r="E1252" s="13" t="s">
        <v>4113</v>
      </c>
      <c r="F1252" s="1" t="s">
        <v>33</v>
      </c>
      <c r="G1252" s="1" t="s">
        <v>4114</v>
      </c>
      <c r="H1252" s="1" t="s">
        <v>4115</v>
      </c>
      <c r="I1252" s="31">
        <v>46065</v>
      </c>
      <c r="J1252" s="1" t="s">
        <v>4116</v>
      </c>
      <c r="K1252" s="1" t="s">
        <v>4117</v>
      </c>
      <c r="L1252" s="1" t="s">
        <v>4118</v>
      </c>
      <c r="M1252" s="2" t="s">
        <v>4119</v>
      </c>
      <c r="N1252" s="31">
        <v>46090</v>
      </c>
    </row>
    <row r="1253" spans="1:14" x14ac:dyDescent="0.25">
      <c r="A1253" s="29">
        <v>1252</v>
      </c>
      <c r="B1253" s="1" t="s">
        <v>4120</v>
      </c>
      <c r="C1253" s="31">
        <v>46017</v>
      </c>
      <c r="D1253" s="1" t="s">
        <v>4121</v>
      </c>
      <c r="E1253" s="13" t="s">
        <v>4122</v>
      </c>
      <c r="F1253" s="1" t="s">
        <v>89</v>
      </c>
      <c r="G1253" s="1" t="s">
        <v>4123</v>
      </c>
      <c r="H1253" s="1" t="s">
        <v>4124</v>
      </c>
      <c r="I1253" s="31">
        <v>46065</v>
      </c>
      <c r="J1253" s="1" t="s">
        <v>4125</v>
      </c>
      <c r="K1253" s="1" t="s">
        <v>3828</v>
      </c>
      <c r="L1253" s="1" t="s">
        <v>4126</v>
      </c>
      <c r="M1253" s="2" t="s">
        <v>4127</v>
      </c>
      <c r="N1253" s="31">
        <v>46089</v>
      </c>
    </row>
    <row r="1254" spans="1:14" x14ac:dyDescent="0.25">
      <c r="A1254" s="29">
        <v>1253</v>
      </c>
      <c r="B1254" s="1" t="s">
        <v>4128</v>
      </c>
      <c r="C1254" s="31">
        <v>45989</v>
      </c>
      <c r="D1254" s="1" t="s">
        <v>4129</v>
      </c>
      <c r="E1254" s="13" t="s">
        <v>4130</v>
      </c>
      <c r="F1254" s="1" t="s">
        <v>33</v>
      </c>
      <c r="G1254" s="1" t="s">
        <v>4131</v>
      </c>
      <c r="H1254" s="1" t="s">
        <v>4132</v>
      </c>
      <c r="I1254" s="31">
        <v>46065</v>
      </c>
      <c r="J1254" s="1" t="s">
        <v>4133</v>
      </c>
      <c r="K1254" s="1" t="s">
        <v>4134</v>
      </c>
      <c r="L1254" s="1" t="s">
        <v>4135</v>
      </c>
      <c r="M1254" s="2" t="s">
        <v>4136</v>
      </c>
      <c r="N1254" s="31">
        <v>46094</v>
      </c>
    </row>
    <row r="1255" spans="1:14" x14ac:dyDescent="0.25">
      <c r="A1255" s="29">
        <v>1254</v>
      </c>
      <c r="B1255" s="1" t="s">
        <v>4137</v>
      </c>
      <c r="C1255" s="31">
        <v>45969</v>
      </c>
      <c r="D1255" s="1" t="s">
        <v>4138</v>
      </c>
      <c r="E1255" s="13" t="s">
        <v>4139</v>
      </c>
      <c r="F1255" s="1" t="s">
        <v>89</v>
      </c>
      <c r="G1255" s="1" t="s">
        <v>4140</v>
      </c>
      <c r="H1255" s="1" t="s">
        <v>4141</v>
      </c>
      <c r="I1255" s="31">
        <v>46065</v>
      </c>
      <c r="J1255" s="1" t="s">
        <v>4142</v>
      </c>
      <c r="K1255" s="1" t="s">
        <v>4143</v>
      </c>
      <c r="L1255" s="1" t="s">
        <v>4144</v>
      </c>
      <c r="M1255" s="2" t="s">
        <v>4145</v>
      </c>
      <c r="N1255" s="31">
        <v>46082</v>
      </c>
    </row>
    <row r="1256" spans="1:14" x14ac:dyDescent="0.25">
      <c r="A1256" s="29">
        <v>1255</v>
      </c>
      <c r="B1256" s="1" t="s">
        <v>4146</v>
      </c>
      <c r="C1256" s="31">
        <v>45723</v>
      </c>
      <c r="D1256" s="1" t="s">
        <v>4147</v>
      </c>
      <c r="E1256" s="13" t="s">
        <v>4148</v>
      </c>
      <c r="F1256" s="1" t="s">
        <v>33</v>
      </c>
      <c r="G1256" s="1" t="s">
        <v>4149</v>
      </c>
      <c r="H1256" s="1" t="s">
        <v>4150</v>
      </c>
      <c r="I1256" s="31">
        <v>46065</v>
      </c>
      <c r="J1256" s="1" t="s">
        <v>4151</v>
      </c>
      <c r="K1256" s="1" t="s">
        <v>4152</v>
      </c>
      <c r="L1256" s="1" t="s">
        <v>4153</v>
      </c>
      <c r="M1256" s="2" t="s">
        <v>4154</v>
      </c>
      <c r="N1256" s="31">
        <v>46075</v>
      </c>
    </row>
    <row r="1257" spans="1:14" x14ac:dyDescent="0.25">
      <c r="A1257" s="29">
        <v>1256</v>
      </c>
      <c r="B1257" s="1" t="s">
        <v>4155</v>
      </c>
      <c r="C1257" s="31">
        <v>45720</v>
      </c>
      <c r="D1257" s="1" t="s">
        <v>4156</v>
      </c>
      <c r="E1257" s="13" t="s">
        <v>4157</v>
      </c>
      <c r="F1257" s="1" t="s">
        <v>33</v>
      </c>
      <c r="G1257" s="1" t="s">
        <v>4158</v>
      </c>
      <c r="H1257" s="1" t="s">
        <v>4159</v>
      </c>
      <c r="I1257" s="31">
        <v>46065</v>
      </c>
      <c r="J1257" s="1" t="s">
        <v>4160</v>
      </c>
      <c r="K1257" s="1" t="s">
        <v>3696</v>
      </c>
      <c r="L1257" s="1" t="s">
        <v>4161</v>
      </c>
      <c r="M1257" s="2" t="s">
        <v>4162</v>
      </c>
      <c r="N1257" s="31">
        <v>46069</v>
      </c>
    </row>
    <row r="1258" spans="1:14" x14ac:dyDescent="0.25">
      <c r="A1258" s="29">
        <v>1257</v>
      </c>
      <c r="B1258" s="1" t="s">
        <v>4163</v>
      </c>
      <c r="C1258" s="31">
        <v>45846</v>
      </c>
      <c r="D1258" s="1" t="s">
        <v>4164</v>
      </c>
      <c r="E1258" s="13" t="s">
        <v>4165</v>
      </c>
      <c r="F1258" s="1" t="s">
        <v>33</v>
      </c>
      <c r="G1258" s="1" t="s">
        <v>4166</v>
      </c>
      <c r="H1258" s="1" t="s">
        <v>4167</v>
      </c>
      <c r="I1258" s="31">
        <v>46065</v>
      </c>
      <c r="J1258" s="1" t="s">
        <v>4168</v>
      </c>
      <c r="K1258" s="1" t="s">
        <v>4169</v>
      </c>
      <c r="L1258" s="1" t="s">
        <v>4170</v>
      </c>
      <c r="M1258" s="2" t="s">
        <v>4171</v>
      </c>
      <c r="N1258" s="31">
        <v>46079</v>
      </c>
    </row>
    <row r="1259" spans="1:14" x14ac:dyDescent="0.25">
      <c r="A1259" s="29">
        <v>1258</v>
      </c>
      <c r="B1259" s="1" t="s">
        <v>4172</v>
      </c>
      <c r="C1259" s="31">
        <v>45857</v>
      </c>
      <c r="D1259" s="1" t="s">
        <v>4173</v>
      </c>
      <c r="E1259" s="13" t="s">
        <v>4174</v>
      </c>
      <c r="F1259" s="1" t="s">
        <v>89</v>
      </c>
      <c r="G1259" s="1" t="s">
        <v>4175</v>
      </c>
      <c r="H1259" s="1" t="s">
        <v>4176</v>
      </c>
      <c r="I1259" s="31">
        <v>46065</v>
      </c>
      <c r="J1259" s="1" t="s">
        <v>4177</v>
      </c>
      <c r="K1259" s="1" t="s">
        <v>4178</v>
      </c>
      <c r="L1259" s="1" t="s">
        <v>4179</v>
      </c>
      <c r="M1259" s="2" t="s">
        <v>4180</v>
      </c>
      <c r="N1259" s="31">
        <v>46085</v>
      </c>
    </row>
    <row r="1260" spans="1:14" x14ac:dyDescent="0.25">
      <c r="A1260" s="29">
        <v>1259</v>
      </c>
      <c r="B1260" s="1" t="s">
        <v>4181</v>
      </c>
      <c r="C1260" s="31">
        <v>45834</v>
      </c>
      <c r="D1260" s="1" t="s">
        <v>4182</v>
      </c>
      <c r="E1260" s="13" t="s">
        <v>4183</v>
      </c>
      <c r="F1260" s="1" t="s">
        <v>89</v>
      </c>
      <c r="G1260" s="1" t="s">
        <v>4184</v>
      </c>
      <c r="H1260" s="1" t="s">
        <v>4185</v>
      </c>
      <c r="I1260" s="31">
        <v>46065</v>
      </c>
      <c r="J1260" s="1" t="s">
        <v>4186</v>
      </c>
      <c r="K1260" s="1" t="s">
        <v>4187</v>
      </c>
      <c r="L1260" s="1" t="s">
        <v>4188</v>
      </c>
      <c r="M1260" s="2" t="s">
        <v>4189</v>
      </c>
      <c r="N1260" s="31">
        <v>46088</v>
      </c>
    </row>
    <row r="1261" spans="1:14" x14ac:dyDescent="0.25">
      <c r="A1261" s="29">
        <v>1260</v>
      </c>
      <c r="B1261" s="1" t="s">
        <v>4190</v>
      </c>
      <c r="C1261" s="31">
        <v>45730</v>
      </c>
      <c r="D1261" s="1" t="s">
        <v>4191</v>
      </c>
      <c r="E1261" s="13" t="s">
        <v>4192</v>
      </c>
      <c r="F1261" s="1" t="s">
        <v>33</v>
      </c>
      <c r="G1261" s="1" t="s">
        <v>4193</v>
      </c>
      <c r="H1261" s="1" t="s">
        <v>4194</v>
      </c>
      <c r="I1261" s="31">
        <v>46065</v>
      </c>
      <c r="J1261" s="1" t="s">
        <v>4195</v>
      </c>
      <c r="K1261" s="1" t="s">
        <v>4038</v>
      </c>
      <c r="L1261" s="1" t="s">
        <v>4196</v>
      </c>
      <c r="M1261" s="2" t="s">
        <v>4197</v>
      </c>
      <c r="N1261" s="31">
        <v>46075</v>
      </c>
    </row>
    <row r="1262" spans="1:14" x14ac:dyDescent="0.25">
      <c r="A1262" s="29">
        <v>1261</v>
      </c>
      <c r="B1262" s="1" t="s">
        <v>4198</v>
      </c>
      <c r="C1262" s="31">
        <v>45910</v>
      </c>
      <c r="D1262" s="1" t="s">
        <v>4199</v>
      </c>
      <c r="E1262" s="13" t="s">
        <v>4200</v>
      </c>
      <c r="F1262" s="1" t="s">
        <v>89</v>
      </c>
      <c r="G1262" s="1" t="s">
        <v>4201</v>
      </c>
      <c r="H1262" s="1" t="s">
        <v>4202</v>
      </c>
      <c r="I1262" s="31">
        <v>46065</v>
      </c>
      <c r="J1262" s="1" t="s">
        <v>4203</v>
      </c>
      <c r="K1262" s="1" t="s">
        <v>2762</v>
      </c>
      <c r="L1262" s="1" t="s">
        <v>4204</v>
      </c>
      <c r="M1262" s="2" t="s">
        <v>4205</v>
      </c>
      <c r="N1262" s="31">
        <v>46068</v>
      </c>
    </row>
    <row r="1263" spans="1:14" x14ac:dyDescent="0.25">
      <c r="A1263" s="29">
        <v>1262</v>
      </c>
      <c r="B1263" s="1" t="s">
        <v>4206</v>
      </c>
      <c r="C1263" s="31">
        <v>45821</v>
      </c>
      <c r="D1263" s="1" t="s">
        <v>3636</v>
      </c>
      <c r="E1263" s="13" t="s">
        <v>4207</v>
      </c>
      <c r="F1263" s="1" t="s">
        <v>89</v>
      </c>
      <c r="G1263" s="1" t="s">
        <v>4208</v>
      </c>
      <c r="H1263" s="1" t="s">
        <v>4209</v>
      </c>
      <c r="I1263" s="31">
        <v>46065</v>
      </c>
      <c r="J1263" s="1" t="s">
        <v>4210</v>
      </c>
      <c r="K1263" s="1" t="s">
        <v>4211</v>
      </c>
      <c r="L1263" s="1" t="s">
        <v>4212</v>
      </c>
      <c r="M1263" s="2" t="s">
        <v>4213</v>
      </c>
      <c r="N1263" s="31">
        <v>46072</v>
      </c>
    </row>
    <row r="1264" spans="1:14" x14ac:dyDescent="0.25">
      <c r="A1264" s="29">
        <v>1263</v>
      </c>
      <c r="B1264" s="1" t="s">
        <v>4214</v>
      </c>
      <c r="C1264" s="31">
        <v>45716</v>
      </c>
      <c r="D1264" s="1" t="s">
        <v>4215</v>
      </c>
      <c r="E1264" s="13" t="s">
        <v>4216</v>
      </c>
      <c r="F1264" s="1" t="s">
        <v>33</v>
      </c>
      <c r="G1264" s="1" t="s">
        <v>4217</v>
      </c>
      <c r="H1264" s="1" t="s">
        <v>4218</v>
      </c>
      <c r="I1264" s="31">
        <v>46065</v>
      </c>
      <c r="J1264" s="1" t="s">
        <v>4219</v>
      </c>
      <c r="K1264" s="1" t="s">
        <v>4220</v>
      </c>
      <c r="L1264" s="1" t="s">
        <v>4221</v>
      </c>
      <c r="M1264" s="2" t="s">
        <v>4222</v>
      </c>
      <c r="N1264" s="31">
        <v>46081</v>
      </c>
    </row>
    <row r="1265" spans="1:14" x14ac:dyDescent="0.25">
      <c r="A1265" s="29">
        <v>1264</v>
      </c>
      <c r="B1265" s="1" t="s">
        <v>4223</v>
      </c>
      <c r="C1265" s="31">
        <v>45998</v>
      </c>
      <c r="D1265" s="1" t="s">
        <v>4224</v>
      </c>
      <c r="E1265" s="13" t="s">
        <v>4225</v>
      </c>
      <c r="F1265" s="1" t="s">
        <v>33</v>
      </c>
      <c r="G1265" s="1" t="s">
        <v>4226</v>
      </c>
      <c r="H1265" s="1" t="s">
        <v>4227</v>
      </c>
      <c r="I1265" s="31">
        <v>46065</v>
      </c>
      <c r="J1265" s="1" t="s">
        <v>4228</v>
      </c>
      <c r="K1265" s="1" t="s">
        <v>4229</v>
      </c>
      <c r="L1265" s="1" t="s">
        <v>4230</v>
      </c>
      <c r="M1265" s="2" t="s">
        <v>4231</v>
      </c>
      <c r="N1265" s="31">
        <v>46083</v>
      </c>
    </row>
    <row r="1266" spans="1:14" x14ac:dyDescent="0.25">
      <c r="A1266" s="29">
        <v>1265</v>
      </c>
      <c r="B1266" s="1" t="s">
        <v>4232</v>
      </c>
      <c r="C1266" s="31">
        <v>45884</v>
      </c>
      <c r="D1266" s="1" t="s">
        <v>4233</v>
      </c>
      <c r="E1266" s="13" t="s">
        <v>4234</v>
      </c>
      <c r="F1266" s="1" t="s">
        <v>33</v>
      </c>
      <c r="G1266" s="1" t="s">
        <v>4235</v>
      </c>
      <c r="H1266" s="1" t="s">
        <v>4236</v>
      </c>
      <c r="I1266" s="31">
        <v>46065</v>
      </c>
      <c r="J1266" s="1" t="s">
        <v>4237</v>
      </c>
      <c r="K1266" s="1" t="s">
        <v>4238</v>
      </c>
      <c r="L1266" s="1" t="s">
        <v>4239</v>
      </c>
      <c r="M1266" s="2" t="s">
        <v>4240</v>
      </c>
      <c r="N1266" s="31">
        <v>46077</v>
      </c>
    </row>
    <row r="1267" spans="1:14" x14ac:dyDescent="0.25">
      <c r="A1267" s="29">
        <v>1266</v>
      </c>
      <c r="B1267" s="1" t="s">
        <v>4241</v>
      </c>
      <c r="C1267" s="31">
        <v>45977</v>
      </c>
      <c r="D1267" s="1" t="s">
        <v>4242</v>
      </c>
      <c r="E1267" s="13" t="s">
        <v>4243</v>
      </c>
      <c r="F1267" s="1" t="s">
        <v>33</v>
      </c>
      <c r="G1267" s="1" t="s">
        <v>4244</v>
      </c>
      <c r="H1267" s="1" t="s">
        <v>4245</v>
      </c>
      <c r="I1267" s="31">
        <v>46065</v>
      </c>
      <c r="J1267" s="1" t="s">
        <v>4246</v>
      </c>
      <c r="K1267" s="1" t="s">
        <v>4247</v>
      </c>
      <c r="L1267" s="1" t="s">
        <v>4248</v>
      </c>
      <c r="M1267" s="2" t="s">
        <v>4249</v>
      </c>
      <c r="N1267" s="31">
        <v>46080</v>
      </c>
    </row>
    <row r="1268" spans="1:14" x14ac:dyDescent="0.25">
      <c r="A1268" s="29">
        <v>1267</v>
      </c>
      <c r="B1268" s="1" t="s">
        <v>4250</v>
      </c>
      <c r="C1268" s="31">
        <v>45947</v>
      </c>
      <c r="D1268" s="1" t="s">
        <v>4251</v>
      </c>
      <c r="E1268" s="13" t="s">
        <v>4252</v>
      </c>
      <c r="F1268" s="1" t="s">
        <v>89</v>
      </c>
      <c r="G1268" s="1" t="s">
        <v>4253</v>
      </c>
      <c r="H1268" s="1" t="s">
        <v>4254</v>
      </c>
      <c r="I1268" s="31">
        <v>46065</v>
      </c>
      <c r="J1268" s="1" t="s">
        <v>4255</v>
      </c>
      <c r="K1268" s="1" t="s">
        <v>4256</v>
      </c>
      <c r="L1268" s="1" t="s">
        <v>4257</v>
      </c>
      <c r="M1268" s="2" t="s">
        <v>4258</v>
      </c>
      <c r="N1268" s="31">
        <v>46076</v>
      </c>
    </row>
    <row r="1269" spans="1:14" x14ac:dyDescent="0.25">
      <c r="A1269" s="29">
        <v>1268</v>
      </c>
      <c r="B1269" s="1" t="s">
        <v>4259</v>
      </c>
      <c r="C1269" s="31">
        <v>45836</v>
      </c>
      <c r="D1269" s="1" t="s">
        <v>4260</v>
      </c>
      <c r="E1269" s="13" t="s">
        <v>4261</v>
      </c>
      <c r="F1269" s="1" t="s">
        <v>89</v>
      </c>
      <c r="G1269" s="1" t="s">
        <v>4262</v>
      </c>
      <c r="H1269" s="1" t="s">
        <v>4263</v>
      </c>
      <c r="I1269" s="31">
        <v>46065</v>
      </c>
      <c r="J1269" s="1" t="s">
        <v>4264</v>
      </c>
      <c r="K1269" s="1" t="s">
        <v>4265</v>
      </c>
      <c r="L1269" s="1" t="s">
        <v>4266</v>
      </c>
      <c r="M1269" s="2" t="s">
        <v>4267</v>
      </c>
      <c r="N1269" s="31">
        <v>46078</v>
      </c>
    </row>
    <row r="1270" spans="1:14" x14ac:dyDescent="0.25">
      <c r="A1270" s="29">
        <v>1269</v>
      </c>
      <c r="B1270" s="1" t="s">
        <v>4268</v>
      </c>
      <c r="C1270" s="31">
        <v>45779</v>
      </c>
      <c r="D1270" s="1" t="s">
        <v>4269</v>
      </c>
      <c r="E1270" s="13" t="s">
        <v>4270</v>
      </c>
      <c r="F1270" s="1" t="s">
        <v>89</v>
      </c>
      <c r="G1270" s="1" t="s">
        <v>4271</v>
      </c>
      <c r="H1270" s="1" t="s">
        <v>4272</v>
      </c>
      <c r="I1270" s="31">
        <v>46065</v>
      </c>
      <c r="J1270" s="1" t="s">
        <v>4273</v>
      </c>
      <c r="K1270" s="1" t="s">
        <v>4274</v>
      </c>
      <c r="L1270" s="1" t="s">
        <v>4275</v>
      </c>
      <c r="M1270" s="2" t="s">
        <v>4276</v>
      </c>
      <c r="N1270" s="31">
        <v>46074</v>
      </c>
    </row>
    <row r="1271" spans="1:14" x14ac:dyDescent="0.25">
      <c r="A1271" s="29">
        <v>1270</v>
      </c>
      <c r="B1271" s="1" t="s">
        <v>4277</v>
      </c>
      <c r="C1271" s="31">
        <v>46005</v>
      </c>
      <c r="D1271" s="1" t="s">
        <v>4278</v>
      </c>
      <c r="E1271" s="13" t="s">
        <v>4279</v>
      </c>
      <c r="F1271" s="1" t="s">
        <v>33</v>
      </c>
      <c r="G1271" s="1" t="s">
        <v>4280</v>
      </c>
      <c r="H1271" s="1" t="s">
        <v>4281</v>
      </c>
      <c r="I1271" s="31">
        <v>46065</v>
      </c>
      <c r="J1271" s="1" t="s">
        <v>4282</v>
      </c>
      <c r="K1271" s="1" t="s">
        <v>4283</v>
      </c>
      <c r="L1271" s="1" t="s">
        <v>4284</v>
      </c>
      <c r="M1271" s="2" t="s">
        <v>4285</v>
      </c>
      <c r="N1271" s="31">
        <v>46082</v>
      </c>
    </row>
    <row r="1272" spans="1:14" x14ac:dyDescent="0.25">
      <c r="A1272" s="29">
        <v>1271</v>
      </c>
      <c r="B1272" s="1" t="s">
        <v>4286</v>
      </c>
      <c r="C1272" s="31">
        <v>45884</v>
      </c>
      <c r="D1272" s="1" t="s">
        <v>4287</v>
      </c>
      <c r="E1272" s="13" t="s">
        <v>4288</v>
      </c>
      <c r="F1272" s="1" t="s">
        <v>33</v>
      </c>
      <c r="G1272" s="1" t="s">
        <v>4289</v>
      </c>
      <c r="H1272" s="1" t="s">
        <v>4290</v>
      </c>
      <c r="I1272" s="31">
        <v>46065</v>
      </c>
      <c r="J1272" s="1" t="s">
        <v>4291</v>
      </c>
      <c r="K1272" s="1" t="s">
        <v>4292</v>
      </c>
      <c r="L1272" s="1" t="s">
        <v>4293</v>
      </c>
      <c r="M1272" s="2" t="s">
        <v>4294</v>
      </c>
      <c r="N1272" s="31">
        <v>46078</v>
      </c>
    </row>
    <row r="1273" spans="1:14" x14ac:dyDescent="0.25">
      <c r="A1273" s="29">
        <v>1272</v>
      </c>
      <c r="B1273" s="1" t="s">
        <v>4295</v>
      </c>
      <c r="C1273" s="31">
        <v>45813</v>
      </c>
      <c r="D1273" s="1" t="s">
        <v>4296</v>
      </c>
      <c r="E1273" s="13" t="s">
        <v>4297</v>
      </c>
      <c r="F1273" s="1" t="s">
        <v>89</v>
      </c>
      <c r="G1273" s="1" t="s">
        <v>4298</v>
      </c>
      <c r="H1273" s="1" t="s">
        <v>4299</v>
      </c>
      <c r="I1273" s="31">
        <v>46065</v>
      </c>
      <c r="J1273" s="1" t="s">
        <v>4300</v>
      </c>
      <c r="K1273" s="1" t="s">
        <v>4301</v>
      </c>
      <c r="L1273" s="1" t="s">
        <v>4302</v>
      </c>
      <c r="M1273" s="2" t="s">
        <v>4303</v>
      </c>
      <c r="N1273" s="31">
        <v>46070</v>
      </c>
    </row>
    <row r="1274" spans="1:14" x14ac:dyDescent="0.25">
      <c r="A1274" s="29">
        <v>1273</v>
      </c>
      <c r="B1274" s="1" t="s">
        <v>4304</v>
      </c>
      <c r="C1274" s="31">
        <v>45942</v>
      </c>
      <c r="D1274" s="1" t="s">
        <v>4305</v>
      </c>
      <c r="E1274" s="13" t="s">
        <v>4306</v>
      </c>
      <c r="F1274" s="1" t="s">
        <v>89</v>
      </c>
      <c r="G1274" s="1" t="s">
        <v>4307</v>
      </c>
      <c r="H1274" s="1" t="s">
        <v>4308</v>
      </c>
      <c r="I1274" s="31">
        <v>46065</v>
      </c>
      <c r="J1274" s="1" t="s">
        <v>4309</v>
      </c>
      <c r="K1274" s="1" t="s">
        <v>4310</v>
      </c>
      <c r="L1274" s="1" t="s">
        <v>4311</v>
      </c>
      <c r="M1274" s="2" t="s">
        <v>4312</v>
      </c>
      <c r="N1274" s="31">
        <v>46066</v>
      </c>
    </row>
    <row r="1275" spans="1:14" x14ac:dyDescent="0.25">
      <c r="A1275" s="29">
        <v>1274</v>
      </c>
      <c r="B1275" s="1" t="s">
        <v>4313</v>
      </c>
      <c r="C1275" s="31">
        <v>45975</v>
      </c>
      <c r="D1275" s="1" t="s">
        <v>4314</v>
      </c>
      <c r="E1275" s="13" t="s">
        <v>4315</v>
      </c>
      <c r="F1275" s="1" t="s">
        <v>89</v>
      </c>
      <c r="G1275" s="1" t="s">
        <v>4316</v>
      </c>
      <c r="H1275" s="1" t="s">
        <v>4317</v>
      </c>
      <c r="I1275" s="31">
        <v>46065</v>
      </c>
      <c r="J1275" s="1" t="s">
        <v>4318</v>
      </c>
      <c r="K1275" s="1" t="s">
        <v>3652</v>
      </c>
      <c r="L1275" s="1" t="s">
        <v>4319</v>
      </c>
      <c r="M1275" s="2" t="s">
        <v>4320</v>
      </c>
      <c r="N1275" s="31">
        <v>46078</v>
      </c>
    </row>
    <row r="1276" spans="1:14" x14ac:dyDescent="0.25">
      <c r="A1276" s="29">
        <v>1275</v>
      </c>
      <c r="B1276" s="1" t="s">
        <v>4321</v>
      </c>
      <c r="C1276" s="31">
        <v>45902</v>
      </c>
      <c r="D1276" s="1" t="s">
        <v>4322</v>
      </c>
      <c r="E1276" s="13" t="s">
        <v>4323</v>
      </c>
      <c r="F1276" s="1" t="s">
        <v>89</v>
      </c>
      <c r="G1276" s="1" t="s">
        <v>4324</v>
      </c>
      <c r="H1276" s="1" t="s">
        <v>4325</v>
      </c>
      <c r="I1276" s="31">
        <v>46065</v>
      </c>
      <c r="J1276" s="1" t="s">
        <v>4326</v>
      </c>
      <c r="K1276" s="1" t="s">
        <v>4327</v>
      </c>
      <c r="L1276" s="1" t="s">
        <v>4328</v>
      </c>
      <c r="M1276" s="2" t="s">
        <v>4329</v>
      </c>
      <c r="N1276" s="31">
        <v>46087</v>
      </c>
    </row>
    <row r="1277" spans="1:14" x14ac:dyDescent="0.25">
      <c r="A1277" s="29">
        <v>1276</v>
      </c>
      <c r="B1277" s="1" t="s">
        <v>4330</v>
      </c>
      <c r="C1277" s="31">
        <v>45827</v>
      </c>
      <c r="D1277" s="1" t="s">
        <v>4331</v>
      </c>
      <c r="E1277" s="13" t="s">
        <v>4332</v>
      </c>
      <c r="F1277" s="1" t="s">
        <v>89</v>
      </c>
      <c r="G1277" s="1" t="s">
        <v>4333</v>
      </c>
      <c r="H1277" s="1" t="s">
        <v>4334</v>
      </c>
      <c r="I1277" s="31">
        <v>46065</v>
      </c>
      <c r="J1277" s="1" t="s">
        <v>4335</v>
      </c>
      <c r="K1277" s="1" t="s">
        <v>4336</v>
      </c>
      <c r="L1277" s="1" t="s">
        <v>4337</v>
      </c>
      <c r="M1277" s="2" t="s">
        <v>4338</v>
      </c>
      <c r="N1277" s="31">
        <v>46086</v>
      </c>
    </row>
    <row r="1278" spans="1:14" x14ac:dyDescent="0.25">
      <c r="A1278" s="29">
        <v>1277</v>
      </c>
      <c r="B1278" s="1" t="s">
        <v>4339</v>
      </c>
      <c r="C1278" s="31">
        <v>45729</v>
      </c>
      <c r="D1278" s="1" t="s">
        <v>4340</v>
      </c>
      <c r="E1278" s="13" t="s">
        <v>4341</v>
      </c>
      <c r="F1278" s="1" t="s">
        <v>33</v>
      </c>
      <c r="G1278" s="1" t="s">
        <v>4342</v>
      </c>
      <c r="H1278" s="1" t="s">
        <v>4343</v>
      </c>
      <c r="I1278" s="31">
        <v>46065</v>
      </c>
      <c r="J1278" s="1" t="s">
        <v>4344</v>
      </c>
      <c r="K1278" s="1" t="s">
        <v>4345</v>
      </c>
      <c r="L1278" s="1" t="s">
        <v>4346</v>
      </c>
      <c r="M1278" s="2" t="s">
        <v>4347</v>
      </c>
      <c r="N1278" s="31">
        <v>46081</v>
      </c>
    </row>
    <row r="1279" spans="1:14" x14ac:dyDescent="0.25">
      <c r="A1279" s="29">
        <v>1278</v>
      </c>
      <c r="B1279" s="1" t="s">
        <v>4348</v>
      </c>
      <c r="C1279" s="31">
        <v>46023</v>
      </c>
      <c r="D1279" s="1" t="s">
        <v>4349</v>
      </c>
      <c r="E1279" s="13" t="s">
        <v>4350</v>
      </c>
      <c r="F1279" s="1" t="s">
        <v>89</v>
      </c>
      <c r="G1279" s="1" t="s">
        <v>4351</v>
      </c>
      <c r="H1279" s="1" t="s">
        <v>4352</v>
      </c>
      <c r="I1279" s="31">
        <v>46065</v>
      </c>
      <c r="J1279" s="1" t="s">
        <v>4353</v>
      </c>
      <c r="K1279" s="1" t="s">
        <v>4354</v>
      </c>
      <c r="L1279" s="1" t="s">
        <v>4355</v>
      </c>
      <c r="M1279" s="2" t="s">
        <v>4356</v>
      </c>
      <c r="N1279" s="31">
        <v>46094</v>
      </c>
    </row>
    <row r="1280" spans="1:14" x14ac:dyDescent="0.25">
      <c r="A1280" s="29">
        <v>1279</v>
      </c>
      <c r="B1280" s="1" t="s">
        <v>4357</v>
      </c>
      <c r="C1280" s="31">
        <v>45940</v>
      </c>
      <c r="D1280" s="1" t="s">
        <v>4358</v>
      </c>
      <c r="E1280" s="13" t="s">
        <v>4359</v>
      </c>
      <c r="F1280" s="1" t="s">
        <v>33</v>
      </c>
      <c r="G1280" s="1" t="s">
        <v>4360</v>
      </c>
      <c r="H1280" s="1" t="s">
        <v>4361</v>
      </c>
      <c r="I1280" s="31">
        <v>46065</v>
      </c>
      <c r="J1280" s="1" t="s">
        <v>4362</v>
      </c>
      <c r="K1280" s="1" t="s">
        <v>4363</v>
      </c>
      <c r="L1280" s="1" t="s">
        <v>4364</v>
      </c>
      <c r="M1280" s="2" t="s">
        <v>4365</v>
      </c>
      <c r="N1280" s="31">
        <v>46069</v>
      </c>
    </row>
    <row r="1281" spans="1:14" x14ac:dyDescent="0.25">
      <c r="A1281" s="29">
        <v>1280</v>
      </c>
      <c r="B1281" s="1" t="s">
        <v>4366</v>
      </c>
      <c r="C1281" s="31">
        <v>45828</v>
      </c>
      <c r="D1281" s="1" t="s">
        <v>4367</v>
      </c>
      <c r="E1281" s="13" t="s">
        <v>4368</v>
      </c>
      <c r="F1281" s="1" t="s">
        <v>89</v>
      </c>
      <c r="G1281" s="1" t="s">
        <v>4369</v>
      </c>
      <c r="H1281" s="1" t="s">
        <v>4370</v>
      </c>
      <c r="I1281" s="31">
        <v>46065</v>
      </c>
      <c r="J1281" s="1" t="s">
        <v>4371</v>
      </c>
      <c r="K1281" s="1" t="s">
        <v>4372</v>
      </c>
      <c r="L1281" s="1" t="s">
        <v>4373</v>
      </c>
      <c r="M1281" s="2" t="s">
        <v>4374</v>
      </c>
      <c r="N1281" s="31">
        <v>46092</v>
      </c>
    </row>
    <row r="1282" spans="1:14" x14ac:dyDescent="0.25">
      <c r="A1282" s="29">
        <v>1281</v>
      </c>
      <c r="B1282" s="1" t="s">
        <v>4375</v>
      </c>
      <c r="C1282" s="31">
        <v>45773</v>
      </c>
      <c r="D1282" s="1" t="s">
        <v>4376</v>
      </c>
      <c r="E1282" s="13" t="s">
        <v>4377</v>
      </c>
      <c r="F1282" s="1" t="s">
        <v>33</v>
      </c>
      <c r="G1282" s="1" t="s">
        <v>4378</v>
      </c>
      <c r="H1282" s="1" t="s">
        <v>4379</v>
      </c>
      <c r="I1282" s="31">
        <v>46065</v>
      </c>
      <c r="J1282" s="1" t="s">
        <v>4380</v>
      </c>
      <c r="K1282" s="1" t="s">
        <v>4381</v>
      </c>
      <c r="L1282" s="1" t="s">
        <v>4382</v>
      </c>
      <c r="M1282" s="2" t="s">
        <v>4383</v>
      </c>
      <c r="N1282" s="31">
        <v>46079</v>
      </c>
    </row>
    <row r="1283" spans="1:14" x14ac:dyDescent="0.25">
      <c r="A1283" s="29">
        <v>1282</v>
      </c>
      <c r="B1283" s="1" t="s">
        <v>4384</v>
      </c>
      <c r="C1283" s="31">
        <v>45945</v>
      </c>
      <c r="D1283" s="1" t="s">
        <v>4385</v>
      </c>
      <c r="E1283" s="13" t="s">
        <v>4386</v>
      </c>
      <c r="F1283" s="1" t="s">
        <v>89</v>
      </c>
      <c r="G1283" s="1" t="s">
        <v>4387</v>
      </c>
      <c r="H1283" s="1" t="s">
        <v>4388</v>
      </c>
      <c r="I1283" s="31">
        <v>46065</v>
      </c>
      <c r="J1283" s="1" t="s">
        <v>4389</v>
      </c>
      <c r="K1283" s="1" t="s">
        <v>3526</v>
      </c>
      <c r="L1283" s="1" t="s">
        <v>4390</v>
      </c>
      <c r="M1283" s="2" t="s">
        <v>4391</v>
      </c>
      <c r="N1283" s="31">
        <v>46076</v>
      </c>
    </row>
    <row r="1284" spans="1:14" x14ac:dyDescent="0.25">
      <c r="A1284" s="29">
        <v>1283</v>
      </c>
      <c r="B1284" s="1" t="s">
        <v>4392</v>
      </c>
      <c r="C1284" s="31">
        <v>46056</v>
      </c>
      <c r="D1284" s="1" t="s">
        <v>4393</v>
      </c>
      <c r="E1284" s="13" t="s">
        <v>4394</v>
      </c>
      <c r="F1284" s="1" t="s">
        <v>89</v>
      </c>
      <c r="G1284" s="1" t="s">
        <v>4395</v>
      </c>
      <c r="H1284" s="1" t="s">
        <v>4396</v>
      </c>
      <c r="I1284" s="31">
        <v>46065</v>
      </c>
      <c r="J1284" s="1" t="s">
        <v>4397</v>
      </c>
      <c r="K1284" s="1" t="s">
        <v>4398</v>
      </c>
      <c r="L1284" s="1" t="s">
        <v>4399</v>
      </c>
      <c r="M1284" s="2" t="s">
        <v>4400</v>
      </c>
      <c r="N1284" s="31">
        <v>46088</v>
      </c>
    </row>
    <row r="1285" spans="1:14" x14ac:dyDescent="0.25">
      <c r="A1285" s="29">
        <v>1284</v>
      </c>
      <c r="B1285" s="1" t="s">
        <v>4401</v>
      </c>
      <c r="C1285" s="31">
        <v>45766</v>
      </c>
      <c r="D1285" s="1" t="s">
        <v>4402</v>
      </c>
      <c r="E1285" s="13" t="s">
        <v>4403</v>
      </c>
      <c r="F1285" s="1" t="s">
        <v>89</v>
      </c>
      <c r="G1285" s="1" t="s">
        <v>4404</v>
      </c>
      <c r="H1285" s="1" t="s">
        <v>4405</v>
      </c>
      <c r="I1285" s="31">
        <v>46065</v>
      </c>
      <c r="J1285" s="1" t="s">
        <v>4406</v>
      </c>
      <c r="K1285" s="1" t="s">
        <v>4407</v>
      </c>
      <c r="L1285" s="1" t="s">
        <v>4408</v>
      </c>
      <c r="M1285" s="2" t="s">
        <v>4409</v>
      </c>
      <c r="N1285" s="31">
        <v>46073</v>
      </c>
    </row>
    <row r="1286" spans="1:14" x14ac:dyDescent="0.25">
      <c r="A1286" s="29">
        <v>1285</v>
      </c>
      <c r="B1286" s="1" t="s">
        <v>4410</v>
      </c>
      <c r="C1286" s="31">
        <v>45744</v>
      </c>
      <c r="D1286" s="1" t="s">
        <v>4411</v>
      </c>
      <c r="E1286" s="13" t="s">
        <v>4412</v>
      </c>
      <c r="F1286" s="1" t="s">
        <v>89</v>
      </c>
      <c r="G1286" s="1" t="s">
        <v>4413</v>
      </c>
      <c r="H1286" s="1" t="s">
        <v>4414</v>
      </c>
      <c r="I1286" s="31">
        <v>46065</v>
      </c>
      <c r="J1286" s="1" t="s">
        <v>4415</v>
      </c>
      <c r="K1286" s="1" t="s">
        <v>4416</v>
      </c>
      <c r="L1286" s="1" t="s">
        <v>4417</v>
      </c>
      <c r="M1286" s="2" t="s">
        <v>4418</v>
      </c>
      <c r="N1286" s="31">
        <v>46090</v>
      </c>
    </row>
    <row r="1287" spans="1:14" x14ac:dyDescent="0.25">
      <c r="A1287" s="29">
        <v>1286</v>
      </c>
      <c r="B1287" s="1" t="s">
        <v>4419</v>
      </c>
      <c r="C1287" s="31">
        <v>45898</v>
      </c>
      <c r="D1287" s="1" t="s">
        <v>4420</v>
      </c>
      <c r="E1287" s="13" t="s">
        <v>4421</v>
      </c>
      <c r="F1287" s="1" t="s">
        <v>33</v>
      </c>
      <c r="G1287" s="1" t="s">
        <v>4422</v>
      </c>
      <c r="H1287" s="1" t="s">
        <v>4423</v>
      </c>
      <c r="I1287" s="31">
        <v>46065</v>
      </c>
      <c r="J1287" s="1" t="s">
        <v>4424</v>
      </c>
      <c r="K1287" s="1" t="s">
        <v>4425</v>
      </c>
      <c r="L1287" s="1" t="s">
        <v>4426</v>
      </c>
      <c r="M1287" s="2" t="s">
        <v>4427</v>
      </c>
      <c r="N1287" s="31">
        <v>46088</v>
      </c>
    </row>
    <row r="1288" spans="1:14" x14ac:dyDescent="0.25">
      <c r="A1288" s="29">
        <v>1287</v>
      </c>
      <c r="B1288" s="1" t="s">
        <v>4428</v>
      </c>
      <c r="C1288" s="31">
        <v>45845</v>
      </c>
      <c r="D1288" s="1" t="s">
        <v>4429</v>
      </c>
      <c r="E1288" s="13" t="s">
        <v>4430</v>
      </c>
      <c r="F1288" s="1" t="s">
        <v>33</v>
      </c>
      <c r="G1288" s="1" t="s">
        <v>4431</v>
      </c>
      <c r="H1288" s="1" t="s">
        <v>4432</v>
      </c>
      <c r="I1288" s="31">
        <v>46065</v>
      </c>
      <c r="J1288" s="1" t="s">
        <v>4433</v>
      </c>
      <c r="K1288" s="1" t="s">
        <v>4434</v>
      </c>
      <c r="L1288" s="1" t="s">
        <v>4435</v>
      </c>
      <c r="M1288" s="2" t="s">
        <v>4436</v>
      </c>
      <c r="N1288" s="31">
        <v>46076</v>
      </c>
    </row>
    <row r="1289" spans="1:14" x14ac:dyDescent="0.25">
      <c r="A1289" s="29">
        <v>1288</v>
      </c>
      <c r="B1289" s="1" t="s">
        <v>4437</v>
      </c>
      <c r="C1289" s="31">
        <v>45968</v>
      </c>
      <c r="D1289" s="1" t="s">
        <v>4438</v>
      </c>
      <c r="E1289" s="13" t="s">
        <v>4439</v>
      </c>
      <c r="F1289" s="1" t="s">
        <v>33</v>
      </c>
      <c r="G1289" s="1" t="s">
        <v>4440</v>
      </c>
      <c r="H1289" s="1" t="s">
        <v>4441</v>
      </c>
      <c r="I1289" s="31">
        <v>46065</v>
      </c>
      <c r="J1289" s="1" t="s">
        <v>4442</v>
      </c>
      <c r="K1289" s="1" t="s">
        <v>4443</v>
      </c>
      <c r="L1289" s="1" t="s">
        <v>4444</v>
      </c>
      <c r="M1289" s="2" t="s">
        <v>4445</v>
      </c>
      <c r="N1289" s="31">
        <v>46089</v>
      </c>
    </row>
    <row r="1290" spans="1:14" x14ac:dyDescent="0.25">
      <c r="A1290" s="29">
        <v>1289</v>
      </c>
      <c r="B1290" s="1" t="s">
        <v>4446</v>
      </c>
      <c r="C1290" s="31">
        <v>45774</v>
      </c>
      <c r="D1290" s="1" t="s">
        <v>4447</v>
      </c>
      <c r="E1290" s="13" t="s">
        <v>4448</v>
      </c>
      <c r="F1290" s="1" t="s">
        <v>89</v>
      </c>
      <c r="G1290" s="1" t="s">
        <v>4449</v>
      </c>
      <c r="H1290" s="1" t="s">
        <v>4450</v>
      </c>
      <c r="I1290" s="31">
        <v>46065</v>
      </c>
      <c r="J1290" s="1" t="s">
        <v>4451</v>
      </c>
      <c r="K1290" s="1" t="s">
        <v>4452</v>
      </c>
      <c r="L1290" s="1" t="s">
        <v>4453</v>
      </c>
      <c r="M1290" s="2" t="s">
        <v>4454</v>
      </c>
      <c r="N1290" s="31">
        <v>46084</v>
      </c>
    </row>
    <row r="1291" spans="1:14" x14ac:dyDescent="0.25">
      <c r="A1291" s="29">
        <v>1290</v>
      </c>
      <c r="B1291" s="1" t="s">
        <v>4455</v>
      </c>
      <c r="C1291" s="31">
        <v>45763</v>
      </c>
      <c r="D1291" s="1" t="s">
        <v>4456</v>
      </c>
      <c r="E1291" s="13" t="s">
        <v>4457</v>
      </c>
      <c r="F1291" s="1" t="s">
        <v>33</v>
      </c>
      <c r="G1291" s="1" t="s">
        <v>4458</v>
      </c>
      <c r="H1291" s="1" t="s">
        <v>4459</v>
      </c>
      <c r="I1291" s="31">
        <v>46065</v>
      </c>
      <c r="J1291" s="1" t="s">
        <v>4460</v>
      </c>
      <c r="K1291" s="1" t="s">
        <v>4461</v>
      </c>
      <c r="L1291" s="1" t="s">
        <v>4462</v>
      </c>
      <c r="M1291" s="2" t="s">
        <v>4463</v>
      </c>
      <c r="N1291" s="31">
        <v>46092</v>
      </c>
    </row>
    <row r="1292" spans="1:14" x14ac:dyDescent="0.25">
      <c r="A1292" s="29">
        <v>1291</v>
      </c>
      <c r="B1292" s="1" t="s">
        <v>4464</v>
      </c>
      <c r="C1292" s="31">
        <v>46036</v>
      </c>
      <c r="D1292" s="1" t="s">
        <v>4465</v>
      </c>
      <c r="E1292" s="13" t="s">
        <v>4466</v>
      </c>
      <c r="F1292" s="1" t="s">
        <v>33</v>
      </c>
      <c r="G1292" s="1" t="s">
        <v>4467</v>
      </c>
      <c r="H1292" s="1" t="s">
        <v>3470</v>
      </c>
      <c r="I1292" s="31">
        <v>46065</v>
      </c>
      <c r="J1292" s="1" t="s">
        <v>4468</v>
      </c>
      <c r="K1292" s="1" t="s">
        <v>4469</v>
      </c>
      <c r="L1292" s="1" t="s">
        <v>4470</v>
      </c>
      <c r="M1292" s="2" t="s">
        <v>4471</v>
      </c>
      <c r="N1292" s="31">
        <v>46080</v>
      </c>
    </row>
    <row r="1293" spans="1:14" x14ac:dyDescent="0.25">
      <c r="A1293" s="29">
        <v>1292</v>
      </c>
      <c r="B1293" s="1" t="s">
        <v>4472</v>
      </c>
      <c r="C1293" s="31">
        <v>45793</v>
      </c>
      <c r="D1293" s="1" t="s">
        <v>4473</v>
      </c>
      <c r="E1293" s="13" t="s">
        <v>4474</v>
      </c>
      <c r="F1293" s="1" t="s">
        <v>89</v>
      </c>
      <c r="G1293" s="1" t="s">
        <v>4475</v>
      </c>
      <c r="H1293" s="1" t="s">
        <v>4476</v>
      </c>
      <c r="I1293" s="31">
        <v>46065</v>
      </c>
      <c r="J1293" s="1" t="s">
        <v>4477</v>
      </c>
      <c r="K1293" s="1" t="s">
        <v>4478</v>
      </c>
      <c r="L1293" s="1" t="s">
        <v>4479</v>
      </c>
      <c r="M1293" s="2" t="s">
        <v>4480</v>
      </c>
      <c r="N1293" s="31">
        <v>46095</v>
      </c>
    </row>
    <row r="1294" spans="1:14" x14ac:dyDescent="0.25">
      <c r="A1294" s="29">
        <v>1293</v>
      </c>
      <c r="B1294" s="1" t="s">
        <v>4481</v>
      </c>
      <c r="C1294" s="31">
        <v>45772</v>
      </c>
      <c r="D1294" s="1" t="s">
        <v>4482</v>
      </c>
      <c r="E1294" s="13" t="s">
        <v>4483</v>
      </c>
      <c r="F1294" s="1" t="s">
        <v>33</v>
      </c>
      <c r="G1294" s="1" t="s">
        <v>4484</v>
      </c>
      <c r="H1294" s="1" t="s">
        <v>4485</v>
      </c>
      <c r="I1294" s="31">
        <v>46065</v>
      </c>
      <c r="J1294" s="1" t="s">
        <v>4486</v>
      </c>
      <c r="K1294" s="1" t="s">
        <v>4487</v>
      </c>
      <c r="L1294" s="1" t="s">
        <v>4488</v>
      </c>
      <c r="M1294" s="2" t="s">
        <v>4489</v>
      </c>
      <c r="N1294" s="31">
        <v>46078</v>
      </c>
    </row>
    <row r="1295" spans="1:14" x14ac:dyDescent="0.25">
      <c r="A1295" s="29">
        <v>1294</v>
      </c>
      <c r="B1295" s="1" t="s">
        <v>4490</v>
      </c>
      <c r="C1295" s="31">
        <v>45794</v>
      </c>
      <c r="D1295" s="1" t="s">
        <v>4491</v>
      </c>
      <c r="E1295" s="13" t="s">
        <v>4492</v>
      </c>
      <c r="F1295" s="1" t="s">
        <v>89</v>
      </c>
      <c r="G1295" s="1" t="s">
        <v>4493</v>
      </c>
      <c r="H1295" s="1" t="s">
        <v>4494</v>
      </c>
      <c r="I1295" s="31">
        <v>46065</v>
      </c>
      <c r="J1295" s="1" t="s">
        <v>4495</v>
      </c>
      <c r="K1295" s="1" t="s">
        <v>4496</v>
      </c>
      <c r="L1295" s="1" t="s">
        <v>4497</v>
      </c>
      <c r="M1295" s="2" t="s">
        <v>4498</v>
      </c>
      <c r="N1295" s="31">
        <v>46076</v>
      </c>
    </row>
    <row r="1296" spans="1:14" x14ac:dyDescent="0.25">
      <c r="A1296" s="29">
        <v>1295</v>
      </c>
      <c r="B1296" s="1" t="s">
        <v>4499</v>
      </c>
      <c r="C1296" s="31">
        <v>45786</v>
      </c>
      <c r="D1296" s="1" t="s">
        <v>4500</v>
      </c>
      <c r="E1296" s="13" t="s">
        <v>4501</v>
      </c>
      <c r="F1296" s="1" t="s">
        <v>89</v>
      </c>
      <c r="G1296" s="1" t="s">
        <v>4502</v>
      </c>
      <c r="H1296" s="1" t="s">
        <v>4503</v>
      </c>
      <c r="I1296" s="31">
        <v>46065</v>
      </c>
      <c r="J1296" s="1" t="s">
        <v>4504</v>
      </c>
      <c r="K1296" s="1" t="s">
        <v>3055</v>
      </c>
      <c r="L1296" s="1" t="s">
        <v>4505</v>
      </c>
      <c r="M1296" s="2" t="s">
        <v>4506</v>
      </c>
      <c r="N1296" s="31">
        <v>46086</v>
      </c>
    </row>
    <row r="1297" spans="1:14" x14ac:dyDescent="0.25">
      <c r="A1297" s="29">
        <v>1296</v>
      </c>
      <c r="B1297" s="1" t="s">
        <v>4507</v>
      </c>
      <c r="C1297" s="31">
        <v>46010</v>
      </c>
      <c r="D1297" s="1" t="s">
        <v>4508</v>
      </c>
      <c r="E1297" s="13" t="s">
        <v>4509</v>
      </c>
      <c r="F1297" s="1" t="s">
        <v>89</v>
      </c>
      <c r="G1297" s="1" t="s">
        <v>2588</v>
      </c>
      <c r="H1297" s="1" t="s">
        <v>4510</v>
      </c>
      <c r="I1297" s="31">
        <v>46065</v>
      </c>
      <c r="J1297" s="1" t="s">
        <v>4511</v>
      </c>
      <c r="K1297" s="1" t="s">
        <v>4512</v>
      </c>
      <c r="L1297" s="1" t="s">
        <v>4513</v>
      </c>
      <c r="M1297" s="2" t="s">
        <v>4514</v>
      </c>
      <c r="N1297" s="31">
        <v>46080</v>
      </c>
    </row>
    <row r="1298" spans="1:14" x14ac:dyDescent="0.25">
      <c r="A1298" s="29">
        <v>1297</v>
      </c>
      <c r="B1298" s="1" t="s">
        <v>4515</v>
      </c>
      <c r="C1298" s="31">
        <v>45733</v>
      </c>
      <c r="D1298" s="1" t="s">
        <v>4516</v>
      </c>
      <c r="E1298" s="13" t="s">
        <v>4517</v>
      </c>
      <c r="F1298" s="1" t="s">
        <v>33</v>
      </c>
      <c r="G1298" s="1" t="s">
        <v>4518</v>
      </c>
      <c r="H1298" s="1" t="s">
        <v>4519</v>
      </c>
      <c r="I1298" s="31">
        <v>46065</v>
      </c>
      <c r="J1298" s="1" t="s">
        <v>4520</v>
      </c>
      <c r="K1298" s="1" t="s">
        <v>4521</v>
      </c>
      <c r="L1298" s="1" t="s">
        <v>4522</v>
      </c>
      <c r="M1298" s="2" t="s">
        <v>4523</v>
      </c>
      <c r="N1298" s="31">
        <v>46083</v>
      </c>
    </row>
    <row r="1299" spans="1:14" x14ac:dyDescent="0.25">
      <c r="A1299" s="29">
        <v>1298</v>
      </c>
      <c r="B1299" s="1" t="s">
        <v>4524</v>
      </c>
      <c r="C1299" s="31">
        <v>45942</v>
      </c>
      <c r="D1299" s="1" t="s">
        <v>4525</v>
      </c>
      <c r="E1299" s="13" t="s">
        <v>4526</v>
      </c>
      <c r="F1299" s="1" t="s">
        <v>89</v>
      </c>
      <c r="G1299" s="1" t="s">
        <v>4527</v>
      </c>
      <c r="H1299" s="1" t="s">
        <v>4528</v>
      </c>
      <c r="I1299" s="31">
        <v>46065</v>
      </c>
      <c r="J1299" s="1" t="s">
        <v>4529</v>
      </c>
      <c r="K1299" s="1" t="s">
        <v>4530</v>
      </c>
      <c r="L1299" s="1" t="s">
        <v>4531</v>
      </c>
      <c r="M1299" s="2" t="s">
        <v>4532</v>
      </c>
      <c r="N1299" s="31">
        <v>46089</v>
      </c>
    </row>
    <row r="1300" spans="1:14" x14ac:dyDescent="0.25">
      <c r="A1300" s="29">
        <v>1299</v>
      </c>
      <c r="B1300" s="1" t="s">
        <v>4533</v>
      </c>
      <c r="C1300" s="31">
        <v>45795</v>
      </c>
      <c r="D1300" s="1" t="s">
        <v>4534</v>
      </c>
      <c r="E1300" s="13" t="s">
        <v>4535</v>
      </c>
      <c r="F1300" s="1" t="s">
        <v>33</v>
      </c>
      <c r="G1300" s="1" t="s">
        <v>4536</v>
      </c>
      <c r="H1300" s="1" t="s">
        <v>4537</v>
      </c>
      <c r="I1300" s="31">
        <v>46065</v>
      </c>
      <c r="J1300" s="1" t="s">
        <v>4538</v>
      </c>
      <c r="K1300" s="1" t="s">
        <v>4539</v>
      </c>
      <c r="L1300" s="1" t="s">
        <v>4540</v>
      </c>
      <c r="M1300" s="2" t="s">
        <v>4541</v>
      </c>
      <c r="N1300" s="31">
        <v>46071</v>
      </c>
    </row>
    <row r="1301" spans="1:14" x14ac:dyDescent="0.25">
      <c r="A1301" s="29">
        <v>1300</v>
      </c>
      <c r="B1301" s="1" t="s">
        <v>4542</v>
      </c>
      <c r="C1301" s="31">
        <v>45775</v>
      </c>
      <c r="D1301" s="1" t="s">
        <v>4543</v>
      </c>
      <c r="E1301" s="13" t="s">
        <v>4544</v>
      </c>
      <c r="F1301" s="1" t="s">
        <v>33</v>
      </c>
      <c r="G1301" s="1" t="s">
        <v>4545</v>
      </c>
      <c r="H1301" s="1" t="s">
        <v>4546</v>
      </c>
      <c r="I1301" s="31">
        <v>46065</v>
      </c>
      <c r="J1301" s="1" t="s">
        <v>4547</v>
      </c>
      <c r="K1301" s="1" t="s">
        <v>4548</v>
      </c>
      <c r="L1301" s="1" t="s">
        <v>4549</v>
      </c>
      <c r="M1301" s="2" t="s">
        <v>4550</v>
      </c>
      <c r="N1301" s="31">
        <v>46080</v>
      </c>
    </row>
    <row r="1302" spans="1:14" x14ac:dyDescent="0.25">
      <c r="A1302" s="29">
        <v>1301</v>
      </c>
      <c r="B1302" s="1" t="s">
        <v>4551</v>
      </c>
      <c r="C1302" s="31">
        <v>45819</v>
      </c>
      <c r="D1302" s="1" t="s">
        <v>4552</v>
      </c>
      <c r="E1302" s="13" t="s">
        <v>4553</v>
      </c>
      <c r="F1302" s="1" t="s">
        <v>89</v>
      </c>
      <c r="G1302" s="1" t="s">
        <v>4554</v>
      </c>
      <c r="H1302" s="1" t="s">
        <v>4555</v>
      </c>
      <c r="I1302" s="31">
        <v>46065</v>
      </c>
      <c r="J1302" s="1" t="s">
        <v>4556</v>
      </c>
      <c r="K1302" s="1" t="s">
        <v>4557</v>
      </c>
      <c r="L1302" s="1" t="s">
        <v>4558</v>
      </c>
      <c r="M1302" s="2" t="s">
        <v>4559</v>
      </c>
      <c r="N1302" s="31">
        <v>46069</v>
      </c>
    </row>
    <row r="1303" spans="1:14" x14ac:dyDescent="0.25">
      <c r="A1303" s="29">
        <v>1302</v>
      </c>
      <c r="B1303" s="1" t="s">
        <v>4560</v>
      </c>
      <c r="C1303" s="31">
        <v>46049</v>
      </c>
      <c r="D1303" s="1" t="s">
        <v>4561</v>
      </c>
      <c r="E1303" s="13" t="s">
        <v>4562</v>
      </c>
      <c r="F1303" s="1" t="s">
        <v>33</v>
      </c>
      <c r="G1303" s="1" t="s">
        <v>4563</v>
      </c>
      <c r="H1303" s="1" t="s">
        <v>4564</v>
      </c>
      <c r="I1303" s="31">
        <v>46065</v>
      </c>
      <c r="J1303" s="1" t="s">
        <v>4565</v>
      </c>
      <c r="K1303" s="1" t="s">
        <v>4566</v>
      </c>
      <c r="L1303" s="1" t="s">
        <v>4567</v>
      </c>
      <c r="M1303" s="2" t="s">
        <v>4568</v>
      </c>
      <c r="N1303" s="31">
        <v>46080</v>
      </c>
    </row>
    <row r="1304" spans="1:14" x14ac:dyDescent="0.25">
      <c r="A1304" s="29">
        <v>1303</v>
      </c>
      <c r="B1304" s="1" t="s">
        <v>4569</v>
      </c>
      <c r="C1304" s="31">
        <v>46009</v>
      </c>
      <c r="D1304" s="1" t="s">
        <v>4570</v>
      </c>
      <c r="E1304" s="13" t="s">
        <v>4571</v>
      </c>
      <c r="F1304" s="1" t="s">
        <v>33</v>
      </c>
      <c r="G1304" s="1" t="s">
        <v>4572</v>
      </c>
      <c r="H1304" s="1" t="s">
        <v>4573</v>
      </c>
      <c r="I1304" s="31">
        <v>46065</v>
      </c>
      <c r="J1304" s="1" t="s">
        <v>4574</v>
      </c>
      <c r="K1304" s="1" t="s">
        <v>4575</v>
      </c>
      <c r="L1304" s="1" t="s">
        <v>4576</v>
      </c>
      <c r="M1304" s="2" t="s">
        <v>4577</v>
      </c>
      <c r="N1304" s="31">
        <v>46079</v>
      </c>
    </row>
    <row r="1305" spans="1:14" x14ac:dyDescent="0.25">
      <c r="A1305" s="29">
        <v>1304</v>
      </c>
      <c r="B1305" s="1" t="s">
        <v>4578</v>
      </c>
      <c r="C1305" s="31">
        <v>45981</v>
      </c>
      <c r="D1305" s="1" t="s">
        <v>4579</v>
      </c>
      <c r="E1305" s="13" t="s">
        <v>4580</v>
      </c>
      <c r="F1305" s="1" t="s">
        <v>89</v>
      </c>
      <c r="G1305" s="1" t="s">
        <v>4581</v>
      </c>
      <c r="H1305" s="1" t="s">
        <v>4582</v>
      </c>
      <c r="I1305" s="31">
        <v>46065</v>
      </c>
      <c r="J1305" s="1" t="s">
        <v>4583</v>
      </c>
      <c r="K1305" s="1" t="s">
        <v>4584</v>
      </c>
      <c r="L1305" s="1" t="s">
        <v>4585</v>
      </c>
      <c r="M1305" s="2" t="s">
        <v>4586</v>
      </c>
      <c r="N1305" s="31">
        <v>46069</v>
      </c>
    </row>
    <row r="1306" spans="1:14" x14ac:dyDescent="0.25">
      <c r="A1306" s="29">
        <v>1305</v>
      </c>
      <c r="B1306" s="1" t="s">
        <v>4587</v>
      </c>
      <c r="C1306" s="31">
        <v>45832</v>
      </c>
      <c r="D1306" s="1" t="s">
        <v>4588</v>
      </c>
      <c r="E1306" s="13" t="s">
        <v>4589</v>
      </c>
      <c r="F1306" s="1" t="s">
        <v>33</v>
      </c>
      <c r="G1306" s="1" t="s">
        <v>4590</v>
      </c>
      <c r="H1306" s="1" t="s">
        <v>4591</v>
      </c>
      <c r="I1306" s="31">
        <v>46065</v>
      </c>
      <c r="J1306" s="1" t="s">
        <v>4592</v>
      </c>
      <c r="K1306" s="1" t="s">
        <v>4593</v>
      </c>
      <c r="L1306" s="1" t="s">
        <v>4594</v>
      </c>
      <c r="M1306" s="2" t="s">
        <v>4595</v>
      </c>
      <c r="N1306" s="31">
        <v>46076</v>
      </c>
    </row>
    <row r="1307" spans="1:14" x14ac:dyDescent="0.25">
      <c r="A1307" s="29">
        <v>1306</v>
      </c>
      <c r="B1307" s="1" t="s">
        <v>4596</v>
      </c>
      <c r="C1307" s="31">
        <v>45954</v>
      </c>
      <c r="D1307" s="1" t="s">
        <v>4447</v>
      </c>
      <c r="E1307" s="13" t="s">
        <v>4597</v>
      </c>
      <c r="F1307" s="1" t="s">
        <v>89</v>
      </c>
      <c r="G1307" s="1" t="s">
        <v>4598</v>
      </c>
      <c r="H1307" s="1" t="s">
        <v>4599</v>
      </c>
      <c r="I1307" s="31">
        <v>46065</v>
      </c>
      <c r="J1307" s="1" t="s">
        <v>4600</v>
      </c>
      <c r="K1307" s="1" t="s">
        <v>4601</v>
      </c>
      <c r="L1307" s="1" t="s">
        <v>4602</v>
      </c>
      <c r="M1307" s="2" t="s">
        <v>4603</v>
      </c>
      <c r="N1307" s="31">
        <v>46076</v>
      </c>
    </row>
    <row r="1308" spans="1:14" x14ac:dyDescent="0.25">
      <c r="A1308" s="29">
        <v>1307</v>
      </c>
      <c r="B1308" s="1" t="s">
        <v>4604</v>
      </c>
      <c r="C1308" s="31">
        <v>45847</v>
      </c>
      <c r="D1308" s="1" t="s">
        <v>4605</v>
      </c>
      <c r="E1308" s="13" t="s">
        <v>4606</v>
      </c>
      <c r="F1308" s="1" t="s">
        <v>33</v>
      </c>
      <c r="G1308" s="1" t="s">
        <v>4607</v>
      </c>
      <c r="H1308" s="1" t="s">
        <v>4608</v>
      </c>
      <c r="I1308" s="31">
        <v>46065</v>
      </c>
      <c r="J1308" s="1" t="s">
        <v>4609</v>
      </c>
      <c r="K1308" s="1" t="s">
        <v>4610</v>
      </c>
      <c r="L1308" s="1" t="s">
        <v>4611</v>
      </c>
      <c r="M1308" s="2" t="s">
        <v>4612</v>
      </c>
      <c r="N1308" s="31">
        <v>46088</v>
      </c>
    </row>
    <row r="1309" spans="1:14" x14ac:dyDescent="0.25">
      <c r="A1309" s="29">
        <v>1308</v>
      </c>
      <c r="B1309" s="1" t="s">
        <v>4613</v>
      </c>
      <c r="C1309" s="31">
        <v>45793</v>
      </c>
      <c r="D1309" s="1" t="s">
        <v>4614</v>
      </c>
      <c r="E1309" s="13" t="s">
        <v>4615</v>
      </c>
      <c r="F1309" s="1" t="s">
        <v>89</v>
      </c>
      <c r="G1309" s="1" t="s">
        <v>4616</v>
      </c>
      <c r="H1309" s="1" t="s">
        <v>4617</v>
      </c>
      <c r="I1309" s="31">
        <v>46065</v>
      </c>
      <c r="J1309" s="1" t="s">
        <v>4618</v>
      </c>
      <c r="K1309" s="1" t="s">
        <v>4381</v>
      </c>
      <c r="L1309" s="1" t="s">
        <v>4619</v>
      </c>
      <c r="M1309" s="2" t="s">
        <v>4620</v>
      </c>
      <c r="N1309" s="31">
        <v>46079</v>
      </c>
    </row>
    <row r="1310" spans="1:14" x14ac:dyDescent="0.25">
      <c r="A1310" s="29">
        <v>1309</v>
      </c>
      <c r="B1310" s="1" t="s">
        <v>4621</v>
      </c>
      <c r="C1310" s="31">
        <v>45958</v>
      </c>
      <c r="D1310" s="1" t="s">
        <v>4622</v>
      </c>
      <c r="E1310" s="13" t="s">
        <v>4623</v>
      </c>
      <c r="F1310" s="1" t="s">
        <v>33</v>
      </c>
      <c r="G1310" s="1" t="s">
        <v>4624</v>
      </c>
      <c r="H1310" s="1" t="s">
        <v>4625</v>
      </c>
      <c r="I1310" s="31">
        <v>46065</v>
      </c>
      <c r="J1310" s="1" t="s">
        <v>4626</v>
      </c>
      <c r="K1310" s="1" t="s">
        <v>3338</v>
      </c>
      <c r="L1310" s="1" t="s">
        <v>4627</v>
      </c>
      <c r="M1310" s="2" t="s">
        <v>4628</v>
      </c>
      <c r="N1310" s="31">
        <v>46094</v>
      </c>
    </row>
    <row r="1311" spans="1:14" x14ac:dyDescent="0.25">
      <c r="A1311" s="29">
        <v>1310</v>
      </c>
      <c r="B1311" s="1" t="s">
        <v>4629</v>
      </c>
      <c r="C1311" s="31">
        <v>45731</v>
      </c>
      <c r="D1311" s="1" t="s">
        <v>4630</v>
      </c>
      <c r="E1311" s="13" t="s">
        <v>4631</v>
      </c>
      <c r="F1311" s="1" t="s">
        <v>33</v>
      </c>
      <c r="G1311" s="1" t="s">
        <v>4632</v>
      </c>
      <c r="H1311" s="1" t="s">
        <v>4633</v>
      </c>
      <c r="I1311" s="31">
        <v>46065</v>
      </c>
      <c r="J1311" s="1" t="s">
        <v>4634</v>
      </c>
      <c r="K1311" s="1" t="s">
        <v>4635</v>
      </c>
      <c r="L1311" s="1" t="s">
        <v>4636</v>
      </c>
      <c r="M1311" s="2" t="s">
        <v>4637</v>
      </c>
      <c r="N1311" s="31">
        <v>46086</v>
      </c>
    </row>
    <row r="1312" spans="1:14" x14ac:dyDescent="0.25">
      <c r="A1312" s="29">
        <v>1311</v>
      </c>
      <c r="B1312" s="1" t="s">
        <v>4638</v>
      </c>
      <c r="C1312" s="31">
        <v>46034</v>
      </c>
      <c r="D1312" s="1" t="s">
        <v>4639</v>
      </c>
      <c r="E1312" s="13" t="s">
        <v>4640</v>
      </c>
      <c r="F1312" s="1" t="s">
        <v>89</v>
      </c>
      <c r="G1312" s="1" t="s">
        <v>4641</v>
      </c>
      <c r="H1312" s="1" t="s">
        <v>4642</v>
      </c>
      <c r="I1312" s="31">
        <v>46065</v>
      </c>
      <c r="J1312" s="1" t="s">
        <v>4643</v>
      </c>
      <c r="K1312" s="1" t="s">
        <v>4644</v>
      </c>
      <c r="L1312" s="1" t="s">
        <v>4645</v>
      </c>
      <c r="M1312" s="2" t="s">
        <v>4646</v>
      </c>
      <c r="N1312" s="31">
        <v>46076</v>
      </c>
    </row>
    <row r="1313" spans="1:14" x14ac:dyDescent="0.25">
      <c r="A1313" s="29">
        <v>1312</v>
      </c>
      <c r="B1313" s="1" t="s">
        <v>4647</v>
      </c>
      <c r="C1313" s="31">
        <v>46064</v>
      </c>
      <c r="D1313" s="1" t="s">
        <v>4648</v>
      </c>
      <c r="E1313" s="13" t="s">
        <v>4649</v>
      </c>
      <c r="F1313" s="1" t="s">
        <v>89</v>
      </c>
      <c r="G1313" s="1" t="s">
        <v>4650</v>
      </c>
      <c r="H1313" s="1" t="s">
        <v>4651</v>
      </c>
      <c r="I1313" s="31">
        <v>46065</v>
      </c>
      <c r="J1313" s="1" t="s">
        <v>4652</v>
      </c>
      <c r="K1313" s="1" t="s">
        <v>4653</v>
      </c>
      <c r="L1313" s="1" t="s">
        <v>4654</v>
      </c>
      <c r="M1313" s="2" t="s">
        <v>4655</v>
      </c>
      <c r="N1313" s="31">
        <v>46079</v>
      </c>
    </row>
    <row r="1314" spans="1:14" x14ac:dyDescent="0.25">
      <c r="A1314" s="29">
        <v>1313</v>
      </c>
      <c r="B1314" s="1" t="s">
        <v>4656</v>
      </c>
      <c r="C1314" s="31">
        <v>45802</v>
      </c>
      <c r="D1314" s="1" t="s">
        <v>4657</v>
      </c>
      <c r="E1314" s="13" t="s">
        <v>4658</v>
      </c>
      <c r="F1314" s="1" t="s">
        <v>89</v>
      </c>
      <c r="G1314" s="1" t="s">
        <v>4659</v>
      </c>
      <c r="H1314" s="1" t="s">
        <v>4660</v>
      </c>
      <c r="I1314" s="31">
        <v>46065</v>
      </c>
      <c r="J1314" s="1" t="s">
        <v>4661</v>
      </c>
      <c r="K1314" s="1" t="s">
        <v>4662</v>
      </c>
      <c r="L1314" s="1" t="s">
        <v>4663</v>
      </c>
      <c r="M1314" s="2" t="s">
        <v>4664</v>
      </c>
      <c r="N1314" s="31">
        <v>46082</v>
      </c>
    </row>
    <row r="1315" spans="1:14" x14ac:dyDescent="0.25">
      <c r="A1315" s="29">
        <v>1314</v>
      </c>
      <c r="B1315" s="1" t="s">
        <v>4665</v>
      </c>
      <c r="C1315" s="31">
        <v>46027</v>
      </c>
      <c r="D1315" s="1" t="s">
        <v>4242</v>
      </c>
      <c r="E1315" s="13" t="s">
        <v>4666</v>
      </c>
      <c r="F1315" s="1" t="s">
        <v>89</v>
      </c>
      <c r="G1315" s="1" t="s">
        <v>4667</v>
      </c>
      <c r="H1315" s="1" t="s">
        <v>4668</v>
      </c>
      <c r="I1315" s="31">
        <v>46065</v>
      </c>
      <c r="J1315" s="1" t="s">
        <v>4669</v>
      </c>
      <c r="K1315" s="1" t="s">
        <v>4670</v>
      </c>
      <c r="L1315" s="1" t="s">
        <v>4671</v>
      </c>
      <c r="M1315" s="2" t="s">
        <v>4672</v>
      </c>
      <c r="N1315" s="31">
        <v>46090</v>
      </c>
    </row>
    <row r="1316" spans="1:14" x14ac:dyDescent="0.25">
      <c r="A1316" s="29">
        <v>1315</v>
      </c>
      <c r="B1316" s="1" t="s">
        <v>4673</v>
      </c>
      <c r="C1316" s="31">
        <v>45990</v>
      </c>
      <c r="D1316" s="1" t="s">
        <v>4674</v>
      </c>
      <c r="E1316" s="13" t="s">
        <v>4675</v>
      </c>
      <c r="F1316" s="1" t="s">
        <v>33</v>
      </c>
      <c r="G1316" s="1" t="s">
        <v>4676</v>
      </c>
      <c r="H1316" s="1" t="s">
        <v>4677</v>
      </c>
      <c r="I1316" s="31">
        <v>46065</v>
      </c>
      <c r="J1316" s="1" t="s">
        <v>4678</v>
      </c>
      <c r="K1316" s="1" t="s">
        <v>3729</v>
      </c>
      <c r="L1316" s="1" t="s">
        <v>4679</v>
      </c>
      <c r="M1316" s="2" t="s">
        <v>4680</v>
      </c>
      <c r="N1316" s="31">
        <v>46080</v>
      </c>
    </row>
    <row r="1317" spans="1:14" x14ac:dyDescent="0.25">
      <c r="A1317" s="29">
        <v>1316</v>
      </c>
      <c r="B1317" s="1" t="s">
        <v>4681</v>
      </c>
      <c r="C1317" s="31">
        <v>45743</v>
      </c>
      <c r="D1317" s="1" t="s">
        <v>4682</v>
      </c>
      <c r="E1317" s="13" t="s">
        <v>4683</v>
      </c>
      <c r="F1317" s="1" t="s">
        <v>33</v>
      </c>
      <c r="G1317" s="1" t="s">
        <v>4684</v>
      </c>
      <c r="H1317" s="1" t="s">
        <v>4685</v>
      </c>
      <c r="I1317" s="31">
        <v>46065</v>
      </c>
      <c r="J1317" s="1" t="s">
        <v>4686</v>
      </c>
      <c r="K1317" s="1" t="s">
        <v>4687</v>
      </c>
      <c r="L1317" s="1" t="s">
        <v>4688</v>
      </c>
      <c r="M1317" s="2" t="s">
        <v>4689</v>
      </c>
      <c r="N1317" s="31">
        <v>46085</v>
      </c>
    </row>
    <row r="1318" spans="1:14" x14ac:dyDescent="0.25">
      <c r="A1318" s="29">
        <v>1317</v>
      </c>
      <c r="B1318" s="1" t="s">
        <v>4690</v>
      </c>
      <c r="C1318" s="31">
        <v>45881</v>
      </c>
      <c r="D1318" s="1" t="s">
        <v>4691</v>
      </c>
      <c r="E1318" s="13" t="s">
        <v>4692</v>
      </c>
      <c r="F1318" s="1" t="s">
        <v>33</v>
      </c>
      <c r="G1318" s="1" t="s">
        <v>4693</v>
      </c>
      <c r="H1318" s="1" t="s">
        <v>4694</v>
      </c>
      <c r="I1318" s="31">
        <v>46065</v>
      </c>
      <c r="J1318" s="1" t="s">
        <v>4695</v>
      </c>
      <c r="K1318" s="1" t="s">
        <v>4696</v>
      </c>
      <c r="L1318" s="1" t="s">
        <v>4697</v>
      </c>
      <c r="M1318" s="2" t="s">
        <v>4698</v>
      </c>
      <c r="N1318" s="31">
        <v>46068</v>
      </c>
    </row>
    <row r="1319" spans="1:14" x14ac:dyDescent="0.25">
      <c r="A1319" s="29">
        <v>1318</v>
      </c>
      <c r="B1319" s="1" t="s">
        <v>4699</v>
      </c>
      <c r="C1319" s="31">
        <v>45896</v>
      </c>
      <c r="D1319" s="1" t="s">
        <v>4700</v>
      </c>
      <c r="E1319" s="13" t="s">
        <v>4701</v>
      </c>
      <c r="F1319" s="1" t="s">
        <v>89</v>
      </c>
      <c r="G1319" s="1" t="s">
        <v>4702</v>
      </c>
      <c r="H1319" s="1" t="s">
        <v>3042</v>
      </c>
      <c r="I1319" s="31">
        <v>46065</v>
      </c>
      <c r="J1319" s="1" t="s">
        <v>4703</v>
      </c>
      <c r="K1319" s="1" t="s">
        <v>3176</v>
      </c>
      <c r="L1319" s="1" t="s">
        <v>4704</v>
      </c>
      <c r="M1319" s="2" t="s">
        <v>4705</v>
      </c>
      <c r="N1319" s="31">
        <v>46070</v>
      </c>
    </row>
    <row r="1320" spans="1:14" x14ac:dyDescent="0.25">
      <c r="A1320" s="29">
        <v>1319</v>
      </c>
      <c r="B1320" s="1" t="s">
        <v>4706</v>
      </c>
      <c r="C1320" s="31">
        <v>45954</v>
      </c>
      <c r="D1320" s="1" t="s">
        <v>4707</v>
      </c>
      <c r="E1320" s="13" t="s">
        <v>4708</v>
      </c>
      <c r="F1320" s="1" t="s">
        <v>89</v>
      </c>
      <c r="G1320" s="1" t="s">
        <v>4709</v>
      </c>
      <c r="H1320" s="1" t="s">
        <v>4710</v>
      </c>
      <c r="I1320" s="31">
        <v>46065</v>
      </c>
      <c r="J1320" s="1" t="s">
        <v>4711</v>
      </c>
      <c r="K1320" s="1" t="s">
        <v>4712</v>
      </c>
      <c r="L1320" s="1" t="s">
        <v>4713</v>
      </c>
      <c r="M1320" s="2" t="s">
        <v>4714</v>
      </c>
      <c r="N1320" s="31">
        <v>46075</v>
      </c>
    </row>
    <row r="1321" spans="1:14" x14ac:dyDescent="0.25">
      <c r="A1321" s="29">
        <v>1320</v>
      </c>
      <c r="B1321" s="1" t="s">
        <v>4715</v>
      </c>
      <c r="C1321" s="31">
        <v>46010</v>
      </c>
      <c r="D1321" s="1" t="s">
        <v>4716</v>
      </c>
      <c r="E1321" s="13" t="s">
        <v>4717</v>
      </c>
      <c r="F1321" s="1" t="s">
        <v>89</v>
      </c>
      <c r="G1321" s="1" t="s">
        <v>4718</v>
      </c>
      <c r="H1321" s="1" t="s">
        <v>4719</v>
      </c>
      <c r="I1321" s="31">
        <v>46065</v>
      </c>
      <c r="J1321" s="1" t="s">
        <v>4720</v>
      </c>
      <c r="K1321" s="1" t="s">
        <v>4721</v>
      </c>
      <c r="L1321" s="1" t="s">
        <v>4722</v>
      </c>
      <c r="M1321" s="2" t="s">
        <v>4723</v>
      </c>
      <c r="N1321" s="31">
        <v>46089</v>
      </c>
    </row>
    <row r="1322" spans="1:14" x14ac:dyDescent="0.25">
      <c r="A1322" s="29">
        <v>1321</v>
      </c>
      <c r="B1322" s="1" t="s">
        <v>4724</v>
      </c>
      <c r="C1322" s="31">
        <v>45790</v>
      </c>
      <c r="D1322" s="1" t="s">
        <v>4725</v>
      </c>
      <c r="E1322" s="13" t="s">
        <v>4726</v>
      </c>
      <c r="F1322" s="1" t="s">
        <v>89</v>
      </c>
      <c r="G1322" s="1" t="s">
        <v>4727</v>
      </c>
      <c r="H1322" s="1" t="s">
        <v>4728</v>
      </c>
      <c r="I1322" s="31">
        <v>46065</v>
      </c>
      <c r="J1322" s="1" t="s">
        <v>4729</v>
      </c>
      <c r="K1322" s="1" t="s">
        <v>4730</v>
      </c>
      <c r="L1322" s="1" t="s">
        <v>4731</v>
      </c>
      <c r="M1322" s="2" t="s">
        <v>4732</v>
      </c>
      <c r="N1322" s="31">
        <v>46089</v>
      </c>
    </row>
    <row r="1323" spans="1:14" x14ac:dyDescent="0.25">
      <c r="A1323" s="29">
        <v>1322</v>
      </c>
      <c r="B1323" s="1" t="s">
        <v>4733</v>
      </c>
      <c r="C1323" s="31">
        <v>45834</v>
      </c>
      <c r="D1323" s="1" t="s">
        <v>4734</v>
      </c>
      <c r="E1323" s="13" t="s">
        <v>4735</v>
      </c>
      <c r="F1323" s="1" t="s">
        <v>33</v>
      </c>
      <c r="G1323" s="1" t="s">
        <v>4736</v>
      </c>
      <c r="H1323" s="1" t="s">
        <v>4737</v>
      </c>
      <c r="I1323" s="31">
        <v>46065</v>
      </c>
      <c r="J1323" s="1" t="s">
        <v>4738</v>
      </c>
      <c r="K1323" s="1" t="s">
        <v>4739</v>
      </c>
      <c r="L1323" s="1" t="s">
        <v>4740</v>
      </c>
      <c r="M1323" s="2" t="s">
        <v>4741</v>
      </c>
      <c r="N1323" s="31">
        <v>46080</v>
      </c>
    </row>
    <row r="1324" spans="1:14" x14ac:dyDescent="0.25">
      <c r="A1324" s="29">
        <v>1323</v>
      </c>
      <c r="B1324" s="1" t="s">
        <v>4742</v>
      </c>
      <c r="C1324" s="31">
        <v>45902</v>
      </c>
      <c r="D1324" s="1" t="s">
        <v>4743</v>
      </c>
      <c r="E1324" s="13" t="s">
        <v>4744</v>
      </c>
      <c r="F1324" s="1" t="s">
        <v>89</v>
      </c>
      <c r="G1324" s="1" t="s">
        <v>4745</v>
      </c>
      <c r="H1324" s="1" t="s">
        <v>4746</v>
      </c>
      <c r="I1324" s="31">
        <v>46065</v>
      </c>
      <c r="J1324" s="1" t="s">
        <v>4747</v>
      </c>
      <c r="K1324" s="1" t="s">
        <v>4748</v>
      </c>
      <c r="L1324" s="1" t="s">
        <v>4749</v>
      </c>
      <c r="M1324" s="2" t="s">
        <v>4750</v>
      </c>
      <c r="N1324" s="31">
        <v>46082</v>
      </c>
    </row>
    <row r="1325" spans="1:14" x14ac:dyDescent="0.25">
      <c r="A1325" s="29">
        <v>1324</v>
      </c>
      <c r="B1325" s="1" t="s">
        <v>4751</v>
      </c>
      <c r="C1325" s="31">
        <v>45739</v>
      </c>
      <c r="D1325" s="1" t="s">
        <v>2829</v>
      </c>
      <c r="E1325" s="13" t="s">
        <v>4752</v>
      </c>
      <c r="F1325" s="1" t="s">
        <v>33</v>
      </c>
      <c r="G1325" s="1" t="s">
        <v>4753</v>
      </c>
      <c r="H1325" s="1" t="s">
        <v>4754</v>
      </c>
      <c r="I1325" s="31">
        <v>46065</v>
      </c>
      <c r="J1325" s="1" t="s">
        <v>4755</v>
      </c>
      <c r="K1325" s="1" t="s">
        <v>4756</v>
      </c>
      <c r="L1325" s="1" t="s">
        <v>4757</v>
      </c>
      <c r="M1325" s="2" t="s">
        <v>4758</v>
      </c>
      <c r="N1325" s="31">
        <v>46071</v>
      </c>
    </row>
    <row r="1326" spans="1:14" x14ac:dyDescent="0.25">
      <c r="A1326" s="29">
        <v>1325</v>
      </c>
      <c r="B1326" s="1" t="s">
        <v>4759</v>
      </c>
      <c r="C1326" s="31">
        <v>45707</v>
      </c>
      <c r="D1326" s="1" t="s">
        <v>4760</v>
      </c>
      <c r="E1326" s="13" t="s">
        <v>4761</v>
      </c>
      <c r="F1326" s="1" t="s">
        <v>89</v>
      </c>
      <c r="G1326" s="1" t="s">
        <v>4762</v>
      </c>
      <c r="H1326" s="1" t="s">
        <v>4763</v>
      </c>
      <c r="I1326" s="31">
        <v>46065</v>
      </c>
      <c r="J1326" s="1" t="s">
        <v>4764</v>
      </c>
      <c r="K1326" s="1" t="s">
        <v>4765</v>
      </c>
      <c r="L1326" s="1" t="s">
        <v>4766</v>
      </c>
      <c r="M1326" s="2" t="s">
        <v>4767</v>
      </c>
      <c r="N1326" s="31">
        <v>46084</v>
      </c>
    </row>
    <row r="1327" spans="1:14" x14ac:dyDescent="0.25">
      <c r="A1327" s="29">
        <v>1326</v>
      </c>
      <c r="B1327" s="1" t="s">
        <v>4768</v>
      </c>
      <c r="C1327" s="31">
        <v>45812</v>
      </c>
      <c r="D1327" s="1" t="s">
        <v>4769</v>
      </c>
      <c r="E1327" s="13" t="s">
        <v>4770</v>
      </c>
      <c r="F1327" s="1" t="s">
        <v>33</v>
      </c>
      <c r="G1327" s="1" t="s">
        <v>4771</v>
      </c>
      <c r="H1327" s="1" t="s">
        <v>4772</v>
      </c>
      <c r="I1327" s="31">
        <v>46065</v>
      </c>
      <c r="J1327" s="1" t="s">
        <v>4773</v>
      </c>
      <c r="K1327" s="1" t="s">
        <v>4774</v>
      </c>
      <c r="L1327" s="1" t="s">
        <v>4775</v>
      </c>
      <c r="M1327" s="2" t="s">
        <v>4776</v>
      </c>
      <c r="N1327" s="31">
        <v>46088</v>
      </c>
    </row>
    <row r="1328" spans="1:14" x14ac:dyDescent="0.25">
      <c r="A1328" s="29">
        <v>1327</v>
      </c>
      <c r="B1328" s="1" t="s">
        <v>4777</v>
      </c>
      <c r="C1328" s="31">
        <v>45828</v>
      </c>
      <c r="D1328" s="1" t="s">
        <v>4778</v>
      </c>
      <c r="E1328" s="13" t="s">
        <v>4779</v>
      </c>
      <c r="F1328" s="1" t="s">
        <v>89</v>
      </c>
      <c r="G1328" s="1" t="s">
        <v>4780</v>
      </c>
      <c r="H1328" s="1" t="s">
        <v>4781</v>
      </c>
      <c r="I1328" s="31">
        <v>46065</v>
      </c>
      <c r="J1328" s="1" t="s">
        <v>4782</v>
      </c>
      <c r="K1328" s="1" t="s">
        <v>4783</v>
      </c>
      <c r="L1328" s="1" t="s">
        <v>4784</v>
      </c>
      <c r="M1328" s="2" t="s">
        <v>4785</v>
      </c>
      <c r="N1328" s="31">
        <v>46080</v>
      </c>
    </row>
    <row r="1329" spans="1:14" x14ac:dyDescent="0.25">
      <c r="A1329" s="29">
        <v>1328</v>
      </c>
      <c r="B1329" s="1" t="s">
        <v>4786</v>
      </c>
      <c r="C1329" s="31">
        <v>46011</v>
      </c>
      <c r="D1329" s="1" t="s">
        <v>4787</v>
      </c>
      <c r="E1329" s="13" t="s">
        <v>4788</v>
      </c>
      <c r="F1329" s="1" t="s">
        <v>89</v>
      </c>
      <c r="G1329" s="1" t="s">
        <v>4789</v>
      </c>
      <c r="H1329" s="1" t="s">
        <v>4790</v>
      </c>
      <c r="I1329" s="31">
        <v>46065</v>
      </c>
      <c r="J1329" s="1" t="s">
        <v>4791</v>
      </c>
      <c r="K1329" s="1" t="s">
        <v>4792</v>
      </c>
      <c r="L1329" s="1" t="s">
        <v>4793</v>
      </c>
      <c r="M1329" s="2" t="s">
        <v>4794</v>
      </c>
      <c r="N1329" s="31">
        <v>46067</v>
      </c>
    </row>
    <row r="1330" spans="1:14" x14ac:dyDescent="0.25">
      <c r="A1330" s="29">
        <v>1329</v>
      </c>
      <c r="B1330" s="1" t="s">
        <v>4795</v>
      </c>
      <c r="C1330" s="31">
        <v>45764</v>
      </c>
      <c r="D1330" s="1" t="s">
        <v>4796</v>
      </c>
      <c r="E1330" s="13" t="s">
        <v>4797</v>
      </c>
      <c r="F1330" s="1" t="s">
        <v>89</v>
      </c>
      <c r="G1330" s="1" t="s">
        <v>4798</v>
      </c>
      <c r="H1330" s="1" t="s">
        <v>4799</v>
      </c>
      <c r="I1330" s="31">
        <v>46065</v>
      </c>
      <c r="J1330" s="1" t="s">
        <v>4800</v>
      </c>
      <c r="K1330" s="1" t="s">
        <v>4801</v>
      </c>
      <c r="L1330" s="1" t="s">
        <v>4802</v>
      </c>
      <c r="M1330" s="2" t="s">
        <v>4803</v>
      </c>
      <c r="N1330" s="31">
        <v>46091</v>
      </c>
    </row>
    <row r="1331" spans="1:14" x14ac:dyDescent="0.25">
      <c r="A1331" s="29">
        <v>1330</v>
      </c>
      <c r="B1331" s="1" t="s">
        <v>4804</v>
      </c>
      <c r="C1331" s="31">
        <v>46013</v>
      </c>
      <c r="D1331" s="1" t="s">
        <v>4805</v>
      </c>
      <c r="E1331" s="13" t="s">
        <v>4806</v>
      </c>
      <c r="F1331" s="1" t="s">
        <v>33</v>
      </c>
      <c r="G1331" s="1" t="s">
        <v>4807</v>
      </c>
      <c r="H1331" s="1" t="s">
        <v>4808</v>
      </c>
      <c r="I1331" s="31">
        <v>46065</v>
      </c>
      <c r="J1331" s="1" t="s">
        <v>4809</v>
      </c>
      <c r="K1331" s="1" t="s">
        <v>4810</v>
      </c>
      <c r="L1331" s="1" t="s">
        <v>4811</v>
      </c>
      <c r="M1331" s="2" t="s">
        <v>4812</v>
      </c>
      <c r="N1331" s="31">
        <v>46067</v>
      </c>
    </row>
    <row r="1332" spans="1:14" x14ac:dyDescent="0.25">
      <c r="A1332" s="29">
        <v>1331</v>
      </c>
      <c r="B1332" s="1" t="s">
        <v>4813</v>
      </c>
      <c r="C1332" s="31">
        <v>45721</v>
      </c>
      <c r="D1332" s="1" t="s">
        <v>4814</v>
      </c>
      <c r="E1332" s="13" t="s">
        <v>4815</v>
      </c>
      <c r="F1332" s="1" t="s">
        <v>89</v>
      </c>
      <c r="G1332" s="1" t="s">
        <v>4816</v>
      </c>
      <c r="H1332" s="1" t="s">
        <v>4817</v>
      </c>
      <c r="I1332" s="31">
        <v>46065</v>
      </c>
      <c r="J1332" s="1" t="s">
        <v>4818</v>
      </c>
      <c r="K1332" s="1" t="s">
        <v>4819</v>
      </c>
      <c r="L1332" s="1" t="s">
        <v>4820</v>
      </c>
      <c r="M1332" s="2" t="s">
        <v>4821</v>
      </c>
      <c r="N1332" s="31">
        <v>46088</v>
      </c>
    </row>
    <row r="1333" spans="1:14" x14ac:dyDescent="0.25">
      <c r="A1333" s="29">
        <v>1332</v>
      </c>
      <c r="B1333" s="1" t="s">
        <v>4822</v>
      </c>
      <c r="C1333" s="31">
        <v>45990</v>
      </c>
      <c r="D1333" s="1" t="s">
        <v>4823</v>
      </c>
      <c r="E1333" s="13" t="s">
        <v>4824</v>
      </c>
      <c r="F1333" s="1" t="s">
        <v>89</v>
      </c>
      <c r="G1333" s="1" t="s">
        <v>4825</v>
      </c>
      <c r="H1333" s="1" t="s">
        <v>4826</v>
      </c>
      <c r="I1333" s="31">
        <v>46065</v>
      </c>
      <c r="J1333" s="1" t="s">
        <v>4827</v>
      </c>
      <c r="K1333" s="1" t="s">
        <v>4828</v>
      </c>
      <c r="L1333" s="1" t="s">
        <v>4829</v>
      </c>
      <c r="M1333" s="2" t="s">
        <v>4830</v>
      </c>
      <c r="N1333" s="31">
        <v>46071</v>
      </c>
    </row>
    <row r="1334" spans="1:14" x14ac:dyDescent="0.25">
      <c r="A1334" s="29">
        <v>1333</v>
      </c>
      <c r="B1334" s="1" t="s">
        <v>4831</v>
      </c>
      <c r="C1334" s="31">
        <v>45755</v>
      </c>
      <c r="D1334" s="1" t="s">
        <v>4832</v>
      </c>
      <c r="E1334" s="13" t="s">
        <v>4833</v>
      </c>
      <c r="F1334" s="1" t="s">
        <v>89</v>
      </c>
      <c r="G1334" s="1" t="s">
        <v>4834</v>
      </c>
      <c r="H1334" s="1" t="s">
        <v>4835</v>
      </c>
      <c r="I1334" s="31">
        <v>46065</v>
      </c>
      <c r="J1334" s="1" t="s">
        <v>4836</v>
      </c>
      <c r="K1334" s="1" t="s">
        <v>4837</v>
      </c>
      <c r="L1334" s="1" t="s">
        <v>4838</v>
      </c>
      <c r="M1334" s="2" t="s">
        <v>4839</v>
      </c>
      <c r="N1334" s="31">
        <v>46078</v>
      </c>
    </row>
    <row r="1335" spans="1:14" x14ac:dyDescent="0.25">
      <c r="A1335" s="29">
        <v>1334</v>
      </c>
      <c r="B1335" s="1" t="s">
        <v>4840</v>
      </c>
      <c r="C1335" s="31">
        <v>45868</v>
      </c>
      <c r="D1335" s="1" t="s">
        <v>4841</v>
      </c>
      <c r="E1335" s="13" t="s">
        <v>4842</v>
      </c>
      <c r="F1335" s="1" t="s">
        <v>89</v>
      </c>
      <c r="G1335" s="1" t="s">
        <v>4843</v>
      </c>
      <c r="H1335" s="1" t="s">
        <v>4844</v>
      </c>
      <c r="I1335" s="31">
        <v>46065</v>
      </c>
      <c r="J1335" s="1" t="s">
        <v>4845</v>
      </c>
      <c r="K1335" s="1" t="s">
        <v>3562</v>
      </c>
      <c r="L1335" s="1" t="s">
        <v>4846</v>
      </c>
      <c r="M1335" s="2" t="s">
        <v>4847</v>
      </c>
      <c r="N1335" s="31">
        <v>46086</v>
      </c>
    </row>
    <row r="1336" spans="1:14" x14ac:dyDescent="0.25">
      <c r="A1336" s="29">
        <v>1335</v>
      </c>
      <c r="B1336" s="1" t="s">
        <v>4848</v>
      </c>
      <c r="C1336" s="31">
        <v>45948</v>
      </c>
      <c r="D1336" s="1" t="s">
        <v>4849</v>
      </c>
      <c r="E1336" s="13" t="s">
        <v>4850</v>
      </c>
      <c r="F1336" s="1" t="s">
        <v>33</v>
      </c>
      <c r="G1336" s="1" t="s">
        <v>4851</v>
      </c>
      <c r="H1336" s="1" t="s">
        <v>4852</v>
      </c>
      <c r="I1336" s="31">
        <v>46065</v>
      </c>
      <c r="J1336" s="1" t="s">
        <v>4853</v>
      </c>
      <c r="K1336" s="1" t="s">
        <v>4854</v>
      </c>
      <c r="L1336" s="1" t="s">
        <v>4855</v>
      </c>
      <c r="M1336" s="2" t="s">
        <v>4856</v>
      </c>
      <c r="N1336" s="31">
        <v>46085</v>
      </c>
    </row>
    <row r="1337" spans="1:14" x14ac:dyDescent="0.25">
      <c r="A1337" s="29">
        <v>1336</v>
      </c>
      <c r="B1337" s="1" t="s">
        <v>4857</v>
      </c>
      <c r="C1337" s="31">
        <v>45996</v>
      </c>
      <c r="D1337" s="1" t="s">
        <v>4858</v>
      </c>
      <c r="E1337" s="13" t="s">
        <v>4859</v>
      </c>
      <c r="F1337" s="1" t="s">
        <v>33</v>
      </c>
      <c r="G1337" s="1" t="s">
        <v>4860</v>
      </c>
      <c r="H1337" s="1" t="s">
        <v>4861</v>
      </c>
      <c r="I1337" s="31">
        <v>46065</v>
      </c>
      <c r="J1337" s="1" t="s">
        <v>4862</v>
      </c>
      <c r="K1337" s="1" t="s">
        <v>4863</v>
      </c>
      <c r="L1337" s="1" t="s">
        <v>4864</v>
      </c>
      <c r="M1337" s="2" t="s">
        <v>4865</v>
      </c>
      <c r="N1337" s="31">
        <v>46087</v>
      </c>
    </row>
    <row r="1338" spans="1:14" x14ac:dyDescent="0.25">
      <c r="A1338" s="29">
        <v>1337</v>
      </c>
      <c r="B1338" s="1" t="s">
        <v>4866</v>
      </c>
      <c r="C1338" s="31">
        <v>45878</v>
      </c>
      <c r="D1338" s="1" t="s">
        <v>4867</v>
      </c>
      <c r="E1338" s="13" t="s">
        <v>4868</v>
      </c>
      <c r="F1338" s="1" t="s">
        <v>89</v>
      </c>
      <c r="G1338" s="1" t="s">
        <v>4869</v>
      </c>
      <c r="H1338" s="1" t="s">
        <v>4870</v>
      </c>
      <c r="I1338" s="31">
        <v>46065</v>
      </c>
      <c r="J1338" s="1" t="s">
        <v>4871</v>
      </c>
      <c r="K1338" s="1" t="s">
        <v>4575</v>
      </c>
      <c r="L1338" s="1" t="s">
        <v>4872</v>
      </c>
      <c r="M1338" s="2" t="s">
        <v>4873</v>
      </c>
      <c r="N1338" s="31">
        <v>46092</v>
      </c>
    </row>
    <row r="1339" spans="1:14" x14ac:dyDescent="0.25">
      <c r="A1339" s="29">
        <v>1338</v>
      </c>
      <c r="B1339" s="1" t="s">
        <v>4874</v>
      </c>
      <c r="C1339" s="31">
        <v>45728</v>
      </c>
      <c r="D1339" s="1" t="s">
        <v>4875</v>
      </c>
      <c r="E1339" s="13" t="s">
        <v>4876</v>
      </c>
      <c r="F1339" s="1" t="s">
        <v>33</v>
      </c>
      <c r="G1339" s="1" t="s">
        <v>4877</v>
      </c>
      <c r="H1339" s="1" t="s">
        <v>4878</v>
      </c>
      <c r="I1339" s="31">
        <v>46065</v>
      </c>
      <c r="J1339" s="1" t="s">
        <v>4879</v>
      </c>
      <c r="K1339" s="1" t="s">
        <v>3088</v>
      </c>
      <c r="L1339" s="1" t="s">
        <v>4880</v>
      </c>
      <c r="M1339" s="2" t="s">
        <v>4881</v>
      </c>
      <c r="N1339" s="31">
        <v>46086</v>
      </c>
    </row>
    <row r="1340" spans="1:14" x14ac:dyDescent="0.25">
      <c r="A1340" s="29">
        <v>1339</v>
      </c>
      <c r="B1340" s="1" t="s">
        <v>4882</v>
      </c>
      <c r="C1340" s="31">
        <v>45813</v>
      </c>
      <c r="D1340" s="1" t="s">
        <v>4883</v>
      </c>
      <c r="E1340" s="13" t="s">
        <v>4884</v>
      </c>
      <c r="F1340" s="1" t="s">
        <v>33</v>
      </c>
      <c r="G1340" s="1" t="s">
        <v>4885</v>
      </c>
      <c r="H1340" s="1" t="s">
        <v>4886</v>
      </c>
      <c r="I1340" s="31">
        <v>46065</v>
      </c>
      <c r="J1340" s="1" t="s">
        <v>4887</v>
      </c>
      <c r="K1340" s="1" t="s">
        <v>4888</v>
      </c>
      <c r="L1340" s="1" t="s">
        <v>4889</v>
      </c>
      <c r="M1340" s="2" t="s">
        <v>4890</v>
      </c>
      <c r="N1340" s="31">
        <v>46093</v>
      </c>
    </row>
    <row r="1341" spans="1:14" x14ac:dyDescent="0.25">
      <c r="A1341" s="29">
        <v>1340</v>
      </c>
      <c r="B1341" s="1" t="s">
        <v>4891</v>
      </c>
      <c r="C1341" s="31">
        <v>45757</v>
      </c>
      <c r="D1341" s="1" t="s">
        <v>4892</v>
      </c>
      <c r="E1341" s="13" t="s">
        <v>4893</v>
      </c>
      <c r="F1341" s="1" t="s">
        <v>33</v>
      </c>
      <c r="G1341" s="1" t="s">
        <v>4894</v>
      </c>
      <c r="H1341" s="1" t="s">
        <v>4895</v>
      </c>
      <c r="I1341" s="31">
        <v>46065</v>
      </c>
      <c r="J1341" s="1" t="s">
        <v>4896</v>
      </c>
      <c r="K1341" s="1" t="s">
        <v>4211</v>
      </c>
      <c r="L1341" s="1" t="s">
        <v>4897</v>
      </c>
      <c r="M1341" s="2" t="s">
        <v>4898</v>
      </c>
      <c r="N1341" s="31">
        <v>46069</v>
      </c>
    </row>
    <row r="1342" spans="1:14" x14ac:dyDescent="0.25">
      <c r="A1342" s="29">
        <v>1341</v>
      </c>
      <c r="B1342" s="1" t="s">
        <v>4899</v>
      </c>
      <c r="C1342" s="31">
        <v>45755</v>
      </c>
      <c r="D1342" s="1" t="s">
        <v>4900</v>
      </c>
      <c r="E1342" s="13" t="s">
        <v>4901</v>
      </c>
      <c r="F1342" s="1" t="s">
        <v>33</v>
      </c>
      <c r="G1342" s="1" t="s">
        <v>4902</v>
      </c>
      <c r="H1342" s="1" t="s">
        <v>4903</v>
      </c>
      <c r="I1342" s="31">
        <v>46065</v>
      </c>
      <c r="J1342" s="1" t="s">
        <v>4904</v>
      </c>
      <c r="K1342" s="1" t="s">
        <v>4905</v>
      </c>
      <c r="L1342" s="1" t="s">
        <v>4906</v>
      </c>
      <c r="M1342" s="2" t="s">
        <v>4907</v>
      </c>
      <c r="N1342" s="31">
        <v>46076</v>
      </c>
    </row>
    <row r="1343" spans="1:14" x14ac:dyDescent="0.25">
      <c r="A1343" s="29">
        <v>1342</v>
      </c>
      <c r="B1343" s="1" t="s">
        <v>4908</v>
      </c>
      <c r="C1343" s="31">
        <v>45954</v>
      </c>
      <c r="D1343" s="1" t="s">
        <v>4909</v>
      </c>
      <c r="E1343" s="13" t="s">
        <v>4910</v>
      </c>
      <c r="F1343" s="1" t="s">
        <v>33</v>
      </c>
      <c r="G1343" s="1" t="s">
        <v>4911</v>
      </c>
      <c r="H1343" s="1" t="s">
        <v>4912</v>
      </c>
      <c r="I1343" s="31">
        <v>46065</v>
      </c>
      <c r="J1343" s="1" t="s">
        <v>4913</v>
      </c>
      <c r="K1343" s="1" t="s">
        <v>4914</v>
      </c>
      <c r="L1343" s="1" t="s">
        <v>4915</v>
      </c>
      <c r="M1343" s="2" t="s">
        <v>4916</v>
      </c>
      <c r="N1343" s="31">
        <v>46086</v>
      </c>
    </row>
    <row r="1344" spans="1:14" x14ac:dyDescent="0.25">
      <c r="A1344" s="29">
        <v>1343</v>
      </c>
      <c r="B1344" s="1" t="s">
        <v>4917</v>
      </c>
      <c r="C1344" s="31">
        <v>46004</v>
      </c>
      <c r="D1344" s="1" t="s">
        <v>4918</v>
      </c>
      <c r="E1344" s="13" t="s">
        <v>4919</v>
      </c>
      <c r="F1344" s="1" t="s">
        <v>89</v>
      </c>
      <c r="G1344" s="1" t="s">
        <v>4920</v>
      </c>
      <c r="H1344" s="1" t="s">
        <v>4921</v>
      </c>
      <c r="I1344" s="31">
        <v>46065</v>
      </c>
      <c r="J1344" s="1" t="s">
        <v>4922</v>
      </c>
      <c r="K1344" s="1" t="s">
        <v>4923</v>
      </c>
      <c r="L1344" s="1" t="s">
        <v>4924</v>
      </c>
      <c r="M1344" s="2" t="s">
        <v>4925</v>
      </c>
      <c r="N1344" s="31">
        <v>46093</v>
      </c>
    </row>
    <row r="1345" spans="1:14" x14ac:dyDescent="0.25">
      <c r="A1345" s="29">
        <v>1344</v>
      </c>
      <c r="B1345" s="1" t="s">
        <v>4926</v>
      </c>
      <c r="C1345" s="31">
        <v>45735</v>
      </c>
      <c r="D1345" s="1" t="s">
        <v>4927</v>
      </c>
      <c r="E1345" s="13" t="s">
        <v>4928</v>
      </c>
      <c r="F1345" s="1" t="s">
        <v>33</v>
      </c>
      <c r="G1345" s="1" t="s">
        <v>4929</v>
      </c>
      <c r="H1345" s="1" t="s">
        <v>4930</v>
      </c>
      <c r="I1345" s="31">
        <v>46065</v>
      </c>
      <c r="J1345" s="1" t="s">
        <v>4931</v>
      </c>
      <c r="K1345" s="1" t="s">
        <v>4932</v>
      </c>
      <c r="L1345" s="1" t="s">
        <v>4933</v>
      </c>
      <c r="M1345" s="2" t="s">
        <v>4934</v>
      </c>
      <c r="N1345" s="31">
        <v>46085</v>
      </c>
    </row>
    <row r="1346" spans="1:14" x14ac:dyDescent="0.25">
      <c r="A1346" s="29">
        <v>1345</v>
      </c>
      <c r="B1346" s="1" t="s">
        <v>4935</v>
      </c>
      <c r="C1346" s="31">
        <v>45768</v>
      </c>
      <c r="D1346" s="1" t="s">
        <v>4936</v>
      </c>
      <c r="E1346" s="13" t="s">
        <v>4937</v>
      </c>
      <c r="F1346" s="1" t="s">
        <v>33</v>
      </c>
      <c r="G1346" s="1" t="s">
        <v>4938</v>
      </c>
      <c r="H1346" s="1" t="s">
        <v>4939</v>
      </c>
      <c r="I1346" s="31">
        <v>46065</v>
      </c>
      <c r="J1346" s="1" t="s">
        <v>4940</v>
      </c>
      <c r="K1346" s="1" t="s">
        <v>4941</v>
      </c>
      <c r="L1346" s="1" t="s">
        <v>4942</v>
      </c>
      <c r="M1346" s="2" t="s">
        <v>4943</v>
      </c>
      <c r="N1346" s="31">
        <v>46073</v>
      </c>
    </row>
    <row r="1347" spans="1:14" x14ac:dyDescent="0.25">
      <c r="A1347" s="29">
        <v>1346</v>
      </c>
      <c r="B1347" s="1" t="s">
        <v>4944</v>
      </c>
      <c r="C1347" s="31">
        <v>46007</v>
      </c>
      <c r="D1347" s="1" t="s">
        <v>4945</v>
      </c>
      <c r="E1347" s="13" t="s">
        <v>4946</v>
      </c>
      <c r="F1347" s="1" t="s">
        <v>89</v>
      </c>
      <c r="G1347" s="1" t="s">
        <v>4947</v>
      </c>
      <c r="H1347" s="1" t="s">
        <v>4948</v>
      </c>
      <c r="I1347" s="31">
        <v>46065</v>
      </c>
      <c r="J1347" s="1" t="s">
        <v>4949</v>
      </c>
      <c r="K1347" s="1" t="s">
        <v>4950</v>
      </c>
      <c r="L1347" s="1" t="s">
        <v>4951</v>
      </c>
      <c r="M1347" s="2" t="s">
        <v>4952</v>
      </c>
      <c r="N1347" s="31">
        <v>46089</v>
      </c>
    </row>
    <row r="1348" spans="1:14" x14ac:dyDescent="0.25">
      <c r="A1348" s="29">
        <v>1347</v>
      </c>
      <c r="B1348" s="1" t="s">
        <v>4953</v>
      </c>
      <c r="C1348" s="31">
        <v>45887</v>
      </c>
      <c r="D1348" s="1" t="s">
        <v>4954</v>
      </c>
      <c r="E1348" s="13" t="s">
        <v>4955</v>
      </c>
      <c r="F1348" s="1" t="s">
        <v>89</v>
      </c>
      <c r="G1348" s="1" t="s">
        <v>4956</v>
      </c>
      <c r="H1348" s="1" t="s">
        <v>4957</v>
      </c>
      <c r="I1348" s="31">
        <v>46065</v>
      </c>
      <c r="J1348" s="1" t="s">
        <v>4958</v>
      </c>
      <c r="K1348" s="1" t="s">
        <v>4959</v>
      </c>
      <c r="L1348" s="1" t="s">
        <v>4960</v>
      </c>
      <c r="M1348" s="2" t="s">
        <v>4961</v>
      </c>
      <c r="N1348" s="31">
        <v>46072</v>
      </c>
    </row>
    <row r="1349" spans="1:14" x14ac:dyDescent="0.25">
      <c r="A1349" s="29">
        <v>1348</v>
      </c>
      <c r="B1349" s="1" t="s">
        <v>4962</v>
      </c>
      <c r="C1349" s="31">
        <v>45859</v>
      </c>
      <c r="D1349" s="1" t="s">
        <v>4963</v>
      </c>
      <c r="E1349" s="13" t="s">
        <v>4964</v>
      </c>
      <c r="F1349" s="1" t="s">
        <v>89</v>
      </c>
      <c r="G1349" s="1" t="s">
        <v>4965</v>
      </c>
      <c r="H1349" s="1" t="s">
        <v>4966</v>
      </c>
      <c r="I1349" s="31">
        <v>46065</v>
      </c>
      <c r="J1349" s="1" t="s">
        <v>4967</v>
      </c>
      <c r="K1349" s="1" t="s">
        <v>2699</v>
      </c>
      <c r="L1349" s="1" t="s">
        <v>4968</v>
      </c>
      <c r="M1349" s="2" t="s">
        <v>4969</v>
      </c>
      <c r="N1349" s="31">
        <v>46074</v>
      </c>
    </row>
    <row r="1350" spans="1:14" x14ac:dyDescent="0.25">
      <c r="A1350" s="29">
        <v>1349</v>
      </c>
      <c r="B1350" s="1" t="s">
        <v>4970</v>
      </c>
      <c r="C1350" s="31">
        <v>45738</v>
      </c>
      <c r="D1350" s="1" t="s">
        <v>4971</v>
      </c>
      <c r="E1350" s="13" t="s">
        <v>4972</v>
      </c>
      <c r="F1350" s="1" t="s">
        <v>33</v>
      </c>
      <c r="G1350" s="1" t="s">
        <v>4973</v>
      </c>
      <c r="H1350" s="1" t="s">
        <v>4974</v>
      </c>
      <c r="I1350" s="31">
        <v>46065</v>
      </c>
      <c r="J1350" s="1" t="s">
        <v>4975</v>
      </c>
      <c r="K1350" s="1" t="s">
        <v>4976</v>
      </c>
      <c r="L1350" s="1" t="s">
        <v>4977</v>
      </c>
      <c r="M1350" s="2" t="s">
        <v>4978</v>
      </c>
      <c r="N1350" s="31">
        <v>46069</v>
      </c>
    </row>
    <row r="1351" spans="1:14" x14ac:dyDescent="0.25">
      <c r="A1351" s="29">
        <v>1350</v>
      </c>
      <c r="B1351" s="1" t="s">
        <v>4979</v>
      </c>
      <c r="C1351" s="31">
        <v>45882</v>
      </c>
      <c r="D1351" s="1" t="s">
        <v>4980</v>
      </c>
      <c r="E1351" s="13" t="s">
        <v>4981</v>
      </c>
      <c r="F1351" s="1" t="s">
        <v>33</v>
      </c>
      <c r="G1351" s="1" t="s">
        <v>4982</v>
      </c>
      <c r="H1351" s="1" t="s">
        <v>4983</v>
      </c>
      <c r="I1351" s="31">
        <v>46065</v>
      </c>
      <c r="J1351" s="1" t="s">
        <v>4984</v>
      </c>
      <c r="K1351" s="1" t="s">
        <v>4985</v>
      </c>
      <c r="L1351" s="1" t="s">
        <v>4986</v>
      </c>
      <c r="M1351" s="2" t="s">
        <v>4987</v>
      </c>
      <c r="N1351" s="31">
        <v>46075</v>
      </c>
    </row>
    <row r="1352" spans="1:14" x14ac:dyDescent="0.25">
      <c r="A1352" s="29">
        <v>1351</v>
      </c>
      <c r="B1352" s="1" t="s">
        <v>4988</v>
      </c>
      <c r="C1352" s="31">
        <v>45974</v>
      </c>
      <c r="D1352" s="1" t="s">
        <v>4989</v>
      </c>
      <c r="E1352" s="13" t="s">
        <v>4990</v>
      </c>
      <c r="F1352" s="1" t="s">
        <v>33</v>
      </c>
      <c r="G1352" s="1" t="s">
        <v>4991</v>
      </c>
      <c r="H1352" s="1" t="s">
        <v>4992</v>
      </c>
      <c r="I1352" s="31">
        <v>46065</v>
      </c>
      <c r="J1352" s="1" t="s">
        <v>4993</v>
      </c>
      <c r="K1352" s="1" t="s">
        <v>4994</v>
      </c>
      <c r="L1352" s="1" t="s">
        <v>4995</v>
      </c>
      <c r="M1352" s="2" t="s">
        <v>4996</v>
      </c>
      <c r="N1352" s="31">
        <v>46075</v>
      </c>
    </row>
    <row r="1353" spans="1:14" x14ac:dyDescent="0.25">
      <c r="A1353" s="29">
        <v>1352</v>
      </c>
      <c r="B1353" s="1" t="s">
        <v>4997</v>
      </c>
      <c r="C1353" s="31">
        <v>46027</v>
      </c>
      <c r="D1353" s="1" t="s">
        <v>4998</v>
      </c>
      <c r="E1353" s="13" t="s">
        <v>4999</v>
      </c>
      <c r="F1353" s="1" t="s">
        <v>33</v>
      </c>
      <c r="G1353" s="1" t="s">
        <v>5000</v>
      </c>
      <c r="H1353" s="1" t="s">
        <v>5001</v>
      </c>
      <c r="I1353" s="31">
        <v>46065</v>
      </c>
      <c r="J1353" s="1" t="s">
        <v>5002</v>
      </c>
      <c r="K1353" s="1" t="s">
        <v>5003</v>
      </c>
      <c r="L1353" s="1" t="s">
        <v>5004</v>
      </c>
      <c r="M1353" s="2" t="s">
        <v>5005</v>
      </c>
      <c r="N1353" s="31">
        <v>46089</v>
      </c>
    </row>
    <row r="1354" spans="1:14" x14ac:dyDescent="0.25">
      <c r="A1354" s="29">
        <v>1353</v>
      </c>
      <c r="B1354" s="1" t="s">
        <v>5006</v>
      </c>
      <c r="C1354" s="31">
        <v>45915</v>
      </c>
      <c r="D1354" s="1" t="s">
        <v>5007</v>
      </c>
      <c r="E1354" s="13" t="s">
        <v>5008</v>
      </c>
      <c r="F1354" s="1" t="s">
        <v>89</v>
      </c>
      <c r="G1354" s="1" t="s">
        <v>5009</v>
      </c>
      <c r="H1354" s="1" t="s">
        <v>5010</v>
      </c>
      <c r="I1354" s="31">
        <v>46065</v>
      </c>
      <c r="J1354" s="1" t="s">
        <v>5011</v>
      </c>
      <c r="K1354" s="1" t="s">
        <v>5012</v>
      </c>
      <c r="L1354" s="1" t="s">
        <v>5013</v>
      </c>
      <c r="M1354" s="2" t="s">
        <v>5014</v>
      </c>
      <c r="N1354" s="31">
        <v>46081</v>
      </c>
    </row>
    <row r="1355" spans="1:14" x14ac:dyDescent="0.25">
      <c r="A1355" s="29">
        <v>1354</v>
      </c>
      <c r="B1355" s="1" t="s">
        <v>5015</v>
      </c>
      <c r="C1355" s="31">
        <v>45852</v>
      </c>
      <c r="D1355" s="1" t="s">
        <v>5016</v>
      </c>
      <c r="E1355" s="13" t="s">
        <v>5017</v>
      </c>
      <c r="F1355" s="1" t="s">
        <v>89</v>
      </c>
      <c r="G1355" s="1" t="s">
        <v>5018</v>
      </c>
      <c r="H1355" s="1" t="s">
        <v>5019</v>
      </c>
      <c r="I1355" s="31">
        <v>46065</v>
      </c>
      <c r="J1355" s="1" t="s">
        <v>5020</v>
      </c>
      <c r="K1355" s="1" t="s">
        <v>5021</v>
      </c>
      <c r="L1355" s="1" t="s">
        <v>5022</v>
      </c>
      <c r="M1355" s="2" t="s">
        <v>5023</v>
      </c>
      <c r="N1355" s="31">
        <v>46079</v>
      </c>
    </row>
    <row r="1356" spans="1:14" x14ac:dyDescent="0.25">
      <c r="A1356" s="29">
        <v>1355</v>
      </c>
      <c r="B1356" s="1" t="s">
        <v>5024</v>
      </c>
      <c r="C1356" s="31">
        <v>46040</v>
      </c>
      <c r="D1356" s="1" t="s">
        <v>5025</v>
      </c>
      <c r="E1356" s="13" t="s">
        <v>5026</v>
      </c>
      <c r="F1356" s="1" t="s">
        <v>89</v>
      </c>
      <c r="G1356" s="1" t="s">
        <v>5027</v>
      </c>
      <c r="H1356" s="1" t="s">
        <v>5028</v>
      </c>
      <c r="I1356" s="31">
        <v>46065</v>
      </c>
      <c r="J1356" s="1" t="s">
        <v>5029</v>
      </c>
      <c r="K1356" s="1" t="s">
        <v>5030</v>
      </c>
      <c r="L1356" s="1" t="s">
        <v>5031</v>
      </c>
      <c r="M1356" s="2" t="s">
        <v>5032</v>
      </c>
      <c r="N1356" s="31">
        <v>46095</v>
      </c>
    </row>
    <row r="1357" spans="1:14" x14ac:dyDescent="0.25">
      <c r="A1357" s="29">
        <v>1356</v>
      </c>
      <c r="B1357" s="1" t="s">
        <v>5033</v>
      </c>
      <c r="C1357" s="31">
        <v>45817</v>
      </c>
      <c r="D1357" s="1" t="s">
        <v>5034</v>
      </c>
      <c r="E1357" s="13" t="s">
        <v>5035</v>
      </c>
      <c r="F1357" s="1" t="s">
        <v>33</v>
      </c>
      <c r="G1357" s="1" t="s">
        <v>5036</v>
      </c>
      <c r="H1357" s="1" t="s">
        <v>5037</v>
      </c>
      <c r="I1357" s="31">
        <v>46065</v>
      </c>
      <c r="J1357" s="1" t="s">
        <v>5038</v>
      </c>
      <c r="K1357" s="1" t="s">
        <v>5039</v>
      </c>
      <c r="L1357" s="1" t="s">
        <v>5040</v>
      </c>
      <c r="M1357" s="2" t="s">
        <v>5041</v>
      </c>
      <c r="N1357" s="31">
        <v>46068</v>
      </c>
    </row>
    <row r="1358" spans="1:14" x14ac:dyDescent="0.25">
      <c r="A1358" s="29">
        <v>1357</v>
      </c>
      <c r="B1358" s="1" t="s">
        <v>5042</v>
      </c>
      <c r="C1358" s="31">
        <v>45903</v>
      </c>
      <c r="D1358" s="1" t="s">
        <v>5043</v>
      </c>
      <c r="E1358" s="13" t="s">
        <v>5044</v>
      </c>
      <c r="F1358" s="1" t="s">
        <v>89</v>
      </c>
      <c r="G1358" s="1" t="s">
        <v>5045</v>
      </c>
      <c r="H1358" s="1" t="s">
        <v>5046</v>
      </c>
      <c r="I1358" s="31">
        <v>46065</v>
      </c>
      <c r="J1358" s="1" t="s">
        <v>5047</v>
      </c>
      <c r="K1358" s="1" t="s">
        <v>5048</v>
      </c>
      <c r="L1358" s="1" t="s">
        <v>5049</v>
      </c>
      <c r="M1358" s="2" t="s">
        <v>5050</v>
      </c>
      <c r="N1358" s="31">
        <v>46076</v>
      </c>
    </row>
    <row r="1359" spans="1:14" x14ac:dyDescent="0.25">
      <c r="A1359" s="29">
        <v>1358</v>
      </c>
      <c r="B1359" s="1" t="s">
        <v>5051</v>
      </c>
      <c r="C1359" s="31">
        <v>45920</v>
      </c>
      <c r="D1359" s="1" t="s">
        <v>5052</v>
      </c>
      <c r="E1359" s="13" t="s">
        <v>5053</v>
      </c>
      <c r="F1359" s="1" t="s">
        <v>89</v>
      </c>
      <c r="G1359" s="1" t="s">
        <v>5054</v>
      </c>
      <c r="H1359" s="1" t="s">
        <v>5055</v>
      </c>
      <c r="I1359" s="31">
        <v>46065</v>
      </c>
      <c r="J1359" s="1" t="s">
        <v>5056</v>
      </c>
      <c r="K1359" s="1" t="s">
        <v>5057</v>
      </c>
      <c r="L1359" s="1" t="s">
        <v>5058</v>
      </c>
      <c r="M1359" s="2" t="s">
        <v>5059</v>
      </c>
      <c r="N1359" s="31">
        <v>46074</v>
      </c>
    </row>
    <row r="1360" spans="1:14" x14ac:dyDescent="0.25">
      <c r="A1360" s="29">
        <v>1359</v>
      </c>
      <c r="B1360" s="1" t="s">
        <v>5060</v>
      </c>
      <c r="C1360" s="31">
        <v>45919</v>
      </c>
      <c r="D1360" s="1" t="s">
        <v>5061</v>
      </c>
      <c r="E1360" s="13" t="s">
        <v>5062</v>
      </c>
      <c r="F1360" s="1" t="s">
        <v>33</v>
      </c>
      <c r="G1360" s="1" t="s">
        <v>5063</v>
      </c>
      <c r="H1360" s="1" t="s">
        <v>5064</v>
      </c>
      <c r="I1360" s="31">
        <v>46065</v>
      </c>
      <c r="J1360" s="1" t="s">
        <v>5065</v>
      </c>
      <c r="K1360" s="1" t="s">
        <v>5066</v>
      </c>
      <c r="L1360" s="1" t="s">
        <v>5067</v>
      </c>
      <c r="M1360" s="2" t="s">
        <v>5068</v>
      </c>
      <c r="N1360" s="31">
        <v>46077</v>
      </c>
    </row>
    <row r="1361" spans="1:14" x14ac:dyDescent="0.25">
      <c r="A1361" s="29">
        <v>1360</v>
      </c>
      <c r="B1361" s="1" t="s">
        <v>5069</v>
      </c>
      <c r="C1361" s="31">
        <v>45741</v>
      </c>
      <c r="D1361" s="1" t="s">
        <v>5070</v>
      </c>
      <c r="E1361" s="13" t="s">
        <v>5071</v>
      </c>
      <c r="F1361" s="1" t="s">
        <v>89</v>
      </c>
      <c r="G1361" s="1" t="s">
        <v>5072</v>
      </c>
      <c r="H1361" s="1" t="s">
        <v>5073</v>
      </c>
      <c r="I1361" s="31">
        <v>46065</v>
      </c>
      <c r="J1361" s="1" t="s">
        <v>5074</v>
      </c>
      <c r="K1361" s="1" t="s">
        <v>5075</v>
      </c>
      <c r="L1361" s="1" t="s">
        <v>5076</v>
      </c>
      <c r="M1361" s="2" t="s">
        <v>5077</v>
      </c>
      <c r="N1361" s="31">
        <v>46079</v>
      </c>
    </row>
    <row r="1362" spans="1:14" x14ac:dyDescent="0.25">
      <c r="A1362" s="29">
        <v>1361</v>
      </c>
      <c r="B1362" s="1" t="s">
        <v>5078</v>
      </c>
      <c r="C1362" s="31">
        <v>45824</v>
      </c>
      <c r="D1362" s="1" t="s">
        <v>5079</v>
      </c>
      <c r="E1362" s="13" t="s">
        <v>5080</v>
      </c>
      <c r="F1362" s="1" t="s">
        <v>33</v>
      </c>
      <c r="G1362" s="1" t="s">
        <v>5081</v>
      </c>
      <c r="H1362" s="1" t="s">
        <v>5082</v>
      </c>
      <c r="I1362" s="31">
        <v>46065</v>
      </c>
      <c r="J1362" s="1" t="s">
        <v>5083</v>
      </c>
      <c r="K1362" s="1" t="s">
        <v>5084</v>
      </c>
      <c r="L1362" s="1" t="s">
        <v>5085</v>
      </c>
      <c r="M1362" s="2" t="s">
        <v>5086</v>
      </c>
      <c r="N1362" s="31">
        <v>46090</v>
      </c>
    </row>
    <row r="1363" spans="1:14" x14ac:dyDescent="0.25">
      <c r="A1363" s="29">
        <v>1362</v>
      </c>
      <c r="B1363" s="1" t="s">
        <v>5087</v>
      </c>
      <c r="C1363" s="31">
        <v>46052</v>
      </c>
      <c r="D1363" s="1" t="s">
        <v>5088</v>
      </c>
      <c r="E1363" s="13" t="s">
        <v>5089</v>
      </c>
      <c r="F1363" s="1" t="s">
        <v>89</v>
      </c>
      <c r="G1363" s="1" t="s">
        <v>5090</v>
      </c>
      <c r="H1363" s="1" t="s">
        <v>5091</v>
      </c>
      <c r="I1363" s="31">
        <v>46065</v>
      </c>
      <c r="J1363" s="1" t="s">
        <v>5092</v>
      </c>
      <c r="K1363" s="1" t="s">
        <v>5084</v>
      </c>
      <c r="L1363" s="1" t="s">
        <v>5093</v>
      </c>
      <c r="M1363" s="2" t="s">
        <v>5094</v>
      </c>
      <c r="N1363" s="31">
        <v>46069</v>
      </c>
    </row>
    <row r="1364" spans="1:14" x14ac:dyDescent="0.25">
      <c r="A1364" s="29">
        <v>1363</v>
      </c>
      <c r="B1364" s="1" t="s">
        <v>5095</v>
      </c>
      <c r="C1364" s="31">
        <v>45936</v>
      </c>
      <c r="D1364" s="1" t="s">
        <v>5096</v>
      </c>
      <c r="E1364" s="13" t="s">
        <v>5097</v>
      </c>
      <c r="F1364" s="1" t="s">
        <v>89</v>
      </c>
      <c r="G1364" s="1" t="s">
        <v>5098</v>
      </c>
      <c r="H1364" s="1" t="s">
        <v>5099</v>
      </c>
      <c r="I1364" s="31">
        <v>46065</v>
      </c>
      <c r="J1364" s="1" t="s">
        <v>5100</v>
      </c>
      <c r="K1364" s="1" t="s">
        <v>4090</v>
      </c>
      <c r="L1364" s="1" t="s">
        <v>5101</v>
      </c>
      <c r="M1364" s="2" t="s">
        <v>5102</v>
      </c>
      <c r="N1364" s="31">
        <v>46087</v>
      </c>
    </row>
    <row r="1365" spans="1:14" x14ac:dyDescent="0.25">
      <c r="A1365" s="29">
        <v>1364</v>
      </c>
      <c r="B1365" s="1" t="s">
        <v>5103</v>
      </c>
      <c r="C1365" s="31">
        <v>45877</v>
      </c>
      <c r="D1365" s="1" t="s">
        <v>5104</v>
      </c>
      <c r="E1365" s="13" t="s">
        <v>5105</v>
      </c>
      <c r="F1365" s="1" t="s">
        <v>33</v>
      </c>
      <c r="G1365" s="1" t="s">
        <v>5106</v>
      </c>
      <c r="H1365" s="1" t="s">
        <v>5107</v>
      </c>
      <c r="I1365" s="31">
        <v>46065</v>
      </c>
      <c r="J1365" s="1" t="s">
        <v>5108</v>
      </c>
      <c r="K1365" s="1" t="s">
        <v>5109</v>
      </c>
      <c r="L1365" s="1" t="s">
        <v>5110</v>
      </c>
      <c r="M1365" s="2" t="s">
        <v>5111</v>
      </c>
      <c r="N1365" s="31">
        <v>46087</v>
      </c>
    </row>
    <row r="1366" spans="1:14" x14ac:dyDescent="0.25">
      <c r="A1366" s="29">
        <v>1365</v>
      </c>
      <c r="B1366" s="1" t="s">
        <v>5112</v>
      </c>
      <c r="C1366" s="31">
        <v>45796</v>
      </c>
      <c r="D1366" s="1" t="s">
        <v>5113</v>
      </c>
      <c r="E1366" s="13" t="s">
        <v>5114</v>
      </c>
      <c r="F1366" s="1" t="s">
        <v>33</v>
      </c>
      <c r="G1366" s="1" t="s">
        <v>5115</v>
      </c>
      <c r="H1366" s="1" t="s">
        <v>5116</v>
      </c>
      <c r="I1366" s="31">
        <v>46065</v>
      </c>
      <c r="J1366" s="1" t="s">
        <v>5117</v>
      </c>
      <c r="K1366" s="1" t="s">
        <v>5118</v>
      </c>
      <c r="L1366" s="1" t="s">
        <v>5119</v>
      </c>
      <c r="M1366" s="2" t="s">
        <v>5120</v>
      </c>
      <c r="N1366" s="31">
        <v>46080</v>
      </c>
    </row>
    <row r="1367" spans="1:14" x14ac:dyDescent="0.25">
      <c r="A1367" s="29">
        <v>1366</v>
      </c>
      <c r="B1367" s="1" t="s">
        <v>5121</v>
      </c>
      <c r="C1367" s="31">
        <v>45725</v>
      </c>
      <c r="D1367" s="1" t="s">
        <v>5122</v>
      </c>
      <c r="E1367" s="13" t="s">
        <v>5123</v>
      </c>
      <c r="F1367" s="1" t="s">
        <v>89</v>
      </c>
      <c r="G1367" s="1" t="s">
        <v>5124</v>
      </c>
      <c r="H1367" s="1" t="s">
        <v>5125</v>
      </c>
      <c r="I1367" s="31">
        <v>46065</v>
      </c>
      <c r="J1367" s="1" t="s">
        <v>5126</v>
      </c>
      <c r="K1367" s="1" t="s">
        <v>5127</v>
      </c>
      <c r="L1367" s="1" t="s">
        <v>5128</v>
      </c>
      <c r="M1367" s="2" t="s">
        <v>5129</v>
      </c>
      <c r="N1367" s="31">
        <v>46079</v>
      </c>
    </row>
    <row r="1368" spans="1:14" x14ac:dyDescent="0.25">
      <c r="A1368" s="29">
        <v>1367</v>
      </c>
      <c r="B1368" s="1" t="s">
        <v>5130</v>
      </c>
      <c r="C1368" s="31">
        <v>45723</v>
      </c>
      <c r="D1368" s="1" t="s">
        <v>5131</v>
      </c>
      <c r="E1368" s="13" t="s">
        <v>5132</v>
      </c>
      <c r="F1368" s="1" t="s">
        <v>89</v>
      </c>
      <c r="G1368" s="1" t="s">
        <v>5133</v>
      </c>
      <c r="H1368" s="1" t="s">
        <v>5134</v>
      </c>
      <c r="I1368" s="31">
        <v>46065</v>
      </c>
      <c r="J1368" s="1" t="s">
        <v>5135</v>
      </c>
      <c r="K1368" s="1" t="s">
        <v>5136</v>
      </c>
      <c r="L1368" s="1" t="s">
        <v>5137</v>
      </c>
      <c r="M1368" s="2" t="s">
        <v>5138</v>
      </c>
      <c r="N1368" s="31">
        <v>46091</v>
      </c>
    </row>
    <row r="1369" spans="1:14" x14ac:dyDescent="0.25">
      <c r="A1369" s="29">
        <v>1368</v>
      </c>
      <c r="B1369" s="1" t="s">
        <v>5139</v>
      </c>
      <c r="C1369" s="31">
        <v>45714</v>
      </c>
      <c r="D1369" s="1" t="s">
        <v>5140</v>
      </c>
      <c r="E1369" s="13" t="s">
        <v>5141</v>
      </c>
      <c r="F1369" s="1" t="s">
        <v>33</v>
      </c>
      <c r="G1369" s="1" t="s">
        <v>5142</v>
      </c>
      <c r="H1369" s="1" t="s">
        <v>5143</v>
      </c>
      <c r="I1369" s="31">
        <v>46065</v>
      </c>
      <c r="J1369" s="1" t="s">
        <v>5144</v>
      </c>
      <c r="K1369" s="1" t="s">
        <v>5145</v>
      </c>
      <c r="L1369" s="1" t="s">
        <v>5146</v>
      </c>
      <c r="M1369" s="2" t="s">
        <v>5147</v>
      </c>
      <c r="N1369" s="31">
        <v>46088</v>
      </c>
    </row>
    <row r="1370" spans="1:14" x14ac:dyDescent="0.25">
      <c r="A1370" s="29">
        <v>1369</v>
      </c>
      <c r="B1370" s="1" t="s">
        <v>5148</v>
      </c>
      <c r="C1370" s="31">
        <v>46018</v>
      </c>
      <c r="D1370" s="1" t="s">
        <v>5149</v>
      </c>
      <c r="E1370" s="13" t="s">
        <v>5150</v>
      </c>
      <c r="F1370" s="1" t="s">
        <v>33</v>
      </c>
      <c r="G1370" s="1" t="s">
        <v>5151</v>
      </c>
      <c r="H1370" s="1" t="s">
        <v>5152</v>
      </c>
      <c r="I1370" s="31">
        <v>46065</v>
      </c>
      <c r="J1370" s="1" t="s">
        <v>5153</v>
      </c>
      <c r="K1370" s="1" t="s">
        <v>5154</v>
      </c>
      <c r="L1370" s="1" t="s">
        <v>5155</v>
      </c>
      <c r="M1370" s="2" t="s">
        <v>5156</v>
      </c>
      <c r="N1370" s="31">
        <v>46075</v>
      </c>
    </row>
    <row r="1371" spans="1:14" x14ac:dyDescent="0.25">
      <c r="A1371" s="29">
        <v>1370</v>
      </c>
      <c r="B1371" s="1" t="s">
        <v>5157</v>
      </c>
      <c r="C1371" s="31">
        <v>45989</v>
      </c>
      <c r="D1371" s="1" t="s">
        <v>5158</v>
      </c>
      <c r="E1371" s="13" t="s">
        <v>5159</v>
      </c>
      <c r="F1371" s="1" t="s">
        <v>89</v>
      </c>
      <c r="G1371" s="1" t="s">
        <v>5160</v>
      </c>
      <c r="H1371" s="1" t="s">
        <v>5161</v>
      </c>
      <c r="I1371" s="31">
        <v>46065</v>
      </c>
      <c r="J1371" s="1" t="s">
        <v>5162</v>
      </c>
      <c r="K1371" s="1" t="s">
        <v>5163</v>
      </c>
      <c r="L1371" s="1" t="s">
        <v>5164</v>
      </c>
      <c r="M1371" s="2" t="s">
        <v>5165</v>
      </c>
      <c r="N1371" s="31">
        <v>46071</v>
      </c>
    </row>
    <row r="1372" spans="1:14" x14ac:dyDescent="0.25">
      <c r="A1372" s="29">
        <v>1371</v>
      </c>
      <c r="B1372" s="1" t="s">
        <v>5166</v>
      </c>
      <c r="C1372" s="31">
        <v>45850</v>
      </c>
      <c r="D1372" s="1" t="s">
        <v>5167</v>
      </c>
      <c r="E1372" s="13" t="s">
        <v>5168</v>
      </c>
      <c r="F1372" s="1" t="s">
        <v>33</v>
      </c>
      <c r="G1372" s="1" t="s">
        <v>5169</v>
      </c>
      <c r="H1372" s="1" t="s">
        <v>5170</v>
      </c>
      <c r="I1372" s="31">
        <v>46065</v>
      </c>
      <c r="J1372" s="1" t="s">
        <v>5171</v>
      </c>
      <c r="K1372" s="1" t="s">
        <v>5172</v>
      </c>
      <c r="L1372" s="1" t="s">
        <v>5173</v>
      </c>
      <c r="M1372" s="2" t="s">
        <v>5174</v>
      </c>
      <c r="N1372" s="31">
        <v>46082</v>
      </c>
    </row>
    <row r="1373" spans="1:14" x14ac:dyDescent="0.25">
      <c r="A1373" s="29">
        <v>1372</v>
      </c>
      <c r="B1373" s="1" t="s">
        <v>5175</v>
      </c>
      <c r="C1373" s="31">
        <v>45895</v>
      </c>
      <c r="D1373" s="1" t="s">
        <v>5176</v>
      </c>
      <c r="E1373" s="13" t="s">
        <v>5177</v>
      </c>
      <c r="F1373" s="1" t="s">
        <v>89</v>
      </c>
      <c r="G1373" s="1" t="s">
        <v>5178</v>
      </c>
      <c r="H1373" s="1" t="s">
        <v>5179</v>
      </c>
      <c r="I1373" s="31">
        <v>46065</v>
      </c>
      <c r="J1373" s="1" t="s">
        <v>5180</v>
      </c>
      <c r="K1373" s="1" t="s">
        <v>5181</v>
      </c>
      <c r="L1373" s="1" t="s">
        <v>5182</v>
      </c>
      <c r="M1373" s="2" t="s">
        <v>5183</v>
      </c>
      <c r="N1373" s="31">
        <v>46082</v>
      </c>
    </row>
    <row r="1374" spans="1:14" x14ac:dyDescent="0.25">
      <c r="A1374" s="29">
        <v>1373</v>
      </c>
      <c r="B1374" s="1" t="s">
        <v>5184</v>
      </c>
      <c r="C1374" s="31">
        <v>45949</v>
      </c>
      <c r="D1374" s="1" t="s">
        <v>5185</v>
      </c>
      <c r="E1374" s="13" t="s">
        <v>5186</v>
      </c>
      <c r="F1374" s="1" t="s">
        <v>89</v>
      </c>
      <c r="G1374" s="1" t="s">
        <v>5187</v>
      </c>
      <c r="H1374" s="1" t="s">
        <v>5188</v>
      </c>
      <c r="I1374" s="31">
        <v>46065</v>
      </c>
      <c r="J1374" s="1" t="s">
        <v>5189</v>
      </c>
      <c r="K1374" s="1" t="s">
        <v>5190</v>
      </c>
      <c r="L1374" s="1" t="s">
        <v>5191</v>
      </c>
      <c r="M1374" s="2" t="s">
        <v>5192</v>
      </c>
      <c r="N1374" s="31">
        <v>46087</v>
      </c>
    </row>
    <row r="1375" spans="1:14" x14ac:dyDescent="0.25">
      <c r="A1375" s="29">
        <v>1374</v>
      </c>
      <c r="B1375" s="1" t="s">
        <v>5193</v>
      </c>
      <c r="C1375" s="31">
        <v>45982</v>
      </c>
      <c r="D1375" s="1" t="s">
        <v>5194</v>
      </c>
      <c r="E1375" s="13" t="s">
        <v>5195</v>
      </c>
      <c r="F1375" s="1" t="s">
        <v>89</v>
      </c>
      <c r="G1375" s="1" t="s">
        <v>5196</v>
      </c>
      <c r="H1375" s="1" t="s">
        <v>5197</v>
      </c>
      <c r="I1375" s="31">
        <v>46065</v>
      </c>
      <c r="J1375" s="1" t="s">
        <v>5198</v>
      </c>
      <c r="K1375" s="1" t="s">
        <v>5199</v>
      </c>
      <c r="L1375" s="1" t="s">
        <v>5200</v>
      </c>
      <c r="M1375" s="2" t="s">
        <v>5201</v>
      </c>
      <c r="N1375" s="31">
        <v>46095</v>
      </c>
    </row>
    <row r="1376" spans="1:14" x14ac:dyDescent="0.25">
      <c r="A1376" s="29">
        <v>1375</v>
      </c>
      <c r="B1376" s="1" t="s">
        <v>5202</v>
      </c>
      <c r="C1376" s="31">
        <v>45999</v>
      </c>
      <c r="D1376" s="1" t="s">
        <v>5203</v>
      </c>
      <c r="E1376" s="13" t="s">
        <v>5204</v>
      </c>
      <c r="F1376" s="1" t="s">
        <v>89</v>
      </c>
      <c r="G1376" s="1" t="s">
        <v>5205</v>
      </c>
      <c r="H1376" s="1" t="s">
        <v>5206</v>
      </c>
      <c r="I1376" s="31">
        <v>46065</v>
      </c>
      <c r="J1376" s="1" t="s">
        <v>5207</v>
      </c>
      <c r="K1376" s="1" t="s">
        <v>5208</v>
      </c>
      <c r="L1376" s="1" t="s">
        <v>5209</v>
      </c>
      <c r="M1376" s="2" t="s">
        <v>5210</v>
      </c>
      <c r="N1376" s="31">
        <v>46094</v>
      </c>
    </row>
    <row r="1377" spans="1:14" x14ac:dyDescent="0.25">
      <c r="A1377" s="29">
        <v>1376</v>
      </c>
      <c r="B1377" s="1" t="s">
        <v>5211</v>
      </c>
      <c r="C1377" s="31">
        <v>45901</v>
      </c>
      <c r="D1377" s="1" t="s">
        <v>5212</v>
      </c>
      <c r="E1377" s="13" t="s">
        <v>5213</v>
      </c>
      <c r="F1377" s="1" t="s">
        <v>89</v>
      </c>
      <c r="G1377" s="1" t="s">
        <v>5214</v>
      </c>
      <c r="H1377" s="1" t="s">
        <v>5215</v>
      </c>
      <c r="I1377" s="31">
        <v>46065</v>
      </c>
      <c r="J1377" s="1" t="s">
        <v>5216</v>
      </c>
      <c r="K1377" s="1" t="s">
        <v>5217</v>
      </c>
      <c r="L1377" s="1" t="s">
        <v>5218</v>
      </c>
      <c r="M1377" s="2" t="s">
        <v>5219</v>
      </c>
      <c r="N1377" s="31">
        <v>46080</v>
      </c>
    </row>
    <row r="1378" spans="1:14" x14ac:dyDescent="0.25">
      <c r="A1378" s="29">
        <v>1377</v>
      </c>
      <c r="B1378" s="1" t="s">
        <v>5220</v>
      </c>
      <c r="C1378" s="31">
        <v>45987</v>
      </c>
      <c r="D1378" s="1" t="s">
        <v>5221</v>
      </c>
      <c r="E1378" s="13" t="s">
        <v>5222</v>
      </c>
      <c r="F1378" s="1" t="s">
        <v>33</v>
      </c>
      <c r="G1378" s="1" t="s">
        <v>5223</v>
      </c>
      <c r="H1378" s="1" t="s">
        <v>5224</v>
      </c>
      <c r="I1378" s="31">
        <v>46065</v>
      </c>
      <c r="J1378" s="1" t="s">
        <v>5225</v>
      </c>
      <c r="K1378" s="1" t="s">
        <v>5226</v>
      </c>
      <c r="L1378" s="1" t="s">
        <v>5227</v>
      </c>
      <c r="M1378" s="2" t="s">
        <v>5228</v>
      </c>
      <c r="N1378" s="31">
        <v>46081</v>
      </c>
    </row>
    <row r="1379" spans="1:14" x14ac:dyDescent="0.25">
      <c r="A1379" s="29">
        <v>1378</v>
      </c>
      <c r="B1379" s="1" t="s">
        <v>5229</v>
      </c>
      <c r="C1379" s="31">
        <v>45898</v>
      </c>
      <c r="D1379" s="1" t="s">
        <v>5230</v>
      </c>
      <c r="E1379" s="13" t="s">
        <v>5231</v>
      </c>
      <c r="F1379" s="1" t="s">
        <v>33</v>
      </c>
      <c r="G1379" s="1" t="s">
        <v>5232</v>
      </c>
      <c r="H1379" s="1" t="s">
        <v>5233</v>
      </c>
      <c r="I1379" s="31">
        <v>46065</v>
      </c>
      <c r="J1379" s="1" t="s">
        <v>5234</v>
      </c>
      <c r="K1379" s="1" t="s">
        <v>5235</v>
      </c>
      <c r="L1379" s="1" t="s">
        <v>5236</v>
      </c>
      <c r="M1379" s="2" t="s">
        <v>5237</v>
      </c>
      <c r="N1379" s="31">
        <v>46091</v>
      </c>
    </row>
    <row r="1380" spans="1:14" x14ac:dyDescent="0.25">
      <c r="A1380" s="29">
        <v>1379</v>
      </c>
      <c r="B1380" s="1" t="s">
        <v>5238</v>
      </c>
      <c r="C1380" s="31">
        <v>45798</v>
      </c>
      <c r="D1380" s="1" t="s">
        <v>5239</v>
      </c>
      <c r="E1380" s="13" t="s">
        <v>5240</v>
      </c>
      <c r="F1380" s="1" t="s">
        <v>89</v>
      </c>
      <c r="G1380" s="1" t="s">
        <v>5241</v>
      </c>
      <c r="H1380" s="1" t="s">
        <v>5242</v>
      </c>
      <c r="I1380" s="31">
        <v>46065</v>
      </c>
      <c r="J1380" s="1" t="s">
        <v>5243</v>
      </c>
      <c r="K1380" s="1" t="s">
        <v>5244</v>
      </c>
      <c r="L1380" s="1" t="s">
        <v>5245</v>
      </c>
      <c r="M1380" s="2" t="s">
        <v>5246</v>
      </c>
      <c r="N1380" s="31">
        <v>46068</v>
      </c>
    </row>
    <row r="1381" spans="1:14" x14ac:dyDescent="0.25">
      <c r="A1381" s="29">
        <v>1380</v>
      </c>
      <c r="B1381" s="1" t="s">
        <v>5247</v>
      </c>
      <c r="C1381" s="31">
        <v>45827</v>
      </c>
      <c r="D1381" s="1" t="s">
        <v>5248</v>
      </c>
      <c r="E1381" s="13" t="s">
        <v>5249</v>
      </c>
      <c r="F1381" s="1" t="s">
        <v>33</v>
      </c>
      <c r="G1381" s="1" t="s">
        <v>5250</v>
      </c>
      <c r="H1381" s="1" t="s">
        <v>5251</v>
      </c>
      <c r="I1381" s="31">
        <v>46065</v>
      </c>
      <c r="J1381" s="1" t="s">
        <v>5252</v>
      </c>
      <c r="K1381" s="1" t="s">
        <v>5253</v>
      </c>
      <c r="L1381" s="1" t="s">
        <v>5254</v>
      </c>
      <c r="M1381" s="2" t="s">
        <v>5255</v>
      </c>
      <c r="N1381" s="31">
        <v>46073</v>
      </c>
    </row>
    <row r="1382" spans="1:14" x14ac:dyDescent="0.25">
      <c r="A1382" s="29">
        <v>1381</v>
      </c>
      <c r="B1382" s="1" t="s">
        <v>5256</v>
      </c>
      <c r="C1382" s="31">
        <v>45716</v>
      </c>
      <c r="D1382" s="1" t="s">
        <v>5257</v>
      </c>
      <c r="E1382" s="13" t="s">
        <v>5258</v>
      </c>
      <c r="F1382" s="1" t="s">
        <v>89</v>
      </c>
      <c r="G1382" s="1" t="s">
        <v>5259</v>
      </c>
      <c r="H1382" s="1" t="s">
        <v>5260</v>
      </c>
      <c r="I1382" s="31">
        <v>46065</v>
      </c>
      <c r="J1382" s="1" t="s">
        <v>5261</v>
      </c>
      <c r="K1382" s="1" t="s">
        <v>5262</v>
      </c>
      <c r="L1382" s="1" t="s">
        <v>5263</v>
      </c>
      <c r="M1382" s="2" t="s">
        <v>5264</v>
      </c>
      <c r="N1382" s="31">
        <v>46082</v>
      </c>
    </row>
    <row r="1383" spans="1:14" x14ac:dyDescent="0.25">
      <c r="A1383" s="29">
        <v>1382</v>
      </c>
      <c r="B1383" s="1" t="s">
        <v>5265</v>
      </c>
      <c r="C1383" s="31">
        <v>45851</v>
      </c>
      <c r="D1383" s="1" t="s">
        <v>5266</v>
      </c>
      <c r="E1383" s="13" t="s">
        <v>5267</v>
      </c>
      <c r="F1383" s="1" t="s">
        <v>33</v>
      </c>
      <c r="G1383" s="1" t="s">
        <v>5268</v>
      </c>
      <c r="H1383" s="1" t="s">
        <v>5269</v>
      </c>
      <c r="I1383" s="31">
        <v>46065</v>
      </c>
      <c r="J1383" s="1" t="s">
        <v>5270</v>
      </c>
      <c r="K1383" s="1" t="s">
        <v>5271</v>
      </c>
      <c r="L1383" s="1" t="s">
        <v>5272</v>
      </c>
      <c r="M1383" s="2" t="s">
        <v>5273</v>
      </c>
      <c r="N1383" s="31">
        <v>46082</v>
      </c>
    </row>
    <row r="1384" spans="1:14" x14ac:dyDescent="0.25">
      <c r="A1384" s="29">
        <v>1383</v>
      </c>
      <c r="B1384" s="1" t="s">
        <v>5274</v>
      </c>
      <c r="C1384" s="31">
        <v>45906</v>
      </c>
      <c r="D1384" s="1" t="s">
        <v>5275</v>
      </c>
      <c r="E1384" s="13" t="s">
        <v>5276</v>
      </c>
      <c r="F1384" s="1" t="s">
        <v>33</v>
      </c>
      <c r="G1384" s="1" t="s">
        <v>3344</v>
      </c>
      <c r="H1384" s="1" t="s">
        <v>5277</v>
      </c>
      <c r="I1384" s="31">
        <v>46065</v>
      </c>
      <c r="J1384" s="1" t="s">
        <v>5278</v>
      </c>
      <c r="K1384" s="1" t="s">
        <v>5279</v>
      </c>
      <c r="L1384" s="1" t="s">
        <v>5280</v>
      </c>
      <c r="M1384" s="2" t="s">
        <v>5281</v>
      </c>
      <c r="N1384" s="31">
        <v>46095</v>
      </c>
    </row>
    <row r="1385" spans="1:14" x14ac:dyDescent="0.25">
      <c r="A1385" s="29">
        <v>1384</v>
      </c>
      <c r="B1385" s="1" t="s">
        <v>5282</v>
      </c>
      <c r="C1385" s="31">
        <v>45874</v>
      </c>
      <c r="D1385" s="1" t="s">
        <v>5283</v>
      </c>
      <c r="E1385" s="13" t="s">
        <v>5284</v>
      </c>
      <c r="F1385" s="1" t="s">
        <v>89</v>
      </c>
      <c r="G1385" s="1" t="s">
        <v>5285</v>
      </c>
      <c r="H1385" s="1" t="s">
        <v>5286</v>
      </c>
      <c r="I1385" s="31">
        <v>46065</v>
      </c>
      <c r="J1385" s="1" t="s">
        <v>5287</v>
      </c>
      <c r="K1385" s="1" t="s">
        <v>5288</v>
      </c>
      <c r="L1385" s="1" t="s">
        <v>5289</v>
      </c>
      <c r="M1385" s="2" t="s">
        <v>5290</v>
      </c>
      <c r="N1385" s="31">
        <v>46079</v>
      </c>
    </row>
    <row r="1386" spans="1:14" x14ac:dyDescent="0.25">
      <c r="A1386" s="29">
        <v>1385</v>
      </c>
      <c r="B1386" s="1" t="s">
        <v>5291</v>
      </c>
      <c r="C1386" s="31">
        <v>45770</v>
      </c>
      <c r="D1386" s="1" t="s">
        <v>5292</v>
      </c>
      <c r="E1386" s="13" t="s">
        <v>5293</v>
      </c>
      <c r="F1386" s="1" t="s">
        <v>89</v>
      </c>
      <c r="G1386" s="1" t="s">
        <v>5294</v>
      </c>
      <c r="H1386" s="1" t="s">
        <v>5295</v>
      </c>
      <c r="I1386" s="31">
        <v>46065</v>
      </c>
      <c r="J1386" s="1" t="s">
        <v>5296</v>
      </c>
      <c r="K1386" s="1" t="s">
        <v>5297</v>
      </c>
      <c r="L1386" s="1" t="s">
        <v>5298</v>
      </c>
      <c r="M1386" s="2" t="s">
        <v>5299</v>
      </c>
      <c r="N1386" s="31">
        <v>46072</v>
      </c>
    </row>
    <row r="1387" spans="1:14" x14ac:dyDescent="0.25">
      <c r="A1387" s="29">
        <v>1386</v>
      </c>
      <c r="B1387" s="1" t="s">
        <v>5300</v>
      </c>
      <c r="C1387" s="31">
        <v>45759</v>
      </c>
      <c r="D1387" s="1" t="s">
        <v>5301</v>
      </c>
      <c r="E1387" s="13" t="s">
        <v>5302</v>
      </c>
      <c r="F1387" s="1" t="s">
        <v>33</v>
      </c>
      <c r="G1387" s="1" t="s">
        <v>5303</v>
      </c>
      <c r="H1387" s="1" t="s">
        <v>5304</v>
      </c>
      <c r="I1387" s="31">
        <v>46065</v>
      </c>
      <c r="J1387" s="1" t="s">
        <v>5305</v>
      </c>
      <c r="K1387" s="1" t="s">
        <v>5306</v>
      </c>
      <c r="L1387" s="1" t="s">
        <v>5307</v>
      </c>
      <c r="M1387" s="2" t="s">
        <v>5308</v>
      </c>
      <c r="N1387" s="31">
        <v>46069</v>
      </c>
    </row>
    <row r="1388" spans="1:14" x14ac:dyDescent="0.25">
      <c r="A1388" s="29">
        <v>1387</v>
      </c>
      <c r="B1388" s="1" t="s">
        <v>5309</v>
      </c>
      <c r="C1388" s="31">
        <v>46023</v>
      </c>
      <c r="D1388" s="1" t="s">
        <v>5310</v>
      </c>
      <c r="E1388" s="13" t="s">
        <v>5311</v>
      </c>
      <c r="F1388" s="1" t="s">
        <v>89</v>
      </c>
      <c r="G1388" s="1" t="s">
        <v>5312</v>
      </c>
      <c r="H1388" s="1" t="s">
        <v>5313</v>
      </c>
      <c r="I1388" s="31">
        <v>46065</v>
      </c>
      <c r="J1388" s="1" t="s">
        <v>5314</v>
      </c>
      <c r="K1388" s="1" t="s">
        <v>5315</v>
      </c>
      <c r="L1388" s="1" t="s">
        <v>5316</v>
      </c>
      <c r="M1388" s="2" t="s">
        <v>5317</v>
      </c>
      <c r="N1388" s="31">
        <v>46093</v>
      </c>
    </row>
    <row r="1389" spans="1:14" x14ac:dyDescent="0.25">
      <c r="A1389" s="29">
        <v>1388</v>
      </c>
      <c r="B1389" s="1" t="s">
        <v>5318</v>
      </c>
      <c r="C1389" s="31">
        <v>45857</v>
      </c>
      <c r="D1389" s="1" t="s">
        <v>5319</v>
      </c>
      <c r="E1389" s="13" t="s">
        <v>5320</v>
      </c>
      <c r="F1389" s="1" t="s">
        <v>33</v>
      </c>
      <c r="G1389" s="1" t="s">
        <v>5321</v>
      </c>
      <c r="H1389" s="1" t="s">
        <v>5322</v>
      </c>
      <c r="I1389" s="31">
        <v>46065</v>
      </c>
      <c r="J1389" s="1" t="s">
        <v>5323</v>
      </c>
      <c r="K1389" s="1" t="s">
        <v>5324</v>
      </c>
      <c r="L1389" s="1" t="s">
        <v>5325</v>
      </c>
      <c r="M1389" s="2" t="s">
        <v>5326</v>
      </c>
      <c r="N1389" s="31">
        <v>46082</v>
      </c>
    </row>
    <row r="1390" spans="1:14" x14ac:dyDescent="0.25">
      <c r="A1390" s="29">
        <v>1389</v>
      </c>
      <c r="B1390" s="1" t="s">
        <v>5327</v>
      </c>
      <c r="C1390" s="31">
        <v>45745</v>
      </c>
      <c r="D1390" s="1" t="s">
        <v>5328</v>
      </c>
      <c r="E1390" s="13" t="s">
        <v>5329</v>
      </c>
      <c r="F1390" s="1" t="s">
        <v>89</v>
      </c>
      <c r="G1390" s="1" t="s">
        <v>5330</v>
      </c>
      <c r="H1390" s="1" t="s">
        <v>5331</v>
      </c>
      <c r="I1390" s="31">
        <v>46065</v>
      </c>
      <c r="J1390" s="1" t="s">
        <v>5332</v>
      </c>
      <c r="K1390" s="1" t="s">
        <v>2934</v>
      </c>
      <c r="L1390" s="1" t="s">
        <v>5333</v>
      </c>
      <c r="M1390" s="2" t="s">
        <v>5334</v>
      </c>
      <c r="N1390" s="31">
        <v>46084</v>
      </c>
    </row>
    <row r="1391" spans="1:14" x14ac:dyDescent="0.25">
      <c r="A1391" s="29">
        <v>1390</v>
      </c>
      <c r="B1391" s="1" t="s">
        <v>5335</v>
      </c>
      <c r="C1391" s="31">
        <v>46050</v>
      </c>
      <c r="D1391" s="1" t="s">
        <v>5336</v>
      </c>
      <c r="E1391" s="13" t="s">
        <v>5337</v>
      </c>
      <c r="F1391" s="1" t="s">
        <v>89</v>
      </c>
      <c r="G1391" s="1" t="s">
        <v>5338</v>
      </c>
      <c r="H1391" s="1" t="s">
        <v>5339</v>
      </c>
      <c r="I1391" s="31">
        <v>46065</v>
      </c>
      <c r="J1391" s="1" t="s">
        <v>5340</v>
      </c>
      <c r="K1391" s="1" t="s">
        <v>3792</v>
      </c>
      <c r="L1391" s="1" t="s">
        <v>5341</v>
      </c>
      <c r="M1391" s="2" t="s">
        <v>5342</v>
      </c>
      <c r="N1391" s="31">
        <v>46072</v>
      </c>
    </row>
    <row r="1392" spans="1:14" x14ac:dyDescent="0.25">
      <c r="A1392" s="29">
        <v>1391</v>
      </c>
      <c r="B1392" s="1" t="s">
        <v>5343</v>
      </c>
      <c r="C1392" s="31">
        <v>45768</v>
      </c>
      <c r="D1392" s="1" t="s">
        <v>5344</v>
      </c>
      <c r="E1392" s="13" t="s">
        <v>5345</v>
      </c>
      <c r="F1392" s="1" t="s">
        <v>33</v>
      </c>
      <c r="G1392" s="1" t="s">
        <v>5346</v>
      </c>
      <c r="H1392" s="1" t="s">
        <v>5347</v>
      </c>
      <c r="I1392" s="31">
        <v>46065</v>
      </c>
      <c r="J1392" s="1" t="s">
        <v>5348</v>
      </c>
      <c r="K1392" s="1" t="s">
        <v>4670</v>
      </c>
      <c r="L1392" s="1" t="s">
        <v>5349</v>
      </c>
      <c r="M1392" s="2" t="s">
        <v>5350</v>
      </c>
      <c r="N1392" s="31">
        <v>46082</v>
      </c>
    </row>
    <row r="1393" spans="1:14" x14ac:dyDescent="0.25">
      <c r="A1393" s="29">
        <v>1392</v>
      </c>
      <c r="B1393" s="1" t="s">
        <v>5351</v>
      </c>
      <c r="C1393" s="31">
        <v>45828</v>
      </c>
      <c r="D1393" s="1" t="s">
        <v>5352</v>
      </c>
      <c r="E1393" s="13" t="s">
        <v>5353</v>
      </c>
      <c r="F1393" s="1" t="s">
        <v>33</v>
      </c>
      <c r="G1393" s="1" t="s">
        <v>5354</v>
      </c>
      <c r="H1393" s="1" t="s">
        <v>5355</v>
      </c>
      <c r="I1393" s="31">
        <v>46065</v>
      </c>
      <c r="J1393" s="1" t="s">
        <v>5356</v>
      </c>
      <c r="K1393" s="1" t="s">
        <v>5357</v>
      </c>
      <c r="L1393" s="1" t="s">
        <v>5358</v>
      </c>
      <c r="M1393" s="2" t="s">
        <v>5359</v>
      </c>
      <c r="N1393" s="31">
        <v>46085</v>
      </c>
    </row>
    <row r="1394" spans="1:14" x14ac:dyDescent="0.25">
      <c r="A1394" s="29">
        <v>1393</v>
      </c>
      <c r="B1394" s="1" t="s">
        <v>5360</v>
      </c>
      <c r="C1394" s="31">
        <v>45836</v>
      </c>
      <c r="D1394" s="1" t="s">
        <v>5361</v>
      </c>
      <c r="E1394" s="13" t="s">
        <v>5362</v>
      </c>
      <c r="F1394" s="1" t="s">
        <v>89</v>
      </c>
      <c r="G1394" s="1" t="s">
        <v>5363</v>
      </c>
      <c r="H1394" s="1" t="s">
        <v>5364</v>
      </c>
      <c r="I1394" s="31">
        <v>46065</v>
      </c>
      <c r="J1394" s="1" t="s">
        <v>5365</v>
      </c>
      <c r="K1394" s="1" t="s">
        <v>5366</v>
      </c>
      <c r="L1394" s="1" t="s">
        <v>5367</v>
      </c>
      <c r="M1394" s="2" t="s">
        <v>5368</v>
      </c>
      <c r="N1394" s="31">
        <v>46094</v>
      </c>
    </row>
    <row r="1395" spans="1:14" x14ac:dyDescent="0.25">
      <c r="A1395" s="29">
        <v>1394</v>
      </c>
      <c r="B1395" s="1" t="s">
        <v>5369</v>
      </c>
      <c r="C1395" s="31">
        <v>45804</v>
      </c>
      <c r="D1395" s="1" t="s">
        <v>5370</v>
      </c>
      <c r="E1395" s="13" t="s">
        <v>5371</v>
      </c>
      <c r="F1395" s="1" t="s">
        <v>33</v>
      </c>
      <c r="G1395" s="1" t="s">
        <v>5372</v>
      </c>
      <c r="H1395" s="1" t="s">
        <v>5373</v>
      </c>
      <c r="I1395" s="31">
        <v>46065</v>
      </c>
      <c r="J1395" s="1" t="s">
        <v>5374</v>
      </c>
      <c r="K1395" s="1" t="s">
        <v>5375</v>
      </c>
      <c r="L1395" s="1" t="s">
        <v>5376</v>
      </c>
      <c r="M1395" s="2" t="s">
        <v>5377</v>
      </c>
      <c r="N1395" s="31">
        <v>46089</v>
      </c>
    </row>
    <row r="1396" spans="1:14" x14ac:dyDescent="0.25">
      <c r="A1396" s="29">
        <v>1395</v>
      </c>
      <c r="B1396" s="1" t="s">
        <v>5378</v>
      </c>
      <c r="C1396" s="31">
        <v>45831</v>
      </c>
      <c r="D1396" s="1" t="s">
        <v>5379</v>
      </c>
      <c r="E1396" s="13" t="s">
        <v>5380</v>
      </c>
      <c r="F1396" s="1" t="s">
        <v>33</v>
      </c>
      <c r="G1396" s="1" t="s">
        <v>5381</v>
      </c>
      <c r="H1396" s="1" t="s">
        <v>5382</v>
      </c>
      <c r="I1396" s="31">
        <v>46065</v>
      </c>
      <c r="J1396" s="1" t="s">
        <v>5383</v>
      </c>
      <c r="K1396" s="1" t="s">
        <v>5384</v>
      </c>
      <c r="L1396" s="1" t="s">
        <v>5385</v>
      </c>
      <c r="M1396" s="2" t="s">
        <v>5386</v>
      </c>
      <c r="N1396" s="31">
        <v>46077</v>
      </c>
    </row>
    <row r="1397" spans="1:14" x14ac:dyDescent="0.25">
      <c r="A1397" s="29">
        <v>1396</v>
      </c>
      <c r="B1397" s="1" t="s">
        <v>5387</v>
      </c>
      <c r="C1397" s="31">
        <v>46012</v>
      </c>
      <c r="D1397" s="1" t="s">
        <v>5388</v>
      </c>
      <c r="E1397" s="13" t="s">
        <v>5389</v>
      </c>
      <c r="F1397" s="1" t="s">
        <v>33</v>
      </c>
      <c r="G1397" s="1" t="s">
        <v>5390</v>
      </c>
      <c r="H1397" s="1" t="s">
        <v>5391</v>
      </c>
      <c r="I1397" s="31">
        <v>46065</v>
      </c>
      <c r="J1397" s="1" t="s">
        <v>5392</v>
      </c>
      <c r="K1397" s="1" t="s">
        <v>5393</v>
      </c>
      <c r="L1397" s="1" t="s">
        <v>5394</v>
      </c>
      <c r="M1397" s="2" t="s">
        <v>5395</v>
      </c>
      <c r="N1397" s="31">
        <v>46072</v>
      </c>
    </row>
    <row r="1398" spans="1:14" x14ac:dyDescent="0.25">
      <c r="A1398" s="29">
        <v>1397</v>
      </c>
      <c r="B1398" s="1" t="s">
        <v>5396</v>
      </c>
      <c r="C1398" s="31">
        <v>45851</v>
      </c>
      <c r="D1398" s="1" t="s">
        <v>5397</v>
      </c>
      <c r="E1398" s="13" t="s">
        <v>5398</v>
      </c>
      <c r="F1398" s="1" t="s">
        <v>89</v>
      </c>
      <c r="G1398" s="1" t="s">
        <v>5399</v>
      </c>
      <c r="H1398" s="1" t="s">
        <v>5400</v>
      </c>
      <c r="I1398" s="31">
        <v>46065</v>
      </c>
      <c r="J1398" s="1" t="s">
        <v>5401</v>
      </c>
      <c r="K1398" s="1" t="s">
        <v>5402</v>
      </c>
      <c r="L1398" s="1" t="s">
        <v>5403</v>
      </c>
      <c r="M1398" s="2" t="s">
        <v>5404</v>
      </c>
      <c r="N1398" s="31">
        <v>46079</v>
      </c>
    </row>
    <row r="1399" spans="1:14" x14ac:dyDescent="0.25">
      <c r="A1399" s="29">
        <v>1398</v>
      </c>
      <c r="B1399" s="1" t="s">
        <v>5405</v>
      </c>
      <c r="C1399" s="31">
        <v>45765</v>
      </c>
      <c r="D1399" s="1" t="s">
        <v>5406</v>
      </c>
      <c r="E1399" s="13" t="s">
        <v>5407</v>
      </c>
      <c r="F1399" s="1" t="s">
        <v>33</v>
      </c>
      <c r="G1399" s="1" t="s">
        <v>5408</v>
      </c>
      <c r="H1399" s="1" t="s">
        <v>5409</v>
      </c>
      <c r="I1399" s="31">
        <v>46065</v>
      </c>
      <c r="J1399" s="1" t="s">
        <v>5410</v>
      </c>
      <c r="K1399" s="1" t="s">
        <v>5411</v>
      </c>
      <c r="L1399" s="1" t="s">
        <v>5412</v>
      </c>
      <c r="M1399" s="2" t="s">
        <v>5413</v>
      </c>
      <c r="N1399" s="31">
        <v>46071</v>
      </c>
    </row>
    <row r="1400" spans="1:14" x14ac:dyDescent="0.25">
      <c r="A1400" s="29">
        <v>1399</v>
      </c>
      <c r="B1400" s="1" t="s">
        <v>5414</v>
      </c>
      <c r="C1400" s="31">
        <v>45940</v>
      </c>
      <c r="D1400" s="1" t="s">
        <v>5415</v>
      </c>
      <c r="E1400" s="13" t="s">
        <v>5416</v>
      </c>
      <c r="F1400" s="1" t="s">
        <v>89</v>
      </c>
      <c r="G1400" s="1" t="s">
        <v>5417</v>
      </c>
      <c r="H1400" s="1" t="s">
        <v>5418</v>
      </c>
      <c r="I1400" s="31">
        <v>46065</v>
      </c>
      <c r="J1400" s="1" t="s">
        <v>5419</v>
      </c>
      <c r="K1400" s="1" t="s">
        <v>5420</v>
      </c>
      <c r="L1400" s="1" t="s">
        <v>5421</v>
      </c>
      <c r="M1400" s="2" t="s">
        <v>5422</v>
      </c>
      <c r="N1400" s="31">
        <v>46094</v>
      </c>
    </row>
    <row r="1401" spans="1:14" x14ac:dyDescent="0.25">
      <c r="A1401" s="29">
        <v>1400</v>
      </c>
      <c r="B1401" s="1" t="s">
        <v>5423</v>
      </c>
      <c r="C1401" s="31">
        <v>45957</v>
      </c>
      <c r="D1401" s="1" t="s">
        <v>5424</v>
      </c>
      <c r="E1401" s="13" t="s">
        <v>5425</v>
      </c>
      <c r="F1401" s="1" t="s">
        <v>33</v>
      </c>
      <c r="G1401" s="1" t="s">
        <v>5426</v>
      </c>
      <c r="H1401" s="1" t="s">
        <v>5427</v>
      </c>
      <c r="I1401" s="31">
        <v>46065</v>
      </c>
      <c r="J1401" s="1" t="s">
        <v>5428</v>
      </c>
      <c r="K1401" s="1" t="s">
        <v>5429</v>
      </c>
      <c r="L1401" s="1" t="s">
        <v>5430</v>
      </c>
      <c r="M1401" s="2" t="s">
        <v>5431</v>
      </c>
      <c r="N1401" s="31">
        <v>46086</v>
      </c>
    </row>
    <row r="1402" spans="1:14" x14ac:dyDescent="0.25">
      <c r="A1402" s="29">
        <v>1401</v>
      </c>
      <c r="B1402" s="1" t="s">
        <v>5432</v>
      </c>
      <c r="C1402" s="31">
        <v>45736</v>
      </c>
      <c r="D1402" s="1" t="s">
        <v>5433</v>
      </c>
      <c r="E1402" s="13" t="s">
        <v>5434</v>
      </c>
      <c r="F1402" s="1" t="s">
        <v>89</v>
      </c>
      <c r="G1402" s="1" t="s">
        <v>5435</v>
      </c>
      <c r="H1402" s="1" t="s">
        <v>5436</v>
      </c>
      <c r="I1402" s="31">
        <v>46065</v>
      </c>
      <c r="J1402" s="1" t="s">
        <v>5437</v>
      </c>
      <c r="K1402" s="1" t="s">
        <v>5438</v>
      </c>
      <c r="L1402" s="1" t="s">
        <v>5439</v>
      </c>
      <c r="M1402" s="2" t="s">
        <v>5440</v>
      </c>
      <c r="N1402" s="31">
        <v>46081</v>
      </c>
    </row>
    <row r="1403" spans="1:14" x14ac:dyDescent="0.25">
      <c r="A1403" s="29">
        <v>1402</v>
      </c>
      <c r="B1403" s="1" t="s">
        <v>5441</v>
      </c>
      <c r="C1403" s="31">
        <v>45998</v>
      </c>
      <c r="D1403" s="1" t="s">
        <v>5442</v>
      </c>
      <c r="E1403" s="13" t="s">
        <v>5443</v>
      </c>
      <c r="F1403" s="1" t="s">
        <v>33</v>
      </c>
      <c r="G1403" s="1" t="s">
        <v>5444</v>
      </c>
      <c r="H1403" s="1" t="s">
        <v>5445</v>
      </c>
      <c r="I1403" s="31">
        <v>46065</v>
      </c>
      <c r="J1403" s="1" t="s">
        <v>5446</v>
      </c>
      <c r="K1403" s="1" t="s">
        <v>5447</v>
      </c>
      <c r="L1403" s="1" t="s">
        <v>5448</v>
      </c>
      <c r="M1403" s="2" t="s">
        <v>5449</v>
      </c>
      <c r="N1403" s="31">
        <v>46070</v>
      </c>
    </row>
    <row r="1404" spans="1:14" x14ac:dyDescent="0.25">
      <c r="A1404" s="29">
        <v>1403</v>
      </c>
      <c r="B1404" s="1" t="s">
        <v>5450</v>
      </c>
      <c r="C1404" s="31">
        <v>45737</v>
      </c>
      <c r="D1404" s="1" t="s">
        <v>5451</v>
      </c>
      <c r="E1404" s="13" t="s">
        <v>5452</v>
      </c>
      <c r="F1404" s="1" t="s">
        <v>33</v>
      </c>
      <c r="G1404" s="1" t="s">
        <v>5453</v>
      </c>
      <c r="H1404" s="1" t="s">
        <v>5454</v>
      </c>
      <c r="I1404" s="31">
        <v>46065</v>
      </c>
      <c r="J1404" s="1" t="s">
        <v>5455</v>
      </c>
      <c r="K1404" s="1" t="s">
        <v>5456</v>
      </c>
      <c r="L1404" s="1" t="s">
        <v>5457</v>
      </c>
      <c r="M1404" s="2" t="s">
        <v>5458</v>
      </c>
      <c r="N1404" s="31">
        <v>46093</v>
      </c>
    </row>
    <row r="1405" spans="1:14" x14ac:dyDescent="0.25">
      <c r="A1405" s="29">
        <v>1404</v>
      </c>
      <c r="B1405" s="1" t="s">
        <v>5459</v>
      </c>
      <c r="C1405" s="31">
        <v>45972</v>
      </c>
      <c r="D1405" s="1" t="s">
        <v>5460</v>
      </c>
      <c r="E1405" s="13" t="s">
        <v>5461</v>
      </c>
      <c r="F1405" s="1" t="s">
        <v>89</v>
      </c>
      <c r="G1405" s="1" t="s">
        <v>5462</v>
      </c>
      <c r="H1405" s="1" t="s">
        <v>5463</v>
      </c>
      <c r="I1405" s="31">
        <v>46065</v>
      </c>
      <c r="J1405" s="1" t="s">
        <v>5464</v>
      </c>
      <c r="K1405" s="1" t="s">
        <v>5465</v>
      </c>
      <c r="L1405" s="1" t="s">
        <v>5466</v>
      </c>
      <c r="M1405" s="2" t="s">
        <v>5467</v>
      </c>
      <c r="N1405" s="31">
        <v>46075</v>
      </c>
    </row>
    <row r="1406" spans="1:14" x14ac:dyDescent="0.25">
      <c r="A1406" s="29">
        <v>1405</v>
      </c>
      <c r="B1406" s="1" t="s">
        <v>5468</v>
      </c>
      <c r="C1406" s="31">
        <v>45724</v>
      </c>
      <c r="D1406" s="1" t="s">
        <v>5469</v>
      </c>
      <c r="E1406" s="13" t="s">
        <v>5470</v>
      </c>
      <c r="F1406" s="1" t="s">
        <v>89</v>
      </c>
      <c r="G1406" s="1" t="s">
        <v>5471</v>
      </c>
      <c r="H1406" s="1" t="s">
        <v>5472</v>
      </c>
      <c r="I1406" s="31">
        <v>46065</v>
      </c>
      <c r="J1406" s="1" t="s">
        <v>5473</v>
      </c>
      <c r="K1406" s="1" t="s">
        <v>5474</v>
      </c>
      <c r="L1406" s="1" t="s">
        <v>5475</v>
      </c>
      <c r="M1406" s="2" t="s">
        <v>5476</v>
      </c>
      <c r="N1406" s="31">
        <v>46075</v>
      </c>
    </row>
    <row r="1407" spans="1:14" x14ac:dyDescent="0.25">
      <c r="A1407" s="29">
        <v>1406</v>
      </c>
      <c r="B1407" s="1" t="s">
        <v>5477</v>
      </c>
      <c r="C1407" s="31">
        <v>45775</v>
      </c>
      <c r="D1407" s="1" t="s">
        <v>5478</v>
      </c>
      <c r="E1407" s="13" t="s">
        <v>5479</v>
      </c>
      <c r="F1407" s="1" t="s">
        <v>89</v>
      </c>
      <c r="G1407" s="1" t="s">
        <v>5480</v>
      </c>
      <c r="H1407" s="1" t="s">
        <v>5481</v>
      </c>
      <c r="I1407" s="31">
        <v>46065</v>
      </c>
      <c r="J1407" s="1" t="s">
        <v>5482</v>
      </c>
      <c r="K1407" s="1" t="s">
        <v>5483</v>
      </c>
      <c r="L1407" s="1" t="s">
        <v>5484</v>
      </c>
      <c r="M1407" s="2" t="s">
        <v>5485</v>
      </c>
      <c r="N1407" s="31">
        <v>46088</v>
      </c>
    </row>
    <row r="1408" spans="1:14" x14ac:dyDescent="0.25">
      <c r="A1408" s="29">
        <v>1407</v>
      </c>
      <c r="B1408" s="1" t="s">
        <v>5486</v>
      </c>
      <c r="C1408" s="31">
        <v>45875</v>
      </c>
      <c r="D1408" s="1" t="s">
        <v>5487</v>
      </c>
      <c r="E1408" s="13" t="s">
        <v>5488</v>
      </c>
      <c r="F1408" s="1" t="s">
        <v>89</v>
      </c>
      <c r="G1408" s="1" t="s">
        <v>5489</v>
      </c>
      <c r="H1408" s="1" t="s">
        <v>5490</v>
      </c>
      <c r="I1408" s="31">
        <v>46065</v>
      </c>
      <c r="J1408" s="1" t="s">
        <v>5491</v>
      </c>
      <c r="K1408" s="1" t="s">
        <v>5492</v>
      </c>
      <c r="L1408" s="1" t="s">
        <v>5493</v>
      </c>
      <c r="M1408" s="2" t="s">
        <v>5494</v>
      </c>
      <c r="N1408" s="31">
        <v>46083</v>
      </c>
    </row>
    <row r="1409" spans="1:14" x14ac:dyDescent="0.25">
      <c r="A1409" s="29">
        <v>1408</v>
      </c>
      <c r="B1409" s="1" t="s">
        <v>5495</v>
      </c>
      <c r="C1409" s="31">
        <v>45726</v>
      </c>
      <c r="D1409" s="1" t="s">
        <v>5496</v>
      </c>
      <c r="E1409" s="13" t="s">
        <v>5497</v>
      </c>
      <c r="F1409" s="1" t="s">
        <v>33</v>
      </c>
      <c r="G1409" s="1" t="s">
        <v>5498</v>
      </c>
      <c r="H1409" s="1" t="s">
        <v>5499</v>
      </c>
      <c r="I1409" s="31">
        <v>46065</v>
      </c>
      <c r="J1409" s="1" t="s">
        <v>5500</v>
      </c>
      <c r="K1409" s="1" t="s">
        <v>2564</v>
      </c>
      <c r="L1409" s="1" t="s">
        <v>5501</v>
      </c>
      <c r="M1409" s="2" t="s">
        <v>5502</v>
      </c>
      <c r="N1409" s="31">
        <v>46089</v>
      </c>
    </row>
    <row r="1410" spans="1:14" x14ac:dyDescent="0.25">
      <c r="A1410" s="29">
        <v>1409</v>
      </c>
      <c r="B1410" s="1" t="s">
        <v>5503</v>
      </c>
      <c r="C1410" s="31">
        <v>45843</v>
      </c>
      <c r="D1410" s="1" t="s">
        <v>5504</v>
      </c>
      <c r="E1410" s="13" t="s">
        <v>5505</v>
      </c>
      <c r="F1410" s="1" t="s">
        <v>33</v>
      </c>
      <c r="G1410" s="1" t="s">
        <v>5506</v>
      </c>
      <c r="H1410" s="1" t="s">
        <v>5507</v>
      </c>
      <c r="I1410" s="31">
        <v>46065</v>
      </c>
      <c r="J1410" s="1" t="s">
        <v>5508</v>
      </c>
      <c r="K1410" s="1" t="s">
        <v>5509</v>
      </c>
      <c r="L1410" s="1" t="s">
        <v>5510</v>
      </c>
      <c r="M1410" s="2" t="s">
        <v>5511</v>
      </c>
      <c r="N1410" s="31">
        <v>46094</v>
      </c>
    </row>
    <row r="1411" spans="1:14" x14ac:dyDescent="0.25">
      <c r="A1411" s="29">
        <v>1410</v>
      </c>
      <c r="B1411" s="1" t="s">
        <v>5512</v>
      </c>
      <c r="C1411" s="31">
        <v>45837</v>
      </c>
      <c r="D1411" s="1" t="s">
        <v>5513</v>
      </c>
      <c r="E1411" s="13" t="s">
        <v>5514</v>
      </c>
      <c r="F1411" s="1" t="s">
        <v>33</v>
      </c>
      <c r="G1411" s="1" t="s">
        <v>5515</v>
      </c>
      <c r="H1411" s="1" t="s">
        <v>5516</v>
      </c>
      <c r="I1411" s="31">
        <v>46065</v>
      </c>
      <c r="J1411" s="1" t="s">
        <v>5517</v>
      </c>
      <c r="K1411" s="1" t="s">
        <v>5518</v>
      </c>
      <c r="L1411" s="1" t="s">
        <v>5519</v>
      </c>
      <c r="M1411" s="2" t="s">
        <v>5520</v>
      </c>
      <c r="N1411" s="31">
        <v>46078</v>
      </c>
    </row>
    <row r="1412" spans="1:14" x14ac:dyDescent="0.25">
      <c r="A1412" s="29">
        <v>1411</v>
      </c>
      <c r="B1412" s="1" t="s">
        <v>5521</v>
      </c>
      <c r="C1412" s="31">
        <v>45946</v>
      </c>
      <c r="D1412" s="1" t="s">
        <v>5522</v>
      </c>
      <c r="E1412" s="13" t="s">
        <v>5523</v>
      </c>
      <c r="F1412" s="1" t="s">
        <v>89</v>
      </c>
      <c r="G1412" s="1" t="s">
        <v>5524</v>
      </c>
      <c r="H1412" s="1" t="s">
        <v>5525</v>
      </c>
      <c r="I1412" s="31">
        <v>46065</v>
      </c>
      <c r="J1412" s="1" t="s">
        <v>5526</v>
      </c>
      <c r="K1412" s="1" t="s">
        <v>5527</v>
      </c>
      <c r="L1412" s="1" t="s">
        <v>5528</v>
      </c>
      <c r="M1412" s="2" t="s">
        <v>5529</v>
      </c>
      <c r="N1412" s="31">
        <v>46087</v>
      </c>
    </row>
    <row r="1413" spans="1:14" x14ac:dyDescent="0.25">
      <c r="A1413" s="29">
        <v>1412</v>
      </c>
      <c r="B1413" s="1" t="s">
        <v>5530</v>
      </c>
      <c r="C1413" s="31">
        <v>45873</v>
      </c>
      <c r="D1413" s="1" t="s">
        <v>5531</v>
      </c>
      <c r="E1413" s="13" t="s">
        <v>5532</v>
      </c>
      <c r="F1413" s="1" t="s">
        <v>33</v>
      </c>
      <c r="G1413" s="1" t="s">
        <v>5533</v>
      </c>
      <c r="H1413" s="1" t="s">
        <v>5534</v>
      </c>
      <c r="I1413" s="31">
        <v>46065</v>
      </c>
      <c r="J1413" s="1" t="s">
        <v>5535</v>
      </c>
      <c r="K1413" s="1" t="s">
        <v>5536</v>
      </c>
      <c r="L1413" s="1" t="s">
        <v>5537</v>
      </c>
      <c r="M1413" s="2" t="s">
        <v>5538</v>
      </c>
      <c r="N1413" s="31">
        <v>46086</v>
      </c>
    </row>
    <row r="1414" spans="1:14" x14ac:dyDescent="0.25">
      <c r="A1414" s="29">
        <v>1413</v>
      </c>
      <c r="B1414" s="1" t="s">
        <v>5539</v>
      </c>
      <c r="C1414" s="31">
        <v>46037</v>
      </c>
      <c r="D1414" s="1" t="s">
        <v>5540</v>
      </c>
      <c r="E1414" s="13" t="s">
        <v>5541</v>
      </c>
      <c r="F1414" s="1" t="s">
        <v>33</v>
      </c>
      <c r="G1414" s="1" t="s">
        <v>5542</v>
      </c>
      <c r="H1414" s="1" t="s">
        <v>5543</v>
      </c>
      <c r="I1414" s="31">
        <v>46065</v>
      </c>
      <c r="J1414" s="1" t="s">
        <v>5544</v>
      </c>
      <c r="K1414" s="1" t="s">
        <v>5545</v>
      </c>
      <c r="L1414" s="1" t="s">
        <v>5546</v>
      </c>
      <c r="M1414" s="2" t="s">
        <v>5547</v>
      </c>
      <c r="N1414" s="31">
        <v>46085</v>
      </c>
    </row>
    <row r="1415" spans="1:14" x14ac:dyDescent="0.25">
      <c r="A1415" s="29">
        <v>1414</v>
      </c>
      <c r="B1415" s="1" t="s">
        <v>5495</v>
      </c>
      <c r="C1415" s="31">
        <v>46010</v>
      </c>
      <c r="D1415" s="1" t="s">
        <v>5548</v>
      </c>
      <c r="E1415" s="13" t="s">
        <v>5549</v>
      </c>
      <c r="F1415" s="1" t="s">
        <v>89</v>
      </c>
      <c r="G1415" s="1" t="s">
        <v>5550</v>
      </c>
      <c r="H1415" s="1" t="s">
        <v>5551</v>
      </c>
      <c r="I1415" s="31">
        <v>46065</v>
      </c>
      <c r="J1415" s="1" t="s">
        <v>5552</v>
      </c>
      <c r="K1415" s="1" t="s">
        <v>5553</v>
      </c>
      <c r="L1415" s="1" t="s">
        <v>5554</v>
      </c>
      <c r="M1415" s="2" t="s">
        <v>5555</v>
      </c>
      <c r="N1415" s="31">
        <v>46070</v>
      </c>
    </row>
    <row r="1416" spans="1:14" x14ac:dyDescent="0.25">
      <c r="A1416" s="29">
        <v>1415</v>
      </c>
      <c r="B1416" s="1" t="s">
        <v>5556</v>
      </c>
      <c r="C1416" s="31">
        <v>45752</v>
      </c>
      <c r="D1416" s="1" t="s">
        <v>5557</v>
      </c>
      <c r="E1416" s="13" t="s">
        <v>5558</v>
      </c>
      <c r="F1416" s="1" t="s">
        <v>33</v>
      </c>
      <c r="G1416" s="1" t="s">
        <v>5559</v>
      </c>
      <c r="H1416" s="1" t="s">
        <v>5560</v>
      </c>
      <c r="I1416" s="31">
        <v>46065</v>
      </c>
      <c r="J1416" s="1" t="s">
        <v>5561</v>
      </c>
      <c r="K1416" s="1" t="s">
        <v>5562</v>
      </c>
      <c r="L1416" s="1" t="s">
        <v>5563</v>
      </c>
      <c r="M1416" s="2" t="s">
        <v>5564</v>
      </c>
      <c r="N1416" s="31">
        <v>46092</v>
      </c>
    </row>
    <row r="1417" spans="1:14" x14ac:dyDescent="0.25">
      <c r="A1417" s="29">
        <v>1416</v>
      </c>
      <c r="B1417" s="1" t="s">
        <v>5565</v>
      </c>
      <c r="C1417" s="31">
        <v>45714</v>
      </c>
      <c r="D1417" s="1" t="s">
        <v>5566</v>
      </c>
      <c r="E1417" s="13" t="s">
        <v>5567</v>
      </c>
      <c r="F1417" s="1" t="s">
        <v>33</v>
      </c>
      <c r="G1417" s="1" t="s">
        <v>5568</v>
      </c>
      <c r="H1417" s="1" t="s">
        <v>5569</v>
      </c>
      <c r="I1417" s="31">
        <v>46065</v>
      </c>
      <c r="J1417" s="1" t="s">
        <v>5570</v>
      </c>
      <c r="K1417" s="1" t="s">
        <v>5571</v>
      </c>
      <c r="L1417" s="1" t="s">
        <v>5572</v>
      </c>
      <c r="M1417" s="2" t="s">
        <v>5573</v>
      </c>
      <c r="N1417" s="31">
        <v>46071</v>
      </c>
    </row>
    <row r="1418" spans="1:14" x14ac:dyDescent="0.25">
      <c r="A1418" s="29">
        <v>1417</v>
      </c>
      <c r="B1418" s="1" t="s">
        <v>5574</v>
      </c>
      <c r="C1418" s="31">
        <v>45809</v>
      </c>
      <c r="D1418" s="1" t="s">
        <v>5575</v>
      </c>
      <c r="E1418" s="13" t="s">
        <v>5576</v>
      </c>
      <c r="F1418" s="1" t="s">
        <v>89</v>
      </c>
      <c r="G1418" s="1" t="s">
        <v>5577</v>
      </c>
      <c r="H1418" s="1" t="s">
        <v>5125</v>
      </c>
      <c r="I1418" s="31">
        <v>46065</v>
      </c>
      <c r="J1418" s="1" t="s">
        <v>5578</v>
      </c>
      <c r="K1418" s="1" t="s">
        <v>2519</v>
      </c>
      <c r="L1418" s="1" t="s">
        <v>5579</v>
      </c>
      <c r="M1418" s="2" t="s">
        <v>5580</v>
      </c>
      <c r="N1418" s="31">
        <v>46080</v>
      </c>
    </row>
    <row r="1419" spans="1:14" x14ac:dyDescent="0.25">
      <c r="A1419" s="29">
        <v>1418</v>
      </c>
      <c r="B1419" s="1" t="s">
        <v>5581</v>
      </c>
      <c r="C1419" s="31">
        <v>45715</v>
      </c>
      <c r="D1419" s="1" t="s">
        <v>5582</v>
      </c>
      <c r="E1419" s="13" t="s">
        <v>5583</v>
      </c>
      <c r="F1419" s="1" t="s">
        <v>33</v>
      </c>
      <c r="G1419" s="1" t="s">
        <v>5584</v>
      </c>
      <c r="H1419" s="1" t="s">
        <v>5585</v>
      </c>
      <c r="I1419" s="31">
        <v>46065</v>
      </c>
      <c r="J1419" s="1" t="s">
        <v>5586</v>
      </c>
      <c r="K1419" s="1" t="s">
        <v>5587</v>
      </c>
      <c r="L1419" s="1" t="s">
        <v>5588</v>
      </c>
      <c r="M1419" s="2" t="s">
        <v>5589</v>
      </c>
      <c r="N1419" s="31">
        <v>46080</v>
      </c>
    </row>
    <row r="1420" spans="1:14" x14ac:dyDescent="0.25">
      <c r="A1420" s="29">
        <v>1419</v>
      </c>
      <c r="B1420" s="1" t="s">
        <v>5590</v>
      </c>
      <c r="C1420" s="31">
        <v>45877</v>
      </c>
      <c r="D1420" s="1" t="s">
        <v>5591</v>
      </c>
      <c r="E1420" s="13" t="s">
        <v>5592</v>
      </c>
      <c r="F1420" s="1" t="s">
        <v>89</v>
      </c>
      <c r="G1420" s="1" t="s">
        <v>5593</v>
      </c>
      <c r="H1420" s="1" t="s">
        <v>5594</v>
      </c>
      <c r="I1420" s="31">
        <v>46065</v>
      </c>
      <c r="J1420" s="1" t="s">
        <v>5595</v>
      </c>
      <c r="K1420" s="1" t="s">
        <v>5596</v>
      </c>
      <c r="L1420" s="1" t="s">
        <v>5597</v>
      </c>
      <c r="M1420" s="2" t="s">
        <v>5598</v>
      </c>
      <c r="N1420" s="31">
        <v>46071</v>
      </c>
    </row>
    <row r="1421" spans="1:14" x14ac:dyDescent="0.25">
      <c r="A1421" s="29">
        <v>1420</v>
      </c>
      <c r="B1421" s="1" t="s">
        <v>5599</v>
      </c>
      <c r="C1421" s="31">
        <v>45894</v>
      </c>
      <c r="D1421" s="1" t="s">
        <v>5600</v>
      </c>
      <c r="E1421" s="13" t="s">
        <v>5601</v>
      </c>
      <c r="F1421" s="1" t="s">
        <v>33</v>
      </c>
      <c r="G1421" s="1" t="s">
        <v>5602</v>
      </c>
      <c r="H1421" s="1" t="s">
        <v>5603</v>
      </c>
      <c r="I1421" s="31">
        <v>46065</v>
      </c>
      <c r="J1421" s="1" t="s">
        <v>5604</v>
      </c>
      <c r="K1421" s="1" t="s">
        <v>2690</v>
      </c>
      <c r="L1421" s="1" t="s">
        <v>5605</v>
      </c>
      <c r="M1421" s="2" t="s">
        <v>5606</v>
      </c>
      <c r="N1421" s="31">
        <v>46080</v>
      </c>
    </row>
    <row r="1422" spans="1:14" x14ac:dyDescent="0.25">
      <c r="A1422" s="29">
        <v>1421</v>
      </c>
      <c r="B1422" s="1" t="s">
        <v>5607</v>
      </c>
      <c r="C1422" s="31">
        <v>45896</v>
      </c>
      <c r="D1422" s="1" t="s">
        <v>5608</v>
      </c>
      <c r="E1422" s="13" t="s">
        <v>5609</v>
      </c>
      <c r="F1422" s="1" t="s">
        <v>33</v>
      </c>
      <c r="G1422" s="1" t="s">
        <v>5610</v>
      </c>
      <c r="H1422" s="1" t="s">
        <v>5611</v>
      </c>
      <c r="I1422" s="31">
        <v>46065</v>
      </c>
      <c r="J1422" s="1" t="s">
        <v>5612</v>
      </c>
      <c r="K1422" s="1" t="s">
        <v>5613</v>
      </c>
      <c r="L1422" s="1" t="s">
        <v>5614</v>
      </c>
      <c r="M1422" s="2" t="s">
        <v>5615</v>
      </c>
      <c r="N1422" s="31">
        <v>46086</v>
      </c>
    </row>
    <row r="1423" spans="1:14" x14ac:dyDescent="0.25">
      <c r="A1423" s="29">
        <v>1422</v>
      </c>
      <c r="B1423" s="1" t="s">
        <v>5616</v>
      </c>
      <c r="C1423" s="31">
        <v>45708</v>
      </c>
      <c r="D1423" s="1" t="s">
        <v>5617</v>
      </c>
      <c r="E1423" s="13" t="s">
        <v>5618</v>
      </c>
      <c r="F1423" s="1" t="s">
        <v>89</v>
      </c>
      <c r="G1423" s="1" t="s">
        <v>5619</v>
      </c>
      <c r="H1423" s="1" t="s">
        <v>5620</v>
      </c>
      <c r="I1423" s="31">
        <v>46065</v>
      </c>
      <c r="J1423" s="1" t="s">
        <v>5621</v>
      </c>
      <c r="K1423" s="1" t="s">
        <v>5622</v>
      </c>
      <c r="L1423" s="1" t="s">
        <v>5623</v>
      </c>
      <c r="M1423" s="2" t="s">
        <v>5624</v>
      </c>
      <c r="N1423" s="31">
        <v>46094</v>
      </c>
    </row>
    <row r="1424" spans="1:14" x14ac:dyDescent="0.25">
      <c r="A1424" s="29">
        <v>1423</v>
      </c>
      <c r="B1424" s="1" t="s">
        <v>5625</v>
      </c>
      <c r="C1424" s="31">
        <v>45751</v>
      </c>
      <c r="D1424" s="1" t="s">
        <v>5626</v>
      </c>
      <c r="E1424" s="13" t="s">
        <v>5627</v>
      </c>
      <c r="F1424" s="1" t="s">
        <v>33</v>
      </c>
      <c r="G1424" s="1" t="s">
        <v>5628</v>
      </c>
      <c r="H1424" s="1" t="s">
        <v>5629</v>
      </c>
      <c r="I1424" s="31">
        <v>46065</v>
      </c>
      <c r="J1424" s="1" t="s">
        <v>5630</v>
      </c>
      <c r="K1424" s="1" t="s">
        <v>5631</v>
      </c>
      <c r="L1424" s="1" t="s">
        <v>5632</v>
      </c>
      <c r="M1424" s="2" t="s">
        <v>5633</v>
      </c>
      <c r="N1424" s="31">
        <v>46087</v>
      </c>
    </row>
    <row r="1425" spans="1:14" x14ac:dyDescent="0.25">
      <c r="A1425" s="29">
        <v>1424</v>
      </c>
      <c r="B1425" s="1" t="s">
        <v>5634</v>
      </c>
      <c r="C1425" s="31">
        <v>45770</v>
      </c>
      <c r="D1425" s="1" t="s">
        <v>5635</v>
      </c>
      <c r="E1425" s="13" t="s">
        <v>5636</v>
      </c>
      <c r="F1425" s="1" t="s">
        <v>89</v>
      </c>
      <c r="G1425" s="1" t="s">
        <v>5637</v>
      </c>
      <c r="H1425" s="1" t="s">
        <v>5638</v>
      </c>
      <c r="I1425" s="31">
        <v>46065</v>
      </c>
      <c r="J1425" s="1" t="s">
        <v>5639</v>
      </c>
      <c r="K1425" s="1" t="s">
        <v>4923</v>
      </c>
      <c r="L1425" s="1" t="s">
        <v>5640</v>
      </c>
      <c r="M1425" s="2" t="s">
        <v>5641</v>
      </c>
      <c r="N1425" s="31">
        <v>46087</v>
      </c>
    </row>
    <row r="1426" spans="1:14" x14ac:dyDescent="0.25">
      <c r="A1426" s="29">
        <v>1425</v>
      </c>
      <c r="B1426" s="1" t="s">
        <v>5642</v>
      </c>
      <c r="C1426" s="31">
        <v>46064</v>
      </c>
      <c r="D1426" s="1" t="s">
        <v>5643</v>
      </c>
      <c r="E1426" s="13" t="s">
        <v>5644</v>
      </c>
      <c r="F1426" s="1" t="s">
        <v>89</v>
      </c>
      <c r="G1426" s="1" t="s">
        <v>5645</v>
      </c>
      <c r="H1426" s="1" t="s">
        <v>5646</v>
      </c>
      <c r="I1426" s="31">
        <v>46065</v>
      </c>
      <c r="J1426" s="1" t="s">
        <v>5647</v>
      </c>
      <c r="K1426" s="1" t="s">
        <v>5648</v>
      </c>
      <c r="L1426" s="1" t="s">
        <v>5649</v>
      </c>
      <c r="M1426" s="2" t="s">
        <v>5650</v>
      </c>
      <c r="N1426" s="31">
        <v>46079</v>
      </c>
    </row>
    <row r="1427" spans="1:14" x14ac:dyDescent="0.25">
      <c r="A1427" s="29">
        <v>1426</v>
      </c>
      <c r="B1427" s="1" t="s">
        <v>5651</v>
      </c>
      <c r="C1427" s="31">
        <v>45701</v>
      </c>
      <c r="D1427" s="1" t="s">
        <v>5652</v>
      </c>
      <c r="E1427" s="13" t="s">
        <v>5653</v>
      </c>
      <c r="F1427" s="1" t="s">
        <v>33</v>
      </c>
      <c r="G1427" s="1" t="s">
        <v>5654</v>
      </c>
      <c r="H1427" s="1" t="s">
        <v>5655</v>
      </c>
      <c r="I1427" s="31">
        <v>46065</v>
      </c>
      <c r="J1427" s="1" t="s">
        <v>5656</v>
      </c>
      <c r="K1427" s="1" t="s">
        <v>5657</v>
      </c>
      <c r="L1427" s="1" t="s">
        <v>5658</v>
      </c>
      <c r="M1427" s="2" t="s">
        <v>5659</v>
      </c>
      <c r="N1427" s="31">
        <v>46071</v>
      </c>
    </row>
    <row r="1428" spans="1:14" x14ac:dyDescent="0.25">
      <c r="A1428" s="29">
        <v>1427</v>
      </c>
      <c r="B1428" s="1" t="s">
        <v>5660</v>
      </c>
      <c r="C1428" s="31">
        <v>45990</v>
      </c>
      <c r="D1428" s="1" t="s">
        <v>5661</v>
      </c>
      <c r="E1428" s="13" t="s">
        <v>5662</v>
      </c>
      <c r="F1428" s="1" t="s">
        <v>89</v>
      </c>
      <c r="G1428" s="1" t="s">
        <v>5663</v>
      </c>
      <c r="H1428" s="1" t="s">
        <v>5664</v>
      </c>
      <c r="I1428" s="31">
        <v>46065</v>
      </c>
      <c r="J1428" s="1" t="s">
        <v>5665</v>
      </c>
      <c r="K1428" s="1" t="s">
        <v>5666</v>
      </c>
      <c r="L1428" s="1" t="s">
        <v>5667</v>
      </c>
      <c r="M1428" s="2" t="s">
        <v>5668</v>
      </c>
      <c r="N1428" s="31">
        <v>46069</v>
      </c>
    </row>
    <row r="1429" spans="1:14" x14ac:dyDescent="0.25">
      <c r="A1429" s="29">
        <v>1428</v>
      </c>
      <c r="B1429" s="1" t="s">
        <v>5669</v>
      </c>
      <c r="C1429" s="31">
        <v>45872</v>
      </c>
      <c r="D1429" s="1" t="s">
        <v>5670</v>
      </c>
      <c r="E1429" s="13" t="s">
        <v>5671</v>
      </c>
      <c r="F1429" s="1" t="s">
        <v>33</v>
      </c>
      <c r="G1429" s="1" t="s">
        <v>5672</v>
      </c>
      <c r="H1429" s="1" t="s">
        <v>5673</v>
      </c>
      <c r="I1429" s="31">
        <v>46065</v>
      </c>
      <c r="J1429" s="1" t="s">
        <v>5674</v>
      </c>
      <c r="K1429" s="1" t="s">
        <v>5675</v>
      </c>
      <c r="L1429" s="1" t="s">
        <v>5676</v>
      </c>
      <c r="M1429" s="2" t="s">
        <v>5677</v>
      </c>
      <c r="N1429" s="31">
        <v>46069</v>
      </c>
    </row>
    <row r="1430" spans="1:14" x14ac:dyDescent="0.25">
      <c r="A1430" s="29">
        <v>1429</v>
      </c>
      <c r="B1430" s="1" t="s">
        <v>5678</v>
      </c>
      <c r="C1430" s="31">
        <v>45761</v>
      </c>
      <c r="D1430" s="1" t="s">
        <v>5679</v>
      </c>
      <c r="E1430" s="13" t="s">
        <v>5680</v>
      </c>
      <c r="F1430" s="1" t="s">
        <v>33</v>
      </c>
      <c r="G1430" s="1" t="s">
        <v>5681</v>
      </c>
      <c r="H1430" s="1" t="s">
        <v>5682</v>
      </c>
      <c r="I1430" s="31">
        <v>46065</v>
      </c>
      <c r="J1430" s="1" t="s">
        <v>5683</v>
      </c>
      <c r="K1430" s="1" t="s">
        <v>4888</v>
      </c>
      <c r="L1430" s="1" t="s">
        <v>5684</v>
      </c>
      <c r="M1430" s="2" t="s">
        <v>5685</v>
      </c>
      <c r="N1430" s="31">
        <v>46071</v>
      </c>
    </row>
    <row r="1431" spans="1:14" x14ac:dyDescent="0.25">
      <c r="A1431" s="29">
        <v>1430</v>
      </c>
      <c r="B1431" s="1" t="s">
        <v>5686</v>
      </c>
      <c r="C1431" s="31">
        <v>45761</v>
      </c>
      <c r="D1431" s="1" t="s">
        <v>5679</v>
      </c>
      <c r="E1431" s="13" t="s">
        <v>5687</v>
      </c>
      <c r="F1431" s="1" t="s">
        <v>33</v>
      </c>
      <c r="G1431" s="1" t="s">
        <v>5681</v>
      </c>
      <c r="H1431" s="1" t="s">
        <v>5682</v>
      </c>
      <c r="I1431" s="31">
        <v>46065</v>
      </c>
      <c r="J1431" s="1" t="s">
        <v>5683</v>
      </c>
      <c r="K1431" s="1" t="s">
        <v>4888</v>
      </c>
      <c r="L1431" s="1" t="s">
        <v>5684</v>
      </c>
      <c r="M1431" s="2" t="s">
        <v>5685</v>
      </c>
      <c r="N1431" s="31">
        <v>46095</v>
      </c>
    </row>
    <row r="1432" spans="1:14" x14ac:dyDescent="0.25">
      <c r="A1432" s="29">
        <v>1431</v>
      </c>
      <c r="B1432" s="1" t="s">
        <v>5688</v>
      </c>
      <c r="C1432" s="31">
        <v>46056</v>
      </c>
      <c r="D1432" s="1" t="s">
        <v>5689</v>
      </c>
      <c r="E1432" s="13" t="s">
        <v>5690</v>
      </c>
      <c r="F1432" s="1" t="s">
        <v>89</v>
      </c>
      <c r="G1432" s="1" t="s">
        <v>5691</v>
      </c>
      <c r="H1432" s="1" t="s">
        <v>5692</v>
      </c>
      <c r="I1432" s="31">
        <v>46065</v>
      </c>
      <c r="J1432" s="1" t="s">
        <v>5693</v>
      </c>
      <c r="K1432" s="1" t="s">
        <v>5694</v>
      </c>
      <c r="L1432" s="1" t="s">
        <v>5695</v>
      </c>
      <c r="M1432" s="2" t="s">
        <v>5696</v>
      </c>
      <c r="N1432" s="31">
        <v>46092</v>
      </c>
    </row>
    <row r="1433" spans="1:14" x14ac:dyDescent="0.25">
      <c r="A1433" s="29">
        <v>1432</v>
      </c>
      <c r="B1433" s="1" t="s">
        <v>5697</v>
      </c>
      <c r="C1433" s="31">
        <v>46056</v>
      </c>
      <c r="D1433" s="1" t="s">
        <v>5689</v>
      </c>
      <c r="E1433" s="13" t="s">
        <v>5698</v>
      </c>
      <c r="F1433" s="1" t="s">
        <v>89</v>
      </c>
      <c r="G1433" s="1" t="s">
        <v>5691</v>
      </c>
      <c r="H1433" s="1" t="s">
        <v>5692</v>
      </c>
      <c r="I1433" s="31">
        <v>46065</v>
      </c>
      <c r="J1433" s="1" t="s">
        <v>5693</v>
      </c>
      <c r="K1433" s="1" t="s">
        <v>5694</v>
      </c>
      <c r="L1433" s="1" t="s">
        <v>5695</v>
      </c>
      <c r="M1433" s="2" t="s">
        <v>5696</v>
      </c>
      <c r="N1433" s="31">
        <v>46087</v>
      </c>
    </row>
    <row r="1434" spans="1:14" x14ac:dyDescent="0.25">
      <c r="A1434" s="29">
        <v>1433</v>
      </c>
      <c r="B1434" s="1" t="s">
        <v>5699</v>
      </c>
      <c r="C1434" s="31">
        <v>45740</v>
      </c>
      <c r="D1434" s="1" t="s">
        <v>5700</v>
      </c>
      <c r="E1434" s="13" t="s">
        <v>5701</v>
      </c>
      <c r="F1434" s="1" t="s">
        <v>33</v>
      </c>
      <c r="G1434" s="1" t="s">
        <v>5702</v>
      </c>
      <c r="H1434" s="1" t="s">
        <v>5703</v>
      </c>
      <c r="I1434" s="31">
        <v>46065</v>
      </c>
      <c r="J1434" s="1" t="s">
        <v>5704</v>
      </c>
      <c r="K1434" s="1" t="s">
        <v>5705</v>
      </c>
      <c r="L1434" s="1" t="s">
        <v>5706</v>
      </c>
      <c r="M1434" s="2" t="s">
        <v>5707</v>
      </c>
      <c r="N1434" s="31">
        <v>46079</v>
      </c>
    </row>
    <row r="1435" spans="1:14" x14ac:dyDescent="0.25">
      <c r="A1435" s="29">
        <v>1434</v>
      </c>
      <c r="B1435" s="1" t="s">
        <v>5708</v>
      </c>
      <c r="C1435" s="31">
        <v>45740</v>
      </c>
      <c r="D1435" s="1" t="s">
        <v>5700</v>
      </c>
      <c r="E1435" s="13" t="s">
        <v>5709</v>
      </c>
      <c r="F1435" s="1" t="s">
        <v>33</v>
      </c>
      <c r="G1435" s="1" t="s">
        <v>5702</v>
      </c>
      <c r="H1435" s="1" t="s">
        <v>5703</v>
      </c>
      <c r="I1435" s="31">
        <v>46065</v>
      </c>
      <c r="J1435" s="1" t="s">
        <v>5704</v>
      </c>
      <c r="K1435" s="1" t="s">
        <v>5705</v>
      </c>
      <c r="L1435" s="1" t="s">
        <v>5706</v>
      </c>
      <c r="M1435" s="2" t="s">
        <v>5707</v>
      </c>
      <c r="N1435" s="31">
        <v>46091</v>
      </c>
    </row>
    <row r="1436" spans="1:14" x14ac:dyDescent="0.25">
      <c r="A1436" s="29">
        <v>1435</v>
      </c>
      <c r="B1436" s="1" t="s">
        <v>5710</v>
      </c>
      <c r="C1436" s="31">
        <v>45755</v>
      </c>
      <c r="D1436" s="1" t="s">
        <v>5711</v>
      </c>
      <c r="E1436" s="13" t="s">
        <v>5712</v>
      </c>
      <c r="F1436" s="1" t="s">
        <v>89</v>
      </c>
      <c r="G1436" s="1" t="s">
        <v>5713</v>
      </c>
      <c r="H1436" s="1" t="s">
        <v>5714</v>
      </c>
      <c r="I1436" s="31">
        <v>46065</v>
      </c>
      <c r="J1436" s="1" t="s">
        <v>5715</v>
      </c>
      <c r="K1436" s="1" t="s">
        <v>5716</v>
      </c>
      <c r="L1436" s="1" t="s">
        <v>5717</v>
      </c>
      <c r="M1436" s="2" t="s">
        <v>5718</v>
      </c>
      <c r="N1436" s="31">
        <v>46071</v>
      </c>
    </row>
    <row r="1437" spans="1:14" x14ac:dyDescent="0.25">
      <c r="A1437" s="29">
        <v>1436</v>
      </c>
      <c r="B1437" s="1" t="s">
        <v>5719</v>
      </c>
      <c r="C1437" s="31">
        <v>45755</v>
      </c>
      <c r="D1437" s="1" t="s">
        <v>5711</v>
      </c>
      <c r="E1437" s="13" t="s">
        <v>5720</v>
      </c>
      <c r="F1437" s="1" t="s">
        <v>89</v>
      </c>
      <c r="G1437" s="1" t="s">
        <v>5713</v>
      </c>
      <c r="H1437" s="1" t="s">
        <v>5714</v>
      </c>
      <c r="I1437" s="31">
        <v>46065</v>
      </c>
      <c r="J1437" s="1" t="s">
        <v>5715</v>
      </c>
      <c r="K1437" s="1" t="s">
        <v>5716</v>
      </c>
      <c r="L1437" s="1" t="s">
        <v>5717</v>
      </c>
      <c r="M1437" s="2" t="s">
        <v>5718</v>
      </c>
      <c r="N1437" s="31">
        <v>46090</v>
      </c>
    </row>
    <row r="1438" spans="1:14" x14ac:dyDescent="0.25">
      <c r="A1438" s="29">
        <v>1437</v>
      </c>
      <c r="B1438" s="1" t="s">
        <v>5721</v>
      </c>
      <c r="C1438" s="31">
        <v>45748</v>
      </c>
      <c r="D1438" s="1" t="s">
        <v>5722</v>
      </c>
      <c r="E1438" s="13" t="s">
        <v>5723</v>
      </c>
      <c r="F1438" s="1" t="s">
        <v>33</v>
      </c>
      <c r="G1438" s="1" t="s">
        <v>5724</v>
      </c>
      <c r="H1438" s="1" t="s">
        <v>5725</v>
      </c>
      <c r="I1438" s="31">
        <v>46065</v>
      </c>
      <c r="J1438" s="1" t="s">
        <v>5726</v>
      </c>
      <c r="K1438" s="1" t="s">
        <v>5727</v>
      </c>
      <c r="L1438" s="1" t="s">
        <v>5728</v>
      </c>
      <c r="M1438" s="2" t="s">
        <v>5729</v>
      </c>
      <c r="N1438" s="31">
        <v>46092</v>
      </c>
    </row>
    <row r="1439" spans="1:14" x14ac:dyDescent="0.25">
      <c r="A1439" s="29">
        <v>1438</v>
      </c>
      <c r="B1439" s="1" t="s">
        <v>5730</v>
      </c>
      <c r="C1439" s="31">
        <v>45748</v>
      </c>
      <c r="D1439" s="1" t="s">
        <v>5722</v>
      </c>
      <c r="E1439" s="13" t="s">
        <v>5731</v>
      </c>
      <c r="F1439" s="1" t="s">
        <v>33</v>
      </c>
      <c r="G1439" s="1" t="s">
        <v>5724</v>
      </c>
      <c r="H1439" s="1" t="s">
        <v>5725</v>
      </c>
      <c r="I1439" s="31">
        <v>46065</v>
      </c>
      <c r="J1439" s="1" t="s">
        <v>5726</v>
      </c>
      <c r="K1439" s="1" t="s">
        <v>5727</v>
      </c>
      <c r="L1439" s="1" t="s">
        <v>5728</v>
      </c>
      <c r="M1439" s="2" t="s">
        <v>5729</v>
      </c>
      <c r="N1439" s="31">
        <v>46079</v>
      </c>
    </row>
    <row r="1440" spans="1:14" x14ac:dyDescent="0.25">
      <c r="A1440" s="29">
        <v>1439</v>
      </c>
      <c r="B1440" s="1" t="s">
        <v>5732</v>
      </c>
      <c r="C1440" s="31">
        <v>45895</v>
      </c>
      <c r="D1440" s="1" t="s">
        <v>5733</v>
      </c>
      <c r="E1440" s="13" t="s">
        <v>5734</v>
      </c>
      <c r="F1440" s="1" t="s">
        <v>89</v>
      </c>
      <c r="G1440" s="1" t="s">
        <v>5735</v>
      </c>
      <c r="H1440" s="1" t="s">
        <v>5736</v>
      </c>
      <c r="I1440" s="31">
        <v>46065</v>
      </c>
      <c r="J1440" s="1" t="s">
        <v>5737</v>
      </c>
      <c r="K1440" s="1" t="s">
        <v>3382</v>
      </c>
      <c r="L1440" s="1" t="s">
        <v>5738</v>
      </c>
      <c r="M1440" s="2" t="s">
        <v>5739</v>
      </c>
      <c r="N1440" s="31">
        <v>46077</v>
      </c>
    </row>
    <row r="1441" spans="1:14" x14ac:dyDescent="0.25">
      <c r="A1441" s="29">
        <v>1440</v>
      </c>
      <c r="B1441" s="1" t="s">
        <v>5740</v>
      </c>
      <c r="C1441" s="31">
        <v>45895</v>
      </c>
      <c r="D1441" s="1" t="s">
        <v>5733</v>
      </c>
      <c r="E1441" s="13" t="s">
        <v>5741</v>
      </c>
      <c r="F1441" s="1" t="s">
        <v>89</v>
      </c>
      <c r="G1441" s="1" t="s">
        <v>5735</v>
      </c>
      <c r="H1441" s="1" t="s">
        <v>5736</v>
      </c>
      <c r="I1441" s="31">
        <v>46065</v>
      </c>
      <c r="J1441" s="1" t="s">
        <v>5737</v>
      </c>
      <c r="K1441" s="1" t="s">
        <v>3382</v>
      </c>
      <c r="L1441" s="1" t="s">
        <v>5738</v>
      </c>
      <c r="M1441" s="2" t="s">
        <v>5739</v>
      </c>
      <c r="N1441" s="31">
        <v>46081</v>
      </c>
    </row>
  </sheetData>
  <hyperlinks>
    <hyperlink ref="E2" r:id="rId1" display="AU2065646519525" xr:uid="{00000000-0004-0000-0000-000000000000}"/>
    <hyperlink ref="E3" r:id="rId2" display="AU2065646519525" xr:uid="{00000000-0004-0000-0000-000001000000}"/>
    <hyperlink ref="E4" r:id="rId3" display="AU2065646519525" xr:uid="{00000000-0004-0000-0000-000002000000}"/>
    <hyperlink ref="E5" r:id="rId4" display="AU2065646519525" xr:uid="{00000000-0004-0000-0000-000003000000}"/>
    <hyperlink ref="E6" r:id="rId5" display="AU2065646519525" xr:uid="{00000000-0004-0000-0000-000004000000}"/>
    <hyperlink ref="E7" r:id="rId6" display="AU2065646519525" xr:uid="{00000000-0004-0000-0000-000005000000}"/>
    <hyperlink ref="E8" r:id="rId7" display="AU2065646519525" xr:uid="{00000000-0004-0000-0000-000006000000}"/>
    <hyperlink ref="E9" r:id="rId8" display="AU2065646519525" xr:uid="{00000000-0004-0000-0000-000007000000}"/>
    <hyperlink ref="E10" r:id="rId9" display="AU2065646519525" xr:uid="{00000000-0004-0000-0000-000008000000}"/>
    <hyperlink ref="E11" r:id="rId10" display="AU2065646519525" xr:uid="{00000000-0004-0000-0000-000009000000}"/>
    <hyperlink ref="E12" r:id="rId11" display="AU2065646519525" xr:uid="{00000000-0004-0000-0000-00000A000000}"/>
    <hyperlink ref="E13" r:id="rId12" display="AU2065646519525" xr:uid="{00000000-0004-0000-0000-00000B000000}"/>
    <hyperlink ref="E14" r:id="rId13" display="AU2065646519525" xr:uid="{00000000-0004-0000-0000-00000C000000}"/>
    <hyperlink ref="E15" r:id="rId14" display="AU2065646519525" xr:uid="{00000000-0004-0000-0000-00000D000000}"/>
    <hyperlink ref="E16" r:id="rId15" display="AU2065646519525" xr:uid="{00000000-0004-0000-0000-00000E000000}"/>
    <hyperlink ref="E17" r:id="rId16" display="AU2065646519525" xr:uid="{00000000-0004-0000-0000-00000F000000}"/>
    <hyperlink ref="E18" r:id="rId17" display="AU2065646519525" xr:uid="{00000000-0004-0000-0000-000010000000}"/>
    <hyperlink ref="E19" r:id="rId18" display="AU2065646519525" xr:uid="{00000000-0004-0000-0000-000011000000}"/>
    <hyperlink ref="E20" r:id="rId19" display="AU2065646519525" xr:uid="{00000000-0004-0000-0000-000012000000}"/>
    <hyperlink ref="E21" r:id="rId20" display="AU2065646519525" xr:uid="{00000000-0004-0000-0000-000013000000}"/>
    <hyperlink ref="E22" r:id="rId21" display="AU2065646519525" xr:uid="{00000000-0004-0000-0000-000014000000}"/>
    <hyperlink ref="E23" r:id="rId22" display="AU2065646519525" xr:uid="{00000000-0004-0000-0000-000015000000}"/>
    <hyperlink ref="E24" r:id="rId23" display="AU2065646519525" xr:uid="{00000000-0004-0000-0000-000016000000}"/>
    <hyperlink ref="E25" r:id="rId24" display="AU2065646519525" xr:uid="{00000000-0004-0000-0000-000017000000}"/>
    <hyperlink ref="E26" r:id="rId25" display="AU2065646519525" xr:uid="{00000000-0004-0000-0000-000018000000}"/>
    <hyperlink ref="E27" r:id="rId26" display="AU2065646519525" xr:uid="{00000000-0004-0000-0000-000019000000}"/>
    <hyperlink ref="E28" r:id="rId27" display="AU2065646519525" xr:uid="{00000000-0004-0000-0000-00001A000000}"/>
    <hyperlink ref="E29" r:id="rId28" display="AU2065646519525" xr:uid="{00000000-0004-0000-0000-00001B000000}"/>
    <hyperlink ref="E30" r:id="rId29" display="AU2065646519525" xr:uid="{00000000-0004-0000-0000-00001C000000}"/>
    <hyperlink ref="E31" r:id="rId30" display="AU2065646519525" xr:uid="{00000000-0004-0000-0000-00001D000000}"/>
    <hyperlink ref="E32" r:id="rId31" display="AU2065646519525" xr:uid="{00000000-0004-0000-0000-00001E000000}"/>
    <hyperlink ref="E33" r:id="rId32" display="AU2065646519525" xr:uid="{00000000-0004-0000-0000-00001F000000}"/>
    <hyperlink ref="E34" r:id="rId33" display="AU2065646519525" xr:uid="{00000000-0004-0000-0000-000020000000}"/>
    <hyperlink ref="E35" r:id="rId34" display="AU2065646519525" xr:uid="{00000000-0004-0000-0000-000021000000}"/>
    <hyperlink ref="E36" r:id="rId35" display="AU2065646519525" xr:uid="{00000000-0004-0000-0000-000022000000}"/>
    <hyperlink ref="E37" r:id="rId36" display="AU2065646519525" xr:uid="{00000000-0004-0000-0000-000023000000}"/>
    <hyperlink ref="E38" r:id="rId37" display="AU2065646519525" xr:uid="{00000000-0004-0000-0000-000024000000}"/>
    <hyperlink ref="E39" r:id="rId38" display="AU2065646519525" xr:uid="{00000000-0004-0000-0000-000025000000}"/>
    <hyperlink ref="E40" r:id="rId39" display="AU2065646519525" xr:uid="{00000000-0004-0000-0000-000026000000}"/>
    <hyperlink ref="E41" r:id="rId40" display="AU2065646519525" xr:uid="{00000000-0004-0000-0000-000027000000}"/>
    <hyperlink ref="E42" r:id="rId41" display="AU2065646519525" xr:uid="{00000000-0004-0000-0000-000028000000}"/>
    <hyperlink ref="E43" r:id="rId42" display="AU2065646519525" xr:uid="{00000000-0004-0000-0000-000029000000}"/>
    <hyperlink ref="E44" r:id="rId43" display="AU2065646519525" xr:uid="{00000000-0004-0000-0000-00002A000000}"/>
    <hyperlink ref="E45" r:id="rId44" display="AU2065646519525" xr:uid="{00000000-0004-0000-0000-00002B000000}"/>
    <hyperlink ref="E46" r:id="rId45" display="AU2065646519525" xr:uid="{00000000-0004-0000-0000-00002C000000}"/>
    <hyperlink ref="E47" r:id="rId46" display="AU2065646519525" xr:uid="{00000000-0004-0000-0000-00002D000000}"/>
    <hyperlink ref="E48" r:id="rId47" display="AU2065646519525" xr:uid="{00000000-0004-0000-0000-00002E000000}"/>
    <hyperlink ref="E49" r:id="rId48" display="AU2065646519525" xr:uid="{00000000-0004-0000-0000-00002F000000}"/>
    <hyperlink ref="E50" r:id="rId49" display="AU2065646519525" xr:uid="{00000000-0004-0000-0000-000030000000}"/>
    <hyperlink ref="E51" r:id="rId50" display="AU2065646519525" xr:uid="{00000000-0004-0000-0000-000031000000}"/>
    <hyperlink ref="E52" r:id="rId51" display="AU2065646519525" xr:uid="{00000000-0004-0000-0000-000032000000}"/>
    <hyperlink ref="E53" r:id="rId52" display="AU2065646519525" xr:uid="{00000000-0004-0000-0000-000033000000}"/>
    <hyperlink ref="E54" r:id="rId53" display="AU2065646519525" xr:uid="{00000000-0004-0000-0000-000034000000}"/>
    <hyperlink ref="E55" r:id="rId54" display="AU2065646519525" xr:uid="{00000000-0004-0000-0000-000035000000}"/>
    <hyperlink ref="E56" r:id="rId55" display="AU2065646519525" xr:uid="{00000000-0004-0000-0000-000036000000}"/>
    <hyperlink ref="E57" r:id="rId56" display="AU2065646519525" xr:uid="{00000000-0004-0000-0000-000037000000}"/>
    <hyperlink ref="E58" r:id="rId57" display="AU2065646519525" xr:uid="{00000000-0004-0000-0000-000038000000}"/>
    <hyperlink ref="E59" r:id="rId58" display="AU2065646519525" xr:uid="{00000000-0004-0000-0000-000039000000}"/>
    <hyperlink ref="E60" r:id="rId59" display="AU2065646519525" xr:uid="{00000000-0004-0000-0000-00003A000000}"/>
    <hyperlink ref="E61" r:id="rId60" display="AU2065646519525" xr:uid="{00000000-0004-0000-0000-00003B000000}"/>
    <hyperlink ref="E62" r:id="rId61" display="AU2065646519525" xr:uid="{00000000-0004-0000-0000-00003C000000}"/>
    <hyperlink ref="E63" r:id="rId62" display="AU2065646519525" xr:uid="{00000000-0004-0000-0000-00003D000000}"/>
    <hyperlink ref="E64" r:id="rId63" display="AU2065646519525" xr:uid="{00000000-0004-0000-0000-00003E000000}"/>
    <hyperlink ref="E65" r:id="rId64" display="AU2065646519525" xr:uid="{00000000-0004-0000-0000-00003F000000}"/>
    <hyperlink ref="E66" r:id="rId65" display="AU2065646519525" xr:uid="{00000000-0004-0000-0000-000040000000}"/>
    <hyperlink ref="E67" r:id="rId66" display="AU2065646519525" xr:uid="{00000000-0004-0000-0000-000041000000}"/>
    <hyperlink ref="E68" r:id="rId67" display="AU2065646519525" xr:uid="{00000000-0004-0000-0000-000042000000}"/>
    <hyperlink ref="E69" r:id="rId68" display="AU2065646519525" xr:uid="{00000000-0004-0000-0000-000043000000}"/>
    <hyperlink ref="E70" r:id="rId69" display="AU2065646519525" xr:uid="{00000000-0004-0000-0000-000044000000}"/>
    <hyperlink ref="E71" r:id="rId70" display="AU2065646519525" xr:uid="{00000000-0004-0000-0000-000045000000}"/>
    <hyperlink ref="E72" r:id="rId71" display="AU2065646519525" xr:uid="{00000000-0004-0000-0000-000046000000}"/>
    <hyperlink ref="E73" r:id="rId72" display="AU2065646519525" xr:uid="{00000000-0004-0000-0000-000047000000}"/>
    <hyperlink ref="E74" r:id="rId73" display="AU2065646519525" xr:uid="{00000000-0004-0000-0000-000048000000}"/>
    <hyperlink ref="E75" r:id="rId74" display="AU2065646519525" xr:uid="{00000000-0004-0000-0000-000049000000}"/>
    <hyperlink ref="E76" r:id="rId75" display="AU2065646519525" xr:uid="{00000000-0004-0000-0000-00004A000000}"/>
    <hyperlink ref="E77" r:id="rId76" display="AU2065646519525" xr:uid="{00000000-0004-0000-0000-00004B000000}"/>
    <hyperlink ref="E78" r:id="rId77" display="AU2065646519525" xr:uid="{00000000-0004-0000-0000-00004C000000}"/>
    <hyperlink ref="E79" r:id="rId78" display="AU2065646519525" xr:uid="{00000000-0004-0000-0000-00004D000000}"/>
    <hyperlink ref="E80" r:id="rId79" display="AU2065646519525" xr:uid="{00000000-0004-0000-0000-00004E000000}"/>
    <hyperlink ref="E81" r:id="rId80" display="AU2065646519525" xr:uid="{00000000-0004-0000-0000-00004F000000}"/>
    <hyperlink ref="E82" r:id="rId81" display="AU2065646519525" xr:uid="{00000000-0004-0000-0000-000050000000}"/>
    <hyperlink ref="E83" r:id="rId82" display="AU2065646519525" xr:uid="{00000000-0004-0000-0000-000051000000}"/>
    <hyperlink ref="E84" r:id="rId83" display="AU2065646519525" xr:uid="{00000000-0004-0000-0000-000052000000}"/>
    <hyperlink ref="E85" r:id="rId84" display="AU2065646519525" xr:uid="{00000000-0004-0000-0000-000053000000}"/>
    <hyperlink ref="E86" r:id="rId85" display="AU2065646519525" xr:uid="{00000000-0004-0000-0000-000054000000}"/>
    <hyperlink ref="E87" r:id="rId86" display="AU2065646519525" xr:uid="{00000000-0004-0000-0000-000055000000}"/>
    <hyperlink ref="E88" r:id="rId87" display="AU2065646519525" xr:uid="{00000000-0004-0000-0000-000056000000}"/>
    <hyperlink ref="E89" r:id="rId88" display="AU2065646519525" xr:uid="{00000000-0004-0000-0000-000057000000}"/>
    <hyperlink ref="E90" r:id="rId89" display="AU2065646519525" xr:uid="{00000000-0004-0000-0000-000058000000}"/>
    <hyperlink ref="E91" r:id="rId90" display="AU2065646519525" xr:uid="{00000000-0004-0000-0000-000059000000}"/>
    <hyperlink ref="E92" r:id="rId91" display="AU2065646519525" xr:uid="{00000000-0004-0000-0000-00005A000000}"/>
    <hyperlink ref="E93" r:id="rId92" display="AU2065646519525" xr:uid="{00000000-0004-0000-0000-00005B000000}"/>
    <hyperlink ref="E94" r:id="rId93" display="AU2065646519525" xr:uid="{00000000-0004-0000-0000-00005C000000}"/>
    <hyperlink ref="E95" r:id="rId94" display="AU2065646519525" xr:uid="{00000000-0004-0000-0000-00005D000000}"/>
    <hyperlink ref="E96" r:id="rId95" display="AU2065646519525" xr:uid="{00000000-0004-0000-0000-00005E000000}"/>
    <hyperlink ref="E97" r:id="rId96" display="AU2065646519525" xr:uid="{00000000-0004-0000-0000-00005F000000}"/>
    <hyperlink ref="E98" r:id="rId97" display="AU2065646519525" xr:uid="{00000000-0004-0000-0000-000060000000}"/>
    <hyperlink ref="E99" r:id="rId98" display="AU2065646519525" xr:uid="{00000000-0004-0000-0000-000061000000}"/>
    <hyperlink ref="E100" r:id="rId99" display="AU2065646519525" xr:uid="{00000000-0004-0000-0000-000062000000}"/>
    <hyperlink ref="E101" r:id="rId100" display="AU2065646519525" xr:uid="{00000000-0004-0000-0000-000063000000}"/>
    <hyperlink ref="E102" r:id="rId101" display="AU2065646519525" xr:uid="{00000000-0004-0000-0000-000064000000}"/>
    <hyperlink ref="E103" r:id="rId102" display="AU2065646519525" xr:uid="{00000000-0004-0000-0000-000065000000}"/>
    <hyperlink ref="E104" r:id="rId103" display="AU2065646519525" xr:uid="{00000000-0004-0000-0000-000066000000}"/>
    <hyperlink ref="E105" r:id="rId104" display="AU2065646519525" xr:uid="{00000000-0004-0000-0000-000067000000}"/>
    <hyperlink ref="E106" r:id="rId105" display="AU2065646519525" xr:uid="{00000000-0004-0000-0000-000068000000}"/>
    <hyperlink ref="E107" r:id="rId106" display="AU2065646519525" xr:uid="{00000000-0004-0000-0000-000069000000}"/>
    <hyperlink ref="E108" r:id="rId107" display="AU2065646519525" xr:uid="{00000000-0004-0000-0000-00006A000000}"/>
    <hyperlink ref="E109" r:id="rId108" display="AU2065646519525" xr:uid="{00000000-0004-0000-0000-00006B000000}"/>
    <hyperlink ref="E110" r:id="rId109" display="AU2065646519525" xr:uid="{00000000-0004-0000-0000-00006C000000}"/>
    <hyperlink ref="E111" r:id="rId110" display="AU2065646519525" xr:uid="{00000000-0004-0000-0000-00006D000000}"/>
    <hyperlink ref="E112" r:id="rId111" display="AU2065646519525" xr:uid="{00000000-0004-0000-0000-00006E000000}"/>
    <hyperlink ref="E113" r:id="rId112" display="AU2065646519525" xr:uid="{00000000-0004-0000-0000-00006F000000}"/>
    <hyperlink ref="E114" r:id="rId113" display="AU2065646519525" xr:uid="{00000000-0004-0000-0000-000070000000}"/>
    <hyperlink ref="E115" r:id="rId114" display="AU2065646519525" xr:uid="{00000000-0004-0000-0000-000071000000}"/>
    <hyperlink ref="E116" r:id="rId115" display="AU2065646519525" xr:uid="{00000000-0004-0000-0000-000072000000}"/>
    <hyperlink ref="E117" r:id="rId116" display="AU2065646519525" xr:uid="{00000000-0004-0000-0000-000073000000}"/>
    <hyperlink ref="E118" r:id="rId117" display="AU2065646519525" xr:uid="{00000000-0004-0000-0000-000074000000}"/>
    <hyperlink ref="E119" r:id="rId118" display="AU2065646519525" xr:uid="{00000000-0004-0000-0000-000075000000}"/>
    <hyperlink ref="E120" r:id="rId119" display="AU2065646519525" xr:uid="{00000000-0004-0000-0000-000076000000}"/>
    <hyperlink ref="E121" r:id="rId120" display="AU2065646519525" xr:uid="{00000000-0004-0000-0000-000077000000}"/>
    <hyperlink ref="E122" r:id="rId121" display="AU2065646519525" xr:uid="{00000000-0004-0000-0000-000078000000}"/>
    <hyperlink ref="E123" r:id="rId122" display="AU2065646519525" xr:uid="{00000000-0004-0000-0000-000079000000}"/>
    <hyperlink ref="E124" r:id="rId123" display="AU2065646519525" xr:uid="{00000000-0004-0000-0000-00007A000000}"/>
    <hyperlink ref="E125" r:id="rId124" display="AU2065646519525" xr:uid="{00000000-0004-0000-0000-00007B000000}"/>
    <hyperlink ref="E126" r:id="rId125" display="AU2065646519525" xr:uid="{00000000-0004-0000-0000-00007C000000}"/>
    <hyperlink ref="E127" r:id="rId126" display="AU2065646519525" xr:uid="{00000000-0004-0000-0000-00007D000000}"/>
    <hyperlink ref="E128" r:id="rId127" display="AU2065646519525" xr:uid="{00000000-0004-0000-0000-00007E000000}"/>
    <hyperlink ref="E129" r:id="rId128" display="AU2065646519525" xr:uid="{00000000-0004-0000-0000-00007F000000}"/>
    <hyperlink ref="E130" r:id="rId129" display="AU2065646519525" xr:uid="{00000000-0004-0000-0000-000080000000}"/>
    <hyperlink ref="E131" r:id="rId130" display="AU2065646519525" xr:uid="{00000000-0004-0000-0000-000081000000}"/>
    <hyperlink ref="E132" r:id="rId131" display="AU2065646519525" xr:uid="{00000000-0004-0000-0000-000082000000}"/>
    <hyperlink ref="E133" r:id="rId132" display="AU2065646519525" xr:uid="{00000000-0004-0000-0000-000083000000}"/>
    <hyperlink ref="E134" r:id="rId133" display="AU2065646519525" xr:uid="{00000000-0004-0000-0000-000084000000}"/>
    <hyperlink ref="E135" r:id="rId134" display="AU2065646519525" xr:uid="{00000000-0004-0000-0000-000085000000}"/>
    <hyperlink ref="E136" r:id="rId135" display="AU2065646519525" xr:uid="{00000000-0004-0000-0000-000086000000}"/>
    <hyperlink ref="E137" r:id="rId136" display="AU2065646519525" xr:uid="{00000000-0004-0000-0000-000087000000}"/>
    <hyperlink ref="E138" r:id="rId137" display="AU2065646519525" xr:uid="{00000000-0004-0000-0000-000088000000}"/>
    <hyperlink ref="E139" r:id="rId138" display="AU2065646519525" xr:uid="{00000000-0004-0000-0000-000089000000}"/>
    <hyperlink ref="E140" r:id="rId139" display="AU2065646519525" xr:uid="{00000000-0004-0000-0000-00008A000000}"/>
    <hyperlink ref="E141" r:id="rId140" display="AU2065646519525" xr:uid="{00000000-0004-0000-0000-00008B000000}"/>
    <hyperlink ref="E142" r:id="rId141" display="AU2065646519525" xr:uid="{00000000-0004-0000-0000-00008C000000}"/>
    <hyperlink ref="E143" r:id="rId142" display="AU2065646519525" xr:uid="{00000000-0004-0000-0000-00008D000000}"/>
    <hyperlink ref="E144" r:id="rId143" display="AU2065646519525" xr:uid="{00000000-0004-0000-0000-00008E000000}"/>
    <hyperlink ref="E145" r:id="rId144" display="AU2065646519525" xr:uid="{00000000-0004-0000-0000-00008F000000}"/>
    <hyperlink ref="E146" r:id="rId145" display="AU2065646519525" xr:uid="{00000000-0004-0000-0000-000090000000}"/>
    <hyperlink ref="E147" r:id="rId146" display="AU2065646519525" xr:uid="{00000000-0004-0000-0000-000091000000}"/>
    <hyperlink ref="E148" r:id="rId147" display="AU2065646519525" xr:uid="{00000000-0004-0000-0000-000092000000}"/>
    <hyperlink ref="E149" r:id="rId148" display="AU2065646519525" xr:uid="{00000000-0004-0000-0000-000093000000}"/>
    <hyperlink ref="E150" r:id="rId149" display="AU2065646519525" xr:uid="{00000000-0004-0000-0000-000094000000}"/>
    <hyperlink ref="E151" r:id="rId150" display="AU2065646519525" xr:uid="{00000000-0004-0000-0000-000095000000}"/>
    <hyperlink ref="E152" r:id="rId151" display="AU2065646519525" xr:uid="{00000000-0004-0000-0000-000096000000}"/>
    <hyperlink ref="E153" r:id="rId152" display="AU2065646519525" xr:uid="{00000000-0004-0000-0000-000097000000}"/>
    <hyperlink ref="E154" r:id="rId153" display="AU2065646519525" xr:uid="{00000000-0004-0000-0000-000098000000}"/>
    <hyperlink ref="E155" r:id="rId154" display="AU2065646519525" xr:uid="{00000000-0004-0000-0000-000099000000}"/>
    <hyperlink ref="E156" r:id="rId155" display="AU2065646519525" xr:uid="{00000000-0004-0000-0000-00009A000000}"/>
    <hyperlink ref="E157" r:id="rId156" display="AU2065646519525" xr:uid="{00000000-0004-0000-0000-00009B000000}"/>
    <hyperlink ref="E158" r:id="rId157" display="AU2065646519525" xr:uid="{00000000-0004-0000-0000-00009C000000}"/>
    <hyperlink ref="E159" r:id="rId158" display="AU2065646519525" xr:uid="{00000000-0004-0000-0000-00009D000000}"/>
    <hyperlink ref="E160" r:id="rId159" display="AU2065646519525" xr:uid="{00000000-0004-0000-0000-00009E000000}"/>
    <hyperlink ref="E161" r:id="rId160" display="AU2065646519525" xr:uid="{00000000-0004-0000-0000-00009F000000}"/>
    <hyperlink ref="E162" r:id="rId161" display="AU2065646519525" xr:uid="{00000000-0004-0000-0000-0000A0000000}"/>
    <hyperlink ref="E163" r:id="rId162" display="AU2065646519525" xr:uid="{00000000-0004-0000-0000-0000A1000000}"/>
    <hyperlink ref="E164" r:id="rId163" display="AU2065646519525" xr:uid="{00000000-0004-0000-0000-0000A2000000}"/>
    <hyperlink ref="E165" r:id="rId164" display="AU2065646519525" xr:uid="{00000000-0004-0000-0000-0000A3000000}"/>
    <hyperlink ref="E166" r:id="rId165" display="AU2065646519525" xr:uid="{00000000-0004-0000-0000-0000A4000000}"/>
    <hyperlink ref="E167" r:id="rId166" display="AU2065646519525" xr:uid="{00000000-0004-0000-0000-0000A5000000}"/>
    <hyperlink ref="E168" r:id="rId167" display="AU2065646519525" xr:uid="{00000000-0004-0000-0000-0000A6000000}"/>
    <hyperlink ref="E169" r:id="rId168" display="AU2065646519525" xr:uid="{00000000-0004-0000-0000-0000A7000000}"/>
    <hyperlink ref="E170" r:id="rId169" display="AU2065646519525" xr:uid="{00000000-0004-0000-0000-0000A8000000}"/>
    <hyperlink ref="E171" r:id="rId170" display="AU2065646519525" xr:uid="{00000000-0004-0000-0000-0000A9000000}"/>
    <hyperlink ref="E172" r:id="rId171" display="AU2065646519525" xr:uid="{00000000-0004-0000-0000-0000AA000000}"/>
    <hyperlink ref="E173" r:id="rId172" display="AU2065646519525" xr:uid="{00000000-0004-0000-0000-0000AB000000}"/>
    <hyperlink ref="E174" r:id="rId173" display="AU2065646519525" xr:uid="{00000000-0004-0000-0000-0000AC000000}"/>
    <hyperlink ref="E175" r:id="rId174" display="AU2065646519525" xr:uid="{00000000-0004-0000-0000-0000AD000000}"/>
    <hyperlink ref="E176" r:id="rId175" display="AU2065646519525" xr:uid="{00000000-0004-0000-0000-0000AE000000}"/>
    <hyperlink ref="E177" r:id="rId176" display="AU2065646519525" xr:uid="{00000000-0004-0000-0000-0000AF000000}"/>
    <hyperlink ref="E178" r:id="rId177" display="AU2065646519525" xr:uid="{00000000-0004-0000-0000-0000B0000000}"/>
    <hyperlink ref="E179" r:id="rId178" display="AU2065646519525" xr:uid="{00000000-0004-0000-0000-0000B1000000}"/>
    <hyperlink ref="E180" r:id="rId179" display="AU2065646519525" xr:uid="{00000000-0004-0000-0000-0000B2000000}"/>
    <hyperlink ref="E181" r:id="rId180" display="AU2065646519525" xr:uid="{00000000-0004-0000-0000-0000B3000000}"/>
    <hyperlink ref="E182" r:id="rId181" display="AU2065646519525" xr:uid="{00000000-0004-0000-0000-0000B4000000}"/>
    <hyperlink ref="E183" r:id="rId182" display="AU2065646519525" xr:uid="{00000000-0004-0000-0000-0000B5000000}"/>
    <hyperlink ref="E184" r:id="rId183" display="AU2065646519525" xr:uid="{00000000-0004-0000-0000-0000B6000000}"/>
    <hyperlink ref="E185" r:id="rId184" display="AU2065646519525" xr:uid="{00000000-0004-0000-0000-0000B7000000}"/>
    <hyperlink ref="E186" r:id="rId185" display="AU2065646519525" xr:uid="{00000000-0004-0000-0000-0000B8000000}"/>
    <hyperlink ref="E187" r:id="rId186" display="AU2065646519525" xr:uid="{00000000-0004-0000-0000-0000B9000000}"/>
    <hyperlink ref="E188" r:id="rId187" display="AU2065646519525" xr:uid="{00000000-0004-0000-0000-0000BA000000}"/>
    <hyperlink ref="E189" r:id="rId188" display="AU2065646519525" xr:uid="{00000000-0004-0000-0000-0000BB000000}"/>
    <hyperlink ref="E190" r:id="rId189" display="AU2065646519525" xr:uid="{00000000-0004-0000-0000-0000BC000000}"/>
    <hyperlink ref="E191" r:id="rId190" display="AU2065646519525" xr:uid="{00000000-0004-0000-0000-0000BD000000}"/>
    <hyperlink ref="E192" r:id="rId191" display="AU2065646519525" xr:uid="{00000000-0004-0000-0000-0000BE000000}"/>
    <hyperlink ref="E193" r:id="rId192" display="AU2065646519525" xr:uid="{00000000-0004-0000-0000-0000BF000000}"/>
    <hyperlink ref="E194" r:id="rId193" display="AU2065646519525" xr:uid="{00000000-0004-0000-0000-0000C0000000}"/>
    <hyperlink ref="E195" r:id="rId194" display="AU2065646519525" xr:uid="{00000000-0004-0000-0000-0000C1000000}"/>
    <hyperlink ref="E196" r:id="rId195" display="AU2065646519525" xr:uid="{00000000-0004-0000-0000-0000C2000000}"/>
    <hyperlink ref="E197" r:id="rId196" display="AU2065646519525" xr:uid="{00000000-0004-0000-0000-0000C3000000}"/>
    <hyperlink ref="E198" r:id="rId197" display="AU2065646519525" xr:uid="{00000000-0004-0000-0000-0000C4000000}"/>
    <hyperlink ref="E199" r:id="rId198" display="AU2065646519525" xr:uid="{00000000-0004-0000-0000-0000C5000000}"/>
    <hyperlink ref="E200" r:id="rId199" display="AU2065646519525" xr:uid="{00000000-0004-0000-0000-0000C6000000}"/>
    <hyperlink ref="E201" r:id="rId200" display="AU2065646519525" xr:uid="{00000000-0004-0000-0000-0000C7000000}"/>
    <hyperlink ref="E202" r:id="rId201" display="AU2065646519525" xr:uid="{00000000-0004-0000-0000-0000C8000000}"/>
    <hyperlink ref="E203" r:id="rId202" display="AU2065646519525" xr:uid="{00000000-0004-0000-0000-0000C9000000}"/>
    <hyperlink ref="E204" r:id="rId203" display="AU2065646519525" xr:uid="{00000000-0004-0000-0000-0000CA000000}"/>
    <hyperlink ref="E205" r:id="rId204" display="AU2065646519525" xr:uid="{00000000-0004-0000-0000-0000CB000000}"/>
    <hyperlink ref="E206" r:id="rId205" display="AU2065646519525" xr:uid="{00000000-0004-0000-0000-0000CC000000}"/>
    <hyperlink ref="E207" r:id="rId206" display="AU2065646519525" xr:uid="{00000000-0004-0000-0000-0000CD000000}"/>
    <hyperlink ref="E208" r:id="rId207" display="AU2065646519525" xr:uid="{00000000-0004-0000-0000-0000CE000000}"/>
    <hyperlink ref="E209" r:id="rId208" display="AU2065646519525" xr:uid="{00000000-0004-0000-0000-0000CF000000}"/>
    <hyperlink ref="E210" r:id="rId209" display="AU2065646519525" xr:uid="{00000000-0004-0000-0000-0000D0000000}"/>
    <hyperlink ref="E211" r:id="rId210" display="AU2065646519525" xr:uid="{00000000-0004-0000-0000-0000D1000000}"/>
    <hyperlink ref="E212" r:id="rId211" display="AU2065646519525" xr:uid="{00000000-0004-0000-0000-0000D2000000}"/>
    <hyperlink ref="E213" r:id="rId212" display="AU2065646519525" xr:uid="{00000000-0004-0000-0000-0000D3000000}"/>
    <hyperlink ref="E214" r:id="rId213" display="AU2065646519525" xr:uid="{00000000-0004-0000-0000-0000D4000000}"/>
    <hyperlink ref="E215" r:id="rId214" display="AU2065646519525" xr:uid="{00000000-0004-0000-0000-0000D5000000}"/>
    <hyperlink ref="E216" r:id="rId215" display="AU2065646519525" xr:uid="{00000000-0004-0000-0000-0000D6000000}"/>
    <hyperlink ref="E217" r:id="rId216" display="AU2065646519525" xr:uid="{00000000-0004-0000-0000-0000D7000000}"/>
    <hyperlink ref="E218" r:id="rId217" display="AU2065646519525" xr:uid="{00000000-0004-0000-0000-0000D8000000}"/>
    <hyperlink ref="E219" r:id="rId218" display="AU2065646519525" xr:uid="{00000000-0004-0000-0000-0000D9000000}"/>
    <hyperlink ref="E220" r:id="rId219" display="AU2065646519525" xr:uid="{00000000-0004-0000-0000-0000DA000000}"/>
    <hyperlink ref="E221" r:id="rId220" display="AU2065646519525" xr:uid="{00000000-0004-0000-0000-0000DB000000}"/>
    <hyperlink ref="E222" r:id="rId221" display="AU2065646519525" xr:uid="{00000000-0004-0000-0000-0000DC000000}"/>
    <hyperlink ref="E223" r:id="rId222" display="AU2065646519525" xr:uid="{00000000-0004-0000-0000-0000DD000000}"/>
    <hyperlink ref="E224" r:id="rId223" display="AU2065646519525" xr:uid="{00000000-0004-0000-0000-0000DE000000}"/>
    <hyperlink ref="E225" r:id="rId224" display="AU2065646519525" xr:uid="{00000000-0004-0000-0000-0000DF000000}"/>
    <hyperlink ref="E226" r:id="rId225" display="AU2065646519525" xr:uid="{00000000-0004-0000-0000-0000E0000000}"/>
    <hyperlink ref="E227" r:id="rId226" display="AU2065646519525" xr:uid="{00000000-0004-0000-0000-0000E1000000}"/>
    <hyperlink ref="E228" r:id="rId227" display="AU2065646519525" xr:uid="{00000000-0004-0000-0000-0000E2000000}"/>
    <hyperlink ref="E229" r:id="rId228" display="AU2065646519525" xr:uid="{00000000-0004-0000-0000-0000E3000000}"/>
    <hyperlink ref="E230" r:id="rId229" display="AU2065646519525" xr:uid="{00000000-0004-0000-0000-0000E4000000}"/>
    <hyperlink ref="E231" r:id="rId230" display="AU2065646519525" xr:uid="{00000000-0004-0000-0000-0000E5000000}"/>
    <hyperlink ref="E232" r:id="rId231" display="AU2065646519525" xr:uid="{00000000-0004-0000-0000-0000E6000000}"/>
    <hyperlink ref="E233" r:id="rId232" display="AU2065646519525" xr:uid="{00000000-0004-0000-0000-0000E7000000}"/>
    <hyperlink ref="E234" r:id="rId233" display="AU2065646519525" xr:uid="{00000000-0004-0000-0000-0000E8000000}"/>
    <hyperlink ref="E235" r:id="rId234" display="AU2065646519525" xr:uid="{00000000-0004-0000-0000-0000E9000000}"/>
    <hyperlink ref="E236" r:id="rId235" display="AU2065646519525" xr:uid="{00000000-0004-0000-0000-0000EA000000}"/>
    <hyperlink ref="E237" r:id="rId236" display="AU2065646519525" xr:uid="{00000000-0004-0000-0000-0000EB000000}"/>
    <hyperlink ref="E238" r:id="rId237" display="AU2065646519525" xr:uid="{00000000-0004-0000-0000-0000EC000000}"/>
    <hyperlink ref="E239" r:id="rId238" display="AU2065646519525" xr:uid="{00000000-0004-0000-0000-0000ED000000}"/>
    <hyperlink ref="E240" r:id="rId239" display="AU2065646519525" xr:uid="{00000000-0004-0000-0000-0000EE000000}"/>
    <hyperlink ref="E241" r:id="rId240" display="AU2065646519525" xr:uid="{00000000-0004-0000-0000-0000EF000000}"/>
    <hyperlink ref="E242" r:id="rId241" display="AU2065646519525" xr:uid="{00000000-0004-0000-0000-0000F0000000}"/>
    <hyperlink ref="E243" r:id="rId242" display="AU2065646519525" xr:uid="{00000000-0004-0000-0000-0000F1000000}"/>
    <hyperlink ref="E244" r:id="rId243" display="AU2065646519525" xr:uid="{00000000-0004-0000-0000-0000F2000000}"/>
    <hyperlink ref="E245" r:id="rId244" display="AU2065646519525" xr:uid="{00000000-0004-0000-0000-0000F3000000}"/>
    <hyperlink ref="E246" r:id="rId245" display="AU2065646519525" xr:uid="{00000000-0004-0000-0000-0000F4000000}"/>
    <hyperlink ref="E247" r:id="rId246" display="AU2065646519525" xr:uid="{00000000-0004-0000-0000-0000F5000000}"/>
    <hyperlink ref="E248" r:id="rId247" display="AU2065646519525" xr:uid="{00000000-0004-0000-0000-0000F6000000}"/>
    <hyperlink ref="E249" r:id="rId248" display="AU2065646519525" xr:uid="{00000000-0004-0000-0000-0000F7000000}"/>
    <hyperlink ref="E250" r:id="rId249" display="AU2065646519525" xr:uid="{00000000-0004-0000-0000-0000F8000000}"/>
    <hyperlink ref="E251" r:id="rId250" display="AU2065646519525" xr:uid="{00000000-0004-0000-0000-0000F9000000}"/>
    <hyperlink ref="E252" r:id="rId251" display="AU2065646519525" xr:uid="{00000000-0004-0000-0000-0000FA000000}"/>
    <hyperlink ref="E253" r:id="rId252" display="AU2065646519525" xr:uid="{00000000-0004-0000-0000-0000FB000000}"/>
    <hyperlink ref="E254" r:id="rId253" display="AU2065646519525" xr:uid="{00000000-0004-0000-0000-0000FC000000}"/>
    <hyperlink ref="E255" r:id="rId254" display="AU2065646519525" xr:uid="{00000000-0004-0000-0000-0000FD000000}"/>
    <hyperlink ref="E256" r:id="rId255" display="AU2065646519525" xr:uid="{00000000-0004-0000-0000-0000FE000000}"/>
    <hyperlink ref="E257" r:id="rId256" display="AU2065646519525" xr:uid="{00000000-0004-0000-0000-0000FF000000}"/>
    <hyperlink ref="E258" r:id="rId257" display="AU2065646519525" xr:uid="{00000000-0004-0000-0000-000000010000}"/>
    <hyperlink ref="E259" r:id="rId258" display="AU2065646519525" xr:uid="{00000000-0004-0000-0000-000001010000}"/>
    <hyperlink ref="E260" r:id="rId259" display="AU2065646519525" xr:uid="{00000000-0004-0000-0000-000002010000}"/>
    <hyperlink ref="E261" r:id="rId260" display="AU2065646519525" xr:uid="{00000000-0004-0000-0000-000003010000}"/>
    <hyperlink ref="E262" r:id="rId261" display="AU2065646519525" xr:uid="{00000000-0004-0000-0000-000004010000}"/>
    <hyperlink ref="E263" r:id="rId262" display="AU2065646519525" xr:uid="{00000000-0004-0000-0000-000005010000}"/>
    <hyperlink ref="E264" r:id="rId263" display="AU2065646519525" xr:uid="{00000000-0004-0000-0000-000006010000}"/>
    <hyperlink ref="E265" r:id="rId264" display="AU2065646519525" xr:uid="{00000000-0004-0000-0000-000007010000}"/>
    <hyperlink ref="E266" r:id="rId265" display="AU2065646519525" xr:uid="{00000000-0004-0000-0000-000008010000}"/>
    <hyperlink ref="E267" r:id="rId266" display="AU2065646519525" xr:uid="{00000000-0004-0000-0000-000009010000}"/>
    <hyperlink ref="E268" r:id="rId267" display="AU2065646519525" xr:uid="{00000000-0004-0000-0000-00000A010000}"/>
    <hyperlink ref="E269" r:id="rId268" display="AU2065646519525" xr:uid="{00000000-0004-0000-0000-00000B010000}"/>
    <hyperlink ref="E270" r:id="rId269" display="AU2065646519525" xr:uid="{00000000-0004-0000-0000-00000C010000}"/>
    <hyperlink ref="E271" r:id="rId270" display="AU2065646519525" xr:uid="{00000000-0004-0000-0000-00000D010000}"/>
    <hyperlink ref="E272" r:id="rId271" display="AU2065646519525" xr:uid="{00000000-0004-0000-0000-00000E010000}"/>
    <hyperlink ref="E273" r:id="rId272" display="AU2065646519525" xr:uid="{00000000-0004-0000-0000-00000F010000}"/>
    <hyperlink ref="E274" r:id="rId273" display="AU2065646519525" xr:uid="{00000000-0004-0000-0000-000010010000}"/>
    <hyperlink ref="E275" r:id="rId274" display="AU2065646519525" xr:uid="{00000000-0004-0000-0000-000011010000}"/>
    <hyperlink ref="E276" r:id="rId275" display="AU2065646519525" xr:uid="{00000000-0004-0000-0000-000012010000}"/>
    <hyperlink ref="E277" r:id="rId276" display="AU2065646519525" xr:uid="{00000000-0004-0000-0000-000013010000}"/>
    <hyperlink ref="E278" r:id="rId277" display="AU2065646519525" xr:uid="{00000000-0004-0000-0000-000014010000}"/>
    <hyperlink ref="E279" r:id="rId278" display="AU2065646519525" xr:uid="{00000000-0004-0000-0000-000015010000}"/>
    <hyperlink ref="E280" r:id="rId279" display="AU2065646519525" xr:uid="{00000000-0004-0000-0000-000016010000}"/>
    <hyperlink ref="E281" r:id="rId280" display="AU2065646519525" xr:uid="{00000000-0004-0000-0000-000017010000}"/>
    <hyperlink ref="E282" r:id="rId281" display="AU2065646519525" xr:uid="{00000000-0004-0000-0000-000018010000}"/>
    <hyperlink ref="E283" r:id="rId282" display="AU2065646519525" xr:uid="{00000000-0004-0000-0000-000019010000}"/>
    <hyperlink ref="E284" r:id="rId283" display="AU2065646519525" xr:uid="{00000000-0004-0000-0000-00001A010000}"/>
    <hyperlink ref="E285" r:id="rId284" display="AU2065646519525" xr:uid="{00000000-0004-0000-0000-00001B010000}"/>
    <hyperlink ref="E286" r:id="rId285" display="AU2065646519525" xr:uid="{00000000-0004-0000-0000-00001C010000}"/>
    <hyperlink ref="E287" r:id="rId286" display="AU2065646519525" xr:uid="{00000000-0004-0000-0000-00001D010000}"/>
    <hyperlink ref="E288" r:id="rId287" display="AU2065646519525" xr:uid="{00000000-0004-0000-0000-00001E010000}"/>
    <hyperlink ref="E289" r:id="rId288" display="AU2065646519525" xr:uid="{00000000-0004-0000-0000-00001F010000}"/>
    <hyperlink ref="E290" r:id="rId289" display="AU2065646519525" xr:uid="{00000000-0004-0000-0000-000020010000}"/>
    <hyperlink ref="E291" r:id="rId290" display="AU2065646519525" xr:uid="{00000000-0004-0000-0000-000021010000}"/>
    <hyperlink ref="E292" r:id="rId291" display="AU2065646519525" xr:uid="{00000000-0004-0000-0000-000022010000}"/>
    <hyperlink ref="E293" r:id="rId292" display="AU2065646519525" xr:uid="{00000000-0004-0000-0000-000023010000}"/>
    <hyperlink ref="E294" r:id="rId293" display="AU2065646519525" xr:uid="{00000000-0004-0000-0000-000024010000}"/>
    <hyperlink ref="E295" r:id="rId294" display="AU2065646519525" xr:uid="{00000000-0004-0000-0000-000025010000}"/>
    <hyperlink ref="E296" r:id="rId295" display="AU2065646519525" xr:uid="{00000000-0004-0000-0000-000026010000}"/>
    <hyperlink ref="E297" r:id="rId296" display="AU2065646519525" xr:uid="{00000000-0004-0000-0000-000027010000}"/>
    <hyperlink ref="E298" r:id="rId297" display="AU2065646519525" xr:uid="{00000000-0004-0000-0000-000028010000}"/>
    <hyperlink ref="E299" r:id="rId298" display="AU2065646519525" xr:uid="{00000000-0004-0000-0000-000029010000}"/>
    <hyperlink ref="E300" r:id="rId299" display="AU2065646519525" xr:uid="{00000000-0004-0000-0000-00002A010000}"/>
    <hyperlink ref="E301" r:id="rId300" display="AU2065646519525" xr:uid="{00000000-0004-0000-0000-00002B010000}"/>
    <hyperlink ref="E302" r:id="rId301" display="AU2065646519525" xr:uid="{00000000-0004-0000-0000-00002C010000}"/>
    <hyperlink ref="E303" r:id="rId302" display="AU2065646519525" xr:uid="{00000000-0004-0000-0000-00002D010000}"/>
    <hyperlink ref="E304" r:id="rId303" display="AU2065646519525" xr:uid="{00000000-0004-0000-0000-00002E010000}"/>
    <hyperlink ref="E305" r:id="rId304" display="AU2065646519525" xr:uid="{00000000-0004-0000-0000-00002F010000}"/>
    <hyperlink ref="E306" r:id="rId305" display="AU2065646519525" xr:uid="{00000000-0004-0000-0000-000030010000}"/>
    <hyperlink ref="E307" r:id="rId306" display="AU2065646519525" xr:uid="{00000000-0004-0000-0000-000031010000}"/>
    <hyperlink ref="E308" r:id="rId307" display="AU2065646519525" xr:uid="{00000000-0004-0000-0000-000032010000}"/>
    <hyperlink ref="E309" r:id="rId308" display="AU2065646519525" xr:uid="{00000000-0004-0000-0000-000033010000}"/>
    <hyperlink ref="E310" r:id="rId309" display="AU2065646519525" xr:uid="{00000000-0004-0000-0000-000034010000}"/>
    <hyperlink ref="E311" r:id="rId310" display="AU2065646519525" xr:uid="{00000000-0004-0000-0000-000035010000}"/>
    <hyperlink ref="E312" r:id="rId311" display="AU2065646519525" xr:uid="{00000000-0004-0000-0000-000036010000}"/>
    <hyperlink ref="E313" r:id="rId312" display="AU2065646519525" xr:uid="{00000000-0004-0000-0000-000037010000}"/>
    <hyperlink ref="E314" r:id="rId313" display="AU2065646519525" xr:uid="{00000000-0004-0000-0000-000038010000}"/>
    <hyperlink ref="E315" r:id="rId314" display="AU2065646519525" xr:uid="{00000000-0004-0000-0000-000039010000}"/>
    <hyperlink ref="E316" r:id="rId315" display="AU2065646519525" xr:uid="{00000000-0004-0000-0000-00003A010000}"/>
    <hyperlink ref="E317" r:id="rId316" display="AU2065646519525" xr:uid="{00000000-0004-0000-0000-00003B010000}"/>
    <hyperlink ref="E318" r:id="rId317" display="AU2065646519525" xr:uid="{00000000-0004-0000-0000-00003C010000}"/>
    <hyperlink ref="E319" r:id="rId318" display="AU2065646519525" xr:uid="{00000000-0004-0000-0000-00003D010000}"/>
    <hyperlink ref="E320" r:id="rId319" display="AU2065646519525" xr:uid="{00000000-0004-0000-0000-00003E010000}"/>
    <hyperlink ref="E321" r:id="rId320" display="AU2065646519525" xr:uid="{00000000-0004-0000-0000-00003F010000}"/>
    <hyperlink ref="E322" r:id="rId321" display="AU2065646519525" xr:uid="{00000000-0004-0000-0000-000040010000}"/>
    <hyperlink ref="E323" r:id="rId322" display="AU2065646519525" xr:uid="{00000000-0004-0000-0000-000041010000}"/>
    <hyperlink ref="E324" r:id="rId323" display="AU2065646519525" xr:uid="{00000000-0004-0000-0000-000042010000}"/>
    <hyperlink ref="E325" r:id="rId324" display="AU2065646519525" xr:uid="{00000000-0004-0000-0000-000043010000}"/>
    <hyperlink ref="E326" r:id="rId325" display="AU2065646519525" xr:uid="{00000000-0004-0000-0000-000044010000}"/>
    <hyperlink ref="E327" r:id="rId326" display="AU2065646519525" xr:uid="{00000000-0004-0000-0000-000045010000}"/>
    <hyperlink ref="E328" r:id="rId327" display="AU2065646519525" xr:uid="{00000000-0004-0000-0000-000046010000}"/>
    <hyperlink ref="E329" r:id="rId328" display="AU2065646519525" xr:uid="{00000000-0004-0000-0000-000047010000}"/>
    <hyperlink ref="E330" r:id="rId329" display="AU2065646519525" xr:uid="{00000000-0004-0000-0000-000048010000}"/>
    <hyperlink ref="E331" r:id="rId330" display="AU2065646519525" xr:uid="{00000000-0004-0000-0000-000049010000}"/>
    <hyperlink ref="E332" r:id="rId331" display="AU2065646519525" xr:uid="{00000000-0004-0000-0000-00004A010000}"/>
    <hyperlink ref="E333" r:id="rId332" display="AU2065646519525" xr:uid="{00000000-0004-0000-0000-00004B010000}"/>
    <hyperlink ref="E334" r:id="rId333" display="AU2065646519525" xr:uid="{00000000-0004-0000-0000-00004C010000}"/>
    <hyperlink ref="E335" r:id="rId334" display="AU2065646519525" xr:uid="{00000000-0004-0000-0000-00004D010000}"/>
    <hyperlink ref="E336" r:id="rId335" display="AU2065646519525" xr:uid="{00000000-0004-0000-0000-00004E010000}"/>
    <hyperlink ref="E337" r:id="rId336" display="AU2065646519525" xr:uid="{00000000-0004-0000-0000-00004F010000}"/>
    <hyperlink ref="E338" r:id="rId337" display="AU2065646519525" xr:uid="{00000000-0004-0000-0000-000050010000}"/>
    <hyperlink ref="E339" r:id="rId338" display="AU2065646519525" xr:uid="{00000000-0004-0000-0000-000051010000}"/>
    <hyperlink ref="E340" r:id="rId339" display="AU2065646519525" xr:uid="{00000000-0004-0000-0000-000052010000}"/>
    <hyperlink ref="E341" r:id="rId340" display="AU2065646519525" xr:uid="{00000000-0004-0000-0000-000053010000}"/>
    <hyperlink ref="E342" r:id="rId341" display="AU2065646519525" xr:uid="{00000000-0004-0000-0000-000054010000}"/>
    <hyperlink ref="E343" r:id="rId342" display="AU2065646519525" xr:uid="{00000000-0004-0000-0000-000055010000}"/>
    <hyperlink ref="E344" r:id="rId343" display="AU2065646519525" xr:uid="{00000000-0004-0000-0000-000056010000}"/>
    <hyperlink ref="E345" r:id="rId344" display="AU2065646519525" xr:uid="{00000000-0004-0000-0000-000057010000}"/>
    <hyperlink ref="E346" r:id="rId345" display="AU2065646519525" xr:uid="{00000000-0004-0000-0000-000058010000}"/>
    <hyperlink ref="E347" r:id="rId346" display="AU2065646519525" xr:uid="{00000000-0004-0000-0000-000059010000}"/>
    <hyperlink ref="E348" r:id="rId347" display="AU2065646519525" xr:uid="{00000000-0004-0000-0000-00005A010000}"/>
    <hyperlink ref="E349" r:id="rId348" display="AU2065646519525" xr:uid="{00000000-0004-0000-0000-00005B010000}"/>
    <hyperlink ref="E350" r:id="rId349" display="AU2065646519525" xr:uid="{00000000-0004-0000-0000-00005C010000}"/>
    <hyperlink ref="E351" r:id="rId350" display="AU2065646519525" xr:uid="{00000000-0004-0000-0000-00005D010000}"/>
    <hyperlink ref="E352" r:id="rId351" display="AU2065646519525" xr:uid="{00000000-0004-0000-0000-00005E010000}"/>
    <hyperlink ref="E353" r:id="rId352" display="AU2065646519525" xr:uid="{00000000-0004-0000-0000-00005F010000}"/>
    <hyperlink ref="E354" r:id="rId353" display="AU2065646519525" xr:uid="{00000000-0004-0000-0000-000060010000}"/>
    <hyperlink ref="E355" r:id="rId354" display="AU2065646519525" xr:uid="{00000000-0004-0000-0000-000061010000}"/>
    <hyperlink ref="E356" r:id="rId355" display="AU2065646519525" xr:uid="{00000000-0004-0000-0000-000062010000}"/>
    <hyperlink ref="E357" r:id="rId356" display="AU2065646519525" xr:uid="{00000000-0004-0000-0000-000063010000}"/>
    <hyperlink ref="E358" r:id="rId357" display="AU2065646519525" xr:uid="{00000000-0004-0000-0000-000064010000}"/>
    <hyperlink ref="E359" r:id="rId358" display="AU2065646519525" xr:uid="{00000000-0004-0000-0000-000065010000}"/>
    <hyperlink ref="E360" r:id="rId359" display="AU2065646519525" xr:uid="{00000000-0004-0000-0000-000066010000}"/>
    <hyperlink ref="E361" r:id="rId360" display="AU2065646519525" xr:uid="{00000000-0004-0000-0000-000067010000}"/>
    <hyperlink ref="E362" r:id="rId361" display="AU2065646519525" xr:uid="{00000000-0004-0000-0000-000068010000}"/>
    <hyperlink ref="E363" r:id="rId362" display="AU2065646519525" xr:uid="{00000000-0004-0000-0000-000069010000}"/>
    <hyperlink ref="E364" r:id="rId363" display="AU2065646519525" xr:uid="{00000000-0004-0000-0000-00006A010000}"/>
    <hyperlink ref="E365" r:id="rId364" display="AU2065646519525" xr:uid="{00000000-0004-0000-0000-00006B010000}"/>
    <hyperlink ref="E366" r:id="rId365" display="AU2065646519525" xr:uid="{00000000-0004-0000-0000-00006C010000}"/>
    <hyperlink ref="E367" r:id="rId366" display="AU2065646519525" xr:uid="{00000000-0004-0000-0000-00006D010000}"/>
    <hyperlink ref="E368" r:id="rId367" display="AU2065646519525" xr:uid="{00000000-0004-0000-0000-00006E010000}"/>
    <hyperlink ref="E369" r:id="rId368" display="AU2065646519525" xr:uid="{00000000-0004-0000-0000-00006F010000}"/>
    <hyperlink ref="E370" r:id="rId369" display="AU2065646519525" xr:uid="{00000000-0004-0000-0000-000070010000}"/>
    <hyperlink ref="E371" r:id="rId370" display="AU2065646519525" xr:uid="{00000000-0004-0000-0000-000071010000}"/>
    <hyperlink ref="E372" r:id="rId371" display="AU2065646519525" xr:uid="{00000000-0004-0000-0000-000072010000}"/>
    <hyperlink ref="E373" r:id="rId372" display="AU2065646519525" xr:uid="{00000000-0004-0000-0000-000073010000}"/>
    <hyperlink ref="E374" r:id="rId373" display="AU2065646519525" xr:uid="{00000000-0004-0000-0000-000074010000}"/>
    <hyperlink ref="E375" r:id="rId374" display="AU2065646519525" xr:uid="{00000000-0004-0000-0000-000075010000}"/>
    <hyperlink ref="E376" r:id="rId375" display="AU2065646519525" xr:uid="{00000000-0004-0000-0000-000076010000}"/>
    <hyperlink ref="E377" r:id="rId376" display="AU2065646519525" xr:uid="{00000000-0004-0000-0000-000077010000}"/>
    <hyperlink ref="E378" r:id="rId377" display="AU2065646519525" xr:uid="{00000000-0004-0000-0000-000078010000}"/>
    <hyperlink ref="E379" r:id="rId378" display="AU2065646519525" xr:uid="{00000000-0004-0000-0000-000079010000}"/>
    <hyperlink ref="E380" r:id="rId379" display="AU2065646519525" xr:uid="{00000000-0004-0000-0000-00007A010000}"/>
    <hyperlink ref="E381" r:id="rId380" display="AU2065646519525" xr:uid="{00000000-0004-0000-0000-00007B010000}"/>
    <hyperlink ref="E382" r:id="rId381" display="AU2065646519525" xr:uid="{00000000-0004-0000-0000-00007C010000}"/>
    <hyperlink ref="E383" r:id="rId382" display="AU2065646519525" xr:uid="{00000000-0004-0000-0000-00007D010000}"/>
    <hyperlink ref="E384" r:id="rId383" display="AU2065646519525" xr:uid="{00000000-0004-0000-0000-00007E010000}"/>
    <hyperlink ref="E385" r:id="rId384" display="AU2065646519525" xr:uid="{00000000-0004-0000-0000-00007F010000}"/>
    <hyperlink ref="E386" r:id="rId385" display="AU2065646519525" xr:uid="{00000000-0004-0000-0000-000080010000}"/>
    <hyperlink ref="E387" r:id="rId386" display="AU2065646519525" xr:uid="{00000000-0004-0000-0000-000081010000}"/>
    <hyperlink ref="E388" r:id="rId387" display="AU2065646519525" xr:uid="{00000000-0004-0000-0000-000082010000}"/>
    <hyperlink ref="E389" r:id="rId388" display="AU2065646519525" xr:uid="{00000000-0004-0000-0000-000083010000}"/>
    <hyperlink ref="E390" r:id="rId389" display="AU2065646519525" xr:uid="{00000000-0004-0000-0000-000084010000}"/>
    <hyperlink ref="E391" r:id="rId390" display="AU2065646519525" xr:uid="{00000000-0004-0000-0000-000085010000}"/>
    <hyperlink ref="E392" r:id="rId391" display="AU2065646519525" xr:uid="{00000000-0004-0000-0000-000086010000}"/>
    <hyperlink ref="E393" r:id="rId392" display="AU2065646519525" xr:uid="{00000000-0004-0000-0000-000087010000}"/>
    <hyperlink ref="E394" r:id="rId393" display="AU2065646519525" xr:uid="{00000000-0004-0000-0000-000088010000}"/>
    <hyperlink ref="E395" r:id="rId394" display="AU2065646519525" xr:uid="{00000000-0004-0000-0000-000089010000}"/>
    <hyperlink ref="E396" r:id="rId395" display="AU2065646519525" xr:uid="{00000000-0004-0000-0000-00008A010000}"/>
    <hyperlink ref="E397" r:id="rId396" display="AU2065646519525" xr:uid="{00000000-0004-0000-0000-00008B010000}"/>
    <hyperlink ref="E398" r:id="rId397" display="AU2065646519525" xr:uid="{00000000-0004-0000-0000-00008C010000}"/>
    <hyperlink ref="E399" r:id="rId398" display="AU2065646519525" xr:uid="{00000000-0004-0000-0000-00008D010000}"/>
    <hyperlink ref="E400" r:id="rId399" display="AU2065646519525" xr:uid="{00000000-0004-0000-0000-00008E010000}"/>
    <hyperlink ref="E401" r:id="rId400" display="AU2065646519525" xr:uid="{00000000-0004-0000-0000-00008F010000}"/>
    <hyperlink ref="E402" r:id="rId401" display="AU2065646519525" xr:uid="{00000000-0004-0000-0000-000090010000}"/>
    <hyperlink ref="E403" r:id="rId402" display="AU2065646519525" xr:uid="{00000000-0004-0000-0000-000091010000}"/>
    <hyperlink ref="E404" r:id="rId403" display="AU2065646519525" xr:uid="{00000000-0004-0000-0000-000092010000}"/>
    <hyperlink ref="E405" r:id="rId404" display="AU2065646519525" xr:uid="{00000000-0004-0000-0000-000093010000}"/>
    <hyperlink ref="E406" r:id="rId405" display="AU2065646519525" xr:uid="{00000000-0004-0000-0000-000094010000}"/>
    <hyperlink ref="E407" r:id="rId406" display="AU2065646519525" xr:uid="{00000000-0004-0000-0000-000095010000}"/>
    <hyperlink ref="E408" r:id="rId407" display="AU2065646519525" xr:uid="{00000000-0004-0000-0000-000096010000}"/>
    <hyperlink ref="E409" r:id="rId408" display="AU2065646519525" xr:uid="{00000000-0004-0000-0000-000097010000}"/>
    <hyperlink ref="E410" r:id="rId409" display="AU2065646519525" xr:uid="{00000000-0004-0000-0000-000098010000}"/>
    <hyperlink ref="E411" r:id="rId410" display="AU2065646519525" xr:uid="{00000000-0004-0000-0000-000099010000}"/>
    <hyperlink ref="E412" r:id="rId411" display="AU2065646519525" xr:uid="{00000000-0004-0000-0000-00009A010000}"/>
    <hyperlink ref="E413" r:id="rId412" display="AU2065646519525" xr:uid="{00000000-0004-0000-0000-00009B010000}"/>
    <hyperlink ref="E414" r:id="rId413" display="AU2065646519525" xr:uid="{00000000-0004-0000-0000-00009C010000}"/>
    <hyperlink ref="E415" r:id="rId414" display="AU2065646519525" xr:uid="{00000000-0004-0000-0000-00009D010000}"/>
    <hyperlink ref="E416" r:id="rId415" display="AU2065646519525" xr:uid="{00000000-0004-0000-0000-00009E010000}"/>
    <hyperlink ref="E417" r:id="rId416" display="AU2065646519525" xr:uid="{00000000-0004-0000-0000-00009F010000}"/>
    <hyperlink ref="E418" r:id="rId417" display="AU2065646519525" xr:uid="{00000000-0004-0000-0000-0000A0010000}"/>
    <hyperlink ref="E419" r:id="rId418" display="AU2065646519525" xr:uid="{00000000-0004-0000-0000-0000A1010000}"/>
    <hyperlink ref="E420" r:id="rId419" display="AU2065646519525" xr:uid="{00000000-0004-0000-0000-0000A2010000}"/>
    <hyperlink ref="E421" r:id="rId420" display="AU2065646519525" xr:uid="{00000000-0004-0000-0000-0000A3010000}"/>
    <hyperlink ref="E422" r:id="rId421" display="AU2065646519525" xr:uid="{00000000-0004-0000-0000-0000A4010000}"/>
    <hyperlink ref="E423" r:id="rId422" display="AU2065646519525" xr:uid="{00000000-0004-0000-0000-0000A5010000}"/>
    <hyperlink ref="E424" r:id="rId423" display="AU2065646519525" xr:uid="{00000000-0004-0000-0000-0000A6010000}"/>
    <hyperlink ref="E425" r:id="rId424" display="AU2065646519525" xr:uid="{00000000-0004-0000-0000-0000A7010000}"/>
    <hyperlink ref="E426" r:id="rId425" display="AU2065646519525" xr:uid="{00000000-0004-0000-0000-0000A8010000}"/>
    <hyperlink ref="E427" r:id="rId426" display="AU2065646519525" xr:uid="{00000000-0004-0000-0000-0000A9010000}"/>
    <hyperlink ref="E428" r:id="rId427" display="AU2065646519525" xr:uid="{00000000-0004-0000-0000-0000AA010000}"/>
    <hyperlink ref="E429" r:id="rId428" display="AU2065646519525" xr:uid="{00000000-0004-0000-0000-0000AB010000}"/>
    <hyperlink ref="E430" r:id="rId429" display="AU2065646519525" xr:uid="{00000000-0004-0000-0000-0000AC010000}"/>
    <hyperlink ref="E431" r:id="rId430" display="AU2065646519525" xr:uid="{00000000-0004-0000-0000-0000AD010000}"/>
    <hyperlink ref="E432" r:id="rId431" display="AU2065646519525" xr:uid="{00000000-0004-0000-0000-0000AE010000}"/>
    <hyperlink ref="E433" r:id="rId432" display="AU2065646519525" xr:uid="{00000000-0004-0000-0000-0000AF010000}"/>
    <hyperlink ref="E434" r:id="rId433" display="AU2065646519525" xr:uid="{00000000-0004-0000-0000-0000B0010000}"/>
    <hyperlink ref="E435" r:id="rId434" display="AU2065646519525" xr:uid="{00000000-0004-0000-0000-0000B1010000}"/>
    <hyperlink ref="E436" r:id="rId435" display="AU2065646519525" xr:uid="{00000000-0004-0000-0000-0000B2010000}"/>
    <hyperlink ref="E437" r:id="rId436" display="AU2065646519525" xr:uid="{00000000-0004-0000-0000-0000B3010000}"/>
    <hyperlink ref="E438" r:id="rId437" display="AU2065646519525" xr:uid="{00000000-0004-0000-0000-0000B4010000}"/>
    <hyperlink ref="E439" r:id="rId438" display="AU2065646519525" xr:uid="{00000000-0004-0000-0000-0000B5010000}"/>
    <hyperlink ref="E440" r:id="rId439" display="AU2065646519525" xr:uid="{00000000-0004-0000-0000-0000B6010000}"/>
    <hyperlink ref="E441" r:id="rId440" display="AU2065646519525" xr:uid="{00000000-0004-0000-0000-0000B7010000}"/>
    <hyperlink ref="E442" r:id="rId441" display="AU2065646519525" xr:uid="{00000000-0004-0000-0000-0000B8010000}"/>
    <hyperlink ref="E443" r:id="rId442" display="AU2065646519525" xr:uid="{00000000-0004-0000-0000-0000B9010000}"/>
    <hyperlink ref="E444" r:id="rId443" display="AU2065646519525" xr:uid="{00000000-0004-0000-0000-0000BA010000}"/>
    <hyperlink ref="E445" r:id="rId444" display="AU2065646519525" xr:uid="{00000000-0004-0000-0000-0000BB010000}"/>
    <hyperlink ref="E446" r:id="rId445" display="AU2065646519525" xr:uid="{00000000-0004-0000-0000-0000BC010000}"/>
    <hyperlink ref="E447" r:id="rId446" display="AU2065646519525" xr:uid="{00000000-0004-0000-0000-0000BD010000}"/>
    <hyperlink ref="E448" r:id="rId447" display="AU2065646519525" xr:uid="{00000000-0004-0000-0000-0000BE010000}"/>
    <hyperlink ref="E449" r:id="rId448" display="AU2065646519525" xr:uid="{00000000-0004-0000-0000-0000BF010000}"/>
    <hyperlink ref="E450" r:id="rId449" display="AU2065646519525" xr:uid="{00000000-0004-0000-0000-0000C0010000}"/>
    <hyperlink ref="E451" r:id="rId450" display="AU2065646519525" xr:uid="{00000000-0004-0000-0000-0000C1010000}"/>
    <hyperlink ref="E452" r:id="rId451" display="AU2065646519525" xr:uid="{00000000-0004-0000-0000-0000C2010000}"/>
    <hyperlink ref="E453" r:id="rId452" display="AU2065646519525" xr:uid="{00000000-0004-0000-0000-0000C3010000}"/>
    <hyperlink ref="E454" r:id="rId453" display="AU2065646519525" xr:uid="{00000000-0004-0000-0000-0000C4010000}"/>
    <hyperlink ref="E455" r:id="rId454" display="AU2065646519525" xr:uid="{00000000-0004-0000-0000-0000C5010000}"/>
    <hyperlink ref="E456" r:id="rId455" display="AU2065646519525" xr:uid="{00000000-0004-0000-0000-0000C6010000}"/>
    <hyperlink ref="E457" r:id="rId456" display="AU2065646519525" xr:uid="{00000000-0004-0000-0000-0000C7010000}"/>
    <hyperlink ref="E458" r:id="rId457" display="AU2065646519525" xr:uid="{00000000-0004-0000-0000-0000C8010000}"/>
    <hyperlink ref="E459" r:id="rId458" display="AU2065646519525" xr:uid="{00000000-0004-0000-0000-0000C9010000}"/>
    <hyperlink ref="E460" r:id="rId459" display="AU2065646519525" xr:uid="{00000000-0004-0000-0000-0000CA010000}"/>
    <hyperlink ref="E461" r:id="rId460" display="AU2065646519525" xr:uid="{00000000-0004-0000-0000-0000CB010000}"/>
    <hyperlink ref="E462" r:id="rId461" display="AU2065646519525" xr:uid="{00000000-0004-0000-0000-0000CC010000}"/>
    <hyperlink ref="E463" r:id="rId462" display="AU2065646519525" xr:uid="{00000000-0004-0000-0000-0000CD010000}"/>
    <hyperlink ref="E464" r:id="rId463" display="AU2065646519525" xr:uid="{00000000-0004-0000-0000-0000CE010000}"/>
    <hyperlink ref="E465" r:id="rId464" display="AU2065646519525" xr:uid="{00000000-0004-0000-0000-0000CF010000}"/>
    <hyperlink ref="E466" r:id="rId465" display="AU2065646519525" xr:uid="{00000000-0004-0000-0000-0000D0010000}"/>
    <hyperlink ref="E467" r:id="rId466" display="AU2065646519525" xr:uid="{00000000-0004-0000-0000-0000D1010000}"/>
    <hyperlink ref="E468" r:id="rId467" display="AU2065646519525" xr:uid="{00000000-0004-0000-0000-0000D2010000}"/>
    <hyperlink ref="E469" r:id="rId468" display="AU2065646519525" xr:uid="{00000000-0004-0000-0000-0000D3010000}"/>
    <hyperlink ref="E470" r:id="rId469" display="AU2065646519525" xr:uid="{00000000-0004-0000-0000-0000D4010000}"/>
    <hyperlink ref="E471" r:id="rId470" display="AU2065646519525" xr:uid="{00000000-0004-0000-0000-0000D5010000}"/>
    <hyperlink ref="E472" r:id="rId471" display="AU2065646519525" xr:uid="{00000000-0004-0000-0000-0000D6010000}"/>
    <hyperlink ref="E473" r:id="rId472" display="AU2065646519525" xr:uid="{00000000-0004-0000-0000-0000D7010000}"/>
    <hyperlink ref="E474" r:id="rId473" display="AU2065646519525" xr:uid="{00000000-0004-0000-0000-0000D8010000}"/>
    <hyperlink ref="E475" r:id="rId474" display="AU2065646519525" xr:uid="{00000000-0004-0000-0000-0000D9010000}"/>
    <hyperlink ref="E476" r:id="rId475" display="AU2065646519525" xr:uid="{00000000-0004-0000-0000-0000DA010000}"/>
    <hyperlink ref="E477" r:id="rId476" display="AU2065646519525" xr:uid="{00000000-0004-0000-0000-0000DB010000}"/>
    <hyperlink ref="E478" r:id="rId477" display="AU2065646519525" xr:uid="{00000000-0004-0000-0000-0000DC010000}"/>
    <hyperlink ref="E479" r:id="rId478" display="AU2065646519525" xr:uid="{00000000-0004-0000-0000-0000DD010000}"/>
    <hyperlink ref="E480" r:id="rId479" display="AU2065646519525" xr:uid="{00000000-0004-0000-0000-0000DE010000}"/>
    <hyperlink ref="E481" r:id="rId480" display="AU2065646519525" xr:uid="{00000000-0004-0000-0000-0000DF010000}"/>
    <hyperlink ref="E482" r:id="rId481" display="AU2065646519525" xr:uid="{00000000-0004-0000-0000-0000E0010000}"/>
    <hyperlink ref="E483" r:id="rId482" display="AU2065646519525" xr:uid="{00000000-0004-0000-0000-0000E1010000}"/>
    <hyperlink ref="E484" r:id="rId483" display="AU2065646519525" xr:uid="{00000000-0004-0000-0000-0000E2010000}"/>
    <hyperlink ref="E485" r:id="rId484" display="AU2065646519525" xr:uid="{00000000-0004-0000-0000-0000E3010000}"/>
    <hyperlink ref="E486" r:id="rId485" display="AU2065646519525" xr:uid="{00000000-0004-0000-0000-0000E4010000}"/>
    <hyperlink ref="E487" r:id="rId486" display="AU2065646519525" xr:uid="{00000000-0004-0000-0000-0000E5010000}"/>
    <hyperlink ref="E488" r:id="rId487" display="AU2065646519525" xr:uid="{00000000-0004-0000-0000-0000E6010000}"/>
    <hyperlink ref="E489" r:id="rId488" display="AU2065646519525" xr:uid="{00000000-0004-0000-0000-0000E7010000}"/>
    <hyperlink ref="E490" r:id="rId489" display="AU2065646519525" xr:uid="{00000000-0004-0000-0000-0000E8010000}"/>
    <hyperlink ref="E491" r:id="rId490" display="AU2065646519525" xr:uid="{00000000-0004-0000-0000-0000E9010000}"/>
    <hyperlink ref="E492" r:id="rId491" display="AU2065646519525" xr:uid="{00000000-0004-0000-0000-0000EA010000}"/>
    <hyperlink ref="E493" r:id="rId492" display="AU2065646519525" xr:uid="{00000000-0004-0000-0000-0000EB010000}"/>
    <hyperlink ref="E494" r:id="rId493" display="AU2065646519525" xr:uid="{00000000-0004-0000-0000-0000EC010000}"/>
    <hyperlink ref="E495" r:id="rId494" display="AU2065646519525" xr:uid="{00000000-0004-0000-0000-0000ED010000}"/>
    <hyperlink ref="E496" r:id="rId495" display="AU2065646519525" xr:uid="{00000000-0004-0000-0000-0000EE010000}"/>
    <hyperlink ref="E497" r:id="rId496" display="AU2065646519525" xr:uid="{00000000-0004-0000-0000-0000EF010000}"/>
    <hyperlink ref="E498" r:id="rId497" display="AU2065646519525" xr:uid="{00000000-0004-0000-0000-0000F0010000}"/>
    <hyperlink ref="E499" r:id="rId498" display="AU2065646519525" xr:uid="{00000000-0004-0000-0000-0000F1010000}"/>
    <hyperlink ref="E500" r:id="rId499" display="AU2065646519525" xr:uid="{00000000-0004-0000-0000-0000F2010000}"/>
    <hyperlink ref="E501" r:id="rId500" display="AU2065646519525" xr:uid="{00000000-0004-0000-0000-0000F3010000}"/>
    <hyperlink ref="E502" r:id="rId501" display="AU2065646519525" xr:uid="{00000000-0004-0000-0000-0000F4010000}"/>
    <hyperlink ref="E503" r:id="rId502" display="AU2065646519525" xr:uid="{00000000-0004-0000-0000-0000F5010000}"/>
    <hyperlink ref="E504" r:id="rId503" display="AU2065646519525" xr:uid="{00000000-0004-0000-0000-0000F6010000}"/>
    <hyperlink ref="E505" r:id="rId504" display="AU2065646519525" xr:uid="{00000000-0004-0000-0000-0000F7010000}"/>
    <hyperlink ref="E506" r:id="rId505" display="AU2065646519525" xr:uid="{00000000-0004-0000-0000-0000F8010000}"/>
    <hyperlink ref="E507" r:id="rId506" display="AU2065646519525" xr:uid="{00000000-0004-0000-0000-0000F9010000}"/>
    <hyperlink ref="E508" r:id="rId507" display="AU2065646519525" xr:uid="{00000000-0004-0000-0000-0000FA010000}"/>
    <hyperlink ref="E509" r:id="rId508" display="AU2065646519525" xr:uid="{00000000-0004-0000-0000-0000FB010000}"/>
    <hyperlink ref="E510" r:id="rId509" display="AU2065646519525" xr:uid="{00000000-0004-0000-0000-0000FC010000}"/>
    <hyperlink ref="E511" r:id="rId510" display="AU2065646519525" xr:uid="{00000000-0004-0000-0000-0000FD010000}"/>
    <hyperlink ref="E512" r:id="rId511" display="AU2065646519525" xr:uid="{00000000-0004-0000-0000-0000FE010000}"/>
    <hyperlink ref="E513" r:id="rId512" display="AU2065646519525" xr:uid="{00000000-0004-0000-0000-0000FF010000}"/>
    <hyperlink ref="E514" r:id="rId513" display="AU2065646519525" xr:uid="{00000000-0004-0000-0000-000000020000}"/>
    <hyperlink ref="E515" r:id="rId514" display="AU2065646519525" xr:uid="{00000000-0004-0000-0000-000001020000}"/>
    <hyperlink ref="E516" r:id="rId515" display="AU2065646519525" xr:uid="{00000000-0004-0000-0000-000002020000}"/>
    <hyperlink ref="E517" r:id="rId516" display="AU2065646519525" xr:uid="{00000000-0004-0000-0000-000003020000}"/>
    <hyperlink ref="E518" r:id="rId517" display="AU2065646519525" xr:uid="{00000000-0004-0000-0000-000004020000}"/>
    <hyperlink ref="E519" r:id="rId518" display="AU2065646519525" xr:uid="{00000000-0004-0000-0000-000005020000}"/>
    <hyperlink ref="E520" r:id="rId519" display="AU2065646519525" xr:uid="{00000000-0004-0000-0000-000006020000}"/>
    <hyperlink ref="E521" r:id="rId520" display="AU2065646519525" xr:uid="{00000000-0004-0000-0000-000007020000}"/>
    <hyperlink ref="E522" r:id="rId521" display="AU2065646519525" xr:uid="{00000000-0004-0000-0000-000008020000}"/>
    <hyperlink ref="E523" r:id="rId522" display="AU2065646519525" xr:uid="{00000000-0004-0000-0000-000009020000}"/>
    <hyperlink ref="E524" r:id="rId523" display="AU2065646519525" xr:uid="{00000000-0004-0000-0000-00000A020000}"/>
    <hyperlink ref="E525" r:id="rId524" display="AU2065646519525" xr:uid="{00000000-0004-0000-0000-00000B020000}"/>
    <hyperlink ref="E526" r:id="rId525" display="AU2065646519525" xr:uid="{00000000-0004-0000-0000-00000C020000}"/>
    <hyperlink ref="E527" r:id="rId526" display="AU2065646519525" xr:uid="{00000000-0004-0000-0000-00000D020000}"/>
    <hyperlink ref="E528" r:id="rId527" display="AU2065646519525" xr:uid="{00000000-0004-0000-0000-00000E020000}"/>
    <hyperlink ref="E529" r:id="rId528" display="AU2065646519525" xr:uid="{00000000-0004-0000-0000-00000F020000}"/>
    <hyperlink ref="E530" r:id="rId529" display="AU2065646519525" xr:uid="{00000000-0004-0000-0000-000010020000}"/>
    <hyperlink ref="E531" r:id="rId530" display="AU2065646519525" xr:uid="{00000000-0004-0000-0000-000011020000}"/>
    <hyperlink ref="E532" r:id="rId531" display="AU2065646519525" xr:uid="{00000000-0004-0000-0000-000012020000}"/>
    <hyperlink ref="E533" r:id="rId532" display="AU2065646519525" xr:uid="{00000000-0004-0000-0000-000013020000}"/>
    <hyperlink ref="E534" r:id="rId533" display="AU2065646519525" xr:uid="{00000000-0004-0000-0000-000014020000}"/>
    <hyperlink ref="E535" r:id="rId534" display="AU2065646519525" xr:uid="{00000000-0004-0000-0000-000015020000}"/>
    <hyperlink ref="E536" r:id="rId535" display="AU2065646519525" xr:uid="{00000000-0004-0000-0000-000016020000}"/>
    <hyperlink ref="E537" r:id="rId536" display="AU2065646519525" xr:uid="{00000000-0004-0000-0000-000017020000}"/>
    <hyperlink ref="E538" r:id="rId537" display="AU2065646519525" xr:uid="{00000000-0004-0000-0000-000018020000}"/>
    <hyperlink ref="E539" r:id="rId538" display="AU2065646519525" xr:uid="{00000000-0004-0000-0000-000019020000}"/>
    <hyperlink ref="E540" r:id="rId539" display="AU2065646519525" xr:uid="{00000000-0004-0000-0000-00001A020000}"/>
    <hyperlink ref="E541" r:id="rId540" display="AU2065646519525" xr:uid="{00000000-0004-0000-0000-00001B020000}"/>
    <hyperlink ref="E542" r:id="rId541" display="AU2065646519525" xr:uid="{00000000-0004-0000-0000-00001C020000}"/>
    <hyperlink ref="E543" r:id="rId542" display="AU2065646519525" xr:uid="{00000000-0004-0000-0000-00001D020000}"/>
    <hyperlink ref="E544" r:id="rId543" display="AU2065646519525" xr:uid="{00000000-0004-0000-0000-00001E020000}"/>
    <hyperlink ref="E545" r:id="rId544" display="AU2065646519525" xr:uid="{00000000-0004-0000-0000-00001F020000}"/>
    <hyperlink ref="E546" r:id="rId545" display="AU2065646519525" xr:uid="{00000000-0004-0000-0000-000020020000}"/>
    <hyperlink ref="E547" r:id="rId546" display="AU2065646519525" xr:uid="{00000000-0004-0000-0000-000021020000}"/>
    <hyperlink ref="E548" r:id="rId547" display="AU2065646519525" xr:uid="{00000000-0004-0000-0000-000022020000}"/>
    <hyperlink ref="E549" r:id="rId548" display="AU2065646519525" xr:uid="{00000000-0004-0000-0000-000023020000}"/>
    <hyperlink ref="E550" r:id="rId549" display="AU2065646519525" xr:uid="{00000000-0004-0000-0000-000024020000}"/>
    <hyperlink ref="E551" r:id="rId550" display="AU2065646519525" xr:uid="{00000000-0004-0000-0000-000025020000}"/>
    <hyperlink ref="E552" r:id="rId551" display="AU2065646519525" xr:uid="{00000000-0004-0000-0000-000026020000}"/>
    <hyperlink ref="E553" r:id="rId552" display="AU2065646519525" xr:uid="{00000000-0004-0000-0000-000027020000}"/>
    <hyperlink ref="E554" r:id="rId553" display="AU2065646519525" xr:uid="{00000000-0004-0000-0000-000028020000}"/>
    <hyperlink ref="E555" r:id="rId554" display="AU2065646519525" xr:uid="{00000000-0004-0000-0000-000029020000}"/>
    <hyperlink ref="E556" r:id="rId555" display="AU2065646519525" xr:uid="{00000000-0004-0000-0000-00002A020000}"/>
    <hyperlink ref="E557" r:id="rId556" display="AU2065646519525" xr:uid="{00000000-0004-0000-0000-00002B020000}"/>
    <hyperlink ref="E558" r:id="rId557" display="AU2065646519525" xr:uid="{00000000-0004-0000-0000-00002C020000}"/>
    <hyperlink ref="E559" r:id="rId558" display="AU2065646519525" xr:uid="{00000000-0004-0000-0000-00002D020000}"/>
    <hyperlink ref="E560" r:id="rId559" display="AU2065646519525" xr:uid="{00000000-0004-0000-0000-00002E020000}"/>
    <hyperlink ref="E561" r:id="rId560" display="AU2065646519525" xr:uid="{00000000-0004-0000-0000-00002F020000}"/>
    <hyperlink ref="E562" r:id="rId561" display="AU2065646519525" xr:uid="{00000000-0004-0000-0000-000030020000}"/>
    <hyperlink ref="E563" r:id="rId562" display="AU2065646519525" xr:uid="{00000000-0004-0000-0000-000031020000}"/>
    <hyperlink ref="E564" r:id="rId563" display="AU2065646519525" xr:uid="{00000000-0004-0000-0000-000032020000}"/>
    <hyperlink ref="E565" r:id="rId564" display="AU2065646519525" xr:uid="{00000000-0004-0000-0000-000033020000}"/>
    <hyperlink ref="E566" r:id="rId565" display="AU2065646519525" xr:uid="{00000000-0004-0000-0000-000034020000}"/>
    <hyperlink ref="E567" r:id="rId566" display="AU2065646519525" xr:uid="{00000000-0004-0000-0000-000035020000}"/>
    <hyperlink ref="E568" r:id="rId567" display="AU2065646519525" xr:uid="{00000000-0004-0000-0000-000036020000}"/>
    <hyperlink ref="E569" r:id="rId568" display="AU2065646519525" xr:uid="{00000000-0004-0000-0000-000037020000}"/>
    <hyperlink ref="E570" r:id="rId569" display="AU2065646519525" xr:uid="{00000000-0004-0000-0000-000038020000}"/>
    <hyperlink ref="E571" r:id="rId570" display="AU2065646519525" xr:uid="{00000000-0004-0000-0000-000039020000}"/>
    <hyperlink ref="E572" r:id="rId571" display="AU2065646519525" xr:uid="{00000000-0004-0000-0000-00003A020000}"/>
    <hyperlink ref="E573" r:id="rId572" display="AU2065646519525" xr:uid="{00000000-0004-0000-0000-00003B020000}"/>
    <hyperlink ref="E574" r:id="rId573" display="AU2065646519525" xr:uid="{00000000-0004-0000-0000-00003C020000}"/>
    <hyperlink ref="E575" r:id="rId574" display="AU2065646519525" xr:uid="{00000000-0004-0000-0000-00003D020000}"/>
    <hyperlink ref="E576" r:id="rId575" display="AU2065646519525" xr:uid="{00000000-0004-0000-0000-00003E020000}"/>
    <hyperlink ref="E577" r:id="rId576" display="AU2065646519525" xr:uid="{00000000-0004-0000-0000-00003F020000}"/>
    <hyperlink ref="E578" r:id="rId577" display="AU2065646519525" xr:uid="{00000000-0004-0000-0000-000040020000}"/>
    <hyperlink ref="E579" r:id="rId578" display="AU2065646519525" xr:uid="{00000000-0004-0000-0000-000041020000}"/>
    <hyperlink ref="E580" r:id="rId579" display="AU2065646519525" xr:uid="{00000000-0004-0000-0000-000042020000}"/>
    <hyperlink ref="E581" r:id="rId580" display="AU2065646519525" xr:uid="{00000000-0004-0000-0000-000043020000}"/>
    <hyperlink ref="E582" r:id="rId581" display="AU2065646519525" xr:uid="{00000000-0004-0000-0000-000044020000}"/>
    <hyperlink ref="E583" r:id="rId582" display="AU2065646519525" xr:uid="{00000000-0004-0000-0000-000045020000}"/>
    <hyperlink ref="E584" r:id="rId583" display="AU2065646519525" xr:uid="{00000000-0004-0000-0000-000046020000}"/>
    <hyperlink ref="E585" r:id="rId584" display="AU2065646519525" xr:uid="{00000000-0004-0000-0000-000047020000}"/>
    <hyperlink ref="E586" r:id="rId585" display="AU2065646519525" xr:uid="{00000000-0004-0000-0000-000048020000}"/>
    <hyperlink ref="E587" r:id="rId586" display="AU2065646519525" xr:uid="{00000000-0004-0000-0000-000049020000}"/>
    <hyperlink ref="E588" r:id="rId587" display="AU2065646519525" xr:uid="{00000000-0004-0000-0000-00004A020000}"/>
    <hyperlink ref="E589" r:id="rId588" display="AU2065646519525" xr:uid="{00000000-0004-0000-0000-00004B020000}"/>
    <hyperlink ref="E590" r:id="rId589" display="AU2065646519525" xr:uid="{00000000-0004-0000-0000-00004C020000}"/>
    <hyperlink ref="E591" r:id="rId590" display="AU2065646519525" xr:uid="{00000000-0004-0000-0000-00004D020000}"/>
    <hyperlink ref="E592" r:id="rId591" display="AU2065646519525" xr:uid="{00000000-0004-0000-0000-00004E020000}"/>
    <hyperlink ref="E593" r:id="rId592" display="AU2065646519525" xr:uid="{00000000-0004-0000-0000-00004F020000}"/>
    <hyperlink ref="E594" r:id="rId593" display="AU2065646519525" xr:uid="{00000000-0004-0000-0000-000050020000}"/>
    <hyperlink ref="E595" r:id="rId594" display="AU2065646519525" xr:uid="{00000000-0004-0000-0000-000051020000}"/>
    <hyperlink ref="E596" r:id="rId595" display="AU2065646519525" xr:uid="{00000000-0004-0000-0000-000052020000}"/>
    <hyperlink ref="E597" r:id="rId596" display="AU2065646519525" xr:uid="{00000000-0004-0000-0000-000053020000}"/>
    <hyperlink ref="E598" r:id="rId597" display="AU2065646519525" xr:uid="{00000000-0004-0000-0000-000054020000}"/>
    <hyperlink ref="E599" r:id="rId598" display="AU2065646519525" xr:uid="{00000000-0004-0000-0000-000055020000}"/>
    <hyperlink ref="E600" r:id="rId599" display="AU2065646519525" xr:uid="{00000000-0004-0000-0000-000056020000}"/>
    <hyperlink ref="E601" r:id="rId600" display="AU2065646519525" xr:uid="{00000000-0004-0000-0000-000057020000}"/>
    <hyperlink ref="E602" r:id="rId601" display="AU2065646519525" xr:uid="{00000000-0004-0000-0000-000058020000}"/>
    <hyperlink ref="E603" r:id="rId602" display="AU2065646519525" xr:uid="{00000000-0004-0000-0000-000059020000}"/>
    <hyperlink ref="E604" r:id="rId603" display="AU2065646519525" xr:uid="{00000000-0004-0000-0000-00005A020000}"/>
    <hyperlink ref="E605" r:id="rId604" display="AU2065646519525" xr:uid="{00000000-0004-0000-0000-00005B020000}"/>
    <hyperlink ref="E606" r:id="rId605" display="AU2065646519525" xr:uid="{00000000-0004-0000-0000-00005C020000}"/>
    <hyperlink ref="E607" r:id="rId606" display="AU2065646519525" xr:uid="{00000000-0004-0000-0000-00005D020000}"/>
    <hyperlink ref="E608" r:id="rId607" display="AU2065646519525" xr:uid="{00000000-0004-0000-0000-00005E020000}"/>
    <hyperlink ref="E609" r:id="rId608" display="AU2065646519525" xr:uid="{00000000-0004-0000-0000-00005F020000}"/>
    <hyperlink ref="E610" r:id="rId609" display="AU2065646519525" xr:uid="{00000000-0004-0000-0000-000060020000}"/>
    <hyperlink ref="E611" r:id="rId610" display="AU2065646519525" xr:uid="{00000000-0004-0000-0000-000061020000}"/>
    <hyperlink ref="E612" r:id="rId611" display="AU2065646519525" xr:uid="{00000000-0004-0000-0000-000062020000}"/>
    <hyperlink ref="E613" r:id="rId612" display="AU2065646519525" xr:uid="{00000000-0004-0000-0000-000063020000}"/>
    <hyperlink ref="E614" r:id="rId613" display="AU2065646519525" xr:uid="{00000000-0004-0000-0000-000064020000}"/>
    <hyperlink ref="E615" r:id="rId614" display="AU2065646519525" xr:uid="{00000000-0004-0000-0000-000065020000}"/>
    <hyperlink ref="E616" r:id="rId615" display="AU2065646519525" xr:uid="{00000000-0004-0000-0000-000066020000}"/>
    <hyperlink ref="E617" r:id="rId616" display="AU2065646519525" xr:uid="{00000000-0004-0000-0000-000067020000}"/>
    <hyperlink ref="E618" r:id="rId617" display="AU2065646519525" xr:uid="{00000000-0004-0000-0000-000068020000}"/>
    <hyperlink ref="E619" r:id="rId618" display="AU2065646519525" xr:uid="{00000000-0004-0000-0000-000069020000}"/>
    <hyperlink ref="E620" r:id="rId619" display="AU2065646519525" xr:uid="{00000000-0004-0000-0000-00006A020000}"/>
    <hyperlink ref="E621" r:id="rId620" display="AU2065646519525" xr:uid="{00000000-0004-0000-0000-00006B020000}"/>
    <hyperlink ref="E622" r:id="rId621" display="AU2065646519525" xr:uid="{00000000-0004-0000-0000-00006C020000}"/>
    <hyperlink ref="E623" r:id="rId622" display="AU2065646519525" xr:uid="{00000000-0004-0000-0000-00006D020000}"/>
    <hyperlink ref="E624" r:id="rId623" display="AU2065646519525" xr:uid="{00000000-0004-0000-0000-00006E020000}"/>
    <hyperlink ref="E625" r:id="rId624" display="AU2065646519525" xr:uid="{00000000-0004-0000-0000-00006F020000}"/>
    <hyperlink ref="E626" r:id="rId625" display="AU2065646519525" xr:uid="{00000000-0004-0000-0000-000070020000}"/>
    <hyperlink ref="E627" r:id="rId626" display="AU2065646519525" xr:uid="{00000000-0004-0000-0000-000071020000}"/>
    <hyperlink ref="E628" r:id="rId627" display="AU2065646519525" xr:uid="{00000000-0004-0000-0000-000072020000}"/>
    <hyperlink ref="E629" r:id="rId628" display="AU2065646519525" xr:uid="{00000000-0004-0000-0000-000073020000}"/>
    <hyperlink ref="E630" r:id="rId629" display="AU2065646519525" xr:uid="{00000000-0004-0000-0000-000074020000}"/>
    <hyperlink ref="E631" r:id="rId630" display="AU2065646519525" xr:uid="{00000000-0004-0000-0000-000075020000}"/>
    <hyperlink ref="E632" r:id="rId631" display="AU2065646519525" xr:uid="{00000000-0004-0000-0000-000076020000}"/>
    <hyperlink ref="E633" r:id="rId632" display="AU2065646519525" xr:uid="{00000000-0004-0000-0000-000077020000}"/>
    <hyperlink ref="E634" r:id="rId633" display="AU2065646519525" xr:uid="{00000000-0004-0000-0000-000078020000}"/>
    <hyperlink ref="E635" r:id="rId634" display="AU2065646519525" xr:uid="{00000000-0004-0000-0000-000079020000}"/>
    <hyperlink ref="E636" r:id="rId635" display="AU2065646519525" xr:uid="{00000000-0004-0000-0000-00007A020000}"/>
    <hyperlink ref="E637" r:id="rId636" display="AU2065646519525" xr:uid="{00000000-0004-0000-0000-00007B020000}"/>
    <hyperlink ref="E638" r:id="rId637" display="AU2065646519525" xr:uid="{00000000-0004-0000-0000-00007C020000}"/>
    <hyperlink ref="E639" r:id="rId638" display="AU2065646519525" xr:uid="{00000000-0004-0000-0000-00007D020000}"/>
    <hyperlink ref="E640" r:id="rId639" display="AU2065646519525" xr:uid="{00000000-0004-0000-0000-00007E020000}"/>
    <hyperlink ref="E641" r:id="rId640" display="AU2065646519525" xr:uid="{00000000-0004-0000-0000-00007F020000}"/>
    <hyperlink ref="E642" r:id="rId641" display="AU2065646519525" xr:uid="{00000000-0004-0000-0000-000080020000}"/>
    <hyperlink ref="E643" r:id="rId642" display="AU2065646519525" xr:uid="{00000000-0004-0000-0000-000081020000}"/>
    <hyperlink ref="E644" r:id="rId643" display="AU2065646519525" xr:uid="{00000000-0004-0000-0000-000082020000}"/>
    <hyperlink ref="E645" r:id="rId644" display="AU2065646519525" xr:uid="{00000000-0004-0000-0000-000083020000}"/>
    <hyperlink ref="E646" r:id="rId645" display="AU2065646519525" xr:uid="{00000000-0004-0000-0000-000084020000}"/>
    <hyperlink ref="E647" r:id="rId646" display="AU2065646519525" xr:uid="{00000000-0004-0000-0000-000085020000}"/>
    <hyperlink ref="E648" r:id="rId647" display="AU2065646519525" xr:uid="{00000000-0004-0000-0000-000086020000}"/>
    <hyperlink ref="E649" r:id="rId648" display="AU2065646519525" xr:uid="{00000000-0004-0000-0000-000087020000}"/>
    <hyperlink ref="E650" r:id="rId649" display="AU2065646519525" xr:uid="{00000000-0004-0000-0000-000088020000}"/>
    <hyperlink ref="E651" r:id="rId650" display="AU2065646519525" xr:uid="{00000000-0004-0000-0000-000089020000}"/>
    <hyperlink ref="E652" r:id="rId651" display="AU2065646519525" xr:uid="{00000000-0004-0000-0000-00008A020000}"/>
    <hyperlink ref="E653" r:id="rId652" display="AU2065646519525" xr:uid="{00000000-0004-0000-0000-00008B020000}"/>
    <hyperlink ref="E654" r:id="rId653" display="AU2065646519525" xr:uid="{00000000-0004-0000-0000-00008C020000}"/>
    <hyperlink ref="E655" r:id="rId654" display="AU2065646519525" xr:uid="{00000000-0004-0000-0000-00008D020000}"/>
    <hyperlink ref="E656" r:id="rId655" display="AU2065646519525" xr:uid="{00000000-0004-0000-0000-00008E020000}"/>
    <hyperlink ref="E657" r:id="rId656" display="AU2065646519525" xr:uid="{00000000-0004-0000-0000-00008F020000}"/>
    <hyperlink ref="E658" r:id="rId657" display="AU2065646519525" xr:uid="{00000000-0004-0000-0000-000090020000}"/>
    <hyperlink ref="E659" r:id="rId658" display="AU2065646519525" xr:uid="{00000000-0004-0000-0000-000091020000}"/>
    <hyperlink ref="E660" r:id="rId659" display="AU2065646519525" xr:uid="{00000000-0004-0000-0000-000092020000}"/>
    <hyperlink ref="E661" r:id="rId660" display="AU2065646519525" xr:uid="{00000000-0004-0000-0000-000093020000}"/>
    <hyperlink ref="E662" r:id="rId661" display="AU2065646519525" xr:uid="{00000000-0004-0000-0000-000094020000}"/>
    <hyperlink ref="E663" r:id="rId662" display="AU2065646519525" xr:uid="{00000000-0004-0000-0000-000095020000}"/>
    <hyperlink ref="E664" r:id="rId663" display="AU2065646519525" xr:uid="{00000000-0004-0000-0000-000096020000}"/>
    <hyperlink ref="E665" r:id="rId664" display="AU2065646519525" xr:uid="{00000000-0004-0000-0000-000097020000}"/>
    <hyperlink ref="E666" r:id="rId665" display="AU2065646519525" xr:uid="{00000000-0004-0000-0000-000098020000}"/>
    <hyperlink ref="E667" r:id="rId666" display="AU2065646519525" xr:uid="{00000000-0004-0000-0000-000099020000}"/>
    <hyperlink ref="E668" r:id="rId667" display="AU2065646519525" xr:uid="{00000000-0004-0000-0000-00009A020000}"/>
    <hyperlink ref="E669" r:id="rId668" display="AU2065646519525" xr:uid="{00000000-0004-0000-0000-00009B020000}"/>
    <hyperlink ref="E670" r:id="rId669" display="AU2065646519525" xr:uid="{00000000-0004-0000-0000-00009C020000}"/>
    <hyperlink ref="E671" r:id="rId670" display="AU2065646519525" xr:uid="{00000000-0004-0000-0000-00009D020000}"/>
    <hyperlink ref="E672" r:id="rId671" display="AU2065646519525" xr:uid="{00000000-0004-0000-0000-00009E020000}"/>
    <hyperlink ref="E673" r:id="rId672" display="AU2065646519525" xr:uid="{00000000-0004-0000-0000-00009F020000}"/>
    <hyperlink ref="E674" r:id="rId673" display="AU2065646519525" xr:uid="{00000000-0004-0000-0000-0000A0020000}"/>
    <hyperlink ref="E675" r:id="rId674" display="AU2065646519525" xr:uid="{00000000-0004-0000-0000-0000A1020000}"/>
    <hyperlink ref="E676" r:id="rId675" display="AU2065646519525" xr:uid="{00000000-0004-0000-0000-0000A2020000}"/>
    <hyperlink ref="E677" r:id="rId676" display="AU2065646519525" xr:uid="{00000000-0004-0000-0000-0000A3020000}"/>
    <hyperlink ref="E678" r:id="rId677" display="AU2065646519525" xr:uid="{00000000-0004-0000-0000-0000A4020000}"/>
    <hyperlink ref="E679" r:id="rId678" display="AU2065646519525" xr:uid="{00000000-0004-0000-0000-0000A5020000}"/>
    <hyperlink ref="E680" r:id="rId679" display="AU2065646519525" xr:uid="{00000000-0004-0000-0000-0000A6020000}"/>
    <hyperlink ref="E681" r:id="rId680" display="AU2065646519525" xr:uid="{00000000-0004-0000-0000-0000A7020000}"/>
    <hyperlink ref="E682" r:id="rId681" display="AU2065646519525" xr:uid="{00000000-0004-0000-0000-0000A8020000}"/>
    <hyperlink ref="E683" r:id="rId682" display="AU2065646519525" xr:uid="{00000000-0004-0000-0000-0000A9020000}"/>
    <hyperlink ref="E684" r:id="rId683" display="AU2065646519525" xr:uid="{00000000-0004-0000-0000-0000AA020000}"/>
    <hyperlink ref="E685" r:id="rId684" display="AU2065646519525" xr:uid="{00000000-0004-0000-0000-0000AB020000}"/>
    <hyperlink ref="E686" r:id="rId685" display="AU2065646519525" xr:uid="{00000000-0004-0000-0000-0000AC020000}"/>
    <hyperlink ref="E687" r:id="rId686" display="AU2065646519525" xr:uid="{00000000-0004-0000-0000-0000AD020000}"/>
    <hyperlink ref="E688" r:id="rId687" display="AU2065646519525" xr:uid="{00000000-0004-0000-0000-0000AE020000}"/>
    <hyperlink ref="E689" r:id="rId688" display="AU2065646519525" xr:uid="{00000000-0004-0000-0000-0000AF020000}"/>
    <hyperlink ref="E690" r:id="rId689" display="AU2065646519525" xr:uid="{00000000-0004-0000-0000-0000B0020000}"/>
    <hyperlink ref="E691" r:id="rId690" display="AU2065646519525" xr:uid="{00000000-0004-0000-0000-0000B1020000}"/>
    <hyperlink ref="E692" r:id="rId691" display="AU2065646519525" xr:uid="{00000000-0004-0000-0000-0000B2020000}"/>
    <hyperlink ref="E693" r:id="rId692" display="AU2065646519525" xr:uid="{00000000-0004-0000-0000-0000B3020000}"/>
    <hyperlink ref="E694" r:id="rId693" display="AU2065646519525" xr:uid="{00000000-0004-0000-0000-0000B4020000}"/>
    <hyperlink ref="E695" r:id="rId694" display="AU2065646519525" xr:uid="{00000000-0004-0000-0000-0000B5020000}"/>
    <hyperlink ref="E696" r:id="rId695" display="AU2065646519525" xr:uid="{00000000-0004-0000-0000-0000B6020000}"/>
    <hyperlink ref="E697" r:id="rId696" display="AU2065646519525" xr:uid="{00000000-0004-0000-0000-0000B7020000}"/>
    <hyperlink ref="E698" r:id="rId697" display="AU2065646519525" xr:uid="{00000000-0004-0000-0000-0000B8020000}"/>
    <hyperlink ref="E699" r:id="rId698" display="AU2065646519525" xr:uid="{00000000-0004-0000-0000-0000B9020000}"/>
    <hyperlink ref="E700" r:id="rId699" display="AU2065646519525" xr:uid="{00000000-0004-0000-0000-0000BA020000}"/>
    <hyperlink ref="E701" r:id="rId700" display="AU2065646519525" xr:uid="{00000000-0004-0000-0000-0000BB020000}"/>
    <hyperlink ref="E702" r:id="rId701" display="AU2065646519525" xr:uid="{00000000-0004-0000-0000-0000BC020000}"/>
    <hyperlink ref="E703" r:id="rId702" display="AU2065646519525" xr:uid="{00000000-0004-0000-0000-0000BD020000}"/>
    <hyperlink ref="E704" r:id="rId703" display="AU2065646519525" xr:uid="{00000000-0004-0000-0000-0000BE020000}"/>
    <hyperlink ref="E705" r:id="rId704" display="AU2065646519525" xr:uid="{00000000-0004-0000-0000-0000BF020000}"/>
    <hyperlink ref="E706" r:id="rId705" display="AU2065646519525" xr:uid="{00000000-0004-0000-0000-0000C0020000}"/>
    <hyperlink ref="E707" r:id="rId706" display="AU2065646519525" xr:uid="{00000000-0004-0000-0000-0000C1020000}"/>
    <hyperlink ref="E708" r:id="rId707" display="AU2065646519525" xr:uid="{00000000-0004-0000-0000-0000C2020000}"/>
    <hyperlink ref="E709" r:id="rId708" display="AU2065646519525" xr:uid="{00000000-0004-0000-0000-0000C3020000}"/>
    <hyperlink ref="E710" r:id="rId709" display="AU2065646519525" xr:uid="{00000000-0004-0000-0000-0000C4020000}"/>
    <hyperlink ref="E711" r:id="rId710" display="AU2065646519525" xr:uid="{00000000-0004-0000-0000-0000C5020000}"/>
    <hyperlink ref="E712" r:id="rId711" display="AU2065646519525" xr:uid="{00000000-0004-0000-0000-0000C6020000}"/>
    <hyperlink ref="E713" r:id="rId712" display="AU2065646519525" xr:uid="{00000000-0004-0000-0000-0000C7020000}"/>
    <hyperlink ref="E714" r:id="rId713" display="AU2065646519525" xr:uid="{00000000-0004-0000-0000-0000C8020000}"/>
    <hyperlink ref="E715" r:id="rId714" display="AU2065646519525" xr:uid="{00000000-0004-0000-0000-0000C9020000}"/>
    <hyperlink ref="E716" r:id="rId715" display="AU2065646519525" xr:uid="{00000000-0004-0000-0000-0000CA020000}"/>
    <hyperlink ref="E717" r:id="rId716" display="AU2065646519525" xr:uid="{00000000-0004-0000-0000-0000CB020000}"/>
    <hyperlink ref="E718" r:id="rId717" display="AU2065646519525" xr:uid="{00000000-0004-0000-0000-0000CC020000}"/>
    <hyperlink ref="E719" r:id="rId718" display="AU2065646519525" xr:uid="{00000000-0004-0000-0000-0000CD020000}"/>
    <hyperlink ref="E720" r:id="rId719" display="AU2065646519525" xr:uid="{00000000-0004-0000-0000-0000CE020000}"/>
    <hyperlink ref="E721" r:id="rId720" display="AU2065646519525" xr:uid="{00000000-0004-0000-0000-0000CF020000}"/>
    <hyperlink ref="E722" r:id="rId721" display="AU2065646519525" xr:uid="{00000000-0004-0000-0000-0000D0020000}"/>
    <hyperlink ref="E723" r:id="rId722" display="AU2065646519525" xr:uid="{00000000-0004-0000-0000-0000D1020000}"/>
    <hyperlink ref="E724" r:id="rId723" display="AU2065646519525" xr:uid="{00000000-0004-0000-0000-0000D2020000}"/>
    <hyperlink ref="E725" r:id="rId724" display="AU2065646519525" xr:uid="{00000000-0004-0000-0000-0000D3020000}"/>
    <hyperlink ref="E726" r:id="rId725" display="AU2065646519525" xr:uid="{00000000-0004-0000-0000-0000D4020000}"/>
    <hyperlink ref="E727" r:id="rId726" display="AU2065646519525" xr:uid="{00000000-0004-0000-0000-0000D5020000}"/>
    <hyperlink ref="E728" r:id="rId727" display="AU2065646519525" xr:uid="{00000000-0004-0000-0000-0000D6020000}"/>
    <hyperlink ref="E729" r:id="rId728" display="AU2065646519525" xr:uid="{00000000-0004-0000-0000-0000D7020000}"/>
    <hyperlink ref="E730" r:id="rId729" display="AU2065646519525" xr:uid="{00000000-0004-0000-0000-0000D8020000}"/>
    <hyperlink ref="E731" r:id="rId730" display="AU2065646519525" xr:uid="{00000000-0004-0000-0000-0000D9020000}"/>
    <hyperlink ref="E732" r:id="rId731" display="AU2065646519525" xr:uid="{00000000-0004-0000-0000-0000DA020000}"/>
    <hyperlink ref="E733" r:id="rId732" display="AU2065646519525" xr:uid="{00000000-0004-0000-0000-0000DB020000}"/>
    <hyperlink ref="E734" r:id="rId733" display="AU2065646519525" xr:uid="{00000000-0004-0000-0000-0000DC020000}"/>
    <hyperlink ref="E735" r:id="rId734" display="AU2065646519525" xr:uid="{00000000-0004-0000-0000-0000DD020000}"/>
    <hyperlink ref="E736" r:id="rId735" display="AU2065646519525" xr:uid="{00000000-0004-0000-0000-0000DE020000}"/>
    <hyperlink ref="E737" r:id="rId736" display="AU2065646519525" xr:uid="{00000000-0004-0000-0000-0000DF020000}"/>
    <hyperlink ref="E738" r:id="rId737" display="AU2065646519525" xr:uid="{00000000-0004-0000-0000-0000E0020000}"/>
    <hyperlink ref="E739" r:id="rId738" display="AU2065646519525" xr:uid="{00000000-0004-0000-0000-0000E1020000}"/>
    <hyperlink ref="E740" r:id="rId739" display="AU2065646519525" xr:uid="{00000000-0004-0000-0000-0000E2020000}"/>
    <hyperlink ref="E741" r:id="rId740" display="AU2065646519525" xr:uid="{00000000-0004-0000-0000-0000E3020000}"/>
    <hyperlink ref="E742" r:id="rId741" display="AU2065646519525" xr:uid="{00000000-0004-0000-0000-0000E4020000}"/>
    <hyperlink ref="E743" r:id="rId742" display="AU2065646519525" xr:uid="{00000000-0004-0000-0000-0000E5020000}"/>
    <hyperlink ref="E744" r:id="rId743" display="AU2065646519525" xr:uid="{00000000-0004-0000-0000-0000E6020000}"/>
    <hyperlink ref="E745" r:id="rId744" display="AU2065646519525" xr:uid="{00000000-0004-0000-0000-0000E7020000}"/>
    <hyperlink ref="E746" r:id="rId745" display="AU2065646519525" xr:uid="{00000000-0004-0000-0000-0000E8020000}"/>
    <hyperlink ref="E747" r:id="rId746" display="AU2065646519525" xr:uid="{00000000-0004-0000-0000-0000E9020000}"/>
    <hyperlink ref="E748" r:id="rId747" display="AU2065646519525" xr:uid="{00000000-0004-0000-0000-0000EA020000}"/>
    <hyperlink ref="E749" r:id="rId748" display="AU2065646519525" xr:uid="{00000000-0004-0000-0000-0000EB020000}"/>
    <hyperlink ref="E750" r:id="rId749" display="AU2065646519525" xr:uid="{00000000-0004-0000-0000-0000EC020000}"/>
    <hyperlink ref="E751" r:id="rId750" display="AU2065646519525" xr:uid="{00000000-0004-0000-0000-0000ED020000}"/>
    <hyperlink ref="E752" r:id="rId751" display="AU2065646519525" xr:uid="{00000000-0004-0000-0000-0000EE020000}"/>
    <hyperlink ref="E753" r:id="rId752" display="AU2065646519525" xr:uid="{00000000-0004-0000-0000-0000EF020000}"/>
    <hyperlink ref="E754" r:id="rId753" display="AU2065646519525" xr:uid="{00000000-0004-0000-0000-0000F0020000}"/>
    <hyperlink ref="E755" r:id="rId754" display="AU2065646519525" xr:uid="{00000000-0004-0000-0000-0000F1020000}"/>
    <hyperlink ref="E756" r:id="rId755" display="AU2065646519525" xr:uid="{00000000-0004-0000-0000-0000F2020000}"/>
    <hyperlink ref="E757" r:id="rId756" display="AU2065646519525" xr:uid="{00000000-0004-0000-0000-0000F3020000}"/>
    <hyperlink ref="E758" r:id="rId757" display="AU2065646519525" xr:uid="{00000000-0004-0000-0000-0000F4020000}"/>
    <hyperlink ref="E759" r:id="rId758" display="AU2065646519525" xr:uid="{00000000-0004-0000-0000-0000F5020000}"/>
    <hyperlink ref="E760" r:id="rId759" display="AU2065646519525" xr:uid="{00000000-0004-0000-0000-0000F6020000}"/>
    <hyperlink ref="E761" r:id="rId760" display="AU2065646519525" xr:uid="{00000000-0004-0000-0000-0000F7020000}"/>
    <hyperlink ref="E762" r:id="rId761" display="AU2065646519525" xr:uid="{00000000-0004-0000-0000-0000F8020000}"/>
    <hyperlink ref="E763" r:id="rId762" display="AU2065646519525" xr:uid="{00000000-0004-0000-0000-0000F9020000}"/>
    <hyperlink ref="E764" r:id="rId763" display="AU2065646519525" xr:uid="{00000000-0004-0000-0000-0000FA020000}"/>
    <hyperlink ref="E765" r:id="rId764" display="AU2065646519525" xr:uid="{00000000-0004-0000-0000-0000FB020000}"/>
    <hyperlink ref="E766" r:id="rId765" display="AU2065646519525" xr:uid="{00000000-0004-0000-0000-0000FC020000}"/>
    <hyperlink ref="E767" r:id="rId766" display="AU2065646519525" xr:uid="{00000000-0004-0000-0000-0000FD020000}"/>
    <hyperlink ref="E768" r:id="rId767" display="AU2065646519525" xr:uid="{00000000-0004-0000-0000-0000FE020000}"/>
    <hyperlink ref="E769" r:id="rId768" display="AU2065646519525" xr:uid="{00000000-0004-0000-0000-0000FF020000}"/>
    <hyperlink ref="E770" r:id="rId769" display="AU2065646519525" xr:uid="{00000000-0004-0000-0000-000000030000}"/>
    <hyperlink ref="E771" r:id="rId770" display="AU2065646519525" xr:uid="{00000000-0004-0000-0000-000001030000}"/>
    <hyperlink ref="E772" r:id="rId771" display="AU2065646519525" xr:uid="{00000000-0004-0000-0000-000002030000}"/>
    <hyperlink ref="E773" r:id="rId772" display="AU2065646519525" xr:uid="{00000000-0004-0000-0000-000003030000}"/>
    <hyperlink ref="E774" r:id="rId773" display="AU2065646519525" xr:uid="{00000000-0004-0000-0000-000004030000}"/>
    <hyperlink ref="E775" r:id="rId774" display="AU2065646519525" xr:uid="{00000000-0004-0000-0000-000005030000}"/>
    <hyperlink ref="E776" r:id="rId775" display="AU2065646519525" xr:uid="{00000000-0004-0000-0000-000006030000}"/>
    <hyperlink ref="E777" r:id="rId776" display="AU2065646519525" xr:uid="{00000000-0004-0000-0000-000007030000}"/>
    <hyperlink ref="E778" r:id="rId777" display="AU2065646519525" xr:uid="{00000000-0004-0000-0000-000008030000}"/>
    <hyperlink ref="E779" r:id="rId778" display="AU2065646519525" xr:uid="{00000000-0004-0000-0000-000009030000}"/>
    <hyperlink ref="E780" r:id="rId779" display="AU2065646519525" xr:uid="{00000000-0004-0000-0000-00000A030000}"/>
    <hyperlink ref="E781" r:id="rId780" display="AU2065646519525" xr:uid="{00000000-0004-0000-0000-00000B030000}"/>
    <hyperlink ref="E782" r:id="rId781" display="AU2065646519525" xr:uid="{00000000-0004-0000-0000-00000C030000}"/>
    <hyperlink ref="E783" r:id="rId782" display="AU2065646519525" xr:uid="{00000000-0004-0000-0000-00000D030000}"/>
    <hyperlink ref="E784" r:id="rId783" display="AU2065646519525" xr:uid="{00000000-0004-0000-0000-00000E030000}"/>
    <hyperlink ref="E785" r:id="rId784" display="AU2065646519525" xr:uid="{00000000-0004-0000-0000-00000F030000}"/>
    <hyperlink ref="E786" r:id="rId785" display="AU2065646519525" xr:uid="{00000000-0004-0000-0000-000010030000}"/>
    <hyperlink ref="E787" r:id="rId786" display="AU2065646519525" xr:uid="{00000000-0004-0000-0000-000011030000}"/>
    <hyperlink ref="E788" r:id="rId787" display="AU2065646519525" xr:uid="{00000000-0004-0000-0000-000012030000}"/>
    <hyperlink ref="E789" r:id="rId788" display="AU2065646519525" xr:uid="{00000000-0004-0000-0000-000013030000}"/>
    <hyperlink ref="E790" r:id="rId789" display="AU2065646519525" xr:uid="{00000000-0004-0000-0000-000014030000}"/>
    <hyperlink ref="E791" r:id="rId790" display="AU2065646519525" xr:uid="{00000000-0004-0000-0000-000015030000}"/>
    <hyperlink ref="E792" r:id="rId791" display="AU2065646519525" xr:uid="{00000000-0004-0000-0000-000016030000}"/>
    <hyperlink ref="E793" r:id="rId792" display="AU2065646519525" xr:uid="{00000000-0004-0000-0000-000017030000}"/>
    <hyperlink ref="E794" r:id="rId793" display="AU2065646519525" xr:uid="{00000000-0004-0000-0000-000018030000}"/>
    <hyperlink ref="E795" r:id="rId794" display="AU2065646519525" xr:uid="{00000000-0004-0000-0000-000019030000}"/>
    <hyperlink ref="E796" r:id="rId795" display="AU2065646519525" xr:uid="{00000000-0004-0000-0000-00001A030000}"/>
    <hyperlink ref="E797" r:id="rId796" display="AU2065646519525" xr:uid="{00000000-0004-0000-0000-00001B030000}"/>
    <hyperlink ref="E798" r:id="rId797" display="AU2065646519525" xr:uid="{00000000-0004-0000-0000-00001C030000}"/>
    <hyperlink ref="E799" r:id="rId798" display="AU2065646519525" xr:uid="{00000000-0004-0000-0000-00001D030000}"/>
    <hyperlink ref="E800" r:id="rId799" display="AU2065646519525" xr:uid="{00000000-0004-0000-0000-00001E030000}"/>
    <hyperlink ref="E801" r:id="rId800" display="AU2065646519525" xr:uid="{00000000-0004-0000-0000-00001F030000}"/>
    <hyperlink ref="E802" r:id="rId801" display="AU2065646519525" xr:uid="{00000000-0004-0000-0000-000020030000}"/>
    <hyperlink ref="E803" r:id="rId802" display="AU2065646519525" xr:uid="{00000000-0004-0000-0000-000021030000}"/>
    <hyperlink ref="E804" r:id="rId803" display="AU2065646519525" xr:uid="{00000000-0004-0000-0000-000022030000}"/>
    <hyperlink ref="E805" r:id="rId804" display="AU2065646519525" xr:uid="{00000000-0004-0000-0000-000023030000}"/>
    <hyperlink ref="E806" r:id="rId805" display="AU2065646519525" xr:uid="{00000000-0004-0000-0000-000024030000}"/>
    <hyperlink ref="E807" r:id="rId806" display="AU2065646519525" xr:uid="{00000000-0004-0000-0000-000025030000}"/>
    <hyperlink ref="E808" r:id="rId807" display="AU2065646519525" xr:uid="{00000000-0004-0000-0000-000026030000}"/>
    <hyperlink ref="E809" r:id="rId808" display="AU2065646519525" xr:uid="{00000000-0004-0000-0000-000027030000}"/>
    <hyperlink ref="E810" r:id="rId809" display="AU2065646519525" xr:uid="{00000000-0004-0000-0000-000028030000}"/>
    <hyperlink ref="E811" r:id="rId810" display="AU2065646519525" xr:uid="{00000000-0004-0000-0000-000029030000}"/>
    <hyperlink ref="E812" r:id="rId811" display="AU2065646519525" xr:uid="{00000000-0004-0000-0000-00002A030000}"/>
    <hyperlink ref="E813" r:id="rId812" display="AU2065646519525" xr:uid="{00000000-0004-0000-0000-00002B030000}"/>
    <hyperlink ref="E814" r:id="rId813" display="AU2065646519525" xr:uid="{00000000-0004-0000-0000-00002C030000}"/>
    <hyperlink ref="E815" r:id="rId814" display="AU2065646519525" xr:uid="{00000000-0004-0000-0000-00002D030000}"/>
    <hyperlink ref="E816" r:id="rId815" display="AU2065646519525" xr:uid="{00000000-0004-0000-0000-00002E030000}"/>
    <hyperlink ref="E817" r:id="rId816" display="AU2065646519525" xr:uid="{00000000-0004-0000-0000-00002F030000}"/>
    <hyperlink ref="E818" r:id="rId817" display="AU2065646519525" xr:uid="{00000000-0004-0000-0000-000030030000}"/>
    <hyperlink ref="E819" r:id="rId818" display="AU2065646519525" xr:uid="{00000000-0004-0000-0000-000031030000}"/>
    <hyperlink ref="E820" r:id="rId819" display="AU2065646519525" xr:uid="{00000000-0004-0000-0000-000032030000}"/>
    <hyperlink ref="E821" r:id="rId820" display="AU2065646519525" xr:uid="{00000000-0004-0000-0000-000033030000}"/>
    <hyperlink ref="E822" r:id="rId821" display="AU2065646519525" xr:uid="{00000000-0004-0000-0000-000034030000}"/>
    <hyperlink ref="E823" r:id="rId822" display="AU2065646519525" xr:uid="{00000000-0004-0000-0000-000035030000}"/>
    <hyperlink ref="E824" r:id="rId823" display="AU2065646519525" xr:uid="{00000000-0004-0000-0000-000036030000}"/>
    <hyperlink ref="E825" r:id="rId824" display="AU2065646519525" xr:uid="{00000000-0004-0000-0000-000037030000}"/>
    <hyperlink ref="E826" r:id="rId825" display="AU2065646519525" xr:uid="{00000000-0004-0000-0000-000038030000}"/>
    <hyperlink ref="E827" r:id="rId826" display="AU2065646519525" xr:uid="{00000000-0004-0000-0000-000039030000}"/>
    <hyperlink ref="E828" r:id="rId827" display="AU2065646519525" xr:uid="{00000000-0004-0000-0000-00003A030000}"/>
    <hyperlink ref="E829" r:id="rId828" display="AU2065646519525" xr:uid="{00000000-0004-0000-0000-00003B030000}"/>
    <hyperlink ref="E830" r:id="rId829" display="AU2065646519525" xr:uid="{00000000-0004-0000-0000-00003C030000}"/>
    <hyperlink ref="E831" r:id="rId830" display="AU2065646519525" xr:uid="{00000000-0004-0000-0000-00003D030000}"/>
    <hyperlink ref="E832" r:id="rId831" display="AU2065646519525" xr:uid="{00000000-0004-0000-0000-00003E030000}"/>
    <hyperlink ref="E833" r:id="rId832" display="AU2065646519525" xr:uid="{00000000-0004-0000-0000-00003F030000}"/>
    <hyperlink ref="E834" r:id="rId833" display="AU2065646519525" xr:uid="{00000000-0004-0000-0000-000040030000}"/>
    <hyperlink ref="E835" r:id="rId834" display="AU2065646519525" xr:uid="{00000000-0004-0000-0000-000041030000}"/>
    <hyperlink ref="E836" r:id="rId835" display="AU2065646519525" xr:uid="{00000000-0004-0000-0000-000042030000}"/>
    <hyperlink ref="E837" r:id="rId836" display="AU2065646519525" xr:uid="{00000000-0004-0000-0000-000043030000}"/>
    <hyperlink ref="E838" r:id="rId837" display="AU2065646519525" xr:uid="{00000000-0004-0000-0000-000044030000}"/>
    <hyperlink ref="E839" r:id="rId838" display="AU2065646519525" xr:uid="{00000000-0004-0000-0000-000045030000}"/>
    <hyperlink ref="E840" r:id="rId839" display="AU2065646519525" xr:uid="{00000000-0004-0000-0000-000046030000}"/>
    <hyperlink ref="E841" r:id="rId840" display="AU2065646519525" xr:uid="{00000000-0004-0000-0000-000047030000}"/>
    <hyperlink ref="E842" r:id="rId841" display="AU2065646519525" xr:uid="{00000000-0004-0000-0000-000048030000}"/>
    <hyperlink ref="E843" r:id="rId842" display="AU2065646519525" xr:uid="{00000000-0004-0000-0000-000049030000}"/>
    <hyperlink ref="E844" r:id="rId843" display="AU2065646519525" xr:uid="{00000000-0004-0000-0000-00004A030000}"/>
    <hyperlink ref="E845" r:id="rId844" display="AU2065646519525" xr:uid="{00000000-0004-0000-0000-00004B030000}"/>
    <hyperlink ref="E846" r:id="rId845" display="AU2065646519525" xr:uid="{00000000-0004-0000-0000-00004C030000}"/>
    <hyperlink ref="E847" r:id="rId846" display="AU2065646519525" xr:uid="{00000000-0004-0000-0000-00004D030000}"/>
    <hyperlink ref="E848" r:id="rId847" display="AU2065646519525" xr:uid="{00000000-0004-0000-0000-00004E030000}"/>
    <hyperlink ref="E849" r:id="rId848" display="AU2065646519525" xr:uid="{00000000-0004-0000-0000-00004F030000}"/>
    <hyperlink ref="E850" r:id="rId849" display="AU2065646519525" xr:uid="{00000000-0004-0000-0000-000050030000}"/>
    <hyperlink ref="E851" r:id="rId850" display="AU2065646519525" xr:uid="{00000000-0004-0000-0000-000051030000}"/>
    <hyperlink ref="E852" r:id="rId851" display="AU2065646519525" xr:uid="{00000000-0004-0000-0000-000052030000}"/>
    <hyperlink ref="E853" r:id="rId852" display="AU2065646519525" xr:uid="{00000000-0004-0000-0000-000053030000}"/>
    <hyperlink ref="E854" r:id="rId853" display="AU2065646519525" xr:uid="{00000000-0004-0000-0000-000054030000}"/>
    <hyperlink ref="E855" r:id="rId854" display="AU2065646519525" xr:uid="{00000000-0004-0000-0000-000055030000}"/>
    <hyperlink ref="E856" r:id="rId855" display="AU2065646519525" xr:uid="{00000000-0004-0000-0000-000056030000}"/>
    <hyperlink ref="E857" r:id="rId856" display="AU2065646519525" xr:uid="{00000000-0004-0000-0000-000057030000}"/>
    <hyperlink ref="E858" r:id="rId857" display="AU2065646519525" xr:uid="{00000000-0004-0000-0000-000058030000}"/>
    <hyperlink ref="E859" r:id="rId858" display="AU2065646519525" xr:uid="{00000000-0004-0000-0000-000059030000}"/>
    <hyperlink ref="E860" r:id="rId859" display="AU2065646519525" xr:uid="{00000000-0004-0000-0000-00005A030000}"/>
    <hyperlink ref="E861" r:id="rId860" display="AU2065646519525" xr:uid="{00000000-0004-0000-0000-00005B030000}"/>
    <hyperlink ref="E862" r:id="rId861" display="AU2065646519525" xr:uid="{00000000-0004-0000-0000-00005C030000}"/>
    <hyperlink ref="E863" r:id="rId862" display="AU2065646519525" xr:uid="{00000000-0004-0000-0000-00005D030000}"/>
    <hyperlink ref="E864" r:id="rId863" display="AU2065646519525" xr:uid="{00000000-0004-0000-0000-00005E030000}"/>
    <hyperlink ref="E865" r:id="rId864" display="AU2065646519525" xr:uid="{00000000-0004-0000-0000-00005F030000}"/>
    <hyperlink ref="E866" r:id="rId865" display="AU2065646519525" xr:uid="{00000000-0004-0000-0000-000060030000}"/>
    <hyperlink ref="E867" r:id="rId866" display="AU2065646519525" xr:uid="{00000000-0004-0000-0000-000061030000}"/>
    <hyperlink ref="E868" r:id="rId867" display="AU2065646519525" xr:uid="{00000000-0004-0000-0000-000062030000}"/>
    <hyperlink ref="E869" r:id="rId868" display="AU2065646519525" xr:uid="{00000000-0004-0000-0000-000063030000}"/>
    <hyperlink ref="E870" r:id="rId869" display="AU2065646519525" xr:uid="{00000000-0004-0000-0000-000064030000}"/>
    <hyperlink ref="E871" r:id="rId870" display="AU2065646519525" xr:uid="{00000000-0004-0000-0000-000065030000}"/>
    <hyperlink ref="E872" r:id="rId871" display="AU2065646519525" xr:uid="{00000000-0004-0000-0000-000066030000}"/>
    <hyperlink ref="E873" r:id="rId872" display="AU2065646519525" xr:uid="{00000000-0004-0000-0000-000067030000}"/>
    <hyperlink ref="E874" r:id="rId873" display="AU2065646519525" xr:uid="{00000000-0004-0000-0000-000068030000}"/>
    <hyperlink ref="E875" r:id="rId874" display="AU2065646519525" xr:uid="{00000000-0004-0000-0000-000069030000}"/>
    <hyperlink ref="E876" r:id="rId875" display="AU2065646519525" xr:uid="{00000000-0004-0000-0000-00006A030000}"/>
    <hyperlink ref="E877" r:id="rId876" display="AU2065646519525" xr:uid="{00000000-0004-0000-0000-00006B030000}"/>
    <hyperlink ref="E878" r:id="rId877" display="AU2065646519525" xr:uid="{00000000-0004-0000-0000-00006C030000}"/>
    <hyperlink ref="E879" r:id="rId878" display="AU2065646519525" xr:uid="{00000000-0004-0000-0000-00006D030000}"/>
    <hyperlink ref="E880" r:id="rId879" display="AU2065646519525" xr:uid="{00000000-0004-0000-0000-00006E030000}"/>
    <hyperlink ref="E881" r:id="rId880" display="AU2065646519525" xr:uid="{00000000-0004-0000-0000-00006F030000}"/>
    <hyperlink ref="E882" r:id="rId881" display="AU2065646519525" xr:uid="{00000000-0004-0000-0000-000070030000}"/>
    <hyperlink ref="E883" r:id="rId882" display="AU2065646519525" xr:uid="{00000000-0004-0000-0000-000071030000}"/>
    <hyperlink ref="E884" r:id="rId883" display="AU2065646519525" xr:uid="{00000000-0004-0000-0000-000072030000}"/>
    <hyperlink ref="E885" r:id="rId884" display="AU2065646519525" xr:uid="{00000000-0004-0000-0000-000073030000}"/>
    <hyperlink ref="E886" r:id="rId885" display="AU2065646519525" xr:uid="{00000000-0004-0000-0000-000074030000}"/>
    <hyperlink ref="E887" r:id="rId886" display="AU2065646519525" xr:uid="{00000000-0004-0000-0000-000075030000}"/>
    <hyperlink ref="E888" r:id="rId887" display="AU2065646519525" xr:uid="{00000000-0004-0000-0000-000076030000}"/>
    <hyperlink ref="E889" r:id="rId888" display="AU2065646519525" xr:uid="{00000000-0004-0000-0000-000077030000}"/>
    <hyperlink ref="E890" r:id="rId889" display="AU2065646519525" xr:uid="{00000000-0004-0000-0000-000078030000}"/>
    <hyperlink ref="E891" r:id="rId890" display="AU2065646519525" xr:uid="{00000000-0004-0000-0000-000079030000}"/>
    <hyperlink ref="E892" r:id="rId891" display="AU2065646519525" xr:uid="{00000000-0004-0000-0000-00007A030000}"/>
    <hyperlink ref="E893" r:id="rId892" display="AU2065646519525" xr:uid="{00000000-0004-0000-0000-00007B030000}"/>
    <hyperlink ref="E894" r:id="rId893" display="AU2065646519525" xr:uid="{00000000-0004-0000-0000-00007C030000}"/>
    <hyperlink ref="E895" r:id="rId894" display="AU2065646519525" xr:uid="{00000000-0004-0000-0000-00007D030000}"/>
    <hyperlink ref="E896" r:id="rId895" display="AU2065646519525" xr:uid="{00000000-0004-0000-0000-00007E030000}"/>
    <hyperlink ref="E897" r:id="rId896" display="AU2065646519525" xr:uid="{00000000-0004-0000-0000-00007F030000}"/>
    <hyperlink ref="E898" r:id="rId897" display="AU2065646519525" xr:uid="{00000000-0004-0000-0000-000080030000}"/>
    <hyperlink ref="E899" r:id="rId898" display="AU2065646519525" xr:uid="{00000000-0004-0000-0000-000081030000}"/>
    <hyperlink ref="E900" r:id="rId899" display="AU2065646519525" xr:uid="{00000000-0004-0000-0000-000082030000}"/>
    <hyperlink ref="E901" r:id="rId900" display="AU2065646519525" xr:uid="{00000000-0004-0000-0000-000083030000}"/>
    <hyperlink ref="E902" r:id="rId901" display="AU2065646519525" xr:uid="{00000000-0004-0000-0000-000084030000}"/>
    <hyperlink ref="E903" r:id="rId902" display="AU2065646519525" xr:uid="{00000000-0004-0000-0000-000085030000}"/>
    <hyperlink ref="E904" r:id="rId903" display="AU2065646519525" xr:uid="{00000000-0004-0000-0000-000086030000}"/>
    <hyperlink ref="E905" r:id="rId904" display="AU2065646519525" xr:uid="{00000000-0004-0000-0000-000087030000}"/>
    <hyperlink ref="E906" r:id="rId905" display="AU2065646519525" xr:uid="{00000000-0004-0000-0000-000088030000}"/>
    <hyperlink ref="E907" r:id="rId906" display="AU2065646519525" xr:uid="{00000000-0004-0000-0000-000089030000}"/>
    <hyperlink ref="E908" r:id="rId907" display="AU2065646519525" xr:uid="{00000000-0004-0000-0000-00008A030000}"/>
    <hyperlink ref="E909" r:id="rId908" display="AU2065646519525" xr:uid="{00000000-0004-0000-0000-00008B030000}"/>
    <hyperlink ref="E910" r:id="rId909" display="AU2065646519525" xr:uid="{00000000-0004-0000-0000-00008C030000}"/>
    <hyperlink ref="E911" r:id="rId910" display="AU2065646519525" xr:uid="{00000000-0004-0000-0000-00008D030000}"/>
    <hyperlink ref="E912" r:id="rId911" display="AU2065646519525" xr:uid="{00000000-0004-0000-0000-00008E030000}"/>
    <hyperlink ref="E913" r:id="rId912" display="AU2065646519525" xr:uid="{00000000-0004-0000-0000-00008F030000}"/>
    <hyperlink ref="E914" r:id="rId913" display="AU2065646519525" xr:uid="{00000000-0004-0000-0000-000090030000}"/>
    <hyperlink ref="E915" r:id="rId914" display="AU2065646519525" xr:uid="{00000000-0004-0000-0000-000091030000}"/>
    <hyperlink ref="E916" r:id="rId915" display="AU2065646519525" xr:uid="{00000000-0004-0000-0000-000092030000}"/>
    <hyperlink ref="E917" r:id="rId916" display="AU2065646519525" xr:uid="{00000000-0004-0000-0000-000093030000}"/>
    <hyperlink ref="E918" r:id="rId917" display="AU2065646519525" xr:uid="{00000000-0004-0000-0000-000094030000}"/>
    <hyperlink ref="E919" r:id="rId918" display="AU2065646519525" xr:uid="{00000000-0004-0000-0000-000095030000}"/>
    <hyperlink ref="E920" r:id="rId919" display="AU2065646519525" xr:uid="{00000000-0004-0000-0000-000096030000}"/>
    <hyperlink ref="E921" r:id="rId920" display="AU2065646519525" xr:uid="{00000000-0004-0000-0000-000097030000}"/>
    <hyperlink ref="E922" r:id="rId921" display="AU2065646519525" xr:uid="{00000000-0004-0000-0000-000098030000}"/>
    <hyperlink ref="E923" r:id="rId922" display="AU2065646519525" xr:uid="{00000000-0004-0000-0000-000099030000}"/>
    <hyperlink ref="E924" r:id="rId923" display="AU2065646519525" xr:uid="{00000000-0004-0000-0000-00009A030000}"/>
    <hyperlink ref="E925" r:id="rId924" display="AU2065646519525" xr:uid="{00000000-0004-0000-0000-00009B030000}"/>
    <hyperlink ref="E926" r:id="rId925" display="AU2065646519525" xr:uid="{00000000-0004-0000-0000-00009C030000}"/>
    <hyperlink ref="E927" r:id="rId926" display="AU2065646519525" xr:uid="{00000000-0004-0000-0000-00009D030000}"/>
    <hyperlink ref="E928" r:id="rId927" display="AU2065646519525" xr:uid="{00000000-0004-0000-0000-00009E030000}"/>
    <hyperlink ref="E929" r:id="rId928" display="AU2065646519525" xr:uid="{00000000-0004-0000-0000-00009F030000}"/>
    <hyperlink ref="E930" r:id="rId929" display="AU2065646519525" xr:uid="{00000000-0004-0000-0000-0000A0030000}"/>
    <hyperlink ref="E931" r:id="rId930" display="AU2065646519525" xr:uid="{00000000-0004-0000-0000-0000A1030000}"/>
    <hyperlink ref="E932" r:id="rId931" display="AU2065646519525" xr:uid="{00000000-0004-0000-0000-0000A2030000}"/>
    <hyperlink ref="E933" r:id="rId932" display="AU2065646519525" xr:uid="{00000000-0004-0000-0000-0000A3030000}"/>
    <hyperlink ref="E934" r:id="rId933" display="AU2065646519525" xr:uid="{00000000-0004-0000-0000-0000A4030000}"/>
    <hyperlink ref="E935" r:id="rId934" display="AU2065646519525" xr:uid="{00000000-0004-0000-0000-0000A5030000}"/>
    <hyperlink ref="E936" r:id="rId935" display="AU2065646519525" xr:uid="{00000000-0004-0000-0000-0000A6030000}"/>
    <hyperlink ref="E937" r:id="rId936" display="AU2065646519525" xr:uid="{00000000-0004-0000-0000-0000A7030000}"/>
    <hyperlink ref="E938" r:id="rId937" display="AU2065646519525" xr:uid="{00000000-0004-0000-0000-0000A8030000}"/>
    <hyperlink ref="E939" r:id="rId938" display="AU2065646519525" xr:uid="{00000000-0004-0000-0000-0000A9030000}"/>
    <hyperlink ref="E940" r:id="rId939" display="AU2065646519525" xr:uid="{00000000-0004-0000-0000-0000AA030000}"/>
    <hyperlink ref="E941" r:id="rId940" display="AU2065646519525" xr:uid="{00000000-0004-0000-0000-0000AB030000}"/>
    <hyperlink ref="E942" r:id="rId941" display="AU2065646519525" xr:uid="{00000000-0004-0000-0000-0000AC030000}"/>
    <hyperlink ref="E943" r:id="rId942" display="AU2065646519525" xr:uid="{00000000-0004-0000-0000-0000AD030000}"/>
    <hyperlink ref="E944" r:id="rId943" display="AU2065646519525" xr:uid="{00000000-0004-0000-0000-0000AE030000}"/>
    <hyperlink ref="E945" r:id="rId944" display="AU2065646519525" xr:uid="{00000000-0004-0000-0000-0000AF030000}"/>
    <hyperlink ref="E946" r:id="rId945" display="AU2065646519525" xr:uid="{00000000-0004-0000-0000-0000B0030000}"/>
    <hyperlink ref="E947" r:id="rId946" display="AU2065646519525" xr:uid="{00000000-0004-0000-0000-0000B1030000}"/>
    <hyperlink ref="E948" r:id="rId947" display="AU2065646519525" xr:uid="{00000000-0004-0000-0000-0000B2030000}"/>
    <hyperlink ref="E949" r:id="rId948" display="AU2065646519525" xr:uid="{00000000-0004-0000-0000-0000B3030000}"/>
    <hyperlink ref="E950" r:id="rId949" display="AU2065646519525" xr:uid="{00000000-0004-0000-0000-0000B4030000}"/>
    <hyperlink ref="E951" r:id="rId950" display="AU2065646519525" xr:uid="{00000000-0004-0000-0000-0000B5030000}"/>
    <hyperlink ref="E952" r:id="rId951" display="AU2065646519525" xr:uid="{00000000-0004-0000-0000-0000B6030000}"/>
    <hyperlink ref="E953" r:id="rId952" display="AU2065646519525" xr:uid="{00000000-0004-0000-0000-0000B7030000}"/>
    <hyperlink ref="E954" r:id="rId953" display="AU2065646519525" xr:uid="{00000000-0004-0000-0000-0000B8030000}"/>
    <hyperlink ref="E955" r:id="rId954" display="AU2065646519525" xr:uid="{00000000-0004-0000-0000-0000B9030000}"/>
    <hyperlink ref="E956" r:id="rId955" display="AU2065646519525" xr:uid="{00000000-0004-0000-0000-0000BA030000}"/>
    <hyperlink ref="E957" r:id="rId956" display="AU2065646519525" xr:uid="{00000000-0004-0000-0000-0000BB030000}"/>
    <hyperlink ref="E958" r:id="rId957" display="AU2065646519525" xr:uid="{00000000-0004-0000-0000-0000BC030000}"/>
    <hyperlink ref="E959" r:id="rId958" display="AU2065646519525" xr:uid="{00000000-0004-0000-0000-0000BD030000}"/>
    <hyperlink ref="E960" r:id="rId959" display="AU2065646519525" xr:uid="{00000000-0004-0000-0000-0000BE030000}"/>
    <hyperlink ref="E961" r:id="rId960" display="AU2065646519525" xr:uid="{00000000-0004-0000-0000-0000BF030000}"/>
    <hyperlink ref="E962" r:id="rId961" display="AU2065646519525" xr:uid="{00000000-0004-0000-0000-0000C0030000}"/>
    <hyperlink ref="E963" r:id="rId962" display="AU2065646519525" xr:uid="{00000000-0004-0000-0000-0000C1030000}"/>
    <hyperlink ref="E964" r:id="rId963" display="AU2065646519525" xr:uid="{00000000-0004-0000-0000-0000C2030000}"/>
    <hyperlink ref="E965" r:id="rId964" display="AU2065646519525" xr:uid="{00000000-0004-0000-0000-0000C3030000}"/>
    <hyperlink ref="E966" r:id="rId965" display="AU2065646519525" xr:uid="{00000000-0004-0000-0000-0000C4030000}"/>
    <hyperlink ref="E967" r:id="rId966" display="AU2065646519525" xr:uid="{00000000-0004-0000-0000-0000C5030000}"/>
    <hyperlink ref="E968" r:id="rId967" display="AU2065646519525" xr:uid="{00000000-0004-0000-0000-0000C6030000}"/>
    <hyperlink ref="E969" r:id="rId968" display="AU2065646519525" xr:uid="{00000000-0004-0000-0000-0000C7030000}"/>
    <hyperlink ref="E970" r:id="rId969" display="AU2065646519525" xr:uid="{00000000-0004-0000-0000-0000C8030000}"/>
    <hyperlink ref="E971" r:id="rId970" display="AU2065646519525" xr:uid="{00000000-0004-0000-0000-0000C9030000}"/>
    <hyperlink ref="E972" r:id="rId971" display="AU2065646519525" xr:uid="{00000000-0004-0000-0000-0000CA030000}"/>
    <hyperlink ref="E973" r:id="rId972" display="AU2065646519525" xr:uid="{00000000-0004-0000-0000-0000CB030000}"/>
    <hyperlink ref="E974" r:id="rId973" display="AU2065646519525" xr:uid="{00000000-0004-0000-0000-0000CC030000}"/>
    <hyperlink ref="E975" r:id="rId974" display="AU2065646519525" xr:uid="{00000000-0004-0000-0000-0000CD030000}"/>
    <hyperlink ref="E976" r:id="rId975" display="AU2065646519525" xr:uid="{00000000-0004-0000-0000-0000CE030000}"/>
    <hyperlink ref="E977" r:id="rId976" display="AU2065646519525" xr:uid="{00000000-0004-0000-0000-0000CF030000}"/>
    <hyperlink ref="E978" r:id="rId977" display="AU2065646519525" xr:uid="{00000000-0004-0000-0000-0000D0030000}"/>
    <hyperlink ref="E979" r:id="rId978" display="AU2065646519525" xr:uid="{00000000-0004-0000-0000-0000D1030000}"/>
    <hyperlink ref="E980" r:id="rId979" display="AU2065646519525" xr:uid="{00000000-0004-0000-0000-0000D2030000}"/>
    <hyperlink ref="E981" r:id="rId980" display="AU2065646519525" xr:uid="{00000000-0004-0000-0000-0000D3030000}"/>
    <hyperlink ref="E982" r:id="rId981" display="AU2065646519525" xr:uid="{00000000-0004-0000-0000-0000D4030000}"/>
    <hyperlink ref="E983" r:id="rId982" display="AU2065646519525" xr:uid="{00000000-0004-0000-0000-0000D5030000}"/>
    <hyperlink ref="E984" r:id="rId983" display="AU2065646519525" xr:uid="{00000000-0004-0000-0000-0000D6030000}"/>
    <hyperlink ref="E985" r:id="rId984" display="AU2065646519525" xr:uid="{00000000-0004-0000-0000-0000D7030000}"/>
    <hyperlink ref="E986" r:id="rId985" display="AU2065646519525" xr:uid="{00000000-0004-0000-0000-0000D8030000}"/>
    <hyperlink ref="E987" r:id="rId986" display="AU2065646519525" xr:uid="{00000000-0004-0000-0000-0000D9030000}"/>
    <hyperlink ref="E988" r:id="rId987" display="AU2065646519525" xr:uid="{00000000-0004-0000-0000-0000DA030000}"/>
    <hyperlink ref="E989" r:id="rId988" display="AU2065646519525" xr:uid="{00000000-0004-0000-0000-0000DB030000}"/>
    <hyperlink ref="E990" r:id="rId989" display="AU2065646519525" xr:uid="{00000000-0004-0000-0000-0000DC030000}"/>
    <hyperlink ref="E991" r:id="rId990" display="AU2065646519525" xr:uid="{00000000-0004-0000-0000-0000DD030000}"/>
    <hyperlink ref="E992" r:id="rId991" display="AU2065646519525" xr:uid="{00000000-0004-0000-0000-0000DE030000}"/>
    <hyperlink ref="E993" r:id="rId992" display="AU2065646519525" xr:uid="{00000000-0004-0000-0000-0000DF030000}"/>
    <hyperlink ref="E994" r:id="rId993" display="AU2065646519525" xr:uid="{00000000-0004-0000-0000-0000E0030000}"/>
    <hyperlink ref="E995" r:id="rId994" display="AU2065646519525" xr:uid="{00000000-0004-0000-0000-0000E1030000}"/>
    <hyperlink ref="E996" r:id="rId995" display="AU2065646519525" xr:uid="{00000000-0004-0000-0000-0000E2030000}"/>
    <hyperlink ref="E997" r:id="rId996" display="AU2065646519525" xr:uid="{00000000-0004-0000-0000-0000E3030000}"/>
    <hyperlink ref="E998" r:id="rId997" display="AU2065646519525" xr:uid="{00000000-0004-0000-0000-0000E4030000}"/>
    <hyperlink ref="E999" r:id="rId998" display="AU2065646519525" xr:uid="{00000000-0004-0000-0000-0000E5030000}"/>
    <hyperlink ref="E1000" r:id="rId999" display="AU2065646519525" xr:uid="{00000000-0004-0000-0000-0000E6030000}"/>
    <hyperlink ref="E1001" r:id="rId1000" display="AU2065646519525" xr:uid="{00000000-0004-0000-0000-0000E7030000}"/>
    <hyperlink ref="E1002" r:id="rId1001" display="AU2065646519525" xr:uid="{00000000-0004-0000-0000-0000E8030000}"/>
    <hyperlink ref="E1003" r:id="rId1002" display="AU2065646519525" xr:uid="{00000000-0004-0000-0000-0000E9030000}"/>
    <hyperlink ref="E1004" r:id="rId1003" display="AU2065646519525" xr:uid="{00000000-0004-0000-0000-0000EA030000}"/>
    <hyperlink ref="E1005" r:id="rId1004" display="AU2065646519525" xr:uid="{00000000-0004-0000-0000-0000EB030000}"/>
    <hyperlink ref="E1006" r:id="rId1005" display="AU2065646519525" xr:uid="{00000000-0004-0000-0000-0000EC030000}"/>
    <hyperlink ref="E1007" r:id="rId1006" display="AU2065646519525" xr:uid="{00000000-0004-0000-0000-0000ED030000}"/>
    <hyperlink ref="E1008" r:id="rId1007" display="AU2065646519525" xr:uid="{00000000-0004-0000-0000-0000EE030000}"/>
    <hyperlink ref="E1009" r:id="rId1008" display="AU2065646519525" xr:uid="{00000000-0004-0000-0000-0000EF030000}"/>
    <hyperlink ref="E1010" r:id="rId1009" display="AU2065646519525" xr:uid="{00000000-0004-0000-0000-0000F0030000}"/>
    <hyperlink ref="E1011" r:id="rId1010" display="AU2065646519525" xr:uid="{00000000-0004-0000-0000-0000F1030000}"/>
    <hyperlink ref="E1012" r:id="rId1011" display="AU2065646519525" xr:uid="{00000000-0004-0000-0000-0000F2030000}"/>
    <hyperlink ref="E1013" r:id="rId1012" display="AU2065646519525" xr:uid="{00000000-0004-0000-0000-0000F3030000}"/>
    <hyperlink ref="E1014" r:id="rId1013" display="AU2065646519525" xr:uid="{00000000-0004-0000-0000-0000F4030000}"/>
    <hyperlink ref="E1015" r:id="rId1014" display="AU2065646519525" xr:uid="{00000000-0004-0000-0000-0000F5030000}"/>
    <hyperlink ref="E1016" r:id="rId1015" display="AU2065646519525" xr:uid="{00000000-0004-0000-0000-0000F6030000}"/>
    <hyperlink ref="E1017" r:id="rId1016" display="AU2065646519525" xr:uid="{00000000-0004-0000-0000-0000F7030000}"/>
    <hyperlink ref="E1018" r:id="rId1017" display="AU2065646519525" xr:uid="{00000000-0004-0000-0000-0000F8030000}"/>
    <hyperlink ref="E1019" r:id="rId1018" display="AU2065646519525" xr:uid="{00000000-0004-0000-0000-0000F9030000}"/>
    <hyperlink ref="E1020" r:id="rId1019" display="AU2065646519525" xr:uid="{00000000-0004-0000-0000-0000FA030000}"/>
    <hyperlink ref="E1021" r:id="rId1020" display="AU2065646519525" xr:uid="{00000000-0004-0000-0000-0000FB030000}"/>
    <hyperlink ref="E1022" r:id="rId1021" display="AU2065646519525" xr:uid="{00000000-0004-0000-0000-0000FC030000}"/>
    <hyperlink ref="E1023" r:id="rId1022" display="AU2065646519525" xr:uid="{00000000-0004-0000-0000-0000FD030000}"/>
    <hyperlink ref="E1024" r:id="rId1023" display="AU2065646519525" xr:uid="{00000000-0004-0000-0000-0000FE030000}"/>
    <hyperlink ref="E1025" r:id="rId1024" display="AU2065646519525" xr:uid="{00000000-0004-0000-0000-0000FF030000}"/>
    <hyperlink ref="E1026" r:id="rId1025" display="AU2065646519525" xr:uid="{00000000-0004-0000-0000-000000040000}"/>
    <hyperlink ref="E1027" r:id="rId1026" display="AU2065646519525" xr:uid="{00000000-0004-0000-0000-000001040000}"/>
    <hyperlink ref="E1028" r:id="rId1027" display="AU2065646519525" xr:uid="{00000000-0004-0000-0000-000002040000}"/>
    <hyperlink ref="E1029" r:id="rId1028" display="AU2065646519525" xr:uid="{00000000-0004-0000-0000-000003040000}"/>
    <hyperlink ref="E1030" r:id="rId1029" display="AU2065646519525" xr:uid="{00000000-0004-0000-0000-000004040000}"/>
    <hyperlink ref="E1031" r:id="rId1030" display="AU2065646519525" xr:uid="{00000000-0004-0000-0000-000005040000}"/>
    <hyperlink ref="E1032" r:id="rId1031" display="AU2065646519525" xr:uid="{00000000-0004-0000-0000-000006040000}"/>
    <hyperlink ref="E1033" r:id="rId1032" display="AU2065646519525" xr:uid="{00000000-0004-0000-0000-000007040000}"/>
    <hyperlink ref="E1034" r:id="rId1033" display="AU2065646519525" xr:uid="{00000000-0004-0000-0000-000008040000}"/>
    <hyperlink ref="E1035" r:id="rId1034" display="AU2065646519525" xr:uid="{00000000-0004-0000-0000-000009040000}"/>
    <hyperlink ref="E1036" r:id="rId1035" display="AU2065646519525" xr:uid="{00000000-0004-0000-0000-00000A040000}"/>
    <hyperlink ref="E1037" r:id="rId1036" display="AU2065646519525" xr:uid="{00000000-0004-0000-0000-00000B040000}"/>
    <hyperlink ref="E1038" r:id="rId1037" display="AU2065646519525" xr:uid="{00000000-0004-0000-0000-00000C040000}"/>
    <hyperlink ref="E1039" r:id="rId1038" display="AU2065646519525" xr:uid="{00000000-0004-0000-0000-00000D040000}"/>
    <hyperlink ref="E1040" r:id="rId1039" display="AU2065646519525" xr:uid="{00000000-0004-0000-0000-00000E040000}"/>
    <hyperlink ref="E1041" r:id="rId1040" display="AU2065646519525" xr:uid="{00000000-0004-0000-0000-00000F040000}"/>
    <hyperlink ref="E1042" r:id="rId1041" display="AU2065646519525" xr:uid="{00000000-0004-0000-0000-000010040000}"/>
    <hyperlink ref="E1043" r:id="rId1042" display="AU2065646519525" xr:uid="{00000000-0004-0000-0000-000011040000}"/>
    <hyperlink ref="E1044" r:id="rId1043" display="AU2065646519525" xr:uid="{00000000-0004-0000-0000-000012040000}"/>
    <hyperlink ref="E1045" r:id="rId1044" display="AU2065646519525" xr:uid="{00000000-0004-0000-0000-000013040000}"/>
    <hyperlink ref="E1046" r:id="rId1045" display="AU2065646519525" xr:uid="{00000000-0004-0000-0000-000014040000}"/>
    <hyperlink ref="E1047" r:id="rId1046" display="AU2065646519525" xr:uid="{00000000-0004-0000-0000-000015040000}"/>
    <hyperlink ref="E1048" r:id="rId1047" display="AU2065646519525" xr:uid="{00000000-0004-0000-0000-000016040000}"/>
    <hyperlink ref="E1049" r:id="rId1048" display="AU2065646519525" xr:uid="{00000000-0004-0000-0000-000017040000}"/>
    <hyperlink ref="E1050" r:id="rId1049" display="AU2065646519525" xr:uid="{00000000-0004-0000-0000-000018040000}"/>
    <hyperlink ref="E1051" r:id="rId1050" display="AU2065646519525" xr:uid="{00000000-0004-0000-0000-000019040000}"/>
    <hyperlink ref="E1052" r:id="rId1051" display="AU2065646519525" xr:uid="{00000000-0004-0000-0000-00001A040000}"/>
    <hyperlink ref="E1053" r:id="rId1052" display="AU2065646519525" xr:uid="{00000000-0004-0000-0000-00001B040000}"/>
    <hyperlink ref="E1054" r:id="rId1053" display="AU2065646519525" xr:uid="{00000000-0004-0000-0000-00001C040000}"/>
    <hyperlink ref="E1055" r:id="rId1054" display="AU2065646519525" xr:uid="{00000000-0004-0000-0000-00001D040000}"/>
    <hyperlink ref="E1056" r:id="rId1055" display="AU2065646519525" xr:uid="{00000000-0004-0000-0000-00001E040000}"/>
    <hyperlink ref="E1057" r:id="rId1056" display="AU2065646519525" xr:uid="{00000000-0004-0000-0000-00001F040000}"/>
    <hyperlink ref="E1058" r:id="rId1057" display="AU2065646519525" xr:uid="{00000000-0004-0000-0000-000020040000}"/>
    <hyperlink ref="E1059" r:id="rId1058" display="AU2065646519525" xr:uid="{00000000-0004-0000-0000-000021040000}"/>
    <hyperlink ref="E1060" r:id="rId1059" display="AU2065646519525" xr:uid="{00000000-0004-0000-0000-000022040000}"/>
    <hyperlink ref="E1061" r:id="rId1060" display="AU2065646519525" xr:uid="{00000000-0004-0000-0000-000023040000}"/>
    <hyperlink ref="E1062" r:id="rId1061" display="AU2065646519525" xr:uid="{00000000-0004-0000-0000-000024040000}"/>
    <hyperlink ref="E1063" r:id="rId1062" display="AU2065646519525" xr:uid="{00000000-0004-0000-0000-000025040000}"/>
    <hyperlink ref="E1064" r:id="rId1063" display="AU2065646519525" xr:uid="{00000000-0004-0000-0000-000026040000}"/>
    <hyperlink ref="E1065" r:id="rId1064" display="AU2065646519525" xr:uid="{00000000-0004-0000-0000-000027040000}"/>
    <hyperlink ref="E1066" r:id="rId1065" display="AU2065646519525" xr:uid="{00000000-0004-0000-0000-000028040000}"/>
    <hyperlink ref="E1067" r:id="rId1066" display="AU2065646519525" xr:uid="{00000000-0004-0000-0000-000029040000}"/>
    <hyperlink ref="E1068" r:id="rId1067" display="AU2065646519525" xr:uid="{00000000-0004-0000-0000-00002A040000}"/>
    <hyperlink ref="E1069" r:id="rId1068" display="AU2065646519525" xr:uid="{00000000-0004-0000-0000-00002B040000}"/>
    <hyperlink ref="E1070" r:id="rId1069" display="AU2065646519525" xr:uid="{00000000-0004-0000-0000-00002C040000}"/>
    <hyperlink ref="E1071" r:id="rId1070" display="AU2065646519525" xr:uid="{00000000-0004-0000-0000-00002D040000}"/>
    <hyperlink ref="E1072" r:id="rId1071" display="AU2065646519525" xr:uid="{00000000-0004-0000-0000-00002E040000}"/>
    <hyperlink ref="E1073" r:id="rId1072" display="AU2065646519525" xr:uid="{00000000-0004-0000-0000-00002F040000}"/>
    <hyperlink ref="E1074" r:id="rId1073" display="AU2065646519525" xr:uid="{00000000-0004-0000-0000-000030040000}"/>
    <hyperlink ref="E1075" r:id="rId1074" display="AU2065646519525" xr:uid="{00000000-0004-0000-0000-000031040000}"/>
    <hyperlink ref="E1076" r:id="rId1075" display="AU2065646519525" xr:uid="{00000000-0004-0000-0000-000032040000}"/>
    <hyperlink ref="E1077" r:id="rId1076" display="AU2065646519525" xr:uid="{00000000-0004-0000-0000-000033040000}"/>
    <hyperlink ref="E1078" r:id="rId1077" display="AU2065646519525" xr:uid="{00000000-0004-0000-0000-000034040000}"/>
    <hyperlink ref="E1079" r:id="rId1078" display="AU2065646519525" xr:uid="{00000000-0004-0000-0000-000035040000}"/>
    <hyperlink ref="E1080" r:id="rId1079" display="AU2065646519525" xr:uid="{00000000-0004-0000-0000-000036040000}"/>
    <hyperlink ref="E1081" r:id="rId1080" display="AU2065646519525" xr:uid="{00000000-0004-0000-0000-000037040000}"/>
    <hyperlink ref="E1082" r:id="rId1081" display="AU2065646519525" xr:uid="{00000000-0004-0000-0000-000038040000}"/>
    <hyperlink ref="E1083" r:id="rId1082" display="AU2065646519525" xr:uid="{00000000-0004-0000-0000-000039040000}"/>
    <hyperlink ref="E1084" r:id="rId1083" display="AU2065646519525" xr:uid="{00000000-0004-0000-0000-00003A040000}"/>
    <hyperlink ref="E1085" r:id="rId1084" display="AU2065646519525" xr:uid="{00000000-0004-0000-0000-00003B040000}"/>
    <hyperlink ref="E1086" r:id="rId1085" display="AU2065646519525" xr:uid="{00000000-0004-0000-0000-00003C040000}"/>
    <hyperlink ref="E1087" r:id="rId1086" display="AU2065646519525" xr:uid="{00000000-0004-0000-0000-00003D040000}"/>
    <hyperlink ref="E1088" r:id="rId1087" display="AU2065646519525" xr:uid="{00000000-0004-0000-0000-00003E040000}"/>
    <hyperlink ref="E1089" r:id="rId1088" display="AU2065646519525" xr:uid="{00000000-0004-0000-0000-00003F040000}"/>
    <hyperlink ref="E1090" r:id="rId1089" display="AU2065646519525" xr:uid="{00000000-0004-0000-0000-000040040000}"/>
    <hyperlink ref="E1091" r:id="rId1090" display="AU2065646519525" xr:uid="{00000000-0004-0000-0000-000041040000}"/>
    <hyperlink ref="E1092" r:id="rId1091" display="AU2065646519525" xr:uid="{00000000-0004-0000-0000-000042040000}"/>
    <hyperlink ref="E1093" r:id="rId1092" display="AU2065646519525" xr:uid="{00000000-0004-0000-0000-000043040000}"/>
    <hyperlink ref="E1094" r:id="rId1093" display="AU2065646519525" xr:uid="{00000000-0004-0000-0000-000044040000}"/>
    <hyperlink ref="E1095" r:id="rId1094" display="AU2065646519525" xr:uid="{00000000-0004-0000-0000-000045040000}"/>
    <hyperlink ref="E1096" r:id="rId1095" display="AU2065646519525" xr:uid="{00000000-0004-0000-0000-000046040000}"/>
    <hyperlink ref="E1097" r:id="rId1096" display="AU2065646519525" xr:uid="{00000000-0004-0000-0000-000047040000}"/>
    <hyperlink ref="E1098" r:id="rId1097" display="AU2065646519525" xr:uid="{00000000-0004-0000-0000-000048040000}"/>
    <hyperlink ref="E1099" r:id="rId1098" display="AU2065646519525" xr:uid="{00000000-0004-0000-0000-000049040000}"/>
    <hyperlink ref="E1100" r:id="rId1099" display="AU2065646519525" xr:uid="{00000000-0004-0000-0000-00004A040000}"/>
    <hyperlink ref="E1101" r:id="rId1100" display="AU2065646519525" xr:uid="{00000000-0004-0000-0000-00004B040000}"/>
    <hyperlink ref="E1102" r:id="rId1101" display="AU2065646519525" xr:uid="{00000000-0004-0000-0000-00004C040000}"/>
    <hyperlink ref="E1103" r:id="rId1102" display="AU2065646519525" xr:uid="{00000000-0004-0000-0000-00004D040000}"/>
    <hyperlink ref="E1104" r:id="rId1103" display="AU2065646519525" xr:uid="{00000000-0004-0000-0000-00004E040000}"/>
    <hyperlink ref="E1105" r:id="rId1104" display="AU2065646519525" xr:uid="{00000000-0004-0000-0000-00004F040000}"/>
    <hyperlink ref="E1106" r:id="rId1105" display="AU2065646519525" xr:uid="{00000000-0004-0000-0000-000050040000}"/>
    <hyperlink ref="E1107" r:id="rId1106" display="AU2065646519525" xr:uid="{00000000-0004-0000-0000-000051040000}"/>
    <hyperlink ref="E1108" r:id="rId1107" display="AU2065646519525" xr:uid="{00000000-0004-0000-0000-000052040000}"/>
    <hyperlink ref="E1109" r:id="rId1108" display="AU2065646519525" xr:uid="{00000000-0004-0000-0000-000053040000}"/>
    <hyperlink ref="E1110" r:id="rId1109" display="AU2065646519525" xr:uid="{00000000-0004-0000-0000-000054040000}"/>
    <hyperlink ref="E1111" r:id="rId1110" display="AU2065646519525" xr:uid="{00000000-0004-0000-0000-000055040000}"/>
    <hyperlink ref="E1112" r:id="rId1111" display="AU2065646519525" xr:uid="{00000000-0004-0000-0000-000056040000}"/>
    <hyperlink ref="E1113" r:id="rId1112" display="AU2065646519525" xr:uid="{00000000-0004-0000-0000-000057040000}"/>
    <hyperlink ref="E1114" r:id="rId1113" display="AU2065646519525" xr:uid="{00000000-0004-0000-0000-000058040000}"/>
    <hyperlink ref="E1115" r:id="rId1114" display="AU2065646519525" xr:uid="{00000000-0004-0000-0000-000059040000}"/>
    <hyperlink ref="E1116" r:id="rId1115" display="AU2065646519525" xr:uid="{00000000-0004-0000-0000-00005A040000}"/>
    <hyperlink ref="E1117" r:id="rId1116" display="AU2065646519525" xr:uid="{00000000-0004-0000-0000-00005B040000}"/>
    <hyperlink ref="E1118" r:id="rId1117" display="AU2065646519525" xr:uid="{00000000-0004-0000-0000-00005C040000}"/>
    <hyperlink ref="E1119" r:id="rId1118" display="AU2065646519525" xr:uid="{00000000-0004-0000-0000-00005D040000}"/>
    <hyperlink ref="E1120" r:id="rId1119" display="AU2065646519525" xr:uid="{00000000-0004-0000-0000-00005E040000}"/>
    <hyperlink ref="E1121" r:id="rId1120" display="AU2065646519525" xr:uid="{00000000-0004-0000-0000-00005F040000}"/>
    <hyperlink ref="E1122" r:id="rId1121" display="AU2065646519525" xr:uid="{00000000-0004-0000-0000-000060040000}"/>
    <hyperlink ref="E1123" r:id="rId1122" display="AU2065646519525" xr:uid="{00000000-0004-0000-0000-000061040000}"/>
    <hyperlink ref="E1124" r:id="rId1123" display="AU2065646519525" xr:uid="{00000000-0004-0000-0000-000062040000}"/>
    <hyperlink ref="E1125" r:id="rId1124" display="AU2065646519525" xr:uid="{00000000-0004-0000-0000-000063040000}"/>
    <hyperlink ref="E1126" r:id="rId1125" display="AU2065646519525" xr:uid="{00000000-0004-0000-0000-000064040000}"/>
    <hyperlink ref="E1127" r:id="rId1126" display="AU2065646519525" xr:uid="{00000000-0004-0000-0000-000065040000}"/>
    <hyperlink ref="E1128" r:id="rId1127" display="AU2065646519525" xr:uid="{00000000-0004-0000-0000-000066040000}"/>
    <hyperlink ref="E1129" r:id="rId1128" display="AU2065646519525" xr:uid="{00000000-0004-0000-0000-000067040000}"/>
    <hyperlink ref="E1130" r:id="rId1129" display="AU2065646519525" xr:uid="{00000000-0004-0000-0000-000068040000}"/>
    <hyperlink ref="E1131" r:id="rId1130" display="AU2065646519525" xr:uid="{00000000-0004-0000-0000-000069040000}"/>
    <hyperlink ref="E1132" r:id="rId1131" display="AU2065646519525" xr:uid="{00000000-0004-0000-0000-00006A040000}"/>
    <hyperlink ref="E1133" r:id="rId1132" display="AU2065646519525" xr:uid="{00000000-0004-0000-0000-00006B040000}"/>
    <hyperlink ref="E1134" r:id="rId1133" display="AU2065646519525" xr:uid="{00000000-0004-0000-0000-00006C040000}"/>
    <hyperlink ref="E1135" r:id="rId1134" display="AU2065646519525" xr:uid="{00000000-0004-0000-0000-00006D040000}"/>
    <hyperlink ref="E1136" r:id="rId1135" display="AU2065646519525" xr:uid="{00000000-0004-0000-0000-00006E040000}"/>
    <hyperlink ref="E1137" r:id="rId1136" display="AU2065646519525" xr:uid="{00000000-0004-0000-0000-00006F040000}"/>
    <hyperlink ref="E1138" r:id="rId1137" display="AU2065646519525" xr:uid="{00000000-0004-0000-0000-000070040000}"/>
    <hyperlink ref="E1139" r:id="rId1138" display="AU2065646519525" xr:uid="{00000000-0004-0000-0000-000071040000}"/>
    <hyperlink ref="E1140" r:id="rId1139" display="AU2065646519525" xr:uid="{00000000-0004-0000-0000-000072040000}"/>
    <hyperlink ref="E1141" r:id="rId1140" display="AU2065646519525" xr:uid="{00000000-0004-0000-0000-000073040000}"/>
    <hyperlink ref="E1142" r:id="rId1141" display="AU2065646519525" xr:uid="{00000000-0004-0000-0000-000074040000}"/>
    <hyperlink ref="E1143" r:id="rId1142" display="AU2065646519525" xr:uid="{00000000-0004-0000-0000-000075040000}"/>
    <hyperlink ref="E1144" r:id="rId1143" display="AU2065646519525" xr:uid="{00000000-0004-0000-0000-000076040000}"/>
    <hyperlink ref="E1145" r:id="rId1144" display="AU2065646519525" xr:uid="{00000000-0004-0000-0000-000077040000}"/>
    <hyperlink ref="E1146" r:id="rId1145" display="AU2065646519525" xr:uid="{00000000-0004-0000-0000-000078040000}"/>
    <hyperlink ref="E1147" r:id="rId1146" display="AU2065646519525" xr:uid="{00000000-0004-0000-0000-000079040000}"/>
    <hyperlink ref="E1148" r:id="rId1147" display="AU2065646519525" xr:uid="{00000000-0004-0000-0000-00007A040000}"/>
    <hyperlink ref="E1149" r:id="rId1148" display="AU2065646519525" xr:uid="{00000000-0004-0000-0000-00007B040000}"/>
    <hyperlink ref="E1150" r:id="rId1149" display="AU2065646519525" xr:uid="{00000000-0004-0000-0000-00007C040000}"/>
    <hyperlink ref="E1151" r:id="rId1150" display="AU2065646519525" xr:uid="{00000000-0004-0000-0000-00007D040000}"/>
    <hyperlink ref="E1152" r:id="rId1151" display="AU2065646519525" xr:uid="{00000000-0004-0000-0000-00007E040000}"/>
    <hyperlink ref="E1153" r:id="rId1152" display="AU2065646519525" xr:uid="{00000000-0004-0000-0000-00007F040000}"/>
    <hyperlink ref="E1154" r:id="rId1153" display="AU2065646519525" xr:uid="{00000000-0004-0000-0000-000080040000}"/>
    <hyperlink ref="E1155" r:id="rId1154" display="AU2065646519525" xr:uid="{00000000-0004-0000-0000-000081040000}"/>
    <hyperlink ref="E1156" r:id="rId1155" display="AU2065646519525" xr:uid="{00000000-0004-0000-0000-000082040000}"/>
    <hyperlink ref="E1157" r:id="rId1156" display="AU2065646519525" xr:uid="{00000000-0004-0000-0000-000083040000}"/>
    <hyperlink ref="E1158" r:id="rId1157" display="AU2065646519525" xr:uid="{00000000-0004-0000-0000-000084040000}"/>
    <hyperlink ref="E1159" r:id="rId1158" display="AU2065646519525" xr:uid="{00000000-0004-0000-0000-000085040000}"/>
    <hyperlink ref="E1160" r:id="rId1159" display="AU2065646519525" xr:uid="{00000000-0004-0000-0000-000086040000}"/>
    <hyperlink ref="E1161" r:id="rId1160" display="AU2065646519525" xr:uid="{00000000-0004-0000-0000-000087040000}"/>
    <hyperlink ref="E1162" r:id="rId1161" display="AU2065646519525" xr:uid="{00000000-0004-0000-0000-000088040000}"/>
    <hyperlink ref="E1163" r:id="rId1162" display="AU2065646519525" xr:uid="{00000000-0004-0000-0000-000089040000}"/>
    <hyperlink ref="E1164" r:id="rId1163" display="AU2065646519525" xr:uid="{00000000-0004-0000-0000-00008A040000}"/>
    <hyperlink ref="E1165" r:id="rId1164" display="AU2065646519525" xr:uid="{00000000-0004-0000-0000-00008B040000}"/>
    <hyperlink ref="E1166" r:id="rId1165" display="AU2065646519525" xr:uid="{00000000-0004-0000-0000-00008C040000}"/>
    <hyperlink ref="E1167" r:id="rId1166" display="AU2065646519525" xr:uid="{00000000-0004-0000-0000-00008D040000}"/>
    <hyperlink ref="E1168" r:id="rId1167" display="AU2065646519525" xr:uid="{00000000-0004-0000-0000-00008E040000}"/>
    <hyperlink ref="E1169" r:id="rId1168" display="AU2065646519525" xr:uid="{00000000-0004-0000-0000-00008F040000}"/>
    <hyperlink ref="E1170" r:id="rId1169" display="AU2065646519525" xr:uid="{00000000-0004-0000-0000-000090040000}"/>
    <hyperlink ref="E1171" r:id="rId1170" display="AU2065646519525" xr:uid="{00000000-0004-0000-0000-000091040000}"/>
    <hyperlink ref="E1172" r:id="rId1171" display="AU2065646519525" xr:uid="{00000000-0004-0000-0000-000092040000}"/>
    <hyperlink ref="E1173" r:id="rId1172" display="AU2065646519525" xr:uid="{00000000-0004-0000-0000-000093040000}"/>
    <hyperlink ref="E1174" r:id="rId1173" display="AU2065646519525" xr:uid="{00000000-0004-0000-0000-000094040000}"/>
    <hyperlink ref="E1175" r:id="rId1174" display="AU2065646519525" xr:uid="{00000000-0004-0000-0000-000095040000}"/>
    <hyperlink ref="E1176" r:id="rId1175" display="AU2065646519525" xr:uid="{00000000-0004-0000-0000-000096040000}"/>
    <hyperlink ref="E1177" r:id="rId1176" display="AU2065646519525" xr:uid="{00000000-0004-0000-0000-000097040000}"/>
    <hyperlink ref="E1178" r:id="rId1177" display="AU2065646519525" xr:uid="{00000000-0004-0000-0000-000098040000}"/>
    <hyperlink ref="E1179" r:id="rId1178" display="AU2065646519525" xr:uid="{00000000-0004-0000-0000-000099040000}"/>
    <hyperlink ref="E1180" r:id="rId1179" display="AU2065646519525" xr:uid="{00000000-0004-0000-0000-00009A040000}"/>
    <hyperlink ref="E1181" r:id="rId1180" display="AU2065646519525" xr:uid="{00000000-0004-0000-0000-00009B040000}"/>
    <hyperlink ref="E1182" r:id="rId1181" display="AU2065646519525" xr:uid="{00000000-0004-0000-0000-00009C040000}"/>
    <hyperlink ref="E1183" r:id="rId1182" display="AU2065646519525" xr:uid="{00000000-0004-0000-0000-00009D040000}"/>
    <hyperlink ref="E1184" r:id="rId1183" display="AU2065646519525" xr:uid="{00000000-0004-0000-0000-00009E040000}"/>
    <hyperlink ref="E1185" r:id="rId1184" display="AU2065646519525" xr:uid="{00000000-0004-0000-0000-00009F040000}"/>
    <hyperlink ref="E1186" r:id="rId1185" display="AU2065646519525" xr:uid="{00000000-0004-0000-0000-0000A0040000}"/>
    <hyperlink ref="E1187" r:id="rId1186" display="AU2065646519525" xr:uid="{00000000-0004-0000-0000-0000A1040000}"/>
    <hyperlink ref="E1188" r:id="rId1187" display="AU2065646519525" xr:uid="{00000000-0004-0000-0000-0000A2040000}"/>
    <hyperlink ref="E1189" r:id="rId1188" display="AU2065646519525" xr:uid="{00000000-0004-0000-0000-0000A3040000}"/>
    <hyperlink ref="E1190" r:id="rId1189" display="AU2065646519525" xr:uid="{00000000-0004-0000-0000-0000A4040000}"/>
    <hyperlink ref="E1191" r:id="rId1190" display="AU2065646519525" xr:uid="{00000000-0004-0000-0000-0000A5040000}"/>
    <hyperlink ref="E1192" r:id="rId1191" display="AU2065646519525" xr:uid="{00000000-0004-0000-0000-0000A6040000}"/>
    <hyperlink ref="E1193" r:id="rId1192" display="AU2065646519525" xr:uid="{00000000-0004-0000-0000-0000A7040000}"/>
    <hyperlink ref="E1194" r:id="rId1193" display="AU2065646519525" xr:uid="{00000000-0004-0000-0000-0000A8040000}"/>
    <hyperlink ref="E1195" r:id="rId1194" display="AU2065646519525" xr:uid="{00000000-0004-0000-0000-0000A9040000}"/>
    <hyperlink ref="E1196" r:id="rId1195" display="AU2065646519525" xr:uid="{00000000-0004-0000-0000-0000AA040000}"/>
    <hyperlink ref="E1197" r:id="rId1196" display="AU2065646519525" xr:uid="{00000000-0004-0000-0000-0000AB040000}"/>
    <hyperlink ref="E1198" r:id="rId1197" display="AU2065646519525" xr:uid="{00000000-0004-0000-0000-0000AC040000}"/>
    <hyperlink ref="E1199" r:id="rId1198" display="AU2065646519525" xr:uid="{00000000-0004-0000-0000-0000AD040000}"/>
    <hyperlink ref="E1200" r:id="rId1199" display="AU2065646519525" xr:uid="{00000000-0004-0000-0000-0000AE040000}"/>
    <hyperlink ref="E1201" r:id="rId1200" display="AU2065646519525" xr:uid="{00000000-0004-0000-0000-0000AF040000}"/>
    <hyperlink ref="E1202" r:id="rId1201" display="AU2065646519525" xr:uid="{00000000-0004-0000-0000-0000B0040000}"/>
    <hyperlink ref="E1203" r:id="rId1202" display="AU2065646519525" xr:uid="{00000000-0004-0000-0000-0000B1040000}"/>
    <hyperlink ref="E1204" r:id="rId1203" display="AU2065646519525" xr:uid="{00000000-0004-0000-0000-0000B2040000}"/>
    <hyperlink ref="E1205" r:id="rId1204" display="AU2065646519525" xr:uid="{00000000-0004-0000-0000-0000B3040000}"/>
    <hyperlink ref="E1206" r:id="rId1205" display="AU2065646519525" xr:uid="{00000000-0004-0000-0000-0000B4040000}"/>
    <hyperlink ref="E1207" r:id="rId1206" display="AU2065646519525" xr:uid="{00000000-0004-0000-0000-0000B5040000}"/>
    <hyperlink ref="E1208" r:id="rId1207" display="AU2065646519525" xr:uid="{00000000-0004-0000-0000-0000B6040000}"/>
    <hyperlink ref="E1209" r:id="rId1208" display="AU2065646519525" xr:uid="{00000000-0004-0000-0000-0000B7040000}"/>
    <hyperlink ref="E1210" r:id="rId1209" display="AU2065646519525" xr:uid="{00000000-0004-0000-0000-0000B8040000}"/>
    <hyperlink ref="E1211" r:id="rId1210" display="AU2065646519525" xr:uid="{00000000-0004-0000-0000-0000B9040000}"/>
    <hyperlink ref="E1212" r:id="rId1211" display="AU2065646519525" xr:uid="{00000000-0004-0000-0000-0000BA040000}"/>
    <hyperlink ref="E1213" r:id="rId1212" display="AU2065646519525" xr:uid="{00000000-0004-0000-0000-0000BB040000}"/>
    <hyperlink ref="E1214" r:id="rId1213" display="AU2065646519525" xr:uid="{00000000-0004-0000-0000-0000BC040000}"/>
    <hyperlink ref="E1215" r:id="rId1214" display="AU2065646519525" xr:uid="{00000000-0004-0000-0000-0000BD040000}"/>
    <hyperlink ref="E1216" r:id="rId1215" display="AU2065646519525" xr:uid="{00000000-0004-0000-0000-0000BE040000}"/>
    <hyperlink ref="E1217" r:id="rId1216" display="AU2065646519525" xr:uid="{00000000-0004-0000-0000-0000BF040000}"/>
    <hyperlink ref="E1218" r:id="rId1217" display="AU2065646519525" xr:uid="{00000000-0004-0000-0000-0000C0040000}"/>
    <hyperlink ref="E1219" r:id="rId1218" display="AU2065646519525" xr:uid="{00000000-0004-0000-0000-0000C1040000}"/>
    <hyperlink ref="E1220" r:id="rId1219" display="AU2065646519525" xr:uid="{00000000-0004-0000-0000-0000C2040000}"/>
    <hyperlink ref="E1221" r:id="rId1220" display="AU2065646519525" xr:uid="{00000000-0004-0000-0000-0000C3040000}"/>
    <hyperlink ref="E1222" r:id="rId1221" display="AU2065646519525" xr:uid="{00000000-0004-0000-0000-0000C4040000}"/>
    <hyperlink ref="E1223" r:id="rId1222" display="AU2065646519525" xr:uid="{00000000-0004-0000-0000-0000C5040000}"/>
    <hyperlink ref="E1224" r:id="rId1223" display="AU2065646519525" xr:uid="{00000000-0004-0000-0000-0000C6040000}"/>
    <hyperlink ref="E1225" r:id="rId1224" display="AU2065646519525" xr:uid="{00000000-0004-0000-0000-0000C7040000}"/>
    <hyperlink ref="E1226" r:id="rId1225" display="AU2065646519525" xr:uid="{00000000-0004-0000-0000-0000C8040000}"/>
    <hyperlink ref="E1227" r:id="rId1226" display="AU2065646519525" xr:uid="{00000000-0004-0000-0000-0000C9040000}"/>
    <hyperlink ref="E1228" r:id="rId1227" display="AU2065646519525" xr:uid="{00000000-0004-0000-0000-0000CA040000}"/>
    <hyperlink ref="E1229" r:id="rId1228" display="AU2065646519525" xr:uid="{00000000-0004-0000-0000-0000CB040000}"/>
    <hyperlink ref="E1230" r:id="rId1229" display="AU2065646519525" xr:uid="{00000000-0004-0000-0000-0000CC040000}"/>
    <hyperlink ref="E1231" r:id="rId1230" display="AU2065646519525" xr:uid="{00000000-0004-0000-0000-0000CD040000}"/>
    <hyperlink ref="E1232" r:id="rId1231" display="AU2065646519525" xr:uid="{00000000-0004-0000-0000-0000CE040000}"/>
    <hyperlink ref="E1233" r:id="rId1232" display="AU2065646519525" xr:uid="{00000000-0004-0000-0000-0000CF040000}"/>
    <hyperlink ref="E1234" r:id="rId1233" display="AU2065646519525" xr:uid="{00000000-0004-0000-0000-0000D0040000}"/>
    <hyperlink ref="E1235" r:id="rId1234" display="AU2065646519525" xr:uid="{00000000-0004-0000-0000-0000D1040000}"/>
    <hyperlink ref="E1236" r:id="rId1235" display="AU2065646519525" xr:uid="{00000000-0004-0000-0000-0000D2040000}"/>
    <hyperlink ref="E1237" r:id="rId1236" display="AU2065646519525" xr:uid="{00000000-0004-0000-0000-0000D3040000}"/>
    <hyperlink ref="E1238" r:id="rId1237" display="AU2065646519525" xr:uid="{00000000-0004-0000-0000-0000D4040000}"/>
    <hyperlink ref="E1239" r:id="rId1238" display="AU2065646519525" xr:uid="{00000000-0004-0000-0000-0000D5040000}"/>
    <hyperlink ref="E1240" r:id="rId1239" display="AU2065646519525" xr:uid="{00000000-0004-0000-0000-0000D6040000}"/>
    <hyperlink ref="E1241" r:id="rId1240" display="AU2065646519525" xr:uid="{00000000-0004-0000-0000-0000D7040000}"/>
    <hyperlink ref="E1242" r:id="rId1241" display="AU2065646519525" xr:uid="{00000000-0004-0000-0000-0000D8040000}"/>
    <hyperlink ref="E1243" r:id="rId1242" display="AU2065646519525" xr:uid="{00000000-0004-0000-0000-0000D9040000}"/>
    <hyperlink ref="E1244" r:id="rId1243" display="AU2065646519525" xr:uid="{00000000-0004-0000-0000-0000DA040000}"/>
    <hyperlink ref="E1245" r:id="rId1244" display="AU2065646519525" xr:uid="{00000000-0004-0000-0000-0000DB040000}"/>
    <hyperlink ref="E1246" r:id="rId1245" display="AU2065646519525" xr:uid="{00000000-0004-0000-0000-0000DC040000}"/>
    <hyperlink ref="E1247" r:id="rId1246" display="AU2065646519525" xr:uid="{00000000-0004-0000-0000-0000DD040000}"/>
    <hyperlink ref="E1248" r:id="rId1247" display="AU2065646519525" xr:uid="{00000000-0004-0000-0000-0000DE040000}"/>
    <hyperlink ref="E1249" r:id="rId1248" display="AU2065646519525" xr:uid="{00000000-0004-0000-0000-0000DF040000}"/>
    <hyperlink ref="E1250" r:id="rId1249" display="AU2065646519525" xr:uid="{00000000-0004-0000-0000-0000E0040000}"/>
    <hyperlink ref="E1251" r:id="rId1250" display="AU2065646519525" xr:uid="{00000000-0004-0000-0000-0000E1040000}"/>
    <hyperlink ref="E1252" r:id="rId1251" display="AU2065646519525" xr:uid="{00000000-0004-0000-0000-0000E2040000}"/>
    <hyperlink ref="E1253" r:id="rId1252" display="AU2065646519525" xr:uid="{00000000-0004-0000-0000-0000E3040000}"/>
    <hyperlink ref="E1254" r:id="rId1253" display="AU2065646519525" xr:uid="{00000000-0004-0000-0000-0000E4040000}"/>
    <hyperlink ref="E1255" r:id="rId1254" display="AU2065646519525" xr:uid="{00000000-0004-0000-0000-0000E5040000}"/>
    <hyperlink ref="E1256" r:id="rId1255" display="AU2065646519525" xr:uid="{00000000-0004-0000-0000-0000E6040000}"/>
    <hyperlink ref="E1257" r:id="rId1256" display="AU2065646519525" xr:uid="{00000000-0004-0000-0000-0000E7040000}"/>
    <hyperlink ref="E1258" r:id="rId1257" display="AU2065646519525" xr:uid="{00000000-0004-0000-0000-0000E8040000}"/>
    <hyperlink ref="E1259" r:id="rId1258" display="AU2065646519525" xr:uid="{00000000-0004-0000-0000-0000E9040000}"/>
    <hyperlink ref="E1260" r:id="rId1259" display="AU2065646519525" xr:uid="{00000000-0004-0000-0000-0000EA040000}"/>
    <hyperlink ref="E1261" r:id="rId1260" display="AU2065646519525" xr:uid="{00000000-0004-0000-0000-0000EB040000}"/>
    <hyperlink ref="E1262" r:id="rId1261" display="AU2065646519525" xr:uid="{00000000-0004-0000-0000-0000EC040000}"/>
    <hyperlink ref="E1263" r:id="rId1262" display="AU2065646519525" xr:uid="{00000000-0004-0000-0000-0000ED040000}"/>
    <hyperlink ref="E1264" r:id="rId1263" display="AU2065646519525" xr:uid="{00000000-0004-0000-0000-0000EE040000}"/>
    <hyperlink ref="E1265" r:id="rId1264" display="AU2065646519525" xr:uid="{00000000-0004-0000-0000-0000EF040000}"/>
    <hyperlink ref="E1266" r:id="rId1265" display="AU2065646519525" xr:uid="{00000000-0004-0000-0000-0000F0040000}"/>
    <hyperlink ref="E1267" r:id="rId1266" display="AU2065646519525" xr:uid="{00000000-0004-0000-0000-0000F1040000}"/>
    <hyperlink ref="E1268" r:id="rId1267" display="AU2065646519525" xr:uid="{00000000-0004-0000-0000-0000F2040000}"/>
    <hyperlink ref="E1269" r:id="rId1268" display="AU2065646519525" xr:uid="{00000000-0004-0000-0000-0000F3040000}"/>
    <hyperlink ref="E1270" r:id="rId1269" display="AU2065646519525" xr:uid="{00000000-0004-0000-0000-0000F4040000}"/>
    <hyperlink ref="E1271" r:id="rId1270" display="AU2065646519525" xr:uid="{00000000-0004-0000-0000-0000F5040000}"/>
    <hyperlink ref="E1272" r:id="rId1271" display="AU2065646519525" xr:uid="{00000000-0004-0000-0000-0000F6040000}"/>
    <hyperlink ref="E1273" r:id="rId1272" display="AU2065646519525" xr:uid="{00000000-0004-0000-0000-0000F7040000}"/>
    <hyperlink ref="E1274" r:id="rId1273" display="AU2065646519525" xr:uid="{00000000-0004-0000-0000-0000F8040000}"/>
    <hyperlink ref="E1275" r:id="rId1274" display="AU2065646519525" xr:uid="{00000000-0004-0000-0000-0000F9040000}"/>
    <hyperlink ref="E1276" r:id="rId1275" display="AU2065646519525" xr:uid="{00000000-0004-0000-0000-0000FA040000}"/>
    <hyperlink ref="E1277" r:id="rId1276" display="AU2065646519525" xr:uid="{00000000-0004-0000-0000-0000FB040000}"/>
    <hyperlink ref="E1278" r:id="rId1277" display="AU2065646519525" xr:uid="{00000000-0004-0000-0000-0000FC040000}"/>
    <hyperlink ref="E1279" r:id="rId1278" display="AU2065646519525" xr:uid="{00000000-0004-0000-0000-0000FD040000}"/>
    <hyperlink ref="E1280" r:id="rId1279" display="AU2065646519525" xr:uid="{00000000-0004-0000-0000-0000FE040000}"/>
    <hyperlink ref="E1281" r:id="rId1280" display="AU2065646519525" xr:uid="{00000000-0004-0000-0000-0000FF040000}"/>
    <hyperlink ref="E1282" r:id="rId1281" display="AU2065646519525" xr:uid="{00000000-0004-0000-0000-000000050000}"/>
    <hyperlink ref="E1283" r:id="rId1282" display="AU2065646519525" xr:uid="{00000000-0004-0000-0000-000001050000}"/>
    <hyperlink ref="E1284" r:id="rId1283" display="AU2065646519525" xr:uid="{00000000-0004-0000-0000-000002050000}"/>
    <hyperlink ref="E1285" r:id="rId1284" display="AU2065646519525" xr:uid="{00000000-0004-0000-0000-000003050000}"/>
    <hyperlink ref="E1286" r:id="rId1285" display="AU2065646519525" xr:uid="{00000000-0004-0000-0000-000004050000}"/>
    <hyperlink ref="E1287" r:id="rId1286" display="AU2065646519525" xr:uid="{00000000-0004-0000-0000-000005050000}"/>
    <hyperlink ref="E1288" r:id="rId1287" display="AU2065646519525" xr:uid="{00000000-0004-0000-0000-000006050000}"/>
    <hyperlink ref="E1289" r:id="rId1288" display="AU2065646519525" xr:uid="{00000000-0004-0000-0000-000007050000}"/>
    <hyperlink ref="E1290" r:id="rId1289" display="AU2065646519525" xr:uid="{00000000-0004-0000-0000-000008050000}"/>
    <hyperlink ref="E1291" r:id="rId1290" display="AU2065646519525" xr:uid="{00000000-0004-0000-0000-000009050000}"/>
    <hyperlink ref="E1292" r:id="rId1291" display="AU2065646519525" xr:uid="{00000000-0004-0000-0000-00000A050000}"/>
    <hyperlink ref="E1293" r:id="rId1292" display="AU2065646519525" xr:uid="{00000000-0004-0000-0000-00000B050000}"/>
    <hyperlink ref="E1294" r:id="rId1293" display="AU2065646519525" xr:uid="{00000000-0004-0000-0000-00000C050000}"/>
    <hyperlink ref="E1295" r:id="rId1294" display="AU2065646519525" xr:uid="{00000000-0004-0000-0000-00000D050000}"/>
    <hyperlink ref="E1296" r:id="rId1295" display="AU2065646519525" xr:uid="{00000000-0004-0000-0000-00000E050000}"/>
    <hyperlink ref="E1297" r:id="rId1296" display="AU2065646519525" xr:uid="{00000000-0004-0000-0000-00000F050000}"/>
    <hyperlink ref="E1298" r:id="rId1297" display="AU2065646519525" xr:uid="{00000000-0004-0000-0000-000010050000}"/>
    <hyperlink ref="E1299" r:id="rId1298" display="AU2065646519525" xr:uid="{00000000-0004-0000-0000-000011050000}"/>
    <hyperlink ref="E1300" r:id="rId1299" display="AU2065646519525" xr:uid="{00000000-0004-0000-0000-000012050000}"/>
    <hyperlink ref="E1301" r:id="rId1300" display="AU2065646519525" xr:uid="{00000000-0004-0000-0000-000013050000}"/>
    <hyperlink ref="E1302" r:id="rId1301" display="AU2065646519525" xr:uid="{00000000-0004-0000-0000-000014050000}"/>
    <hyperlink ref="E1303" r:id="rId1302" display="AU2065646519525" xr:uid="{00000000-0004-0000-0000-000015050000}"/>
    <hyperlink ref="E1304" r:id="rId1303" display="AU2065646519525" xr:uid="{00000000-0004-0000-0000-000016050000}"/>
    <hyperlink ref="E1305" r:id="rId1304" display="AU2065646519525" xr:uid="{00000000-0004-0000-0000-000017050000}"/>
    <hyperlink ref="E1306" r:id="rId1305" display="AU2065646519525" xr:uid="{00000000-0004-0000-0000-000018050000}"/>
    <hyperlink ref="E1307" r:id="rId1306" display="AU2065646519525" xr:uid="{00000000-0004-0000-0000-000019050000}"/>
    <hyperlink ref="E1308" r:id="rId1307" display="AU2065646519525" xr:uid="{00000000-0004-0000-0000-00001A050000}"/>
    <hyperlink ref="E1309" r:id="rId1308" display="AU2065646519525" xr:uid="{00000000-0004-0000-0000-00001B050000}"/>
    <hyperlink ref="E1310" r:id="rId1309" display="AU2065646519525" xr:uid="{00000000-0004-0000-0000-00001C050000}"/>
    <hyperlink ref="E1311" r:id="rId1310" display="AU2065646519525" xr:uid="{00000000-0004-0000-0000-00001D050000}"/>
    <hyperlink ref="E1312" r:id="rId1311" display="AU2065646519525" xr:uid="{00000000-0004-0000-0000-00001E050000}"/>
    <hyperlink ref="E1313" r:id="rId1312" display="AU2065646519525" xr:uid="{00000000-0004-0000-0000-00001F050000}"/>
    <hyperlink ref="E1314" r:id="rId1313" display="AU2065646519525" xr:uid="{00000000-0004-0000-0000-000020050000}"/>
    <hyperlink ref="E1315" r:id="rId1314" display="AU2065646519525" xr:uid="{00000000-0004-0000-0000-000021050000}"/>
    <hyperlink ref="E1316" r:id="rId1315" display="AU2065646519525" xr:uid="{00000000-0004-0000-0000-000022050000}"/>
    <hyperlink ref="E1317" r:id="rId1316" display="AU2065646519525" xr:uid="{00000000-0004-0000-0000-000023050000}"/>
    <hyperlink ref="E1318" r:id="rId1317" display="AU2065646519525" xr:uid="{00000000-0004-0000-0000-000024050000}"/>
    <hyperlink ref="E1319" r:id="rId1318" display="AU2065646519525" xr:uid="{00000000-0004-0000-0000-000025050000}"/>
    <hyperlink ref="E1320" r:id="rId1319" display="AU2065646519525" xr:uid="{00000000-0004-0000-0000-000026050000}"/>
    <hyperlink ref="E1321" r:id="rId1320" display="AU2065646519525" xr:uid="{00000000-0004-0000-0000-000027050000}"/>
    <hyperlink ref="E1322" r:id="rId1321" display="AU2065646519525" xr:uid="{00000000-0004-0000-0000-000028050000}"/>
    <hyperlink ref="E1323" r:id="rId1322" display="AU2065646519525" xr:uid="{00000000-0004-0000-0000-000029050000}"/>
    <hyperlink ref="E1324" r:id="rId1323" display="AU2065646519525" xr:uid="{00000000-0004-0000-0000-00002A050000}"/>
    <hyperlink ref="E1325" r:id="rId1324" display="AU2065646519525" xr:uid="{00000000-0004-0000-0000-00002B050000}"/>
    <hyperlink ref="E1326" r:id="rId1325" display="AU2065646519525" xr:uid="{00000000-0004-0000-0000-00002C050000}"/>
    <hyperlink ref="E1327" r:id="rId1326" display="AU2065646519525" xr:uid="{00000000-0004-0000-0000-00002D050000}"/>
    <hyperlink ref="E1328" r:id="rId1327" display="AU2065646519525" xr:uid="{00000000-0004-0000-0000-00002E050000}"/>
    <hyperlink ref="E1329" r:id="rId1328" display="AU2065646519525" xr:uid="{00000000-0004-0000-0000-00002F050000}"/>
    <hyperlink ref="E1330" r:id="rId1329" display="AU2065646519525" xr:uid="{00000000-0004-0000-0000-000030050000}"/>
    <hyperlink ref="E1331" r:id="rId1330" display="AU2065646519525" xr:uid="{00000000-0004-0000-0000-000031050000}"/>
    <hyperlink ref="E1332" r:id="rId1331" display="AU2065646519525" xr:uid="{00000000-0004-0000-0000-000032050000}"/>
    <hyperlink ref="E1333" r:id="rId1332" display="AU2065646519525" xr:uid="{00000000-0004-0000-0000-000033050000}"/>
    <hyperlink ref="E1334" r:id="rId1333" display="AU2065646519525" xr:uid="{00000000-0004-0000-0000-000034050000}"/>
    <hyperlink ref="E1335" r:id="rId1334" display="AU2065646519525" xr:uid="{00000000-0004-0000-0000-000035050000}"/>
    <hyperlink ref="E1336" r:id="rId1335" display="AU2065646519525" xr:uid="{00000000-0004-0000-0000-000036050000}"/>
    <hyperlink ref="E1337" r:id="rId1336" display="AU2065646519525" xr:uid="{00000000-0004-0000-0000-000037050000}"/>
    <hyperlink ref="E1338" r:id="rId1337" display="AU2065646519525" xr:uid="{00000000-0004-0000-0000-000038050000}"/>
    <hyperlink ref="E1339" r:id="rId1338" display="AU2065646519525" xr:uid="{00000000-0004-0000-0000-000039050000}"/>
    <hyperlink ref="E1340" r:id="rId1339" display="AU2065646519525" xr:uid="{00000000-0004-0000-0000-00003A050000}"/>
    <hyperlink ref="E1341" r:id="rId1340" display="AU2065646519525" xr:uid="{00000000-0004-0000-0000-00003B050000}"/>
    <hyperlink ref="E1342" r:id="rId1341" display="AU2065646519525" xr:uid="{00000000-0004-0000-0000-00003C050000}"/>
    <hyperlink ref="E1343" r:id="rId1342" display="AU2065646519525" xr:uid="{00000000-0004-0000-0000-00003D050000}"/>
    <hyperlink ref="E1344" r:id="rId1343" display="AU2065646519525" xr:uid="{00000000-0004-0000-0000-00003E050000}"/>
    <hyperlink ref="E1345" r:id="rId1344" display="AU2065646519525" xr:uid="{00000000-0004-0000-0000-00003F050000}"/>
    <hyperlink ref="E1346" r:id="rId1345" display="AU2065646519525" xr:uid="{00000000-0004-0000-0000-000040050000}"/>
    <hyperlink ref="E1347" r:id="rId1346" display="AU2065646519525" xr:uid="{00000000-0004-0000-0000-000041050000}"/>
    <hyperlink ref="E1348" r:id="rId1347" display="AU2065646519525" xr:uid="{00000000-0004-0000-0000-000042050000}"/>
    <hyperlink ref="E1349" r:id="rId1348" display="AU2065646519525" xr:uid="{00000000-0004-0000-0000-000043050000}"/>
    <hyperlink ref="E1350" r:id="rId1349" display="AU2065646519525" xr:uid="{00000000-0004-0000-0000-000044050000}"/>
    <hyperlink ref="E1351" r:id="rId1350" display="AU2065646519525" xr:uid="{00000000-0004-0000-0000-000045050000}"/>
    <hyperlink ref="E1352" r:id="rId1351" display="AU2065646519525" xr:uid="{00000000-0004-0000-0000-000046050000}"/>
    <hyperlink ref="E1353" r:id="rId1352" display="AU2065646519525" xr:uid="{00000000-0004-0000-0000-000047050000}"/>
    <hyperlink ref="E1354" r:id="rId1353" display="AU2065646519525" xr:uid="{00000000-0004-0000-0000-000048050000}"/>
    <hyperlink ref="E1355" r:id="rId1354" display="AU2065646519525" xr:uid="{00000000-0004-0000-0000-000049050000}"/>
    <hyperlink ref="E1356" r:id="rId1355" display="AU2065646519525" xr:uid="{00000000-0004-0000-0000-00004A050000}"/>
    <hyperlink ref="E1357" r:id="rId1356" display="AU2065646519525" xr:uid="{00000000-0004-0000-0000-00004B050000}"/>
    <hyperlink ref="E1358" r:id="rId1357" display="AU2065646519525" xr:uid="{00000000-0004-0000-0000-00004C050000}"/>
    <hyperlink ref="E1359" r:id="rId1358" display="AU2065646519525" xr:uid="{00000000-0004-0000-0000-00004D050000}"/>
    <hyperlink ref="E1360" r:id="rId1359" display="AU2065646519525" xr:uid="{00000000-0004-0000-0000-00004E050000}"/>
    <hyperlink ref="E1361" r:id="rId1360" display="AU2065646519525" xr:uid="{00000000-0004-0000-0000-00004F050000}"/>
    <hyperlink ref="E1362" r:id="rId1361" display="AU2065646519525" xr:uid="{00000000-0004-0000-0000-000050050000}"/>
    <hyperlink ref="E1363" r:id="rId1362" display="AU2065646519525" xr:uid="{00000000-0004-0000-0000-000051050000}"/>
    <hyperlink ref="E1364" r:id="rId1363" display="AU2065646519525" xr:uid="{00000000-0004-0000-0000-000052050000}"/>
    <hyperlink ref="E1365" r:id="rId1364" display="AU2065646519525" xr:uid="{00000000-0004-0000-0000-000053050000}"/>
    <hyperlink ref="E1366" r:id="rId1365" display="AU2065646519525" xr:uid="{00000000-0004-0000-0000-000054050000}"/>
    <hyperlink ref="E1367" r:id="rId1366" display="AU2065646519525" xr:uid="{00000000-0004-0000-0000-000055050000}"/>
    <hyperlink ref="E1368" r:id="rId1367" display="AU2065646519525" xr:uid="{00000000-0004-0000-0000-000056050000}"/>
    <hyperlink ref="E1369" r:id="rId1368" display="AU2065646519525" xr:uid="{00000000-0004-0000-0000-000057050000}"/>
    <hyperlink ref="E1370" r:id="rId1369" display="AU2065646519525" xr:uid="{00000000-0004-0000-0000-000058050000}"/>
    <hyperlink ref="E1371" r:id="rId1370" display="AU2065646519525" xr:uid="{00000000-0004-0000-0000-000059050000}"/>
    <hyperlink ref="E1372" r:id="rId1371" display="AU2065646519525" xr:uid="{00000000-0004-0000-0000-00005A050000}"/>
    <hyperlink ref="E1373" r:id="rId1372" display="AU2065646519525" xr:uid="{00000000-0004-0000-0000-00005B050000}"/>
    <hyperlink ref="E1374" r:id="rId1373" display="AU2065646519525" xr:uid="{00000000-0004-0000-0000-00005C050000}"/>
    <hyperlink ref="E1375" r:id="rId1374" display="AU2065646519525" xr:uid="{00000000-0004-0000-0000-00005D050000}"/>
    <hyperlink ref="E1376" r:id="rId1375" display="AU2065646519525" xr:uid="{00000000-0004-0000-0000-00005E050000}"/>
    <hyperlink ref="E1377" r:id="rId1376" display="AU2065646519525" xr:uid="{00000000-0004-0000-0000-00005F050000}"/>
    <hyperlink ref="E1378" r:id="rId1377" display="AU2065646519525" xr:uid="{00000000-0004-0000-0000-000060050000}"/>
    <hyperlink ref="E1379" r:id="rId1378" display="AU2065646519525" xr:uid="{00000000-0004-0000-0000-000061050000}"/>
    <hyperlink ref="E1380" r:id="rId1379" display="AU2065646519525" xr:uid="{00000000-0004-0000-0000-000062050000}"/>
    <hyperlink ref="E1381" r:id="rId1380" display="AU2065646519525" xr:uid="{00000000-0004-0000-0000-000063050000}"/>
    <hyperlink ref="E1382" r:id="rId1381" display="AU2065646519525" xr:uid="{00000000-0004-0000-0000-000064050000}"/>
    <hyperlink ref="E1383" r:id="rId1382" display="AU2065646519525" xr:uid="{00000000-0004-0000-0000-000065050000}"/>
    <hyperlink ref="E1384" r:id="rId1383" display="AU2065646519525" xr:uid="{00000000-0004-0000-0000-000066050000}"/>
    <hyperlink ref="E1385" r:id="rId1384" display="AU2065646519525" xr:uid="{00000000-0004-0000-0000-000067050000}"/>
    <hyperlink ref="E1386" r:id="rId1385" display="AU2065646519525" xr:uid="{00000000-0004-0000-0000-000068050000}"/>
    <hyperlink ref="E1387" r:id="rId1386" display="AU2065646519525" xr:uid="{00000000-0004-0000-0000-000069050000}"/>
    <hyperlink ref="E1388" r:id="rId1387" display="AU2065646519525" xr:uid="{00000000-0004-0000-0000-00006A050000}"/>
    <hyperlink ref="E1389" r:id="rId1388" display="AU2065646519525" xr:uid="{00000000-0004-0000-0000-00006B050000}"/>
    <hyperlink ref="E1390" r:id="rId1389" display="AU2065646519525" xr:uid="{00000000-0004-0000-0000-00006C050000}"/>
    <hyperlink ref="E1391" r:id="rId1390" display="AU2065646519525" xr:uid="{00000000-0004-0000-0000-00006D050000}"/>
    <hyperlink ref="E1392" r:id="rId1391" display="AU2065646519525" xr:uid="{00000000-0004-0000-0000-00006E050000}"/>
    <hyperlink ref="E1393" r:id="rId1392" display="AU2065646519525" xr:uid="{00000000-0004-0000-0000-00006F050000}"/>
    <hyperlink ref="E1394" r:id="rId1393" display="AU2065646519525" xr:uid="{00000000-0004-0000-0000-000070050000}"/>
    <hyperlink ref="E1395" r:id="rId1394" display="AU2065646519525" xr:uid="{00000000-0004-0000-0000-000071050000}"/>
    <hyperlink ref="E1396" r:id="rId1395" display="AU2065646519525" xr:uid="{00000000-0004-0000-0000-000072050000}"/>
    <hyperlink ref="E1397" r:id="rId1396" display="AU2065646519525" xr:uid="{00000000-0004-0000-0000-000073050000}"/>
    <hyperlink ref="E1398" r:id="rId1397" display="AU2065646519525" xr:uid="{00000000-0004-0000-0000-000074050000}"/>
    <hyperlink ref="E1399" r:id="rId1398" display="AU2065646519525" xr:uid="{00000000-0004-0000-0000-000075050000}"/>
    <hyperlink ref="E1400" r:id="rId1399" display="AU2065646519525" xr:uid="{00000000-0004-0000-0000-000076050000}"/>
    <hyperlink ref="E1401" r:id="rId1400" display="AU2065646519525" xr:uid="{00000000-0004-0000-0000-000077050000}"/>
    <hyperlink ref="E1402" r:id="rId1401" display="AU2065646519525" xr:uid="{00000000-0004-0000-0000-000078050000}"/>
    <hyperlink ref="E1403" r:id="rId1402" display="AU2065646519525" xr:uid="{00000000-0004-0000-0000-000079050000}"/>
    <hyperlink ref="E1404" r:id="rId1403" display="AU2065646519525" xr:uid="{00000000-0004-0000-0000-00007A050000}"/>
    <hyperlink ref="E1405" r:id="rId1404" display="AU2065646519525" xr:uid="{00000000-0004-0000-0000-00007B050000}"/>
    <hyperlink ref="E1406" r:id="rId1405" display="AU2065646519525" xr:uid="{00000000-0004-0000-0000-00007C050000}"/>
    <hyperlink ref="E1407" r:id="rId1406" display="AU2065646519525" xr:uid="{00000000-0004-0000-0000-00007D050000}"/>
    <hyperlink ref="E1408" r:id="rId1407" display="AU2065646519525" xr:uid="{00000000-0004-0000-0000-00007E050000}"/>
    <hyperlink ref="E1409" r:id="rId1408" display="AU2065646519525" xr:uid="{00000000-0004-0000-0000-00007F050000}"/>
    <hyperlink ref="E1410" r:id="rId1409" display="AU2065646519525" xr:uid="{00000000-0004-0000-0000-000080050000}"/>
    <hyperlink ref="E1411" r:id="rId1410" display="AU2065646519525" xr:uid="{00000000-0004-0000-0000-000081050000}"/>
    <hyperlink ref="E1412" r:id="rId1411" display="AU2065646519525" xr:uid="{00000000-0004-0000-0000-000082050000}"/>
    <hyperlink ref="E1413" r:id="rId1412" display="AU2065646519525" xr:uid="{00000000-0004-0000-0000-000083050000}"/>
    <hyperlink ref="E1414" r:id="rId1413" display="AU2065646519525" xr:uid="{00000000-0004-0000-0000-000084050000}"/>
    <hyperlink ref="E1415" r:id="rId1414" display="AU2065646519525" xr:uid="{00000000-0004-0000-0000-000085050000}"/>
    <hyperlink ref="E1416" r:id="rId1415" display="AU2065646519525" xr:uid="{00000000-0004-0000-0000-000086050000}"/>
    <hyperlink ref="E1417" r:id="rId1416" display="AU2065646519525" xr:uid="{00000000-0004-0000-0000-000087050000}"/>
    <hyperlink ref="E1418" r:id="rId1417" display="AU2065646519525" xr:uid="{00000000-0004-0000-0000-000088050000}"/>
    <hyperlink ref="E1419" r:id="rId1418" display="AU2065646519525" xr:uid="{00000000-0004-0000-0000-000089050000}"/>
    <hyperlink ref="E1420" r:id="rId1419" display="AU2065646519525" xr:uid="{00000000-0004-0000-0000-00008A050000}"/>
    <hyperlink ref="E1421" r:id="rId1420" display="AU2065646519525" xr:uid="{00000000-0004-0000-0000-00008B050000}"/>
    <hyperlink ref="E1422" r:id="rId1421" display="AU2065646519525" xr:uid="{00000000-0004-0000-0000-00008C050000}"/>
    <hyperlink ref="E1423" r:id="rId1422" display="AU2065646519525" xr:uid="{00000000-0004-0000-0000-00008D050000}"/>
    <hyperlink ref="E1424" r:id="rId1423" display="AU2065646519525" xr:uid="{00000000-0004-0000-0000-00008E050000}"/>
    <hyperlink ref="E1425" r:id="rId1424" display="AU2065646519525" xr:uid="{00000000-0004-0000-0000-00008F050000}"/>
    <hyperlink ref="E1426" r:id="rId1425" display="AU2065646519525" xr:uid="{00000000-0004-0000-0000-000090050000}"/>
    <hyperlink ref="E1427" r:id="rId1426" display="AU2065646519525" xr:uid="{00000000-0004-0000-0000-000091050000}"/>
    <hyperlink ref="E1428" r:id="rId1427" display="AU2065646519525" xr:uid="{00000000-0004-0000-0000-000092050000}"/>
    <hyperlink ref="E1429" r:id="rId1428" display="AU2065646519525" xr:uid="{00000000-0004-0000-0000-000093050000}"/>
    <hyperlink ref="E1430" r:id="rId1429" display="AU2065646519525" xr:uid="{00000000-0004-0000-0000-000094050000}"/>
    <hyperlink ref="E1431" r:id="rId1430" display="AU2065646519525" xr:uid="{00000000-0004-0000-0000-000095050000}"/>
    <hyperlink ref="E1432" r:id="rId1431" display="AU2065646519525" xr:uid="{00000000-0004-0000-0000-000096050000}"/>
    <hyperlink ref="E1433" r:id="rId1432" display="AU2065646519525" xr:uid="{00000000-0004-0000-0000-000097050000}"/>
    <hyperlink ref="E1434" r:id="rId1433" display="AU2065646519525" xr:uid="{00000000-0004-0000-0000-000098050000}"/>
    <hyperlink ref="E1435" r:id="rId1434" display="AU2065646519525" xr:uid="{00000000-0004-0000-0000-000099050000}"/>
    <hyperlink ref="E1436" r:id="rId1435" display="AU2065646519525" xr:uid="{00000000-0004-0000-0000-00009A050000}"/>
    <hyperlink ref="E1437" r:id="rId1436" display="AU2065646519525" xr:uid="{00000000-0004-0000-0000-00009B050000}"/>
    <hyperlink ref="E1438" r:id="rId1437" display="AU2065646519525" xr:uid="{00000000-0004-0000-0000-00009C050000}"/>
    <hyperlink ref="E1439" r:id="rId1438" display="AU2065646519525" xr:uid="{00000000-0004-0000-0000-00009D050000}"/>
    <hyperlink ref="E1440" r:id="rId1439" display="AU2065646519525" xr:uid="{00000000-0004-0000-0000-00009E050000}"/>
    <hyperlink ref="E1441" r:id="rId1440" display="AU2065646519525" xr:uid="{00000000-0004-0000-0000-00009F050000}"/>
  </hyperlink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1441"/>
  <sheetViews>
    <sheetView tabSelected="1" topLeftCell="H1406" workbookViewId="0">
      <selection activeCell="Q9" sqref="Q9"/>
    </sheetView>
  </sheetViews>
  <sheetFormatPr defaultRowHeight="15" x14ac:dyDescent="0.25"/>
  <cols>
    <col min="1" max="1" width="11" style="1" bestFit="1" customWidth="1"/>
    <col min="2" max="2" width="15.85546875" style="5" bestFit="1" customWidth="1"/>
    <col min="3" max="3" width="28.42578125" style="1" bestFit="1" customWidth="1"/>
    <col min="4" max="4" width="8.42578125" style="1" bestFit="1" customWidth="1"/>
    <col min="5" max="5" width="29.7109375" style="1" bestFit="1" customWidth="1"/>
    <col min="6" max="6" width="26.140625" style="1" bestFit="1" customWidth="1"/>
    <col min="7" max="7" width="39.28515625" style="1" bestFit="1" customWidth="1"/>
    <col min="8" max="8" width="63.85546875" style="1" bestFit="1" customWidth="1"/>
    <col min="9" max="9" width="36.7109375" style="1" bestFit="1" customWidth="1"/>
    <col min="10" max="10" width="26" style="1" bestFit="1" customWidth="1"/>
    <col min="11" max="11" width="12.7109375" style="1" bestFit="1" customWidth="1"/>
    <col min="12" max="12" width="10.42578125" style="31" bestFit="1" customWidth="1"/>
    <col min="13" max="13" width="31" style="31" bestFit="1" customWidth="1"/>
    <col min="17" max="17" width="50" style="1" bestFit="1" customWidth="1"/>
    <col min="18" max="18" width="134.7109375" style="1" bestFit="1" customWidth="1"/>
  </cols>
  <sheetData>
    <row r="1" spans="1:14" x14ac:dyDescent="0.25">
      <c r="A1" s="1" t="s">
        <v>0</v>
      </c>
      <c r="B1" s="5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5" t="s">
        <v>10</v>
      </c>
      <c r="L1" s="31" t="s">
        <v>11</v>
      </c>
      <c r="M1" s="31" t="s">
        <v>12</v>
      </c>
      <c r="N1" s="31" t="s">
        <v>13</v>
      </c>
    </row>
    <row r="2" spans="1:14" x14ac:dyDescent="0.25">
      <c r="A2" s="4" t="str">
        <f>Sheet1!A2 &amp; "/" &amp; "2025"</f>
        <v>1/2025</v>
      </c>
      <c r="B2" s="5" t="str">
        <f>Sheet1!E2</f>
        <v>IND/MEL/00001</v>
      </c>
      <c r="C2" s="6" t="str">
        <f>UPPER(Sheet1!B2)</f>
        <v>ALYA RAO</v>
      </c>
      <c r="D2" s="7" t="str">
        <f>IF(Sheet1!F2="F","FEMALE","MALE")</f>
        <v>FEMALE</v>
      </c>
      <c r="E2" s="6" t="str">
        <f>UPPER(Sheet1!G2)</f>
        <v>NEIL RAO</v>
      </c>
      <c r="F2" s="6" t="str">
        <f>UPPER(Sheet1!H2)</f>
        <v>MIRA RAO</v>
      </c>
      <c r="G2" s="5" t="str">
        <f>TEXT(Sheet1!C2,"dd/mm/yyyy") &amp; "," &amp; Sheet1!D2</f>
        <v>23/10/2025,PENRITH</v>
      </c>
      <c r="H2" s="39" t="str">
        <f>UPPER(Sheet1!J2 &amp; "," &amp; Sheet1!K2 &amp; "," &amp; Sheet1!L2)</f>
        <v>159 BIRCHWOOD LANE,EMERALD ROAD,PIN:895389 PENRITH</v>
      </c>
      <c r="I2" s="8">
        <f>Sheet1!I2</f>
        <v>45959</v>
      </c>
      <c r="J2" s="5" t="str">
        <f>Sheet1!M2 &amp; "," &amp; TEXT(Sheet1!N2,"dd/mm/yy")</f>
        <v>MHA/IND/00001,07/07/25</v>
      </c>
      <c r="K2" s="5" t="s">
        <v>5752</v>
      </c>
      <c r="L2" s="31" t="s">
        <v>14</v>
      </c>
      <c r="M2" s="31" t="s">
        <v>15</v>
      </c>
      <c r="N2" s="31" t="s">
        <v>16</v>
      </c>
    </row>
    <row r="3" spans="1:14" x14ac:dyDescent="0.25">
      <c r="A3" s="4" t="str">
        <f>Sheet1!A3 &amp; "/" &amp; "2025"</f>
        <v>2/2025</v>
      </c>
      <c r="B3" s="5" t="str">
        <f>Sheet1!E3</f>
        <v>IND/MEL/00002</v>
      </c>
      <c r="C3" s="6" t="str">
        <f>UPPER(Sheet1!B3)</f>
        <v>DIYA KALEON</v>
      </c>
      <c r="D3" s="7" t="str">
        <f>IF(Sheet1!F3="F","FEMALE","MALE")</f>
        <v>FEMALE</v>
      </c>
      <c r="E3" s="6" t="str">
        <f>UPPER(Sheet1!G3)</f>
        <v>ISHAN KALEON</v>
      </c>
      <c r="F3" s="6" t="str">
        <f>UPPER(Sheet1!H3)</f>
        <v>ALYA KALEON</v>
      </c>
      <c r="G3" s="5" t="str">
        <f>TEXT(Sheet1!C3,"dd/mm/yyyy") &amp; "," &amp; Sheet1!D3</f>
        <v>27/04/2025,WODONGA</v>
      </c>
      <c r="H3" s="39" t="str">
        <f>UPPER(Sheet1!J3 &amp; "," &amp; Sheet1!K3 &amp; "," &amp; Sheet1!L3)</f>
        <v>21 BIRCHWOOD LANE,EMERALD ROAD,PIN:899035 WODONGA</v>
      </c>
      <c r="I3" s="8">
        <f>Sheet1!I3</f>
        <v>45805</v>
      </c>
      <c r="J3" s="5" t="str">
        <f>Sheet1!M3 &amp; "," &amp; TEXT(Sheet1!N3,"dd/mm/yy")</f>
        <v>MHA/IND/00002,29/08/25</v>
      </c>
      <c r="K3" s="5" t="s">
        <v>5752</v>
      </c>
      <c r="L3" s="31" t="s">
        <v>14</v>
      </c>
      <c r="M3" s="31" t="s">
        <v>15</v>
      </c>
      <c r="N3" s="31" t="s">
        <v>16</v>
      </c>
    </row>
    <row r="4" spans="1:14" x14ac:dyDescent="0.25">
      <c r="A4" s="4" t="str">
        <f>Sheet1!A4 &amp; "/" &amp; "2025"</f>
        <v>3/2025</v>
      </c>
      <c r="B4" s="5" t="str">
        <f>Sheet1!E4</f>
        <v>IND/MEL/00003</v>
      </c>
      <c r="C4" s="6" t="str">
        <f>UPPER(Sheet1!B4)</f>
        <v>ANYA RAO</v>
      </c>
      <c r="D4" s="7" t="str">
        <f>IF(Sheet1!F4="F","FEMALE","MALE")</f>
        <v>FEMALE</v>
      </c>
      <c r="E4" s="6" t="str">
        <f>UPPER(Sheet1!G4)</f>
        <v>NEIL RAO</v>
      </c>
      <c r="F4" s="6" t="str">
        <f>UPPER(Sheet1!H4)</f>
        <v>DIYA RAO</v>
      </c>
      <c r="G4" s="5" t="str">
        <f>TEXT(Sheet1!C4,"dd/mm/yyyy") &amp; "," &amp; Sheet1!D4</f>
        <v>06/10/2025,IPSWICH</v>
      </c>
      <c r="H4" s="39" t="str">
        <f>UPPER(Sheet1!J4 &amp; "," &amp; Sheet1!K4 &amp; "," &amp; Sheet1!L4)</f>
        <v>125 BIRCHWOOD LANE,EMERALD ROAD,PIN:344922 IPSWICH</v>
      </c>
      <c r="I4" s="8">
        <f>Sheet1!I4</f>
        <v>45992</v>
      </c>
      <c r="J4" s="5" t="str">
        <f>Sheet1!M4 &amp; "," &amp; TEXT(Sheet1!N4,"dd/mm/yy")</f>
        <v>MHA/IND/00003,08/08/25</v>
      </c>
      <c r="K4" s="5" t="s">
        <v>5752</v>
      </c>
      <c r="L4" s="31" t="s">
        <v>14</v>
      </c>
      <c r="M4" s="31" t="s">
        <v>15</v>
      </c>
      <c r="N4" s="31" t="s">
        <v>16</v>
      </c>
    </row>
    <row r="5" spans="1:14" x14ac:dyDescent="0.25">
      <c r="A5" s="4" t="str">
        <f>Sheet1!A5 &amp; "/" &amp; "2025"</f>
        <v>4/2025</v>
      </c>
      <c r="B5" s="5" t="str">
        <f>Sheet1!E5</f>
        <v>IND/MEL/00004</v>
      </c>
      <c r="C5" s="6" t="str">
        <f>UPPER(Sheet1!B5)</f>
        <v>NINA KALEON</v>
      </c>
      <c r="D5" s="7" t="str">
        <f>IF(Sheet1!F5="F","FEMALE","MALE")</f>
        <v>FEMALE</v>
      </c>
      <c r="E5" s="6" t="str">
        <f>UPPER(Sheet1!G5)</f>
        <v>ARJUN KALEON</v>
      </c>
      <c r="F5" s="6" t="str">
        <f>UPPER(Sheet1!H5)</f>
        <v>ANYA KALEON</v>
      </c>
      <c r="G5" s="5" t="str">
        <f>TEXT(Sheet1!C5,"dd/mm/yyyy") &amp; "," &amp; Sheet1!D5</f>
        <v>27/03/2025,BERWICK</v>
      </c>
      <c r="H5" s="39" t="str">
        <f>UPPER(Sheet1!J5 &amp; "," &amp; Sheet1!K5 &amp; "," &amp; Sheet1!L5)</f>
        <v>68 BIRCHWOOD LANE,EMERALD ROAD,PIN:360661 BERWICK</v>
      </c>
      <c r="I5" s="8">
        <f>Sheet1!I5</f>
        <v>45754</v>
      </c>
      <c r="J5" s="5" t="str">
        <f>Sheet1!M5 &amp; "," &amp; TEXT(Sheet1!N5,"dd/mm/yy")</f>
        <v>MHA/IND/00004,03/08/25</v>
      </c>
      <c r="K5" s="5" t="s">
        <v>5752</v>
      </c>
      <c r="L5" s="31" t="s">
        <v>14</v>
      </c>
      <c r="M5" s="31" t="s">
        <v>15</v>
      </c>
      <c r="N5" s="31" t="s">
        <v>16</v>
      </c>
    </row>
    <row r="6" spans="1:14" x14ac:dyDescent="0.25">
      <c r="A6" s="4" t="str">
        <f>Sheet1!A6 &amp; "/" &amp; "2025"</f>
        <v>5/2025</v>
      </c>
      <c r="B6" s="5" t="str">
        <f>Sheet1!E6</f>
        <v>IND/MEL/00005</v>
      </c>
      <c r="C6" s="6" t="str">
        <f>UPPER(Sheet1!B6)</f>
        <v>ANYA MYRTHOS</v>
      </c>
      <c r="D6" s="7" t="str">
        <f>IF(Sheet1!F6="F","FEMALE","MALE")</f>
        <v>FEMALE</v>
      </c>
      <c r="E6" s="6" t="str">
        <f>UPPER(Sheet1!G6)</f>
        <v>ARJUN MYRTHOS</v>
      </c>
      <c r="F6" s="6" t="str">
        <f>UPPER(Sheet1!H6)</f>
        <v>NINA MYRTHOS</v>
      </c>
      <c r="G6" s="5" t="str">
        <f>TEXT(Sheet1!C6,"dd/mm/yyyy") &amp; "," &amp; Sheet1!D6</f>
        <v>20/10/2025,CANBERRA</v>
      </c>
      <c r="H6" s="39" t="str">
        <f>UPPER(Sheet1!J6 &amp; "," &amp; Sheet1!K6 &amp; "," &amp; Sheet1!L6)</f>
        <v>196 BIRCHWOOD LANE,EMERALD ROAD,PIN:308984 CANBERRA</v>
      </c>
      <c r="I6" s="8">
        <f>Sheet1!I6</f>
        <v>45969</v>
      </c>
      <c r="J6" s="5" t="str">
        <f>Sheet1!M6 &amp; "," &amp; TEXT(Sheet1!N6,"dd/mm/yy")</f>
        <v>MHA/IND/00005,02/07/25</v>
      </c>
      <c r="K6" s="5" t="s">
        <v>5752</v>
      </c>
      <c r="L6" s="31" t="s">
        <v>14</v>
      </c>
      <c r="M6" s="31" t="s">
        <v>15</v>
      </c>
      <c r="N6" s="31" t="s">
        <v>16</v>
      </c>
    </row>
    <row r="7" spans="1:14" ht="30" customHeight="1" x14ac:dyDescent="0.25">
      <c r="A7" s="4" t="str">
        <f>Sheet1!A7 &amp; "/" &amp; "2025"</f>
        <v>6/2025</v>
      </c>
      <c r="B7" s="5" t="str">
        <f>Sheet1!E7</f>
        <v>IND/MEL/00006</v>
      </c>
      <c r="C7" s="6" t="str">
        <f>UPPER(Sheet1!B7)</f>
        <v>ANYA KALEON</v>
      </c>
      <c r="D7" s="7" t="str">
        <f>IF(Sheet1!F7="F","FEMALE","MALE")</f>
        <v>FEMALE</v>
      </c>
      <c r="E7" s="6" t="str">
        <f>UPPER(Sheet1!G7)</f>
        <v>AREN KALEON</v>
      </c>
      <c r="F7" s="6" t="str">
        <f>UPPER(Sheet1!H7)</f>
        <v>ALYA KALEON</v>
      </c>
      <c r="G7" s="5" t="str">
        <f>TEXT(Sheet1!C7,"dd/mm/yyyy") &amp; "," &amp; Sheet1!D7</f>
        <v>02/01/2025,CLAYTON</v>
      </c>
      <c r="H7" s="39" t="str">
        <f>UPPER(Sheet1!J7 &amp; "," &amp; Sheet1!K7 &amp; "," &amp; Sheet1!L7)</f>
        <v>37 BIRCHWOOD LANE,EMERALD ROAD,PIN:907143 CLAYTON</v>
      </c>
      <c r="I7" s="8">
        <f>Sheet1!I7</f>
        <v>45686</v>
      </c>
      <c r="J7" s="5" t="str">
        <f>Sheet1!M7 &amp; "," &amp; TEXT(Sheet1!N7,"dd/mm/yy")</f>
        <v>MHA/IND/00006,20/07/25</v>
      </c>
      <c r="K7" s="5" t="s">
        <v>5752</v>
      </c>
      <c r="L7" s="31" t="s">
        <v>14</v>
      </c>
      <c r="M7" s="31" t="s">
        <v>15</v>
      </c>
      <c r="N7" s="31" t="s">
        <v>16</v>
      </c>
    </row>
    <row r="8" spans="1:14" x14ac:dyDescent="0.25">
      <c r="A8" s="4" t="str">
        <f>Sheet1!A8 &amp; "/" &amp; "2025"</f>
        <v>7/2025</v>
      </c>
      <c r="B8" s="5" t="str">
        <f>Sheet1!E8</f>
        <v>IND/MEL/00007</v>
      </c>
      <c r="C8" s="6" t="str">
        <f>UPPER(Sheet1!B8)</f>
        <v>RIYA MYRTHOS</v>
      </c>
      <c r="D8" s="7" t="str">
        <f>IF(Sheet1!F8="F","FEMALE","MALE")</f>
        <v>FEMALE</v>
      </c>
      <c r="E8" s="6" t="str">
        <f>UPPER(Sheet1!G8)</f>
        <v>AREN MYRTHOS</v>
      </c>
      <c r="F8" s="6" t="str">
        <f>UPPER(Sheet1!H8)</f>
        <v>SARA MYRTHOS</v>
      </c>
      <c r="G8" s="5" t="str">
        <f>TEXT(Sheet1!C8,"dd/mm/yyyy") &amp; "," &amp; Sheet1!D8</f>
        <v>03/07/2025,BRISBANE</v>
      </c>
      <c r="H8" s="39" t="str">
        <f>UPPER(Sheet1!J8 &amp; "," &amp; Sheet1!K8 &amp; "," &amp; Sheet1!L8)</f>
        <v>78 BIRCHWOOD LANE,EMERALD ROAD,PIN:350260 BRISBANE</v>
      </c>
      <c r="I8" s="8">
        <f>Sheet1!I8</f>
        <v>45924</v>
      </c>
      <c r="J8" s="5" t="str">
        <f>Sheet1!M8 &amp; "," &amp; TEXT(Sheet1!N8,"dd/mm/yy")</f>
        <v>MHA/IND/00007,21/07/25</v>
      </c>
      <c r="K8" s="5" t="s">
        <v>5752</v>
      </c>
      <c r="L8" s="31" t="s">
        <v>14</v>
      </c>
      <c r="M8" s="31" t="s">
        <v>15</v>
      </c>
      <c r="N8" s="31" t="s">
        <v>16</v>
      </c>
    </row>
    <row r="9" spans="1:14" x14ac:dyDescent="0.25">
      <c r="A9" s="4" t="str">
        <f>Sheet1!A9 &amp; "/" &amp; "2025"</f>
        <v>8/2025</v>
      </c>
      <c r="B9" s="5" t="str">
        <f>Sheet1!E9</f>
        <v>IND/MEL/00008</v>
      </c>
      <c r="C9" s="6" t="str">
        <f>UPPER(Sheet1!B9)</f>
        <v>NEIL KALEON</v>
      </c>
      <c r="D9" s="7" t="str">
        <f>IF(Sheet1!F9="F","FEMALE","MALE")</f>
        <v>MALE</v>
      </c>
      <c r="E9" s="6" t="str">
        <f>UPPER(Sheet1!G9)</f>
        <v>KIRAN KALEON</v>
      </c>
      <c r="F9" s="6" t="str">
        <f>UPPER(Sheet1!H9)</f>
        <v>DIYA KALEON</v>
      </c>
      <c r="G9" s="5" t="str">
        <f>TEXT(Sheet1!C9,"dd/mm/yyyy") &amp; "," &amp; Sheet1!D9</f>
        <v>27/06/2025,KINGSWOOD</v>
      </c>
      <c r="H9" s="39" t="str">
        <f>UPPER(Sheet1!J9 &amp; "," &amp; Sheet1!K9 &amp; "," &amp; Sheet1!L9)</f>
        <v>112 BIRCHWOOD LANE,EMERALD ROAD,PIN:337234 KINGSWOOD</v>
      </c>
      <c r="I9" s="8">
        <f>Sheet1!I9</f>
        <v>45893</v>
      </c>
      <c r="J9" s="5" t="str">
        <f>Sheet1!M9 &amp; "," &amp; TEXT(Sheet1!N9,"dd/mm/yy")</f>
        <v>MHA/IND/00008,08/07/25</v>
      </c>
      <c r="K9" s="5" t="s">
        <v>5752</v>
      </c>
      <c r="L9" s="31" t="s">
        <v>14</v>
      </c>
      <c r="M9" s="31" t="s">
        <v>15</v>
      </c>
      <c r="N9" s="31" t="s">
        <v>16</v>
      </c>
    </row>
    <row r="10" spans="1:14" x14ac:dyDescent="0.25">
      <c r="A10" s="4" t="str">
        <f>Sheet1!A10 &amp; "/" &amp; "2025"</f>
        <v>9/2025</v>
      </c>
      <c r="B10" s="5" t="str">
        <f>Sheet1!E10</f>
        <v>IND/MEL/00009</v>
      </c>
      <c r="C10" s="6" t="str">
        <f>UPPER(Sheet1!B10)</f>
        <v>KABIR SHARMA</v>
      </c>
      <c r="D10" s="7" t="str">
        <f>IF(Sheet1!F10="F","FEMALE","MALE")</f>
        <v>MALE</v>
      </c>
      <c r="E10" s="6" t="str">
        <f>UPPER(Sheet1!G10)</f>
        <v>ARJUN SHARMA</v>
      </c>
      <c r="F10" s="6" t="str">
        <f>UPPER(Sheet1!H10)</f>
        <v>MIRA SHARMA</v>
      </c>
      <c r="G10" s="5" t="str">
        <f>TEXT(Sheet1!C10,"dd/mm/yyyy") &amp; "," &amp; Sheet1!D10</f>
        <v>26/09/2025,CAMPBELLTOWN</v>
      </c>
      <c r="H10" s="39" t="str">
        <f>UPPER(Sheet1!J10 &amp; "," &amp; Sheet1!K10 &amp; "," &amp; Sheet1!L10)</f>
        <v>84 BIRCHWOOD LANE,EMERALD ROAD,PIN:403707 CAMPBELLTOWN</v>
      </c>
      <c r="I10" s="8">
        <f>Sheet1!I10</f>
        <v>45969</v>
      </c>
      <c r="J10" s="5" t="str">
        <f>Sheet1!M10 &amp; "," &amp; TEXT(Sheet1!N10,"dd/mm/yy")</f>
        <v>MHA/IND/00009,27/08/25</v>
      </c>
      <c r="K10" s="5" t="s">
        <v>5752</v>
      </c>
      <c r="L10" s="31" t="s">
        <v>14</v>
      </c>
      <c r="M10" s="31" t="s">
        <v>15</v>
      </c>
      <c r="N10" s="31" t="s">
        <v>16</v>
      </c>
    </row>
    <row r="11" spans="1:14" x14ac:dyDescent="0.25">
      <c r="A11" s="4" t="str">
        <f>Sheet1!A11 &amp; "/" &amp; "2025"</f>
        <v>10/2025</v>
      </c>
      <c r="B11" s="5" t="str">
        <f>Sheet1!E11</f>
        <v>IND/MEL/00010</v>
      </c>
      <c r="C11" s="6" t="str">
        <f>UPPER(Sheet1!B11)</f>
        <v>ANYA RISHKAN</v>
      </c>
      <c r="D11" s="7" t="str">
        <f>IF(Sheet1!F11="F","FEMALE","MALE")</f>
        <v>FEMALE</v>
      </c>
      <c r="E11" s="6" t="str">
        <f>UPPER(Sheet1!G11)</f>
        <v>ARJUN RISHKAN</v>
      </c>
      <c r="F11" s="6" t="str">
        <f>UPPER(Sheet1!H11)</f>
        <v>MIRA RISHKAN</v>
      </c>
      <c r="G11" s="5" t="str">
        <f>TEXT(Sheet1!C11,"dd/mm/yyyy") &amp; "," &amp; Sheet1!D11</f>
        <v>06/01/2025,BERWICK</v>
      </c>
      <c r="H11" s="39" t="str">
        <f>UPPER(Sheet1!J11 &amp; "," &amp; Sheet1!K11 &amp; "," &amp; Sheet1!L11)</f>
        <v>61 BIRCHWOOD LANE,EMERALD ROAD,PIN:379882 BERWICK</v>
      </c>
      <c r="I11" s="8">
        <f>Sheet1!I11</f>
        <v>45730</v>
      </c>
      <c r="J11" s="5" t="str">
        <f>Sheet1!M11 &amp; "," &amp; TEXT(Sheet1!N11,"dd/mm/yy")</f>
        <v>MHA/IND/00010,10/07/25</v>
      </c>
      <c r="K11" s="5" t="s">
        <v>5752</v>
      </c>
      <c r="L11" s="31" t="s">
        <v>14</v>
      </c>
      <c r="M11" s="31" t="s">
        <v>15</v>
      </c>
      <c r="N11" s="31" t="s">
        <v>16</v>
      </c>
    </row>
    <row r="12" spans="1:14" x14ac:dyDescent="0.25">
      <c r="A12" s="4" t="str">
        <f>Sheet1!A12 &amp; "/" &amp; "2025"</f>
        <v>11/2025</v>
      </c>
      <c r="B12" s="5" t="str">
        <f>Sheet1!E12</f>
        <v>IND/MEL/00011</v>
      </c>
      <c r="C12" s="6" t="str">
        <f>UPPER(Sheet1!B12)</f>
        <v>ISHAN RAO</v>
      </c>
      <c r="D12" s="7" t="str">
        <f>IF(Sheet1!F12="F","FEMALE","MALE")</f>
        <v>MALE</v>
      </c>
      <c r="E12" s="6" t="str">
        <f>UPPER(Sheet1!G12)</f>
        <v>ARJUN RAO</v>
      </c>
      <c r="F12" s="6" t="str">
        <f>UPPER(Sheet1!H12)</f>
        <v>MIRA RAO</v>
      </c>
      <c r="G12" s="5" t="str">
        <f>TEXT(Sheet1!C12,"dd/mm/yyyy") &amp; "," &amp; Sheet1!D12</f>
        <v>18/02/2025,PERTH</v>
      </c>
      <c r="H12" s="39" t="str">
        <f>UPPER(Sheet1!J12 &amp; "," &amp; Sheet1!K12 &amp; "," &amp; Sheet1!L12)</f>
        <v>15 BIRCHWOOD LANE,EMERALD ROAD,PIN:909065 PERTH</v>
      </c>
      <c r="I12" s="8">
        <f>Sheet1!I12</f>
        <v>45815</v>
      </c>
      <c r="J12" s="5" t="str">
        <f>Sheet1!M12 &amp; "," &amp; TEXT(Sheet1!N12,"dd/mm/yy")</f>
        <v>MHA/IND/00011,15/08/25</v>
      </c>
      <c r="K12" s="5" t="s">
        <v>5752</v>
      </c>
      <c r="L12" s="31" t="s">
        <v>14</v>
      </c>
      <c r="M12" s="31" t="s">
        <v>15</v>
      </c>
      <c r="N12" s="31" t="s">
        <v>16</v>
      </c>
    </row>
    <row r="13" spans="1:14" x14ac:dyDescent="0.25">
      <c r="A13" s="4" t="str">
        <f>Sheet1!A13 &amp; "/" &amp; "2025"</f>
        <v>12/2025</v>
      </c>
      <c r="B13" s="5" t="str">
        <f>Sheet1!E13</f>
        <v>IND/MEL/00012</v>
      </c>
      <c r="C13" s="6" t="str">
        <f>UPPER(Sheet1!B13)</f>
        <v>DIYA SHARMA</v>
      </c>
      <c r="D13" s="7" t="str">
        <f>IF(Sheet1!F13="F","FEMALE","MALE")</f>
        <v>FEMALE</v>
      </c>
      <c r="E13" s="6" t="str">
        <f>UPPER(Sheet1!G13)</f>
        <v>ROHIT SHARMA</v>
      </c>
      <c r="F13" s="6" t="str">
        <f>UPPER(Sheet1!H13)</f>
        <v>ANYA SHARMA</v>
      </c>
      <c r="G13" s="5" t="str">
        <f>TEXT(Sheet1!C13,"dd/mm/yyyy") &amp; "," &amp; Sheet1!D13</f>
        <v>16/07/2025,TRARALGON</v>
      </c>
      <c r="H13" s="39" t="str">
        <f>UPPER(Sheet1!J13 &amp; "," &amp; Sheet1!K13 &amp; "," &amp; Sheet1!L13)</f>
        <v>105 BIRCHWOOD LANE,EMERALD ROAD,PIN:749689 TRARALGON</v>
      </c>
      <c r="I13" s="8">
        <f>Sheet1!I13</f>
        <v>45971</v>
      </c>
      <c r="J13" s="5" t="str">
        <f>Sheet1!M13 &amp; "," &amp; TEXT(Sheet1!N13,"dd/mm/yy")</f>
        <v>MHA/IND/00012,03/08/25</v>
      </c>
      <c r="K13" s="5" t="s">
        <v>5752</v>
      </c>
      <c r="L13" s="31" t="s">
        <v>14</v>
      </c>
      <c r="M13" s="31" t="s">
        <v>15</v>
      </c>
      <c r="N13" s="31" t="s">
        <v>16</v>
      </c>
    </row>
    <row r="14" spans="1:14" x14ac:dyDescent="0.25">
      <c r="A14" s="4" t="str">
        <f>Sheet1!A14 &amp; "/" &amp; "2025"</f>
        <v>13/2025</v>
      </c>
      <c r="B14" s="5" t="str">
        <f>Sheet1!E14</f>
        <v>IND/MEL/00013</v>
      </c>
      <c r="C14" s="6" t="str">
        <f>UPPER(Sheet1!B14)</f>
        <v>SARA KALEON</v>
      </c>
      <c r="D14" s="7" t="str">
        <f>IF(Sheet1!F14="F","FEMALE","MALE")</f>
        <v>FEMALE</v>
      </c>
      <c r="E14" s="6" t="str">
        <f>UPPER(Sheet1!G14)</f>
        <v>ISHAN KALEON</v>
      </c>
      <c r="F14" s="6" t="str">
        <f>UPPER(Sheet1!H14)</f>
        <v>NINA KALEON</v>
      </c>
      <c r="G14" s="5" t="str">
        <f>TEXT(Sheet1!C14,"dd/mm/yyyy") &amp; "," &amp; Sheet1!D14</f>
        <v>16/10/2025,BRISBANE</v>
      </c>
      <c r="H14" s="39" t="str">
        <f>UPPER(Sheet1!J14 &amp; "," &amp; Sheet1!K14 &amp; "," &amp; Sheet1!L14)</f>
        <v>151 BIRCHWOOD LANE,EMERALD ROAD,PIN:690803 BRISBANE</v>
      </c>
      <c r="I14" s="8">
        <f>Sheet1!I14</f>
        <v>46009</v>
      </c>
      <c r="J14" s="5" t="str">
        <f>Sheet1!M14 &amp; "," &amp; TEXT(Sheet1!N14,"dd/mm/yy")</f>
        <v>MHA/IND/00013,03/07/25</v>
      </c>
      <c r="K14" s="5" t="s">
        <v>5752</v>
      </c>
      <c r="L14" s="31" t="s">
        <v>14</v>
      </c>
      <c r="M14" s="31" t="s">
        <v>15</v>
      </c>
      <c r="N14" s="31" t="s">
        <v>16</v>
      </c>
    </row>
    <row r="15" spans="1:14" x14ac:dyDescent="0.25">
      <c r="A15" s="4" t="str">
        <f>Sheet1!A15 &amp; "/" &amp; "2025"</f>
        <v>14/2025</v>
      </c>
      <c r="B15" s="5" t="str">
        <f>Sheet1!E15</f>
        <v>IND/MEL/00014</v>
      </c>
      <c r="C15" s="6" t="str">
        <f>UPPER(Sheet1!B15)</f>
        <v>KABIR RAO</v>
      </c>
      <c r="D15" s="7" t="str">
        <f>IF(Sheet1!F15="F","FEMALE","MALE")</f>
        <v>MALE</v>
      </c>
      <c r="E15" s="6" t="str">
        <f>UPPER(Sheet1!G15)</f>
        <v>NEIL RAO</v>
      </c>
      <c r="F15" s="6" t="str">
        <f>UPPER(Sheet1!H15)</f>
        <v>RIYA RAO</v>
      </c>
      <c r="G15" s="5" t="str">
        <f>TEXT(Sheet1!C15,"dd/mm/yyyy") &amp; "," &amp; Sheet1!D15</f>
        <v>10/10/2025,GEELONG</v>
      </c>
      <c r="H15" s="39" t="str">
        <f>UPPER(Sheet1!J15 &amp; "," &amp; Sheet1!K15 &amp; "," &amp; Sheet1!L15)</f>
        <v>28 BIRCHWOOD LANE,EMERALD ROAD,PIN:862049 GEELONG</v>
      </c>
      <c r="I15" s="8">
        <f>Sheet1!I15</f>
        <v>46053</v>
      </c>
      <c r="J15" s="5" t="str">
        <f>Sheet1!M15 &amp; "," &amp; TEXT(Sheet1!N15,"dd/mm/yy")</f>
        <v>MHA/IND/00014,07/07/25</v>
      </c>
      <c r="K15" s="5" t="s">
        <v>5752</v>
      </c>
      <c r="L15" s="31" t="s">
        <v>14</v>
      </c>
      <c r="M15" s="31" t="s">
        <v>15</v>
      </c>
      <c r="N15" s="31" t="s">
        <v>16</v>
      </c>
    </row>
    <row r="16" spans="1:14" x14ac:dyDescent="0.25">
      <c r="A16" s="4" t="str">
        <f>Sheet1!A16 &amp; "/" &amp; "2025"</f>
        <v>15/2025</v>
      </c>
      <c r="B16" s="5" t="str">
        <f>Sheet1!E16</f>
        <v>IND/MEL/00015</v>
      </c>
      <c r="C16" s="6" t="str">
        <f>UPPER(Sheet1!B16)</f>
        <v>NEIL SHARMA</v>
      </c>
      <c r="D16" s="7" t="str">
        <f>IF(Sheet1!F16="F","FEMALE","MALE")</f>
        <v>MALE</v>
      </c>
      <c r="E16" s="6" t="str">
        <f>UPPER(Sheet1!G16)</f>
        <v>AREN SHARMA</v>
      </c>
      <c r="F16" s="6" t="str">
        <f>UPPER(Sheet1!H16)</f>
        <v>TARA SHARMA</v>
      </c>
      <c r="G16" s="5" t="str">
        <f>TEXT(Sheet1!C16,"dd/mm/yyyy") &amp; "," &amp; Sheet1!D16</f>
        <v>10/02/2025,WONTHAGGI</v>
      </c>
      <c r="H16" s="39" t="str">
        <f>UPPER(Sheet1!J16 &amp; "," &amp; Sheet1!K16 &amp; "," &amp; Sheet1!L16)</f>
        <v>49 BIRCHWOOD LANE,EMERALD ROAD,PIN:481640 WONTHAGGI</v>
      </c>
      <c r="I16" s="8">
        <f>Sheet1!I16</f>
        <v>45746</v>
      </c>
      <c r="J16" s="5" t="str">
        <f>Sheet1!M16 &amp; "," &amp; TEXT(Sheet1!N16,"dd/mm/yy")</f>
        <v>MHA/IND/00015,07/08/25</v>
      </c>
      <c r="K16" s="5" t="s">
        <v>5752</v>
      </c>
      <c r="L16" s="31" t="s">
        <v>14</v>
      </c>
      <c r="M16" s="31" t="s">
        <v>15</v>
      </c>
      <c r="N16" s="31" t="s">
        <v>16</v>
      </c>
    </row>
    <row r="17" spans="1:14" x14ac:dyDescent="0.25">
      <c r="A17" s="4" t="str">
        <f>Sheet1!A17 &amp; "/" &amp; "2025"</f>
        <v>16/2025</v>
      </c>
      <c r="B17" s="5" t="str">
        <f>Sheet1!E17</f>
        <v>IND/MEL/00016</v>
      </c>
      <c r="C17" s="6" t="str">
        <f>UPPER(Sheet1!B17)</f>
        <v>NINA RAO</v>
      </c>
      <c r="D17" s="7" t="str">
        <f>IF(Sheet1!F17="F","FEMALE","MALE")</f>
        <v>FEMALE</v>
      </c>
      <c r="E17" s="6" t="str">
        <f>UPPER(Sheet1!G17)</f>
        <v>NEIL RAO</v>
      </c>
      <c r="F17" s="6" t="str">
        <f>UPPER(Sheet1!H17)</f>
        <v>ANYA RAO</v>
      </c>
      <c r="G17" s="5" t="str">
        <f>TEXT(Sheet1!C17,"dd/mm/yyyy") &amp; "," &amp; Sheet1!D17</f>
        <v>09/05/2025,BELCONNEN</v>
      </c>
      <c r="H17" s="39" t="str">
        <f>UPPER(Sheet1!J17 &amp; "," &amp; Sheet1!K17 &amp; "," &amp; Sheet1!L17)</f>
        <v>139 BIRCHWOOD LANE,EMERALD ROAD,PIN:562907 BELCONNEN</v>
      </c>
      <c r="I17" s="8">
        <f>Sheet1!I17</f>
        <v>45815</v>
      </c>
      <c r="J17" s="5" t="str">
        <f>Sheet1!M17 &amp; "," &amp; TEXT(Sheet1!N17,"dd/mm/yy")</f>
        <v>MHA/IND/00016,21/08/25</v>
      </c>
      <c r="K17" s="5" t="s">
        <v>5752</v>
      </c>
      <c r="L17" s="31" t="s">
        <v>14</v>
      </c>
      <c r="M17" s="31" t="s">
        <v>15</v>
      </c>
      <c r="N17" s="31" t="s">
        <v>16</v>
      </c>
    </row>
    <row r="18" spans="1:14" x14ac:dyDescent="0.25">
      <c r="A18" s="4" t="str">
        <f>Sheet1!A18 &amp; "/" &amp; "2025"</f>
        <v>17/2025</v>
      </c>
      <c r="B18" s="5" t="str">
        <f>Sheet1!E18</f>
        <v>IND/MEL/00017</v>
      </c>
      <c r="C18" s="6" t="str">
        <f>UPPER(Sheet1!B18)</f>
        <v>ANYA VALZARI</v>
      </c>
      <c r="D18" s="7" t="str">
        <f>IF(Sheet1!F18="F","FEMALE","MALE")</f>
        <v>FEMALE</v>
      </c>
      <c r="E18" s="6" t="str">
        <f>UPPER(Sheet1!G18)</f>
        <v>DEV VALZARI</v>
      </c>
      <c r="F18" s="6" t="str">
        <f>UPPER(Sheet1!H18)</f>
        <v>TARA VALZARI</v>
      </c>
      <c r="G18" s="5" t="str">
        <f>TEXT(Sheet1!C18,"dd/mm/yyyy") &amp; "," &amp; Sheet1!D18</f>
        <v>20/06/2025,ST ALBANS</v>
      </c>
      <c r="H18" s="39" t="str">
        <f>UPPER(Sheet1!J18 &amp; "," &amp; Sheet1!K18 &amp; "," &amp; Sheet1!L18)</f>
        <v>121 BIRCHWOOD LANE,EMERALD ROAD,PIN:447933 ST ALBANS</v>
      </c>
      <c r="I18" s="8">
        <f>Sheet1!I18</f>
        <v>45852</v>
      </c>
      <c r="J18" s="5" t="str">
        <f>Sheet1!M18 &amp; "," &amp; TEXT(Sheet1!N18,"dd/mm/yy")</f>
        <v>MHA/IND/00017,29/08/25</v>
      </c>
      <c r="K18" s="5" t="s">
        <v>5752</v>
      </c>
      <c r="L18" s="31" t="s">
        <v>14</v>
      </c>
      <c r="M18" s="31" t="s">
        <v>15</v>
      </c>
      <c r="N18" s="31" t="s">
        <v>16</v>
      </c>
    </row>
    <row r="19" spans="1:14" x14ac:dyDescent="0.25">
      <c r="A19" s="4" t="str">
        <f>Sheet1!A19 &amp; "/" &amp; "2025"</f>
        <v>18/2025</v>
      </c>
      <c r="B19" s="5" t="str">
        <f>Sheet1!E19</f>
        <v>IND/MEL/00018</v>
      </c>
      <c r="C19" s="6" t="str">
        <f>UPPER(Sheet1!B19)</f>
        <v>NINA RISHKAN</v>
      </c>
      <c r="D19" s="7" t="str">
        <f>IF(Sheet1!F19="F","FEMALE","MALE")</f>
        <v>FEMALE</v>
      </c>
      <c r="E19" s="6" t="str">
        <f>UPPER(Sheet1!G19)</f>
        <v>ROHIT RISHKAN</v>
      </c>
      <c r="F19" s="6" t="str">
        <f>UPPER(Sheet1!H19)</f>
        <v>DIYA RISHKAN</v>
      </c>
      <c r="G19" s="5" t="str">
        <f>TEXT(Sheet1!C19,"dd/mm/yyyy") &amp; "," &amp; Sheet1!D19</f>
        <v>11/02/2025,TOWNSVILLE</v>
      </c>
      <c r="H19" s="39" t="str">
        <f>UPPER(Sheet1!J19 &amp; "," &amp; Sheet1!K19 &amp; "," &amp; Sheet1!L19)</f>
        <v>13 BIRCHWOOD LANE,EMERALD ROAD,PIN:803740 TOWNSVILLE</v>
      </c>
      <c r="I19" s="8">
        <f>Sheet1!I19</f>
        <v>45809</v>
      </c>
      <c r="J19" s="5" t="str">
        <f>Sheet1!M19 &amp; "," &amp; TEXT(Sheet1!N19,"dd/mm/yy")</f>
        <v>MHA/IND/00018,28/07/25</v>
      </c>
      <c r="K19" s="5" t="s">
        <v>5752</v>
      </c>
      <c r="L19" s="31" t="s">
        <v>14</v>
      </c>
      <c r="M19" s="31" t="s">
        <v>15</v>
      </c>
      <c r="N19" s="31" t="s">
        <v>16</v>
      </c>
    </row>
    <row r="20" spans="1:14" x14ac:dyDescent="0.25">
      <c r="A20" s="4" t="str">
        <f>Sheet1!A20 &amp; "/" &amp; "2025"</f>
        <v>19/2025</v>
      </c>
      <c r="B20" s="5" t="str">
        <f>Sheet1!E20</f>
        <v>IND/MEL/00019</v>
      </c>
      <c r="C20" s="6" t="str">
        <f>UPPER(Sheet1!B20)</f>
        <v>MIRA KALEON</v>
      </c>
      <c r="D20" s="7" t="str">
        <f>IF(Sheet1!F20="F","FEMALE","MALE")</f>
        <v>FEMALE</v>
      </c>
      <c r="E20" s="6" t="str">
        <f>UPPER(Sheet1!G20)</f>
        <v>KABIR KALEON</v>
      </c>
      <c r="F20" s="6" t="str">
        <f>UPPER(Sheet1!H20)</f>
        <v>RIYA KALEON</v>
      </c>
      <c r="G20" s="5" t="str">
        <f>TEXT(Sheet1!C20,"dd/mm/yyyy") &amp; "," &amp; Sheet1!D20</f>
        <v>15/02/2025,WOLLONGONG</v>
      </c>
      <c r="H20" s="39" t="str">
        <f>UPPER(Sheet1!J20 &amp; "," &amp; Sheet1!K20 &amp; "," &amp; Sheet1!L20)</f>
        <v>31 BIRCHWOOD LANE,EMERALD ROAD,PIN:595547 WOLLONGONG</v>
      </c>
      <c r="I20" s="8">
        <f>Sheet1!I20</f>
        <v>45820</v>
      </c>
      <c r="J20" s="5" t="str">
        <f>Sheet1!M20 &amp; "," &amp; TEXT(Sheet1!N20,"dd/mm/yy")</f>
        <v>MHA/IND/00019,28/08/25</v>
      </c>
      <c r="K20" s="5" t="s">
        <v>5752</v>
      </c>
      <c r="L20" s="31" t="s">
        <v>14</v>
      </c>
      <c r="M20" s="31" t="s">
        <v>15</v>
      </c>
      <c r="N20" s="31" t="s">
        <v>16</v>
      </c>
    </row>
    <row r="21" spans="1:14" x14ac:dyDescent="0.25">
      <c r="A21" s="4" t="str">
        <f>Sheet1!A21 &amp; "/" &amp; "2025"</f>
        <v>20/2025</v>
      </c>
      <c r="B21" s="5" t="str">
        <f>Sheet1!E21</f>
        <v>IND/MEL/00020</v>
      </c>
      <c r="C21" s="6" t="str">
        <f>UPPER(Sheet1!B21)</f>
        <v>ROHIT MYRTHOS</v>
      </c>
      <c r="D21" s="7" t="str">
        <f>IF(Sheet1!F21="F","FEMALE","MALE")</f>
        <v>MALE</v>
      </c>
      <c r="E21" s="6" t="str">
        <f>UPPER(Sheet1!G21)</f>
        <v>ROHIT MYRTHOS</v>
      </c>
      <c r="F21" s="6" t="str">
        <f>UPPER(Sheet1!H21)</f>
        <v>ALYA MYRTHOS</v>
      </c>
      <c r="G21" s="5" t="str">
        <f>TEXT(Sheet1!C21,"dd/mm/yyyy") &amp; "," &amp; Sheet1!D21</f>
        <v>21/03/2025,CAMPBELLTOWN</v>
      </c>
      <c r="H21" s="39" t="str">
        <f>UPPER(Sheet1!J21 &amp; "," &amp; Sheet1!K21 &amp; "," &amp; Sheet1!L21)</f>
        <v>59 BIRCHWOOD LANE,EMERALD ROAD,PIN:475285 CAMPBELLTOWN</v>
      </c>
      <c r="I21" s="8">
        <f>Sheet1!I21</f>
        <v>45800</v>
      </c>
      <c r="J21" s="5" t="str">
        <f>Sheet1!M21 &amp; "," &amp; TEXT(Sheet1!N21,"dd/mm/yy")</f>
        <v>MHA/IND/00020,16/08/25</v>
      </c>
      <c r="K21" s="5" t="s">
        <v>5752</v>
      </c>
      <c r="L21" s="31" t="s">
        <v>14</v>
      </c>
      <c r="M21" s="31" t="s">
        <v>15</v>
      </c>
      <c r="N21" s="31" t="s">
        <v>16</v>
      </c>
    </row>
    <row r="22" spans="1:14" x14ac:dyDescent="0.25">
      <c r="A22" s="4" t="str">
        <f>Sheet1!A22 &amp; "/" &amp; "2025"</f>
        <v>21/2025</v>
      </c>
      <c r="B22" s="5" t="str">
        <f>Sheet1!E22</f>
        <v>IND/MEL/00021</v>
      </c>
      <c r="C22" s="6" t="str">
        <f>UPPER(Sheet1!B22)</f>
        <v>ISHAN SHARMA</v>
      </c>
      <c r="D22" s="7" t="str">
        <f>IF(Sheet1!F22="F","FEMALE","MALE")</f>
        <v>MALE</v>
      </c>
      <c r="E22" s="6" t="str">
        <f>UPPER(Sheet1!G22)</f>
        <v>DEV SHARMA</v>
      </c>
      <c r="F22" s="6" t="str">
        <f>UPPER(Sheet1!H22)</f>
        <v>RIYA SHARMA</v>
      </c>
      <c r="G22" s="5" t="str">
        <f>TEXT(Sheet1!C22,"dd/mm/yyyy") &amp; "," &amp; Sheet1!D22</f>
        <v>25/10/2025,LENAH VALLEY</v>
      </c>
      <c r="H22" s="39" t="str">
        <f>UPPER(Sheet1!J22 &amp; "," &amp; Sheet1!K22 &amp; "," &amp; Sheet1!L22)</f>
        <v>55 BIRCHWOOD LANE,EMERALD ROAD,PIN:883192 LENAH VALLEY</v>
      </c>
      <c r="I22" s="8">
        <f>Sheet1!I22</f>
        <v>45983</v>
      </c>
      <c r="J22" s="5" t="str">
        <f>Sheet1!M22 &amp; "," &amp; TEXT(Sheet1!N22,"dd/mm/yy")</f>
        <v>MHA/IND/00021,30/07/25</v>
      </c>
      <c r="K22" s="5" t="s">
        <v>5752</v>
      </c>
      <c r="L22" s="31" t="s">
        <v>14</v>
      </c>
      <c r="M22" s="31" t="s">
        <v>15</v>
      </c>
      <c r="N22" s="31" t="s">
        <v>16</v>
      </c>
    </row>
    <row r="23" spans="1:14" x14ac:dyDescent="0.25">
      <c r="A23" s="4" t="str">
        <f>Sheet1!A23 &amp; "/" &amp; "2025"</f>
        <v>22/2025</v>
      </c>
      <c r="B23" s="5" t="str">
        <f>Sheet1!E23</f>
        <v>IND/MEL/00022</v>
      </c>
      <c r="C23" s="6" t="str">
        <f>UPPER(Sheet1!B23)</f>
        <v>DEV VALZARI</v>
      </c>
      <c r="D23" s="7" t="str">
        <f>IF(Sheet1!F23="F","FEMALE","MALE")</f>
        <v>MALE</v>
      </c>
      <c r="E23" s="6" t="str">
        <f>UPPER(Sheet1!G23)</f>
        <v>KABIR VALZARI</v>
      </c>
      <c r="F23" s="6" t="str">
        <f>UPPER(Sheet1!H23)</f>
        <v>ANYA VALZARI</v>
      </c>
      <c r="G23" s="5" t="str">
        <f>TEXT(Sheet1!C23,"dd/mm/yyyy") &amp; "," &amp; Sheet1!D23</f>
        <v>18/06/2025,PARRAMATTA</v>
      </c>
      <c r="H23" s="39" t="str">
        <f>UPPER(Sheet1!J23 &amp; "," &amp; Sheet1!K23 &amp; "," &amp; Sheet1!L23)</f>
        <v>18 BIRCHWOOD LANE,EMERALD ROAD,PIN:623840 PARRAMATTA</v>
      </c>
      <c r="I23" s="8">
        <f>Sheet1!I23</f>
        <v>45840</v>
      </c>
      <c r="J23" s="5" t="str">
        <f>Sheet1!M23 &amp; "," &amp; TEXT(Sheet1!N23,"dd/mm/yy")</f>
        <v>MHA/IND/00022,20/07/25</v>
      </c>
      <c r="K23" s="5" t="s">
        <v>5752</v>
      </c>
      <c r="L23" s="31" t="s">
        <v>14</v>
      </c>
      <c r="M23" s="31" t="s">
        <v>15</v>
      </c>
      <c r="N23" s="31" t="s">
        <v>16</v>
      </c>
    </row>
    <row r="24" spans="1:14" x14ac:dyDescent="0.25">
      <c r="A24" s="4" t="str">
        <f>Sheet1!A24 &amp; "/" &amp; "2025"</f>
        <v>23/2025</v>
      </c>
      <c r="B24" s="5" t="str">
        <f>Sheet1!E24</f>
        <v>IND/MEL/00023</v>
      </c>
      <c r="C24" s="6" t="str">
        <f>UPPER(Sheet1!B24)</f>
        <v>ANYA RAO</v>
      </c>
      <c r="D24" s="7" t="str">
        <f>IF(Sheet1!F24="F","FEMALE","MALE")</f>
        <v>FEMALE</v>
      </c>
      <c r="E24" s="6" t="str">
        <f>UPPER(Sheet1!G24)</f>
        <v>ROHIT RAO</v>
      </c>
      <c r="F24" s="6" t="str">
        <f>UPPER(Sheet1!H24)</f>
        <v>ALYA RAO</v>
      </c>
      <c r="G24" s="5" t="str">
        <f>TEXT(Sheet1!C24,"dd/mm/yyyy") &amp; "," &amp; Sheet1!D24</f>
        <v>05/05/2025,GEELONG</v>
      </c>
      <c r="H24" s="39" t="str">
        <f>UPPER(Sheet1!J24 &amp; "," &amp; Sheet1!K24 &amp; "," &amp; Sheet1!L24)</f>
        <v>112 BIRCHWOOD LANE,EMERALD ROAD,PIN:153426 GEELONG</v>
      </c>
      <c r="I24" s="8">
        <f>Sheet1!I24</f>
        <v>45787</v>
      </c>
      <c r="J24" s="5" t="str">
        <f>Sheet1!M24 &amp; "," &amp; TEXT(Sheet1!N24,"dd/mm/yy")</f>
        <v>MHA/IND/00023,14/07/25</v>
      </c>
      <c r="K24" s="5" t="s">
        <v>5752</v>
      </c>
      <c r="L24" s="31" t="s">
        <v>14</v>
      </c>
      <c r="M24" s="31" t="s">
        <v>15</v>
      </c>
      <c r="N24" s="31" t="s">
        <v>16</v>
      </c>
    </row>
    <row r="25" spans="1:14" x14ac:dyDescent="0.25">
      <c r="A25" s="4" t="str">
        <f>Sheet1!A25 &amp; "/" &amp; "2025"</f>
        <v>24/2025</v>
      </c>
      <c r="B25" s="5" t="str">
        <f>Sheet1!E25</f>
        <v>IND/MEL/00024</v>
      </c>
      <c r="C25" s="6" t="str">
        <f>UPPER(Sheet1!B25)</f>
        <v>ROHIT VALZARI</v>
      </c>
      <c r="D25" s="7" t="str">
        <f>IF(Sheet1!F25="F","FEMALE","MALE")</f>
        <v>MALE</v>
      </c>
      <c r="E25" s="6" t="str">
        <f>UPPER(Sheet1!G25)</f>
        <v>AREN VALZARI</v>
      </c>
      <c r="F25" s="6" t="str">
        <f>UPPER(Sheet1!H25)</f>
        <v>ANYA VALZARI</v>
      </c>
      <c r="G25" s="5" t="str">
        <f>TEXT(Sheet1!C25,"dd/mm/yyyy") &amp; "," &amp; Sheet1!D25</f>
        <v>07/04/2025,PALMERSTON</v>
      </c>
      <c r="H25" s="39" t="str">
        <f>UPPER(Sheet1!J25 &amp; "," &amp; Sheet1!K25 &amp; "," &amp; Sheet1!L25)</f>
        <v>20 BIRCHWOOD LANE,EMERALD ROAD,PIN:548726 PALMERSTON</v>
      </c>
      <c r="I25" s="8">
        <f>Sheet1!I25</f>
        <v>45765</v>
      </c>
      <c r="J25" s="5" t="str">
        <f>Sheet1!M25 &amp; "," &amp; TEXT(Sheet1!N25,"dd/mm/yy")</f>
        <v>MHA/IND/00024,17/07/25</v>
      </c>
      <c r="K25" s="5" t="s">
        <v>5752</v>
      </c>
      <c r="L25" s="31" t="s">
        <v>14</v>
      </c>
      <c r="M25" s="31" t="s">
        <v>15</v>
      </c>
      <c r="N25" s="31" t="s">
        <v>16</v>
      </c>
    </row>
    <row r="26" spans="1:14" x14ac:dyDescent="0.25">
      <c r="A26" s="4" t="str">
        <f>Sheet1!A26 &amp; "/" &amp; "2025"</f>
        <v>25/2025</v>
      </c>
      <c r="B26" s="5" t="str">
        <f>Sheet1!E26</f>
        <v>IND/MEL/00025</v>
      </c>
      <c r="C26" s="6" t="str">
        <f>UPPER(Sheet1!B26)</f>
        <v>ARJUN KALEON</v>
      </c>
      <c r="D26" s="7" t="str">
        <f>IF(Sheet1!F26="F","FEMALE","MALE")</f>
        <v>MALE</v>
      </c>
      <c r="E26" s="6" t="str">
        <f>UPPER(Sheet1!G26)</f>
        <v>KABIR KALEON</v>
      </c>
      <c r="F26" s="6" t="str">
        <f>UPPER(Sheet1!H26)</f>
        <v>RIYA KALEON</v>
      </c>
      <c r="G26" s="5" t="str">
        <f>TEXT(Sheet1!C26,"dd/mm/yyyy") &amp; "," &amp; Sheet1!D26</f>
        <v>21/10/2025,LENAH VALLEY</v>
      </c>
      <c r="H26" s="39" t="str">
        <f>UPPER(Sheet1!J26 &amp; "," &amp; Sheet1!K26 &amp; "," &amp; Sheet1!L26)</f>
        <v>163 BIRCHWOOD LANE,EMERALD ROAD,PIN:398774 LENAH VALLEY</v>
      </c>
      <c r="I26" s="8">
        <f>Sheet1!I26</f>
        <v>46031</v>
      </c>
      <c r="J26" s="5" t="str">
        <f>Sheet1!M26 &amp; "," &amp; TEXT(Sheet1!N26,"dd/mm/yy")</f>
        <v>MHA/IND/00025,11/08/25</v>
      </c>
      <c r="K26" s="5" t="s">
        <v>5752</v>
      </c>
      <c r="L26" s="31" t="s">
        <v>14</v>
      </c>
      <c r="M26" s="31" t="s">
        <v>15</v>
      </c>
      <c r="N26" s="31" t="s">
        <v>16</v>
      </c>
    </row>
    <row r="27" spans="1:14" x14ac:dyDescent="0.25">
      <c r="A27" s="4" t="str">
        <f>Sheet1!A27 &amp; "/" &amp; "2025"</f>
        <v>26/2025</v>
      </c>
      <c r="B27" s="5" t="str">
        <f>Sheet1!E27</f>
        <v>IND/MEL/00026</v>
      </c>
      <c r="C27" s="6" t="str">
        <f>UPPER(Sheet1!B27)</f>
        <v>AREN MYRTHOS</v>
      </c>
      <c r="D27" s="7" t="str">
        <f>IF(Sheet1!F27="F","FEMALE","MALE")</f>
        <v>MALE</v>
      </c>
      <c r="E27" s="6" t="str">
        <f>UPPER(Sheet1!G27)</f>
        <v>KABIR MYRTHOS</v>
      </c>
      <c r="F27" s="6" t="str">
        <f>UPPER(Sheet1!H27)</f>
        <v>NINA MYRTHOS</v>
      </c>
      <c r="G27" s="5" t="str">
        <f>TEXT(Sheet1!C27,"dd/mm/yyyy") &amp; "," &amp; Sheet1!D27</f>
        <v>27/05/2025,MIDLAND</v>
      </c>
      <c r="H27" s="39" t="str">
        <f>UPPER(Sheet1!J27 &amp; "," &amp; Sheet1!K27 &amp; "," &amp; Sheet1!L27)</f>
        <v>179 BIRCHWOOD LANE,EMERALD ROAD,PIN:688803 MIDLAND</v>
      </c>
      <c r="I27" s="8">
        <f>Sheet1!I27</f>
        <v>45918</v>
      </c>
      <c r="J27" s="5" t="str">
        <f>Sheet1!M27 &amp; "," &amp; TEXT(Sheet1!N27,"dd/mm/yy")</f>
        <v>MHA/IND/00026,21/07/25</v>
      </c>
      <c r="K27" s="5" t="s">
        <v>5752</v>
      </c>
      <c r="L27" s="31" t="s">
        <v>14</v>
      </c>
      <c r="M27" s="31" t="s">
        <v>15</v>
      </c>
      <c r="N27" s="31" t="s">
        <v>16</v>
      </c>
    </row>
    <row r="28" spans="1:14" x14ac:dyDescent="0.25">
      <c r="A28" s="4" t="str">
        <f>Sheet1!A28 &amp; "/" &amp; "2025"</f>
        <v>27/2025</v>
      </c>
      <c r="B28" s="5" t="str">
        <f>Sheet1!E28</f>
        <v>IND/MEL/00027</v>
      </c>
      <c r="C28" s="6" t="str">
        <f>UPPER(Sheet1!B28)</f>
        <v>MIRA SINDALE</v>
      </c>
      <c r="D28" s="7" t="str">
        <f>IF(Sheet1!F28="F","FEMALE","MALE")</f>
        <v>FEMALE</v>
      </c>
      <c r="E28" s="6" t="str">
        <f>UPPER(Sheet1!G28)</f>
        <v>ISHAN SINDALE</v>
      </c>
      <c r="F28" s="6" t="str">
        <f>UPPER(Sheet1!H28)</f>
        <v>ANYA SINDALE</v>
      </c>
      <c r="G28" s="5" t="str">
        <f>TEXT(Sheet1!C28,"dd/mm/yyyy") &amp; "," &amp; Sheet1!D28</f>
        <v>08/09/2025,ROCKHAMPTON</v>
      </c>
      <c r="H28" s="39" t="str">
        <f>UPPER(Sheet1!J28 &amp; "," &amp; Sheet1!K28 &amp; "," &amp; Sheet1!L28)</f>
        <v>11 BIRCHWOOD LANE,EMERALD ROAD,PIN:572879 ROCKHAMPTON</v>
      </c>
      <c r="I28" s="8">
        <f>Sheet1!I28</f>
        <v>45915</v>
      </c>
      <c r="J28" s="5" t="str">
        <f>Sheet1!M28 &amp; "," &amp; TEXT(Sheet1!N28,"dd/mm/yy")</f>
        <v>MHA/IND/00027,04/07/25</v>
      </c>
      <c r="K28" s="5" t="s">
        <v>5752</v>
      </c>
      <c r="L28" s="31" t="s">
        <v>14</v>
      </c>
      <c r="M28" s="31" t="s">
        <v>15</v>
      </c>
      <c r="N28" s="31" t="s">
        <v>16</v>
      </c>
    </row>
    <row r="29" spans="1:14" x14ac:dyDescent="0.25">
      <c r="A29" s="4" t="str">
        <f>Sheet1!A29 &amp; "/" &amp; "2025"</f>
        <v>28/2025</v>
      </c>
      <c r="B29" s="5" t="str">
        <f>Sheet1!E29</f>
        <v>IND/MEL/00028</v>
      </c>
      <c r="C29" s="6" t="str">
        <f>UPPER(Sheet1!B29)</f>
        <v>ALYA VALZARI</v>
      </c>
      <c r="D29" s="7" t="str">
        <f>IF(Sheet1!F29="F","FEMALE","MALE")</f>
        <v>FEMALE</v>
      </c>
      <c r="E29" s="6" t="str">
        <f>UPPER(Sheet1!G29)</f>
        <v>DEV VALZARI</v>
      </c>
      <c r="F29" s="6" t="str">
        <f>UPPER(Sheet1!H29)</f>
        <v>ALYA VALZARI</v>
      </c>
      <c r="G29" s="5" t="str">
        <f>TEXT(Sheet1!C29,"dd/mm/yyyy") &amp; "," &amp; Sheet1!D29</f>
        <v>04/02/2025,MANDURAH</v>
      </c>
      <c r="H29" s="39" t="str">
        <f>UPPER(Sheet1!J29 &amp; "," &amp; Sheet1!K29 &amp; "," &amp; Sheet1!L29)</f>
        <v>69 BIRCHWOOD LANE,EMERALD ROAD,PIN:775685 MANDURAH</v>
      </c>
      <c r="I29" s="8">
        <f>Sheet1!I29</f>
        <v>45717</v>
      </c>
      <c r="J29" s="5" t="str">
        <f>Sheet1!M29 &amp; "," &amp; TEXT(Sheet1!N29,"dd/mm/yy")</f>
        <v>MHA/IND/00028,17/08/25</v>
      </c>
      <c r="K29" s="5" t="s">
        <v>5752</v>
      </c>
      <c r="L29" s="31" t="s">
        <v>14</v>
      </c>
      <c r="M29" s="31" t="s">
        <v>15</v>
      </c>
      <c r="N29" s="31" t="s">
        <v>16</v>
      </c>
    </row>
    <row r="30" spans="1:14" x14ac:dyDescent="0.25">
      <c r="A30" s="4" t="str">
        <f>Sheet1!A30 &amp; "/" &amp; "2025"</f>
        <v>29/2025</v>
      </c>
      <c r="B30" s="5" t="str">
        <f>Sheet1!E30</f>
        <v>IND/MEL/00029</v>
      </c>
      <c r="C30" s="6" t="str">
        <f>UPPER(Sheet1!B30)</f>
        <v>ARJUN RISHKAN</v>
      </c>
      <c r="D30" s="7" t="str">
        <f>IF(Sheet1!F30="F","FEMALE","MALE")</f>
        <v>MALE</v>
      </c>
      <c r="E30" s="6" t="str">
        <f>UPPER(Sheet1!G30)</f>
        <v>ARJUN RISHKAN</v>
      </c>
      <c r="F30" s="6" t="str">
        <f>UPPER(Sheet1!H30)</f>
        <v>RIYA RISHKAN</v>
      </c>
      <c r="G30" s="5" t="str">
        <f>TEXT(Sheet1!C30,"dd/mm/yyyy") &amp; "," &amp; Sheet1!D30</f>
        <v>07/02/2025,DALBY</v>
      </c>
      <c r="H30" s="39" t="str">
        <f>UPPER(Sheet1!J30 &amp; "," &amp; Sheet1!K30 &amp; "," &amp; Sheet1!L30)</f>
        <v>16 BIRCHWOOD LANE,EMERALD ROAD,PIN:294333 DALBY</v>
      </c>
      <c r="I30" s="8">
        <f>Sheet1!I30</f>
        <v>45747</v>
      </c>
      <c r="J30" s="5" t="str">
        <f>Sheet1!M30 &amp; "," &amp; TEXT(Sheet1!N30,"dd/mm/yy")</f>
        <v>MHA/IND/00029,23/08/25</v>
      </c>
      <c r="K30" s="5" t="s">
        <v>5752</v>
      </c>
      <c r="L30" s="31" t="s">
        <v>14</v>
      </c>
      <c r="M30" s="31" t="s">
        <v>15</v>
      </c>
      <c r="N30" s="31" t="s">
        <v>16</v>
      </c>
    </row>
    <row r="31" spans="1:14" x14ac:dyDescent="0.25">
      <c r="A31" s="4" t="str">
        <f>Sheet1!A31 &amp; "/" &amp; "2025"</f>
        <v>30/2025</v>
      </c>
      <c r="B31" s="5" t="str">
        <f>Sheet1!E31</f>
        <v>IND/MEL/00030</v>
      </c>
      <c r="C31" s="6" t="str">
        <f>UPPER(Sheet1!B31)</f>
        <v>ANYA RAO</v>
      </c>
      <c r="D31" s="7" t="str">
        <f>IF(Sheet1!F31="F","FEMALE","MALE")</f>
        <v>FEMALE</v>
      </c>
      <c r="E31" s="6" t="str">
        <f>UPPER(Sheet1!G31)</f>
        <v>ISHAN RAO</v>
      </c>
      <c r="F31" s="6" t="str">
        <f>UPPER(Sheet1!H31)</f>
        <v>RIYA RAO</v>
      </c>
      <c r="G31" s="5" t="str">
        <f>TEXT(Sheet1!C31,"dd/mm/yyyy") &amp; "," &amp; Sheet1!D31</f>
        <v>25/06/2025,PARKVILLE</v>
      </c>
      <c r="H31" s="39" t="str">
        <f>UPPER(Sheet1!J31 &amp; "," &amp; Sheet1!K31 &amp; "," &amp; Sheet1!L31)</f>
        <v>89 BIRCHWOOD LANE,EMERALD ROAD,PIN:778480 PARKVILLE</v>
      </c>
      <c r="I31" s="8">
        <f>Sheet1!I31</f>
        <v>45856</v>
      </c>
      <c r="J31" s="5" t="str">
        <f>Sheet1!M31 &amp; "," &amp; TEXT(Sheet1!N31,"dd/mm/yy")</f>
        <v>MHA/IND/00030,24/08/25</v>
      </c>
      <c r="K31" s="5" t="s">
        <v>5752</v>
      </c>
      <c r="L31" s="31" t="s">
        <v>14</v>
      </c>
      <c r="M31" s="31" t="s">
        <v>15</v>
      </c>
      <c r="N31" s="31" t="s">
        <v>16</v>
      </c>
    </row>
    <row r="32" spans="1:14" x14ac:dyDescent="0.25">
      <c r="A32" s="4" t="str">
        <f>Sheet1!A32 &amp; "/" &amp; "2025"</f>
        <v>31/2025</v>
      </c>
      <c r="B32" s="5" t="str">
        <f>Sheet1!E32</f>
        <v>IND/MEL/00031</v>
      </c>
      <c r="C32" s="6" t="str">
        <f>UPPER(Sheet1!B32)</f>
        <v>TARA RISHKAN</v>
      </c>
      <c r="D32" s="7" t="str">
        <f>IF(Sheet1!F32="F","FEMALE","MALE")</f>
        <v>FEMALE</v>
      </c>
      <c r="E32" s="6" t="str">
        <f>UPPER(Sheet1!G32)</f>
        <v>KABIR RISHKAN</v>
      </c>
      <c r="F32" s="6" t="str">
        <f>UPPER(Sheet1!H32)</f>
        <v>SARA RISHKAN</v>
      </c>
      <c r="G32" s="5" t="str">
        <f>TEXT(Sheet1!C32,"dd/mm/yyyy") &amp; "," &amp; Sheet1!D32</f>
        <v>04/06/2025,ADELAIDE</v>
      </c>
      <c r="H32" s="39" t="str">
        <f>UPPER(Sheet1!J32 &amp; "," &amp; Sheet1!K32 &amp; "," &amp; Sheet1!L32)</f>
        <v>77 BIRCHWOOD LANE,EMERALD ROAD,PIN:952963 ADELAIDE</v>
      </c>
      <c r="I32" s="8">
        <f>Sheet1!I32</f>
        <v>45931</v>
      </c>
      <c r="J32" s="5" t="str">
        <f>Sheet1!M32 &amp; "," &amp; TEXT(Sheet1!N32,"dd/mm/yy")</f>
        <v>MHA/IND/00031,08/08/25</v>
      </c>
      <c r="K32" s="5" t="s">
        <v>5752</v>
      </c>
      <c r="L32" s="31" t="s">
        <v>14</v>
      </c>
      <c r="M32" s="31" t="s">
        <v>15</v>
      </c>
      <c r="N32" s="31" t="s">
        <v>16</v>
      </c>
    </row>
    <row r="33" spans="1:14" x14ac:dyDescent="0.25">
      <c r="A33" s="4" t="str">
        <f>Sheet1!A33 &amp; "/" &amp; "2025"</f>
        <v>32/2025</v>
      </c>
      <c r="B33" s="5" t="str">
        <f>Sheet1!E33</f>
        <v>IND/MEL/00032</v>
      </c>
      <c r="C33" s="6" t="str">
        <f>UPPER(Sheet1!B33)</f>
        <v>ISHAN RAO</v>
      </c>
      <c r="D33" s="7" t="str">
        <f>IF(Sheet1!F33="F","FEMALE","MALE")</f>
        <v>MALE</v>
      </c>
      <c r="E33" s="6" t="str">
        <f>UPPER(Sheet1!G33)</f>
        <v>ARJUN RAO</v>
      </c>
      <c r="F33" s="6" t="str">
        <f>UPPER(Sheet1!H33)</f>
        <v>NINA RAO</v>
      </c>
      <c r="G33" s="5" t="str">
        <f>TEXT(Sheet1!C33,"dd/mm/yyyy") &amp; "," &amp; Sheet1!D33</f>
        <v>25/06/2025,LOGAN</v>
      </c>
      <c r="H33" s="39" t="str">
        <f>UPPER(Sheet1!J33 &amp; "," &amp; Sheet1!K33 &amp; "," &amp; Sheet1!L33)</f>
        <v>190 BIRCHWOOD LANE,EMERALD ROAD,PIN:921501 LOGAN</v>
      </c>
      <c r="I33" s="8">
        <f>Sheet1!I33</f>
        <v>45935</v>
      </c>
      <c r="J33" s="5" t="str">
        <f>Sheet1!M33 &amp; "," &amp; TEXT(Sheet1!N33,"dd/mm/yy")</f>
        <v>MHA/IND/00032,10/07/25</v>
      </c>
      <c r="K33" s="5" t="s">
        <v>5752</v>
      </c>
      <c r="L33" s="31" t="s">
        <v>14</v>
      </c>
      <c r="M33" s="31" t="s">
        <v>15</v>
      </c>
      <c r="N33" s="31" t="s">
        <v>16</v>
      </c>
    </row>
    <row r="34" spans="1:14" x14ac:dyDescent="0.25">
      <c r="A34" s="4" t="str">
        <f>Sheet1!A34 &amp; "/" &amp; "2025"</f>
        <v>33/2025</v>
      </c>
      <c r="B34" s="5" t="str">
        <f>Sheet1!E34</f>
        <v>IND/MEL/00033</v>
      </c>
      <c r="C34" s="6" t="str">
        <f>UPPER(Sheet1!B34)</f>
        <v>NEIL RISHKAN</v>
      </c>
      <c r="D34" s="7" t="str">
        <f>IF(Sheet1!F34="F","FEMALE","MALE")</f>
        <v>MALE</v>
      </c>
      <c r="E34" s="6" t="str">
        <f>UPPER(Sheet1!G34)</f>
        <v>NEIL RISHKAN</v>
      </c>
      <c r="F34" s="6" t="str">
        <f>UPPER(Sheet1!H34)</f>
        <v>TARA RISHKAN</v>
      </c>
      <c r="G34" s="5" t="str">
        <f>TEXT(Sheet1!C34,"dd/mm/yyyy") &amp; "," &amp; Sheet1!D34</f>
        <v>26/06/2025,FRANKSTON</v>
      </c>
      <c r="H34" s="39" t="str">
        <f>UPPER(Sheet1!J34 &amp; "," &amp; Sheet1!K34 &amp; "," &amp; Sheet1!L34)</f>
        <v>135 BIRCHWOOD LANE,EMERALD ROAD,PIN:461997 FRANKSTON</v>
      </c>
      <c r="I34" s="8">
        <f>Sheet1!I34</f>
        <v>45866</v>
      </c>
      <c r="J34" s="5" t="str">
        <f>Sheet1!M34 &amp; "," &amp; TEXT(Sheet1!N34,"dd/mm/yy")</f>
        <v>MHA/IND/00033,12/08/25</v>
      </c>
      <c r="K34" s="5" t="s">
        <v>5752</v>
      </c>
      <c r="L34" s="31" t="s">
        <v>14</v>
      </c>
      <c r="M34" s="31" t="s">
        <v>15</v>
      </c>
      <c r="N34" s="31" t="s">
        <v>16</v>
      </c>
    </row>
    <row r="35" spans="1:14" x14ac:dyDescent="0.25">
      <c r="A35" s="4" t="str">
        <f>Sheet1!A35 &amp; "/" &amp; "2025"</f>
        <v>34/2025</v>
      </c>
      <c r="B35" s="5" t="str">
        <f>Sheet1!E35</f>
        <v>IND/MEL/00034</v>
      </c>
      <c r="C35" s="6" t="str">
        <f>UPPER(Sheet1!B35)</f>
        <v>KIRAN MYRTHOS</v>
      </c>
      <c r="D35" s="7" t="str">
        <f>IF(Sheet1!F35="F","FEMALE","MALE")</f>
        <v>MALE</v>
      </c>
      <c r="E35" s="6" t="str">
        <f>UPPER(Sheet1!G35)</f>
        <v>ARJUN MYRTHOS</v>
      </c>
      <c r="F35" s="6" t="str">
        <f>UPPER(Sheet1!H35)</f>
        <v>SARA MYRTHOS</v>
      </c>
      <c r="G35" s="5" t="str">
        <f>TEXT(Sheet1!C35,"dd/mm/yyyy") &amp; "," &amp; Sheet1!D35</f>
        <v>10/05/2025,ST ALBANS</v>
      </c>
      <c r="H35" s="39" t="str">
        <f>UPPER(Sheet1!J35 &amp; "," &amp; Sheet1!K35 &amp; "," &amp; Sheet1!L35)</f>
        <v>118 BIRCHWOOD LANE,EMERALD ROAD,PIN:541304 ST ALBANS</v>
      </c>
      <c r="I35" s="8">
        <f>Sheet1!I35</f>
        <v>45833</v>
      </c>
      <c r="J35" s="5" t="str">
        <f>Sheet1!M35 &amp; "," &amp; TEXT(Sheet1!N35,"dd/mm/yy")</f>
        <v>MHA/IND/00034,09/08/25</v>
      </c>
      <c r="K35" s="5" t="s">
        <v>5752</v>
      </c>
      <c r="L35" s="31" t="s">
        <v>14</v>
      </c>
      <c r="M35" s="31" t="s">
        <v>15</v>
      </c>
      <c r="N35" s="31" t="s">
        <v>16</v>
      </c>
    </row>
    <row r="36" spans="1:14" x14ac:dyDescent="0.25">
      <c r="A36" s="4" t="str">
        <f>Sheet1!A36 &amp; "/" &amp; "2025"</f>
        <v>35/2025</v>
      </c>
      <c r="B36" s="5" t="str">
        <f>Sheet1!E36</f>
        <v>IND/MEL/00035</v>
      </c>
      <c r="C36" s="6" t="str">
        <f>UPPER(Sheet1!B36)</f>
        <v>DEV RISHKAN</v>
      </c>
      <c r="D36" s="7" t="str">
        <f>IF(Sheet1!F36="F","FEMALE","MALE")</f>
        <v>MALE</v>
      </c>
      <c r="E36" s="6" t="str">
        <f>UPPER(Sheet1!G36)</f>
        <v>ARJUN RISHKAN</v>
      </c>
      <c r="F36" s="6" t="str">
        <f>UPPER(Sheet1!H36)</f>
        <v>SARA RISHKAN</v>
      </c>
      <c r="G36" s="5" t="str">
        <f>TEXT(Sheet1!C36,"dd/mm/yyyy") &amp; "," &amp; Sheet1!D36</f>
        <v>10/01/2025,MANDURAH</v>
      </c>
      <c r="H36" s="39" t="str">
        <f>UPPER(Sheet1!J36 &amp; "," &amp; Sheet1!K36 &amp; "," &amp; Sheet1!L36)</f>
        <v>10 BIRCHWOOD LANE,EMERALD ROAD,PIN:613365 MANDURAH</v>
      </c>
      <c r="I36" s="8">
        <f>Sheet1!I36</f>
        <v>45721</v>
      </c>
      <c r="J36" s="5" t="str">
        <f>Sheet1!M36 &amp; "," &amp; TEXT(Sheet1!N36,"dd/mm/yy")</f>
        <v>MHA/IND/00035,08/08/25</v>
      </c>
      <c r="K36" s="5" t="s">
        <v>5752</v>
      </c>
      <c r="L36" s="31" t="s">
        <v>14</v>
      </c>
      <c r="M36" s="31" t="s">
        <v>15</v>
      </c>
      <c r="N36" s="31" t="s">
        <v>16</v>
      </c>
    </row>
    <row r="37" spans="1:14" x14ac:dyDescent="0.25">
      <c r="A37" s="4" t="str">
        <f>Sheet1!A37 &amp; "/" &amp; "2025"</f>
        <v>36/2025</v>
      </c>
      <c r="B37" s="5" t="str">
        <f>Sheet1!E37</f>
        <v>IND/MEL/00036</v>
      </c>
      <c r="C37" s="6" t="str">
        <f>UPPER(Sheet1!B37)</f>
        <v>SARA VALZARI</v>
      </c>
      <c r="D37" s="7" t="str">
        <f>IF(Sheet1!F37="F","FEMALE","MALE")</f>
        <v>FEMALE</v>
      </c>
      <c r="E37" s="6" t="str">
        <f>UPPER(Sheet1!G37)</f>
        <v>ARJUN VALZARI</v>
      </c>
      <c r="F37" s="6" t="str">
        <f>UPPER(Sheet1!H37)</f>
        <v>DIYA VALZARI</v>
      </c>
      <c r="G37" s="5" t="str">
        <f>TEXT(Sheet1!C37,"dd/mm/yyyy") &amp; "," &amp; Sheet1!D37</f>
        <v>26/10/2025,BEDFORD PARK</v>
      </c>
      <c r="H37" s="39" t="str">
        <f>UPPER(Sheet1!J37 &amp; "," &amp; Sheet1!K37 &amp; "," &amp; Sheet1!L37)</f>
        <v>184 BIRCHWOOD LANE,EMERALD ROAD,PIN:462170 BEDFORD PARK</v>
      </c>
      <c r="I37" s="8">
        <f>Sheet1!I37</f>
        <v>45962</v>
      </c>
      <c r="J37" s="5" t="str">
        <f>Sheet1!M37 &amp; "," &amp; TEXT(Sheet1!N37,"dd/mm/yy")</f>
        <v>MHA/IND/00036,26/07/25</v>
      </c>
      <c r="K37" s="5" t="s">
        <v>5752</v>
      </c>
      <c r="L37" s="31" t="s">
        <v>14</v>
      </c>
      <c r="M37" s="31" t="s">
        <v>15</v>
      </c>
      <c r="N37" s="31" t="s">
        <v>16</v>
      </c>
    </row>
    <row r="38" spans="1:14" x14ac:dyDescent="0.25">
      <c r="A38" s="4" t="str">
        <f>Sheet1!A38 &amp; "/" &amp; "2025"</f>
        <v>37/2025</v>
      </c>
      <c r="B38" s="5" t="str">
        <f>Sheet1!E38</f>
        <v>IND/MEL/00037</v>
      </c>
      <c r="C38" s="6" t="str">
        <f>UPPER(Sheet1!B38)</f>
        <v>ROHIT MYRTHOS</v>
      </c>
      <c r="D38" s="7" t="str">
        <f>IF(Sheet1!F38="F","FEMALE","MALE")</f>
        <v>MALE</v>
      </c>
      <c r="E38" s="6" t="str">
        <f>UPPER(Sheet1!G38)</f>
        <v>ARJUN MYRTHOS</v>
      </c>
      <c r="F38" s="6" t="str">
        <f>UPPER(Sheet1!H38)</f>
        <v>NINA MYRTHOS</v>
      </c>
      <c r="G38" s="5" t="str">
        <f>TEXT(Sheet1!C38,"dd/mm/yyyy") &amp; "," &amp; Sheet1!D38</f>
        <v>01/09/2025,WERRIBEE</v>
      </c>
      <c r="H38" s="39" t="str">
        <f>UPPER(Sheet1!J38 &amp; "," &amp; Sheet1!K38 &amp; "," &amp; Sheet1!L38)</f>
        <v>35 BIRCHWOOD LANE,EMERALD ROAD,PIN:345085 WERRIBEE</v>
      </c>
      <c r="I38" s="8">
        <f>Sheet1!I38</f>
        <v>45941</v>
      </c>
      <c r="J38" s="5" t="str">
        <f>Sheet1!M38 &amp; "," &amp; TEXT(Sheet1!N38,"dd/mm/yy")</f>
        <v>MHA/IND/00037,19/07/25</v>
      </c>
      <c r="K38" s="5" t="s">
        <v>5752</v>
      </c>
      <c r="L38" s="31" t="s">
        <v>14</v>
      </c>
      <c r="M38" s="31" t="s">
        <v>15</v>
      </c>
      <c r="N38" s="31" t="s">
        <v>16</v>
      </c>
    </row>
    <row r="39" spans="1:14" x14ac:dyDescent="0.25">
      <c r="A39" s="4" t="str">
        <f>Sheet1!A39 &amp; "/" &amp; "2025"</f>
        <v>38/2025</v>
      </c>
      <c r="B39" s="5" t="str">
        <f>Sheet1!E39</f>
        <v>IND/MEL/00038</v>
      </c>
      <c r="C39" s="6" t="str">
        <f>UPPER(Sheet1!B39)</f>
        <v>KABIR RAO</v>
      </c>
      <c r="D39" s="7" t="str">
        <f>IF(Sheet1!F39="F","FEMALE","MALE")</f>
        <v>MALE</v>
      </c>
      <c r="E39" s="6" t="str">
        <f>UPPER(Sheet1!G39)</f>
        <v>NEIL RAO</v>
      </c>
      <c r="F39" s="6" t="str">
        <f>UPPER(Sheet1!H39)</f>
        <v>SARA RAO</v>
      </c>
      <c r="G39" s="5" t="str">
        <f>TEXT(Sheet1!C39,"dd/mm/yyyy") &amp; "," &amp; Sheet1!D39</f>
        <v>22/07/2025,BUNDABERG</v>
      </c>
      <c r="H39" s="39" t="str">
        <f>UPPER(Sheet1!J39 &amp; "," &amp; Sheet1!K39 &amp; "," &amp; Sheet1!L39)</f>
        <v>131 BIRCHWOOD LANE,EMERALD ROAD,PIN:834366 BUNDABERG</v>
      </c>
      <c r="I39" s="8">
        <f>Sheet1!I39</f>
        <v>45905</v>
      </c>
      <c r="J39" s="5" t="str">
        <f>Sheet1!M39 &amp; "," &amp; TEXT(Sheet1!N39,"dd/mm/yy")</f>
        <v>MHA/IND/00038,06/07/25</v>
      </c>
      <c r="K39" s="5" t="s">
        <v>5752</v>
      </c>
      <c r="L39" s="31" t="s">
        <v>14</v>
      </c>
      <c r="M39" s="31" t="s">
        <v>15</v>
      </c>
      <c r="N39" s="31" t="s">
        <v>16</v>
      </c>
    </row>
    <row r="40" spans="1:14" x14ac:dyDescent="0.25">
      <c r="A40" s="4" t="str">
        <f>Sheet1!A40 &amp; "/" &amp; "2025"</f>
        <v>39/2025</v>
      </c>
      <c r="B40" s="5" t="str">
        <f>Sheet1!E40</f>
        <v>IND/MEL/00039</v>
      </c>
      <c r="C40" s="6" t="str">
        <f>UPPER(Sheet1!B40)</f>
        <v>DIYA RAO</v>
      </c>
      <c r="D40" s="7" t="str">
        <f>IF(Sheet1!F40="F","FEMALE","MALE")</f>
        <v>FEMALE</v>
      </c>
      <c r="E40" s="6" t="str">
        <f>UPPER(Sheet1!G40)</f>
        <v>NEIL RAO</v>
      </c>
      <c r="F40" s="6" t="str">
        <f>UPPER(Sheet1!H40)</f>
        <v>RIYA RAO</v>
      </c>
      <c r="G40" s="5" t="str">
        <f>TEXT(Sheet1!C40,"dd/mm/yyyy") &amp; "," &amp; Sheet1!D40</f>
        <v>20/06/2025,PERTH</v>
      </c>
      <c r="H40" s="39" t="str">
        <f>UPPER(Sheet1!J40 &amp; "," &amp; Sheet1!K40 &amp; "," &amp; Sheet1!L40)</f>
        <v>32 BIRCHWOOD LANE,EMERALD ROAD,PIN:127602 PERTH</v>
      </c>
      <c r="I40" s="8">
        <f>Sheet1!I40</f>
        <v>45872</v>
      </c>
      <c r="J40" s="5" t="str">
        <f>Sheet1!M40 &amp; "," &amp; TEXT(Sheet1!N40,"dd/mm/yy")</f>
        <v>MHA/IND/00039,26/07/25</v>
      </c>
      <c r="K40" s="5" t="s">
        <v>5752</v>
      </c>
      <c r="L40" s="31" t="s">
        <v>14</v>
      </c>
      <c r="M40" s="31" t="s">
        <v>15</v>
      </c>
      <c r="N40" s="31" t="s">
        <v>16</v>
      </c>
    </row>
    <row r="41" spans="1:14" x14ac:dyDescent="0.25">
      <c r="A41" s="4" t="str">
        <f>Sheet1!A41 &amp; "/" &amp; "2025"</f>
        <v>40/2025</v>
      </c>
      <c r="B41" s="5" t="str">
        <f>Sheet1!E41</f>
        <v>IND/MEL/00040</v>
      </c>
      <c r="C41" s="6" t="str">
        <f>UPPER(Sheet1!B41)</f>
        <v>KIRAN MYRTHOS</v>
      </c>
      <c r="D41" s="7" t="str">
        <f>IF(Sheet1!F41="F","FEMALE","MALE")</f>
        <v>MALE</v>
      </c>
      <c r="E41" s="6" t="str">
        <f>UPPER(Sheet1!G41)</f>
        <v>ISHAN MYRTHOS</v>
      </c>
      <c r="F41" s="6" t="str">
        <f>UPPER(Sheet1!H41)</f>
        <v>ANYA MYRTHOS</v>
      </c>
      <c r="G41" s="5" t="str">
        <f>TEXT(Sheet1!C41,"dd/mm/yyyy") &amp; "," &amp; Sheet1!D41</f>
        <v>28/04/2025,NEWCASTLE</v>
      </c>
      <c r="H41" s="39" t="str">
        <f>UPPER(Sheet1!J41 &amp; "," &amp; Sheet1!K41 &amp; "," &amp; Sheet1!L41)</f>
        <v>139 BIRCHWOOD LANE,EMERALD ROAD,PIN:884260 NEWCASTLE</v>
      </c>
      <c r="I41" s="8">
        <f>Sheet1!I41</f>
        <v>45873</v>
      </c>
      <c r="J41" s="5" t="str">
        <f>Sheet1!M41 &amp; "," &amp; TEXT(Sheet1!N41,"dd/mm/yy")</f>
        <v>MHA/IND/00040,02/07/25</v>
      </c>
      <c r="K41" s="5" t="s">
        <v>5752</v>
      </c>
      <c r="L41" s="31" t="s">
        <v>14</v>
      </c>
      <c r="M41" s="31" t="s">
        <v>15</v>
      </c>
      <c r="N41" s="31" t="s">
        <v>16</v>
      </c>
    </row>
    <row r="42" spans="1:14" x14ac:dyDescent="0.25">
      <c r="A42" s="4" t="str">
        <f>Sheet1!A42 &amp; "/" &amp; "2025"</f>
        <v>41/2025</v>
      </c>
      <c r="B42" s="5" t="str">
        <f>Sheet1!E42</f>
        <v>IND/MEL/00041</v>
      </c>
      <c r="C42" s="6" t="str">
        <f>UPPER(Sheet1!B42)</f>
        <v>NEIL SINDALE</v>
      </c>
      <c r="D42" s="7" t="str">
        <f>IF(Sheet1!F42="F","FEMALE","MALE")</f>
        <v>MALE</v>
      </c>
      <c r="E42" s="6" t="str">
        <f>UPPER(Sheet1!G42)</f>
        <v>KABIR SINDALE</v>
      </c>
      <c r="F42" s="6" t="str">
        <f>UPPER(Sheet1!H42)</f>
        <v>SARA SINDALE</v>
      </c>
      <c r="G42" s="5" t="str">
        <f>TEXT(Sheet1!C42,"dd/mm/yyyy") &amp; "," &amp; Sheet1!D42</f>
        <v>17/03/2025,PARKVILLE</v>
      </c>
      <c r="H42" s="39" t="str">
        <f>UPPER(Sheet1!J42 &amp; "," &amp; Sheet1!K42 &amp; "," &amp; Sheet1!L42)</f>
        <v>164 BIRCHWOOD LANE,EMERALD ROAD,PIN:603548 PARKVILLE</v>
      </c>
      <c r="I42" s="8">
        <f>Sheet1!I42</f>
        <v>45786</v>
      </c>
      <c r="J42" s="5" t="str">
        <f>Sheet1!M42 &amp; "," &amp; TEXT(Sheet1!N42,"dd/mm/yy")</f>
        <v>MHA/IND/00041,30/07/25</v>
      </c>
      <c r="K42" s="5" t="s">
        <v>5752</v>
      </c>
      <c r="L42" s="31" t="s">
        <v>14</v>
      </c>
      <c r="M42" s="31" t="s">
        <v>15</v>
      </c>
      <c r="N42" s="31" t="s">
        <v>16</v>
      </c>
    </row>
    <row r="43" spans="1:14" x14ac:dyDescent="0.25">
      <c r="A43" s="4" t="str">
        <f>Sheet1!A43 &amp; "/" &amp; "2025"</f>
        <v>42/2025</v>
      </c>
      <c r="B43" s="5" t="str">
        <f>Sheet1!E43</f>
        <v>IND/MEL/00042</v>
      </c>
      <c r="C43" s="6" t="str">
        <f>UPPER(Sheet1!B43)</f>
        <v>ANYA RISHKAN</v>
      </c>
      <c r="D43" s="7" t="str">
        <f>IF(Sheet1!F43="F","FEMALE","MALE")</f>
        <v>FEMALE</v>
      </c>
      <c r="E43" s="6" t="str">
        <f>UPPER(Sheet1!G43)</f>
        <v>ARJUN RISHKAN</v>
      </c>
      <c r="F43" s="6" t="str">
        <f>UPPER(Sheet1!H43)</f>
        <v>RIYA RISHKAN</v>
      </c>
      <c r="G43" s="5" t="str">
        <f>TEXT(Sheet1!C43,"dd/mm/yyyy") &amp; "," &amp; Sheet1!D43</f>
        <v>05/06/2025,CLAYTON</v>
      </c>
      <c r="H43" s="39" t="str">
        <f>UPPER(Sheet1!J43 &amp; "," &amp; Sheet1!K43 &amp; "," &amp; Sheet1!L43)</f>
        <v>115 BIRCHWOOD LANE,EMERALD ROAD,PIN:420167 CLAYTON</v>
      </c>
      <c r="I43" s="8">
        <f>Sheet1!I43</f>
        <v>45881</v>
      </c>
      <c r="J43" s="5" t="str">
        <f>Sheet1!M43 &amp; "," &amp; TEXT(Sheet1!N43,"dd/mm/yy")</f>
        <v>MHA/IND/00042,11/07/25</v>
      </c>
      <c r="K43" s="5" t="s">
        <v>5752</v>
      </c>
      <c r="L43" s="31" t="s">
        <v>14</v>
      </c>
      <c r="M43" s="31" t="s">
        <v>15</v>
      </c>
      <c r="N43" s="31" t="s">
        <v>16</v>
      </c>
    </row>
    <row r="44" spans="1:14" x14ac:dyDescent="0.25">
      <c r="A44" s="4" t="str">
        <f>Sheet1!A44 &amp; "/" &amp; "2025"</f>
        <v>43/2025</v>
      </c>
      <c r="B44" s="5" t="str">
        <f>Sheet1!E44</f>
        <v>IND/MEL/00043</v>
      </c>
      <c r="C44" s="6" t="str">
        <f>UPPER(Sheet1!B44)</f>
        <v>ISHAN MYRTHOS</v>
      </c>
      <c r="D44" s="7" t="str">
        <f>IF(Sheet1!F44="F","FEMALE","MALE")</f>
        <v>MALE</v>
      </c>
      <c r="E44" s="6" t="str">
        <f>UPPER(Sheet1!G44)</f>
        <v>ROHIT MYRTHOS</v>
      </c>
      <c r="F44" s="6" t="str">
        <f>UPPER(Sheet1!H44)</f>
        <v>SARA MYRTHOS</v>
      </c>
      <c r="G44" s="5" t="str">
        <f>TEXT(Sheet1!C44,"dd/mm/yyyy") &amp; "," &amp; Sheet1!D44</f>
        <v>15/08/2025,SYDNEY</v>
      </c>
      <c r="H44" s="39" t="str">
        <f>UPPER(Sheet1!J44 &amp; "," &amp; Sheet1!K44 &amp; "," &amp; Sheet1!L44)</f>
        <v>87 BIRCHWOOD LANE,EMERALD ROAD,PIN:467770 SYDNEY</v>
      </c>
      <c r="I44" s="8">
        <f>Sheet1!I44</f>
        <v>45929</v>
      </c>
      <c r="J44" s="5" t="str">
        <f>Sheet1!M44 &amp; "," &amp; TEXT(Sheet1!N44,"dd/mm/yy")</f>
        <v>MHA/IND/00043,17/07/25</v>
      </c>
      <c r="K44" s="5" t="s">
        <v>5752</v>
      </c>
      <c r="L44" s="31" t="s">
        <v>14</v>
      </c>
      <c r="M44" s="31" t="s">
        <v>15</v>
      </c>
      <c r="N44" s="31" t="s">
        <v>16</v>
      </c>
    </row>
    <row r="45" spans="1:14" x14ac:dyDescent="0.25">
      <c r="A45" s="4" t="str">
        <f>Sheet1!A45 &amp; "/" &amp; "2025"</f>
        <v>44/2025</v>
      </c>
      <c r="B45" s="5" t="str">
        <f>Sheet1!E45</f>
        <v>IND/MEL/00044</v>
      </c>
      <c r="C45" s="6" t="str">
        <f>UPPER(Sheet1!B45)</f>
        <v>ROHIT KALEON</v>
      </c>
      <c r="D45" s="7" t="str">
        <f>IF(Sheet1!F45="F","FEMALE","MALE")</f>
        <v>MALE</v>
      </c>
      <c r="E45" s="6" t="str">
        <f>UPPER(Sheet1!G45)</f>
        <v>ARJUN KALEON</v>
      </c>
      <c r="F45" s="6" t="str">
        <f>UPPER(Sheet1!H45)</f>
        <v>NINA KALEON</v>
      </c>
      <c r="G45" s="5" t="str">
        <f>TEXT(Sheet1!C45,"dd/mm/yyyy") &amp; "," &amp; Sheet1!D45</f>
        <v>22/09/2025,SHEPPARTON</v>
      </c>
      <c r="H45" s="39" t="str">
        <f>UPPER(Sheet1!J45 &amp; "," &amp; Sheet1!K45 &amp; "," &amp; Sheet1!L45)</f>
        <v>77 BIRCHWOOD LANE,EMERALD ROAD,PIN:757926 SHEPPARTON</v>
      </c>
      <c r="I45" s="8">
        <f>Sheet1!I45</f>
        <v>46024</v>
      </c>
      <c r="J45" s="5" t="str">
        <f>Sheet1!M45 &amp; "," &amp; TEXT(Sheet1!N45,"dd/mm/yy")</f>
        <v>MHA/IND/00044,10/08/25</v>
      </c>
      <c r="K45" s="5" t="s">
        <v>5752</v>
      </c>
      <c r="L45" s="31" t="s">
        <v>14</v>
      </c>
      <c r="M45" s="31" t="s">
        <v>15</v>
      </c>
      <c r="N45" s="31" t="s">
        <v>16</v>
      </c>
    </row>
    <row r="46" spans="1:14" x14ac:dyDescent="0.25">
      <c r="A46" s="4" t="str">
        <f>Sheet1!A46 &amp; "/" &amp; "2025"</f>
        <v>45/2025</v>
      </c>
      <c r="B46" s="5" t="str">
        <f>Sheet1!E46</f>
        <v>IND/MEL/00045</v>
      </c>
      <c r="C46" s="6" t="str">
        <f>UPPER(Sheet1!B46)</f>
        <v>NEIL KALEON</v>
      </c>
      <c r="D46" s="7" t="str">
        <f>IF(Sheet1!F46="F","FEMALE","MALE")</f>
        <v>MALE</v>
      </c>
      <c r="E46" s="6" t="str">
        <f>UPPER(Sheet1!G46)</f>
        <v>ROHIT KALEON</v>
      </c>
      <c r="F46" s="6" t="str">
        <f>UPPER(Sheet1!H46)</f>
        <v>DIYA KALEON</v>
      </c>
      <c r="G46" s="5" t="str">
        <f>TEXT(Sheet1!C46,"dd/mm/yyyy") &amp; "," &amp; Sheet1!D46</f>
        <v>21/04/2025,WERRIBEE</v>
      </c>
      <c r="H46" s="39" t="str">
        <f>UPPER(Sheet1!J46 &amp; "," &amp; Sheet1!K46 &amp; "," &amp; Sheet1!L46)</f>
        <v>59 BIRCHWOOD LANE,EMERALD ROAD,PIN:445229 WERRIBEE</v>
      </c>
      <c r="I46" s="8">
        <f>Sheet1!I46</f>
        <v>45776</v>
      </c>
      <c r="J46" s="5" t="str">
        <f>Sheet1!M46 &amp; "," &amp; TEXT(Sheet1!N46,"dd/mm/yy")</f>
        <v>MHA/IND/00045,28/08/25</v>
      </c>
      <c r="K46" s="5" t="s">
        <v>5752</v>
      </c>
      <c r="L46" s="31" t="s">
        <v>14</v>
      </c>
      <c r="M46" s="31" t="s">
        <v>15</v>
      </c>
      <c r="N46" s="31" t="s">
        <v>16</v>
      </c>
    </row>
    <row r="47" spans="1:14" x14ac:dyDescent="0.25">
      <c r="A47" s="4" t="str">
        <f>Sheet1!A47 &amp; "/" &amp; "2025"</f>
        <v>46/2025</v>
      </c>
      <c r="B47" s="5" t="str">
        <f>Sheet1!E47</f>
        <v>IND/MEL/00046</v>
      </c>
      <c r="C47" s="6" t="str">
        <f>UPPER(Sheet1!B47)</f>
        <v>MIRA KALEON</v>
      </c>
      <c r="D47" s="7" t="str">
        <f>IF(Sheet1!F47="F","FEMALE","MALE")</f>
        <v>FEMALE</v>
      </c>
      <c r="E47" s="6" t="str">
        <f>UPPER(Sheet1!G47)</f>
        <v>ARJUN KALEON</v>
      </c>
      <c r="F47" s="6" t="str">
        <f>UPPER(Sheet1!H47)</f>
        <v>DIYA KALEON</v>
      </c>
      <c r="G47" s="5" t="str">
        <f>TEXT(Sheet1!C47,"dd/mm/yyyy") &amp; "," &amp; Sheet1!D47</f>
        <v>27/10/2025,MOUNT WAVERLEY</v>
      </c>
      <c r="H47" s="39" t="str">
        <f>UPPER(Sheet1!J47 &amp; "," &amp; Sheet1!K47 &amp; "," &amp; Sheet1!L47)</f>
        <v>97 BIRCHWOOD LANE,EMERALD ROAD,PIN:563405 MOUNT WAVERLEY</v>
      </c>
      <c r="I47" s="8">
        <f>Sheet1!I47</f>
        <v>45976</v>
      </c>
      <c r="J47" s="5" t="str">
        <f>Sheet1!M47 &amp; "," &amp; TEXT(Sheet1!N47,"dd/mm/yy")</f>
        <v>MHA/IND/00046,01/07/25</v>
      </c>
      <c r="K47" s="5" t="s">
        <v>5752</v>
      </c>
      <c r="L47" s="31" t="s">
        <v>14</v>
      </c>
      <c r="M47" s="31" t="s">
        <v>15</v>
      </c>
      <c r="N47" s="31" t="s">
        <v>16</v>
      </c>
    </row>
    <row r="48" spans="1:14" x14ac:dyDescent="0.25">
      <c r="A48" s="4" t="str">
        <f>Sheet1!A48 &amp; "/" &amp; "2025"</f>
        <v>47/2025</v>
      </c>
      <c r="B48" s="5" t="str">
        <f>Sheet1!E48</f>
        <v>IND/MEL/00047</v>
      </c>
      <c r="C48" s="6" t="str">
        <f>UPPER(Sheet1!B48)</f>
        <v>DIYA KALEON</v>
      </c>
      <c r="D48" s="7" t="str">
        <f>IF(Sheet1!F48="F","FEMALE","MALE")</f>
        <v>FEMALE</v>
      </c>
      <c r="E48" s="6" t="str">
        <f>UPPER(Sheet1!G48)</f>
        <v>DEV KALEON</v>
      </c>
      <c r="F48" s="6" t="str">
        <f>UPPER(Sheet1!H48)</f>
        <v>ANYA KALEON</v>
      </c>
      <c r="G48" s="5" t="str">
        <f>TEXT(Sheet1!C48,"dd/mm/yyyy") &amp; "," &amp; Sheet1!D48</f>
        <v>11/07/2025,BRISBANE</v>
      </c>
      <c r="H48" s="39" t="str">
        <f>UPPER(Sheet1!J48 &amp; "," &amp; Sheet1!K48 &amp; "," &amp; Sheet1!L48)</f>
        <v>27 BIRCHWOOD LANE,EMERALD ROAD,PIN:220650 BRISBANE</v>
      </c>
      <c r="I48" s="8">
        <f>Sheet1!I48</f>
        <v>45956</v>
      </c>
      <c r="J48" s="5" t="str">
        <f>Sheet1!M48 &amp; "," &amp; TEXT(Sheet1!N48,"dd/mm/yy")</f>
        <v>MHA/IND/00047,24/08/25</v>
      </c>
      <c r="K48" s="5" t="s">
        <v>5752</v>
      </c>
      <c r="L48" s="31" t="s">
        <v>14</v>
      </c>
      <c r="M48" s="31" t="s">
        <v>15</v>
      </c>
      <c r="N48" s="31" t="s">
        <v>16</v>
      </c>
    </row>
    <row r="49" spans="1:14" x14ac:dyDescent="0.25">
      <c r="A49" s="4" t="str">
        <f>Sheet1!A49 &amp; "/" &amp; "2025"</f>
        <v>48/2025</v>
      </c>
      <c r="B49" s="5" t="str">
        <f>Sheet1!E49</f>
        <v>IND/MEL/00048</v>
      </c>
      <c r="C49" s="6" t="str">
        <f>UPPER(Sheet1!B49)</f>
        <v>KABIR MYRTHOS</v>
      </c>
      <c r="D49" s="7" t="str">
        <f>IF(Sheet1!F49="F","FEMALE","MALE")</f>
        <v>MALE</v>
      </c>
      <c r="E49" s="6" t="str">
        <f>UPPER(Sheet1!G49)</f>
        <v>KIRAN MYRTHOS</v>
      </c>
      <c r="F49" s="6" t="str">
        <f>UPPER(Sheet1!H49)</f>
        <v>SARA MYRTHOS</v>
      </c>
      <c r="G49" s="5" t="str">
        <f>TEXT(Sheet1!C49,"dd/mm/yyyy") &amp; "," &amp; Sheet1!D49</f>
        <v>16/02/2025,MILDURA</v>
      </c>
      <c r="H49" s="39" t="str">
        <f>UPPER(Sheet1!J49 &amp; "," &amp; Sheet1!K49 &amp; "," &amp; Sheet1!L49)</f>
        <v>198 BIRCHWOOD LANE,EMERALD ROAD,PIN:462004 MILDURA</v>
      </c>
      <c r="I49" s="8">
        <f>Sheet1!I49</f>
        <v>45773</v>
      </c>
      <c r="J49" s="5" t="str">
        <f>Sheet1!M49 &amp; "," &amp; TEXT(Sheet1!N49,"dd/mm/yy")</f>
        <v>MHA/IND/00048,12/08/25</v>
      </c>
      <c r="K49" s="5" t="s">
        <v>5752</v>
      </c>
      <c r="L49" s="31" t="s">
        <v>14</v>
      </c>
      <c r="M49" s="31" t="s">
        <v>15</v>
      </c>
      <c r="N49" s="31" t="s">
        <v>16</v>
      </c>
    </row>
    <row r="50" spans="1:14" x14ac:dyDescent="0.25">
      <c r="A50" s="4" t="str">
        <f>Sheet1!A50 &amp; "/" &amp; "2025"</f>
        <v>49/2025</v>
      </c>
      <c r="B50" s="5" t="str">
        <f>Sheet1!E50</f>
        <v>IND/MEL/00049</v>
      </c>
      <c r="C50" s="6" t="str">
        <f>UPPER(Sheet1!B50)</f>
        <v>ROHIT RISHKAN</v>
      </c>
      <c r="D50" s="7" t="str">
        <f>IF(Sheet1!F50="F","FEMALE","MALE")</f>
        <v>MALE</v>
      </c>
      <c r="E50" s="6" t="str">
        <f>UPPER(Sheet1!G50)</f>
        <v>ARJUN RISHKAN</v>
      </c>
      <c r="F50" s="6" t="str">
        <f>UPPER(Sheet1!H50)</f>
        <v>ANYA RISHKAN</v>
      </c>
      <c r="G50" s="5" t="str">
        <f>TEXT(Sheet1!C50,"dd/mm/yyyy") &amp; "," &amp; Sheet1!D50</f>
        <v>14/02/2025,KINGSWOOD</v>
      </c>
      <c r="H50" s="39" t="str">
        <f>UPPER(Sheet1!J50 &amp; "," &amp; Sheet1!K50 &amp; "," &amp; Sheet1!L50)</f>
        <v>83 BIRCHWOOD LANE,EMERALD ROAD,PIN:270087 KINGSWOOD</v>
      </c>
      <c r="I50" s="8">
        <f>Sheet1!I50</f>
        <v>45741</v>
      </c>
      <c r="J50" s="5" t="str">
        <f>Sheet1!M50 &amp; "," &amp; TEXT(Sheet1!N50,"dd/mm/yy")</f>
        <v>MHA/IND/00049,24/07/25</v>
      </c>
      <c r="K50" s="5" t="s">
        <v>5752</v>
      </c>
      <c r="L50" s="31" t="s">
        <v>14</v>
      </c>
      <c r="M50" s="31" t="s">
        <v>15</v>
      </c>
      <c r="N50" s="31" t="s">
        <v>16</v>
      </c>
    </row>
    <row r="51" spans="1:14" x14ac:dyDescent="0.25">
      <c r="A51" s="4" t="str">
        <f>Sheet1!A51 &amp; "/" &amp; "2025"</f>
        <v>50/2025</v>
      </c>
      <c r="B51" s="5" t="str">
        <f>Sheet1!E51</f>
        <v>IND/MEL/00050</v>
      </c>
      <c r="C51" s="6" t="str">
        <f>UPPER(Sheet1!B51)</f>
        <v>ROHIT MYRTHOS</v>
      </c>
      <c r="D51" s="7" t="str">
        <f>IF(Sheet1!F51="F","FEMALE","MALE")</f>
        <v>MALE</v>
      </c>
      <c r="E51" s="6" t="str">
        <f>UPPER(Sheet1!G51)</f>
        <v>NEIL MYRTHOS</v>
      </c>
      <c r="F51" s="6" t="str">
        <f>UPPER(Sheet1!H51)</f>
        <v>RIYA MYRTHOS</v>
      </c>
      <c r="G51" s="5" t="str">
        <f>TEXT(Sheet1!C51,"dd/mm/yyyy") &amp; "," &amp; Sheet1!D51</f>
        <v>17/09/2025,TUGGERANONG</v>
      </c>
      <c r="H51" s="39" t="str">
        <f>UPPER(Sheet1!J51 &amp; "," &amp; Sheet1!K51 &amp; "," &amp; Sheet1!L51)</f>
        <v>97 BIRCHWOOD LANE,EMERALD ROAD,PIN:639992 TUGGERANONG</v>
      </c>
      <c r="I51" s="8">
        <f>Sheet1!I51</f>
        <v>45969</v>
      </c>
      <c r="J51" s="5" t="str">
        <f>Sheet1!M51 &amp; "," &amp; TEXT(Sheet1!N51,"dd/mm/yy")</f>
        <v>MHA/IND/00050,17/08/25</v>
      </c>
      <c r="K51" s="5" t="s">
        <v>5752</v>
      </c>
      <c r="L51" s="31" t="s">
        <v>14</v>
      </c>
      <c r="M51" s="31" t="s">
        <v>15</v>
      </c>
      <c r="N51" s="31" t="s">
        <v>16</v>
      </c>
    </row>
    <row r="52" spans="1:14" x14ac:dyDescent="0.25">
      <c r="A52" s="4" t="str">
        <f>Sheet1!A52 &amp; "/" &amp; "2025"</f>
        <v>51/2025</v>
      </c>
      <c r="B52" s="5" t="str">
        <f>Sheet1!E52</f>
        <v>IND/MEL/00051</v>
      </c>
      <c r="C52" s="6" t="str">
        <f>UPPER(Sheet1!B52)</f>
        <v>ALYA RAO</v>
      </c>
      <c r="D52" s="7" t="str">
        <f>IF(Sheet1!F52="F","FEMALE","MALE")</f>
        <v>FEMALE</v>
      </c>
      <c r="E52" s="6" t="str">
        <f>UPPER(Sheet1!G52)</f>
        <v>ROHIT RAO</v>
      </c>
      <c r="F52" s="6" t="str">
        <f>UPPER(Sheet1!H52)</f>
        <v>ALYA RAO</v>
      </c>
      <c r="G52" s="5" t="str">
        <f>TEXT(Sheet1!C52,"dd/mm/yyyy") &amp; "," &amp; Sheet1!D52</f>
        <v>14/01/2025,HEIDELBERG</v>
      </c>
      <c r="H52" s="39" t="str">
        <f>UPPER(Sheet1!J52 &amp; "," &amp; Sheet1!K52 &amp; "," &amp; Sheet1!L52)</f>
        <v>140 BIRCHWOOD LANE,EMERALD ROAD,PIN:499471 HEIDELBERG</v>
      </c>
      <c r="I52" s="8">
        <f>Sheet1!I52</f>
        <v>45780</v>
      </c>
      <c r="J52" s="5" t="str">
        <f>Sheet1!M52 &amp; "," &amp; TEXT(Sheet1!N52,"dd/mm/yy")</f>
        <v>MHA/IND/00051,28/07/25</v>
      </c>
      <c r="K52" s="5" t="s">
        <v>5752</v>
      </c>
      <c r="L52" s="31" t="s">
        <v>14</v>
      </c>
      <c r="M52" s="31" t="s">
        <v>15</v>
      </c>
      <c r="N52" s="31" t="s">
        <v>16</v>
      </c>
    </row>
    <row r="53" spans="1:14" x14ac:dyDescent="0.25">
      <c r="A53" s="4" t="str">
        <f>Sheet1!A53 &amp; "/" &amp; "2025"</f>
        <v>52/2025</v>
      </c>
      <c r="B53" s="5" t="str">
        <f>Sheet1!E53</f>
        <v>IND/MEL/00052</v>
      </c>
      <c r="C53" s="6" t="str">
        <f>UPPER(Sheet1!B53)</f>
        <v>NEIL RISHKAN</v>
      </c>
      <c r="D53" s="7" t="str">
        <f>IF(Sheet1!F53="F","FEMALE","MALE")</f>
        <v>MALE</v>
      </c>
      <c r="E53" s="6" t="str">
        <f>UPPER(Sheet1!G53)</f>
        <v>NEIL RISHKAN</v>
      </c>
      <c r="F53" s="6" t="str">
        <f>UPPER(Sheet1!H53)</f>
        <v>NINA RISHKAN</v>
      </c>
      <c r="G53" s="5" t="str">
        <f>TEXT(Sheet1!C53,"dd/mm/yyyy") &amp; "," &amp; Sheet1!D53</f>
        <v>23/05/2025,BALLARAT CENTRAL</v>
      </c>
      <c r="H53" s="39" t="str">
        <f>UPPER(Sheet1!J53 &amp; "," &amp; Sheet1!K53 &amp; "," &amp; Sheet1!L53)</f>
        <v>80 BIRCHWOOD LANE,EMERALD ROAD,PIN:295625 BALLARAT CENTRAL</v>
      </c>
      <c r="I53" s="8">
        <f>Sheet1!I53</f>
        <v>45822</v>
      </c>
      <c r="J53" s="5" t="str">
        <f>Sheet1!M53 &amp; "," &amp; TEXT(Sheet1!N53,"dd/mm/yy")</f>
        <v>MHA/IND/00052,13/07/25</v>
      </c>
      <c r="K53" s="5" t="s">
        <v>5752</v>
      </c>
      <c r="L53" s="31" t="s">
        <v>14</v>
      </c>
      <c r="M53" s="31" t="s">
        <v>15</v>
      </c>
      <c r="N53" s="31" t="s">
        <v>16</v>
      </c>
    </row>
    <row r="54" spans="1:14" x14ac:dyDescent="0.25">
      <c r="A54" s="4" t="str">
        <f>Sheet1!A54 &amp; "/" &amp; "2025"</f>
        <v>53/2025</v>
      </c>
      <c r="B54" s="5" t="str">
        <f>Sheet1!E54</f>
        <v>IND/MEL/00053</v>
      </c>
      <c r="C54" s="6" t="str">
        <f>UPPER(Sheet1!B54)</f>
        <v>RIYA SHARMA</v>
      </c>
      <c r="D54" s="7" t="str">
        <f>IF(Sheet1!F54="F","FEMALE","MALE")</f>
        <v>FEMALE</v>
      </c>
      <c r="E54" s="6" t="str">
        <f>UPPER(Sheet1!G54)</f>
        <v>KABIR SHARMA</v>
      </c>
      <c r="F54" s="6" t="str">
        <f>UPPER(Sheet1!H54)</f>
        <v>ALYA SHARMA</v>
      </c>
      <c r="G54" s="5" t="str">
        <f>TEXT(Sheet1!C54,"dd/mm/yyyy") &amp; "," &amp; Sheet1!D54</f>
        <v>02/10/2025,BUNDABERG</v>
      </c>
      <c r="H54" s="39" t="str">
        <f>UPPER(Sheet1!J54 &amp; "," &amp; Sheet1!K54 &amp; "," &amp; Sheet1!L54)</f>
        <v>164 BIRCHWOOD LANE,EMERALD ROAD,PIN:842372 BUNDABERG</v>
      </c>
      <c r="I54" s="8">
        <f>Sheet1!I54</f>
        <v>45950</v>
      </c>
      <c r="J54" s="5" t="str">
        <f>Sheet1!M54 &amp; "," &amp; TEXT(Sheet1!N54,"dd/mm/yy")</f>
        <v>MHA/IND/00053,16/08/25</v>
      </c>
      <c r="K54" s="5" t="s">
        <v>5752</v>
      </c>
      <c r="L54" s="31" t="s">
        <v>14</v>
      </c>
      <c r="M54" s="31" t="s">
        <v>15</v>
      </c>
      <c r="N54" s="31" t="s">
        <v>16</v>
      </c>
    </row>
    <row r="55" spans="1:14" x14ac:dyDescent="0.25">
      <c r="A55" s="4" t="str">
        <f>Sheet1!A55 &amp; "/" &amp; "2025"</f>
        <v>54/2025</v>
      </c>
      <c r="B55" s="5" t="str">
        <f>Sheet1!E55</f>
        <v>IND/MEL/00054</v>
      </c>
      <c r="C55" s="6" t="str">
        <f>UPPER(Sheet1!B55)</f>
        <v>ALYA SHARMA</v>
      </c>
      <c r="D55" s="7" t="str">
        <f>IF(Sheet1!F55="F","FEMALE","MALE")</f>
        <v>FEMALE</v>
      </c>
      <c r="E55" s="6" t="str">
        <f>UPPER(Sheet1!G55)</f>
        <v>KABIR SHARMA</v>
      </c>
      <c r="F55" s="6" t="str">
        <f>UPPER(Sheet1!H55)</f>
        <v>ALYA SHARMA</v>
      </c>
      <c r="G55" s="5" t="str">
        <f>TEXT(Sheet1!C55,"dd/mm/yyyy") &amp; "," &amp; Sheet1!D55</f>
        <v>28/04/2025,LAUNCESTON</v>
      </c>
      <c r="H55" s="39" t="str">
        <f>UPPER(Sheet1!J55 &amp; "," &amp; Sheet1!K55 &amp; "," &amp; Sheet1!L55)</f>
        <v>15 BIRCHWOOD LANE,EMERALD ROAD,PIN:931268 LAUNCESTON</v>
      </c>
      <c r="I55" s="8">
        <f>Sheet1!I55</f>
        <v>45864</v>
      </c>
      <c r="J55" s="5" t="str">
        <f>Sheet1!M55 &amp; "," &amp; TEXT(Sheet1!N55,"dd/mm/yy")</f>
        <v>MHA/IND/00054,28/08/25</v>
      </c>
      <c r="K55" s="5" t="s">
        <v>5752</v>
      </c>
      <c r="L55" s="31" t="s">
        <v>14</v>
      </c>
      <c r="M55" s="31" t="s">
        <v>15</v>
      </c>
      <c r="N55" s="31" t="s">
        <v>16</v>
      </c>
    </row>
    <row r="56" spans="1:14" x14ac:dyDescent="0.25">
      <c r="A56" s="4" t="str">
        <f>Sheet1!A56 &amp; "/" &amp; "2025"</f>
        <v>55/2025</v>
      </c>
      <c r="B56" s="5" t="str">
        <f>Sheet1!E56</f>
        <v>IND/MEL/00055</v>
      </c>
      <c r="C56" s="6" t="str">
        <f>UPPER(Sheet1!B56)</f>
        <v>SARA KALEON</v>
      </c>
      <c r="D56" s="7" t="str">
        <f>IF(Sheet1!F56="F","FEMALE","MALE")</f>
        <v>FEMALE</v>
      </c>
      <c r="E56" s="6" t="str">
        <f>UPPER(Sheet1!G56)</f>
        <v>KABIR KALEON</v>
      </c>
      <c r="F56" s="6" t="str">
        <f>UPPER(Sheet1!H56)</f>
        <v>MIRA KALEON</v>
      </c>
      <c r="G56" s="5" t="str">
        <f>TEXT(Sheet1!C56,"dd/mm/yyyy") &amp; "," &amp; Sheet1!D56</f>
        <v>12/10/2025,BUNDOORA</v>
      </c>
      <c r="H56" s="39" t="str">
        <f>UPPER(Sheet1!J56 &amp; "," &amp; Sheet1!K56 &amp; "," &amp; Sheet1!L56)</f>
        <v>100 BIRCHWOOD LANE,EMERALD ROAD,PIN:115514 BUNDOORA</v>
      </c>
      <c r="I56" s="8">
        <f>Sheet1!I56</f>
        <v>45975</v>
      </c>
      <c r="J56" s="5" t="str">
        <f>Sheet1!M56 &amp; "," &amp; TEXT(Sheet1!N56,"dd/mm/yy")</f>
        <v>MHA/IND/00055,20/07/25</v>
      </c>
      <c r="K56" s="5" t="s">
        <v>5752</v>
      </c>
      <c r="L56" s="31" t="s">
        <v>14</v>
      </c>
      <c r="M56" s="31" t="s">
        <v>15</v>
      </c>
      <c r="N56" s="31" t="s">
        <v>16</v>
      </c>
    </row>
    <row r="57" spans="1:14" x14ac:dyDescent="0.25">
      <c r="A57" s="4" t="str">
        <f>Sheet1!A57 &amp; "/" &amp; "2025"</f>
        <v>56/2025</v>
      </c>
      <c r="B57" s="5" t="str">
        <f>Sheet1!E57</f>
        <v>IND/MEL/00056</v>
      </c>
      <c r="C57" s="6" t="str">
        <f>UPPER(Sheet1!B57)</f>
        <v>ARJUN VALZARI</v>
      </c>
      <c r="D57" s="7" t="str">
        <f>IF(Sheet1!F57="F","FEMALE","MALE")</f>
        <v>MALE</v>
      </c>
      <c r="E57" s="6" t="str">
        <f>UPPER(Sheet1!G57)</f>
        <v>ARJUN VALZARI</v>
      </c>
      <c r="F57" s="6" t="str">
        <f>UPPER(Sheet1!H57)</f>
        <v>ALYA VALZARI</v>
      </c>
      <c r="G57" s="5" t="str">
        <f>TEXT(Sheet1!C57,"dd/mm/yyyy") &amp; "," &amp; Sheet1!D57</f>
        <v>07/01/2025,ST ALBANS</v>
      </c>
      <c r="H57" s="39" t="str">
        <f>UPPER(Sheet1!J57 &amp; "," &amp; Sheet1!K57 &amp; "," &amp; Sheet1!L57)</f>
        <v>140 BIRCHWOOD LANE,EMERALD ROAD,PIN:979619 ST ALBANS</v>
      </c>
      <c r="I57" s="8">
        <f>Sheet1!I57</f>
        <v>45725</v>
      </c>
      <c r="J57" s="5" t="str">
        <f>Sheet1!M57 &amp; "," &amp; TEXT(Sheet1!N57,"dd/mm/yy")</f>
        <v>MHA/IND/00056,21/07/25</v>
      </c>
      <c r="K57" s="5" t="s">
        <v>5752</v>
      </c>
      <c r="L57" s="31" t="s">
        <v>14</v>
      </c>
      <c r="M57" s="31" t="s">
        <v>15</v>
      </c>
      <c r="N57" s="31" t="s">
        <v>16</v>
      </c>
    </row>
    <row r="58" spans="1:14" x14ac:dyDescent="0.25">
      <c r="A58" s="4" t="str">
        <f>Sheet1!A58 &amp; "/" &amp; "2025"</f>
        <v>57/2025</v>
      </c>
      <c r="B58" s="5" t="str">
        <f>Sheet1!E58</f>
        <v>IND/MEL/00057</v>
      </c>
      <c r="C58" s="6" t="str">
        <f>UPPER(Sheet1!B58)</f>
        <v>NEIL VALZARI</v>
      </c>
      <c r="D58" s="7" t="str">
        <f>IF(Sheet1!F58="F","FEMALE","MALE")</f>
        <v>MALE</v>
      </c>
      <c r="E58" s="6" t="str">
        <f>UPPER(Sheet1!G58)</f>
        <v>ISHAN VALZARI</v>
      </c>
      <c r="F58" s="6" t="str">
        <f>UPPER(Sheet1!H58)</f>
        <v>SARA VALZARI</v>
      </c>
      <c r="G58" s="5" t="str">
        <f>TEXT(Sheet1!C58,"dd/mm/yyyy") &amp; "," &amp; Sheet1!D58</f>
        <v>25/08/2025,BLACKTOWN</v>
      </c>
      <c r="H58" s="39" t="str">
        <f>UPPER(Sheet1!J58 &amp; "," &amp; Sheet1!K58 &amp; "," &amp; Sheet1!L58)</f>
        <v>59 BIRCHWOOD LANE,EMERALD ROAD,PIN:338900 BLACKTOWN</v>
      </c>
      <c r="I58" s="8">
        <f>Sheet1!I58</f>
        <v>45951</v>
      </c>
      <c r="J58" s="5" t="str">
        <f>Sheet1!M58 &amp; "," &amp; TEXT(Sheet1!N58,"dd/mm/yy")</f>
        <v>MHA/IND/00057,26/08/25</v>
      </c>
      <c r="K58" s="5" t="s">
        <v>5752</v>
      </c>
      <c r="L58" s="31" t="s">
        <v>14</v>
      </c>
      <c r="M58" s="31" t="s">
        <v>15</v>
      </c>
      <c r="N58" s="31" t="s">
        <v>16</v>
      </c>
    </row>
    <row r="59" spans="1:14" x14ac:dyDescent="0.25">
      <c r="A59" s="4" t="str">
        <f>Sheet1!A59 &amp; "/" &amp; "2025"</f>
        <v>58/2025</v>
      </c>
      <c r="B59" s="5" t="str">
        <f>Sheet1!E59</f>
        <v>IND/MEL/00058</v>
      </c>
      <c r="C59" s="6" t="str">
        <f>UPPER(Sheet1!B59)</f>
        <v>ANYA RISHKAN</v>
      </c>
      <c r="D59" s="7" t="str">
        <f>IF(Sheet1!F59="F","FEMALE","MALE")</f>
        <v>FEMALE</v>
      </c>
      <c r="E59" s="6" t="str">
        <f>UPPER(Sheet1!G59)</f>
        <v>ROHIT RISHKAN</v>
      </c>
      <c r="F59" s="6" t="str">
        <f>UPPER(Sheet1!H59)</f>
        <v>MIRA RISHKAN</v>
      </c>
      <c r="G59" s="5" t="str">
        <f>TEXT(Sheet1!C59,"dd/mm/yyyy") &amp; "," &amp; Sheet1!D59</f>
        <v>22/08/2025,DARWIN</v>
      </c>
      <c r="H59" s="39" t="str">
        <f>UPPER(Sheet1!J59 &amp; "," &amp; Sheet1!K59 &amp; "," &amp; Sheet1!L59)</f>
        <v>125 BIRCHWOOD LANE,EMERALD ROAD,PIN:311709 DARWIN</v>
      </c>
      <c r="I59" s="8">
        <f>Sheet1!I59</f>
        <v>45934</v>
      </c>
      <c r="J59" s="5" t="str">
        <f>Sheet1!M59 &amp; "," &amp; TEXT(Sheet1!N59,"dd/mm/yy")</f>
        <v>MHA/IND/00058,15/08/25</v>
      </c>
      <c r="K59" s="5" t="s">
        <v>5752</v>
      </c>
      <c r="L59" s="31" t="s">
        <v>14</v>
      </c>
      <c r="M59" s="31" t="s">
        <v>15</v>
      </c>
      <c r="N59" s="31" t="s">
        <v>16</v>
      </c>
    </row>
    <row r="60" spans="1:14" x14ac:dyDescent="0.25">
      <c r="A60" s="4" t="str">
        <f>Sheet1!A60 &amp; "/" &amp; "2025"</f>
        <v>59/2025</v>
      </c>
      <c r="B60" s="5" t="str">
        <f>Sheet1!E60</f>
        <v>IND/MEL/00059</v>
      </c>
      <c r="C60" s="6" t="str">
        <f>UPPER(Sheet1!B60)</f>
        <v>RIYA VALZARI</v>
      </c>
      <c r="D60" s="7" t="str">
        <f>IF(Sheet1!F60="F","FEMALE","MALE")</f>
        <v>FEMALE</v>
      </c>
      <c r="E60" s="6" t="str">
        <f>UPPER(Sheet1!G60)</f>
        <v>KIRAN VALZARI</v>
      </c>
      <c r="F60" s="6" t="str">
        <f>UPPER(Sheet1!H60)</f>
        <v>RIYA VALZARI</v>
      </c>
      <c r="G60" s="5" t="str">
        <f>TEXT(Sheet1!C60,"dd/mm/yyyy") &amp; "," &amp; Sheet1!D60</f>
        <v>24/01/2025,TOWNSVILLE</v>
      </c>
      <c r="H60" s="39" t="str">
        <f>UPPER(Sheet1!J60 &amp; "," &amp; Sheet1!K60 &amp; "," &amp; Sheet1!L60)</f>
        <v>66 BIRCHWOOD LANE,EMERALD ROAD,PIN:614427 TOWNSVILLE</v>
      </c>
      <c r="I60" s="8">
        <f>Sheet1!I60</f>
        <v>45731</v>
      </c>
      <c r="J60" s="5" t="str">
        <f>Sheet1!M60 &amp; "," &amp; TEXT(Sheet1!N60,"dd/mm/yy")</f>
        <v>MHA/IND/00059,19/07/25</v>
      </c>
      <c r="K60" s="5" t="s">
        <v>5752</v>
      </c>
      <c r="L60" s="31" t="s">
        <v>14</v>
      </c>
      <c r="M60" s="31" t="s">
        <v>15</v>
      </c>
      <c r="N60" s="31" t="s">
        <v>16</v>
      </c>
    </row>
    <row r="61" spans="1:14" x14ac:dyDescent="0.25">
      <c r="A61" s="4" t="str">
        <f>Sheet1!A61 &amp; "/" &amp; "2025"</f>
        <v>60/2025</v>
      </c>
      <c r="B61" s="5" t="str">
        <f>Sheet1!E61</f>
        <v>IND/MEL/00060</v>
      </c>
      <c r="C61" s="6" t="str">
        <f>UPPER(Sheet1!B61)</f>
        <v>NINA MYRTHOS</v>
      </c>
      <c r="D61" s="7" t="str">
        <f>IF(Sheet1!F61="F","FEMALE","MALE")</f>
        <v>FEMALE</v>
      </c>
      <c r="E61" s="6" t="str">
        <f>UPPER(Sheet1!G61)</f>
        <v>NEIL MYRTHOS</v>
      </c>
      <c r="F61" s="6" t="str">
        <f>UPPER(Sheet1!H61)</f>
        <v>MIRA MYRTHOS</v>
      </c>
      <c r="G61" s="5" t="str">
        <f>TEXT(Sheet1!C61,"dd/mm/yyyy") &amp; "," &amp; Sheet1!D61</f>
        <v>15/05/2025,MANDURAH</v>
      </c>
      <c r="H61" s="39" t="str">
        <f>UPPER(Sheet1!J61 &amp; "," &amp; Sheet1!K61 &amp; "," &amp; Sheet1!L61)</f>
        <v>141 BIRCHWOOD LANE,EMERALD ROAD,PIN:221704 MANDURAH</v>
      </c>
      <c r="I61" s="8">
        <f>Sheet1!I61</f>
        <v>45804</v>
      </c>
      <c r="J61" s="5" t="str">
        <f>Sheet1!M61 &amp; "," &amp; TEXT(Sheet1!N61,"dd/mm/yy")</f>
        <v>MHA/IND/00060,18/07/25</v>
      </c>
      <c r="K61" s="5" t="s">
        <v>5752</v>
      </c>
      <c r="L61" s="31" t="s">
        <v>14</v>
      </c>
      <c r="M61" s="31" t="s">
        <v>15</v>
      </c>
      <c r="N61" s="31" t="s">
        <v>16</v>
      </c>
    </row>
    <row r="62" spans="1:14" x14ac:dyDescent="0.25">
      <c r="A62" s="4" t="str">
        <f>Sheet1!A62 &amp; "/" &amp; "2025"</f>
        <v>61/2025</v>
      </c>
      <c r="B62" s="5" t="str">
        <f>Sheet1!E62</f>
        <v>IND/MEL/00061</v>
      </c>
      <c r="C62" s="6" t="str">
        <f>UPPER(Sheet1!B62)</f>
        <v>KABIR KALEON</v>
      </c>
      <c r="D62" s="7" t="str">
        <f>IF(Sheet1!F62="F","FEMALE","MALE")</f>
        <v>MALE</v>
      </c>
      <c r="E62" s="6" t="str">
        <f>UPPER(Sheet1!G62)</f>
        <v>KABIR KALEON</v>
      </c>
      <c r="F62" s="6" t="str">
        <f>UPPER(Sheet1!H62)</f>
        <v>TARA KALEON</v>
      </c>
      <c r="G62" s="5" t="str">
        <f>TEXT(Sheet1!C62,"dd/mm/yyyy") &amp; "," &amp; Sheet1!D62</f>
        <v>04/03/2025,CLAYTON</v>
      </c>
      <c r="H62" s="39" t="str">
        <f>UPPER(Sheet1!J62 &amp; "," &amp; Sheet1!K62 &amp; "," &amp; Sheet1!L62)</f>
        <v>185 BIRCHWOOD LANE,EMERALD ROAD,PIN:746995 CLAYTON</v>
      </c>
      <c r="I62" s="8">
        <f>Sheet1!I62</f>
        <v>45828</v>
      </c>
      <c r="J62" s="5" t="str">
        <f>Sheet1!M62 &amp; "," &amp; TEXT(Sheet1!N62,"dd/mm/yy")</f>
        <v>MHA/IND/00061,01/08/25</v>
      </c>
      <c r="K62" s="5" t="s">
        <v>5752</v>
      </c>
      <c r="L62" s="31" t="s">
        <v>14</v>
      </c>
      <c r="M62" s="31" t="s">
        <v>15</v>
      </c>
      <c r="N62" s="31" t="s">
        <v>16</v>
      </c>
    </row>
    <row r="63" spans="1:14" x14ac:dyDescent="0.25">
      <c r="A63" s="4" t="str">
        <f>Sheet1!A63 &amp; "/" &amp; "2025"</f>
        <v>62/2025</v>
      </c>
      <c r="B63" s="5" t="str">
        <f>Sheet1!E63</f>
        <v>IND/MEL/00062</v>
      </c>
      <c r="C63" s="6" t="str">
        <f>UPPER(Sheet1!B63)</f>
        <v>MIRA MYRTHOS</v>
      </c>
      <c r="D63" s="7" t="str">
        <f>IF(Sheet1!F63="F","FEMALE","MALE")</f>
        <v>FEMALE</v>
      </c>
      <c r="E63" s="6" t="str">
        <f>UPPER(Sheet1!G63)</f>
        <v>KIRAN MYRTHOS</v>
      </c>
      <c r="F63" s="6" t="str">
        <f>UPPER(Sheet1!H63)</f>
        <v>SARA MYRTHOS</v>
      </c>
      <c r="G63" s="5" t="str">
        <f>TEXT(Sheet1!C63,"dd/mm/yyyy") &amp; "," &amp; Sheet1!D63</f>
        <v>02/09/2025,WAGGA WAGGA</v>
      </c>
      <c r="H63" s="39" t="str">
        <f>UPPER(Sheet1!J63 &amp; "," &amp; Sheet1!K63 &amp; "," &amp; Sheet1!L63)</f>
        <v>91 BIRCHWOOD LANE,EMERALD ROAD,PIN:224333 WAGGA WAGGA</v>
      </c>
      <c r="I63" s="8">
        <f>Sheet1!I63</f>
        <v>45948</v>
      </c>
      <c r="J63" s="5" t="str">
        <f>Sheet1!M63 &amp; "," &amp; TEXT(Sheet1!N63,"dd/mm/yy")</f>
        <v>MHA/IND/00062,16/08/25</v>
      </c>
      <c r="K63" s="5" t="s">
        <v>5752</v>
      </c>
      <c r="L63" s="31" t="s">
        <v>14</v>
      </c>
      <c r="M63" s="31" t="s">
        <v>15</v>
      </c>
      <c r="N63" s="31" t="s">
        <v>16</v>
      </c>
    </row>
    <row r="64" spans="1:14" x14ac:dyDescent="0.25">
      <c r="A64" s="4" t="str">
        <f>Sheet1!A64 &amp; "/" &amp; "2025"</f>
        <v>63/2025</v>
      </c>
      <c r="B64" s="5" t="str">
        <f>Sheet1!E64</f>
        <v>IND/MEL/00063</v>
      </c>
      <c r="C64" s="6" t="str">
        <f>UPPER(Sheet1!B64)</f>
        <v>KIRAN SHARMA</v>
      </c>
      <c r="D64" s="7" t="str">
        <f>IF(Sheet1!F64="F","FEMALE","MALE")</f>
        <v>MALE</v>
      </c>
      <c r="E64" s="6" t="str">
        <f>UPPER(Sheet1!G64)</f>
        <v>ROHIT SHARMA</v>
      </c>
      <c r="F64" s="6" t="str">
        <f>UPPER(Sheet1!H64)</f>
        <v>ANYA SHARMA</v>
      </c>
      <c r="G64" s="5" t="str">
        <f>TEXT(Sheet1!C64,"dd/mm/yyyy") &amp; "," &amp; Sheet1!D64</f>
        <v>25/04/2025,BOX HILL</v>
      </c>
      <c r="H64" s="39" t="str">
        <f>UPPER(Sheet1!J64 &amp; "," &amp; Sheet1!K64 &amp; "," &amp; Sheet1!L64)</f>
        <v>177 BIRCHWOOD LANE,EMERALD ROAD,PIN:240679 BOX HILL</v>
      </c>
      <c r="I64" s="8">
        <f>Sheet1!I64</f>
        <v>45866</v>
      </c>
      <c r="J64" s="5" t="str">
        <f>Sheet1!M64 &amp; "," &amp; TEXT(Sheet1!N64,"dd/mm/yy")</f>
        <v>MHA/IND/00063,02/08/25</v>
      </c>
      <c r="K64" s="5" t="s">
        <v>5752</v>
      </c>
      <c r="L64" s="31" t="s">
        <v>14</v>
      </c>
      <c r="M64" s="31" t="s">
        <v>15</v>
      </c>
      <c r="N64" s="31" t="s">
        <v>16</v>
      </c>
    </row>
    <row r="65" spans="1:14" x14ac:dyDescent="0.25">
      <c r="A65" s="4" t="str">
        <f>Sheet1!A65 &amp; "/" &amp; "2025"</f>
        <v>64/2025</v>
      </c>
      <c r="B65" s="5" t="str">
        <f>Sheet1!E65</f>
        <v>IND/MEL/00064</v>
      </c>
      <c r="C65" s="6" t="str">
        <f>UPPER(Sheet1!B65)</f>
        <v>KIRAN KALEON</v>
      </c>
      <c r="D65" s="7" t="str">
        <f>IF(Sheet1!F65="F","FEMALE","MALE")</f>
        <v>MALE</v>
      </c>
      <c r="E65" s="6" t="str">
        <f>UPPER(Sheet1!G65)</f>
        <v>NEIL KALEON</v>
      </c>
      <c r="F65" s="6" t="str">
        <f>UPPER(Sheet1!H65)</f>
        <v>ALYA KALEON</v>
      </c>
      <c r="G65" s="5" t="str">
        <f>TEXT(Sheet1!C65,"dd/mm/yyyy") &amp; "," &amp; Sheet1!D65</f>
        <v>08/08/2025,ARMADALE</v>
      </c>
      <c r="H65" s="39" t="str">
        <f>UPPER(Sheet1!J65 &amp; "," &amp; Sheet1!K65 &amp; "," &amp; Sheet1!L65)</f>
        <v>129 BIRCHWOOD LANE,EMERALD ROAD,PIN:586924 ARMADALE</v>
      </c>
      <c r="I65" s="8">
        <f>Sheet1!I65</f>
        <v>45911</v>
      </c>
      <c r="J65" s="5" t="str">
        <f>Sheet1!M65 &amp; "," &amp; TEXT(Sheet1!N65,"dd/mm/yy")</f>
        <v>MHA/IND/00064,23/07/25</v>
      </c>
      <c r="K65" s="5" t="s">
        <v>5752</v>
      </c>
      <c r="L65" s="31" t="s">
        <v>14</v>
      </c>
      <c r="M65" s="31" t="s">
        <v>15</v>
      </c>
      <c r="N65" s="31" t="s">
        <v>16</v>
      </c>
    </row>
    <row r="66" spans="1:14" x14ac:dyDescent="0.25">
      <c r="A66" s="4" t="str">
        <f>Sheet1!A66 &amp; "/" &amp; "2025"</f>
        <v>65/2025</v>
      </c>
      <c r="B66" s="5" t="str">
        <f>Sheet1!E66</f>
        <v>IND/MEL/00065</v>
      </c>
      <c r="C66" s="6" t="str">
        <f>UPPER(Sheet1!B66)</f>
        <v>TARA SINDALE</v>
      </c>
      <c r="D66" s="7" t="str">
        <f>IF(Sheet1!F66="F","FEMALE","MALE")</f>
        <v>FEMALE</v>
      </c>
      <c r="E66" s="6" t="str">
        <f>UPPER(Sheet1!G66)</f>
        <v>KIRAN SINDALE</v>
      </c>
      <c r="F66" s="6" t="str">
        <f>UPPER(Sheet1!H66)</f>
        <v>RIYA SINDALE</v>
      </c>
      <c r="G66" s="5" t="str">
        <f>TEXT(Sheet1!C66,"dd/mm/yyyy") &amp; "," &amp; Sheet1!D66</f>
        <v>03/03/2025,BUNDABERG</v>
      </c>
      <c r="H66" s="39" t="str">
        <f>UPPER(Sheet1!J66 &amp; "," &amp; Sheet1!K66 &amp; "," &amp; Sheet1!L66)</f>
        <v>16 BIRCHWOOD LANE,EMERALD ROAD,PIN:282096 BUNDABERG</v>
      </c>
      <c r="I66" s="8">
        <f>Sheet1!I66</f>
        <v>45770</v>
      </c>
      <c r="J66" s="5" t="str">
        <f>Sheet1!M66 &amp; "," &amp; TEXT(Sheet1!N66,"dd/mm/yy")</f>
        <v>MHA/IND/00065,04/08/25</v>
      </c>
      <c r="K66" s="5" t="s">
        <v>5752</v>
      </c>
      <c r="L66" s="31" t="s">
        <v>14</v>
      </c>
      <c r="M66" s="31" t="s">
        <v>15</v>
      </c>
      <c r="N66" s="31" t="s">
        <v>16</v>
      </c>
    </row>
    <row r="67" spans="1:14" x14ac:dyDescent="0.25">
      <c r="A67" s="4" t="str">
        <f>Sheet1!A67 &amp; "/" &amp; "2025"</f>
        <v>66/2025</v>
      </c>
      <c r="B67" s="5" t="str">
        <f>Sheet1!E67</f>
        <v>IND/MEL/00066</v>
      </c>
      <c r="C67" s="6" t="str">
        <f>UPPER(Sheet1!B67)</f>
        <v>DEV RAO</v>
      </c>
      <c r="D67" s="7" t="str">
        <f>IF(Sheet1!F67="F","FEMALE","MALE")</f>
        <v>MALE</v>
      </c>
      <c r="E67" s="6" t="str">
        <f>UPPER(Sheet1!G67)</f>
        <v>ARJUN RAO</v>
      </c>
      <c r="F67" s="6" t="str">
        <f>UPPER(Sheet1!H67)</f>
        <v>SARA RAO</v>
      </c>
      <c r="G67" s="5" t="str">
        <f>TEXT(Sheet1!C67,"dd/mm/yyyy") &amp; "," &amp; Sheet1!D67</f>
        <v>28/03/2025,CANBERRA</v>
      </c>
      <c r="H67" s="39" t="str">
        <f>UPPER(Sheet1!J67 &amp; "," &amp; Sheet1!K67 &amp; "," &amp; Sheet1!L67)</f>
        <v>41 BIRCHWOOD LANE,EMERALD ROAD,PIN:342753 CANBERRA</v>
      </c>
      <c r="I67" s="8">
        <f>Sheet1!I67</f>
        <v>45788</v>
      </c>
      <c r="J67" s="5" t="str">
        <f>Sheet1!M67 &amp; "," &amp; TEXT(Sheet1!N67,"dd/mm/yy")</f>
        <v>MHA/IND/00066,15/07/25</v>
      </c>
      <c r="K67" s="5" t="s">
        <v>5752</v>
      </c>
      <c r="L67" s="31" t="s">
        <v>14</v>
      </c>
      <c r="M67" s="31" t="s">
        <v>15</v>
      </c>
      <c r="N67" s="31" t="s">
        <v>16</v>
      </c>
    </row>
    <row r="68" spans="1:14" x14ac:dyDescent="0.25">
      <c r="A68" s="4" t="str">
        <f>Sheet1!A68 &amp; "/" &amp; "2025"</f>
        <v>67/2025</v>
      </c>
      <c r="B68" s="5" t="str">
        <f>Sheet1!E68</f>
        <v>IND/MEL/00067</v>
      </c>
      <c r="C68" s="6" t="str">
        <f>UPPER(Sheet1!B68)</f>
        <v>ISHAN RISHKAN</v>
      </c>
      <c r="D68" s="7" t="str">
        <f>IF(Sheet1!F68="F","FEMALE","MALE")</f>
        <v>MALE</v>
      </c>
      <c r="E68" s="6" t="str">
        <f>UPPER(Sheet1!G68)</f>
        <v>ARJUN RISHKAN</v>
      </c>
      <c r="F68" s="6" t="str">
        <f>UPPER(Sheet1!H68)</f>
        <v>SARA RISHKAN</v>
      </c>
      <c r="G68" s="5" t="str">
        <f>TEXT(Sheet1!C68,"dd/mm/yyyy") &amp; "," &amp; Sheet1!D68</f>
        <v>17/06/2025,DALBY</v>
      </c>
      <c r="H68" s="39" t="str">
        <f>UPPER(Sheet1!J68 &amp; "," &amp; Sheet1!K68 &amp; "," &amp; Sheet1!L68)</f>
        <v>153 BIRCHWOOD LANE,EMERALD ROAD,PIN:321233 DALBY</v>
      </c>
      <c r="I68" s="8">
        <f>Sheet1!I68</f>
        <v>45852</v>
      </c>
      <c r="J68" s="5" t="str">
        <f>Sheet1!M68 &amp; "," &amp; TEXT(Sheet1!N68,"dd/mm/yy")</f>
        <v>MHA/IND/00067,27/07/25</v>
      </c>
      <c r="K68" s="5" t="s">
        <v>5752</v>
      </c>
      <c r="L68" s="31" t="s">
        <v>14</v>
      </c>
      <c r="M68" s="31" t="s">
        <v>15</v>
      </c>
      <c r="N68" s="31" t="s">
        <v>16</v>
      </c>
    </row>
    <row r="69" spans="1:14" x14ac:dyDescent="0.25">
      <c r="A69" s="4" t="str">
        <f>Sheet1!A69 &amp; "/" &amp; "2025"</f>
        <v>68/2025</v>
      </c>
      <c r="B69" s="5" t="str">
        <f>Sheet1!E69</f>
        <v>IND/MEL/00068</v>
      </c>
      <c r="C69" s="6" t="str">
        <f>UPPER(Sheet1!B69)</f>
        <v>KABIR SINDALE</v>
      </c>
      <c r="D69" s="7" t="str">
        <f>IF(Sheet1!F69="F","FEMALE","MALE")</f>
        <v>MALE</v>
      </c>
      <c r="E69" s="6" t="str">
        <f>UPPER(Sheet1!G69)</f>
        <v>DEV SINDALE</v>
      </c>
      <c r="F69" s="6" t="str">
        <f>UPPER(Sheet1!H69)</f>
        <v>MIRA SINDALE</v>
      </c>
      <c r="G69" s="5" t="str">
        <f>TEXT(Sheet1!C69,"dd/mm/yyyy") &amp; "," &amp; Sheet1!D69</f>
        <v>17/09/2025,FREMANTLE</v>
      </c>
      <c r="H69" s="39" t="str">
        <f>UPPER(Sheet1!J69 &amp; "," &amp; Sheet1!K69 &amp; "," &amp; Sheet1!L69)</f>
        <v>85 BIRCHWOOD LANE,EMERALD ROAD,PIN:895271 FREMANTLE</v>
      </c>
      <c r="I69" s="8">
        <f>Sheet1!I69</f>
        <v>46021</v>
      </c>
      <c r="J69" s="5" t="str">
        <f>Sheet1!M69 &amp; "," &amp; TEXT(Sheet1!N69,"dd/mm/yy")</f>
        <v>MHA/IND/00068,02/07/25</v>
      </c>
      <c r="K69" s="5" t="s">
        <v>5752</v>
      </c>
      <c r="L69" s="31" t="s">
        <v>14</v>
      </c>
      <c r="M69" s="31" t="s">
        <v>15</v>
      </c>
      <c r="N69" s="31" t="s">
        <v>16</v>
      </c>
    </row>
    <row r="70" spans="1:14" x14ac:dyDescent="0.25">
      <c r="A70" s="4" t="str">
        <f>Sheet1!A70 &amp; "/" &amp; "2025"</f>
        <v>69/2025</v>
      </c>
      <c r="B70" s="5" t="str">
        <f>Sheet1!E70</f>
        <v>IND/MEL/00069</v>
      </c>
      <c r="C70" s="6" t="str">
        <f>UPPER(Sheet1!B70)</f>
        <v>KABIR SINDALE</v>
      </c>
      <c r="D70" s="7" t="str">
        <f>IF(Sheet1!F70="F","FEMALE","MALE")</f>
        <v>MALE</v>
      </c>
      <c r="E70" s="6" t="str">
        <f>UPPER(Sheet1!G70)</f>
        <v>ROHIT SINDALE</v>
      </c>
      <c r="F70" s="6" t="str">
        <f>UPPER(Sheet1!H70)</f>
        <v>RIYA SINDALE</v>
      </c>
      <c r="G70" s="5" t="str">
        <f>TEXT(Sheet1!C70,"dd/mm/yyyy") &amp; "," &amp; Sheet1!D70</f>
        <v>03/08/2025,MILDURA</v>
      </c>
      <c r="H70" s="39" t="str">
        <f>UPPER(Sheet1!J70 &amp; "," &amp; Sheet1!K70 &amp; "," &amp; Sheet1!L70)</f>
        <v>79 BIRCHWOOD LANE,EMERALD ROAD,PIN:922144 MILDURA</v>
      </c>
      <c r="I70" s="8">
        <f>Sheet1!I70</f>
        <v>45939</v>
      </c>
      <c r="J70" s="5" t="str">
        <f>Sheet1!M70 &amp; "," &amp; TEXT(Sheet1!N70,"dd/mm/yy")</f>
        <v>MHA/IND/00069,09/08/25</v>
      </c>
      <c r="K70" s="5" t="s">
        <v>5752</v>
      </c>
      <c r="L70" s="31" t="s">
        <v>14</v>
      </c>
      <c r="M70" s="31" t="s">
        <v>15</v>
      </c>
      <c r="N70" s="31" t="s">
        <v>16</v>
      </c>
    </row>
    <row r="71" spans="1:14" x14ac:dyDescent="0.25">
      <c r="A71" s="4" t="str">
        <f>Sheet1!A71 &amp; "/" &amp; "2025"</f>
        <v>70/2025</v>
      </c>
      <c r="B71" s="5" t="str">
        <f>Sheet1!E71</f>
        <v>IND/MEL/00070</v>
      </c>
      <c r="C71" s="6" t="str">
        <f>UPPER(Sheet1!B71)</f>
        <v>AREN RAO</v>
      </c>
      <c r="D71" s="7" t="str">
        <f>IF(Sheet1!F71="F","FEMALE","MALE")</f>
        <v>MALE</v>
      </c>
      <c r="E71" s="6" t="str">
        <f>UPPER(Sheet1!G71)</f>
        <v>ROHIT RAO</v>
      </c>
      <c r="F71" s="6" t="str">
        <f>UPPER(Sheet1!H71)</f>
        <v>ALYA RAO</v>
      </c>
      <c r="G71" s="5" t="str">
        <f>TEXT(Sheet1!C71,"dd/mm/yyyy") &amp; "," &amp; Sheet1!D71</f>
        <v>21/01/2025,BENDIGO</v>
      </c>
      <c r="H71" s="39" t="str">
        <f>UPPER(Sheet1!J71 &amp; "," &amp; Sheet1!K71 &amp; "," &amp; Sheet1!L71)</f>
        <v>196 BIRCHWOOD LANE,EMERALD ROAD,PIN:670585 BENDIGO</v>
      </c>
      <c r="I71" s="8">
        <f>Sheet1!I71</f>
        <v>45741</v>
      </c>
      <c r="J71" s="5" t="str">
        <f>Sheet1!M71 &amp; "," &amp; TEXT(Sheet1!N71,"dd/mm/yy")</f>
        <v>MHA/IND/00070,07/07/25</v>
      </c>
      <c r="K71" s="5" t="s">
        <v>5752</v>
      </c>
      <c r="L71" s="31" t="s">
        <v>14</v>
      </c>
      <c r="M71" s="31" t="s">
        <v>15</v>
      </c>
      <c r="N71" s="31" t="s">
        <v>16</v>
      </c>
    </row>
    <row r="72" spans="1:14" x14ac:dyDescent="0.25">
      <c r="A72" s="4" t="str">
        <f>Sheet1!A72 &amp; "/" &amp; "2025"</f>
        <v>71/2025</v>
      </c>
      <c r="B72" s="5" t="str">
        <f>Sheet1!E72</f>
        <v>IND/MEL/00071</v>
      </c>
      <c r="C72" s="6" t="str">
        <f>UPPER(Sheet1!B72)</f>
        <v>ANYA KALEON</v>
      </c>
      <c r="D72" s="7" t="str">
        <f>IF(Sheet1!F72="F","FEMALE","MALE")</f>
        <v>FEMALE</v>
      </c>
      <c r="E72" s="6" t="str">
        <f>UPPER(Sheet1!G72)</f>
        <v>ARJUN KALEON</v>
      </c>
      <c r="F72" s="6" t="str">
        <f>UPPER(Sheet1!H72)</f>
        <v>DIYA KALEON</v>
      </c>
      <c r="G72" s="5" t="str">
        <f>TEXT(Sheet1!C72,"dd/mm/yyyy") &amp; "," &amp; Sheet1!D72</f>
        <v>02/08/2025,ELIZABETH VALE</v>
      </c>
      <c r="H72" s="39" t="str">
        <f>UPPER(Sheet1!J72 &amp; "," &amp; Sheet1!K72 &amp; "," &amp; Sheet1!L72)</f>
        <v>21 BIRCHWOOD LANE,EMERALD ROAD,PIN:270043 ELIZABETH VALE</v>
      </c>
      <c r="I72" s="8">
        <f>Sheet1!I72</f>
        <v>45877</v>
      </c>
      <c r="J72" s="5" t="str">
        <f>Sheet1!M72 &amp; "," &amp; TEXT(Sheet1!N72,"dd/mm/yy")</f>
        <v>MHA/IND/00071,20/07/25</v>
      </c>
      <c r="K72" s="5" t="s">
        <v>5752</v>
      </c>
      <c r="L72" s="31" t="s">
        <v>14</v>
      </c>
      <c r="M72" s="31" t="s">
        <v>15</v>
      </c>
      <c r="N72" s="31" t="s">
        <v>16</v>
      </c>
    </row>
    <row r="73" spans="1:14" x14ac:dyDescent="0.25">
      <c r="A73" s="4" t="str">
        <f>Sheet1!A73 &amp; "/" &amp; "2025"</f>
        <v>72/2025</v>
      </c>
      <c r="B73" s="5" t="str">
        <f>Sheet1!E73</f>
        <v>IND/MEL/00072</v>
      </c>
      <c r="C73" s="6" t="str">
        <f>UPPER(Sheet1!B73)</f>
        <v>TARA SHARMA</v>
      </c>
      <c r="D73" s="7" t="str">
        <f>IF(Sheet1!F73="F","FEMALE","MALE")</f>
        <v>FEMALE</v>
      </c>
      <c r="E73" s="6" t="str">
        <f>UPPER(Sheet1!G73)</f>
        <v>ISHAN SHARMA</v>
      </c>
      <c r="F73" s="6" t="str">
        <f>UPPER(Sheet1!H73)</f>
        <v>ALYA SHARMA</v>
      </c>
      <c r="G73" s="5" t="str">
        <f>TEXT(Sheet1!C73,"dd/mm/yyyy") &amp; "," &amp; Sheet1!D73</f>
        <v>21/01/2025,ROCKHAMPTON</v>
      </c>
      <c r="H73" s="39" t="str">
        <f>UPPER(Sheet1!J73 &amp; "," &amp; Sheet1!K73 &amp; "," &amp; Sheet1!L73)</f>
        <v>18 BIRCHWOOD LANE,EMERALD ROAD,PIN:303591 ROCKHAMPTON</v>
      </c>
      <c r="I73" s="8">
        <f>Sheet1!I73</f>
        <v>45723</v>
      </c>
      <c r="J73" s="5" t="str">
        <f>Sheet1!M73 &amp; "," &amp; TEXT(Sheet1!N73,"dd/mm/yy")</f>
        <v>MHA/IND/00072,27/07/25</v>
      </c>
      <c r="K73" s="5" t="s">
        <v>5752</v>
      </c>
      <c r="L73" s="31" t="s">
        <v>14</v>
      </c>
      <c r="M73" s="31" t="s">
        <v>15</v>
      </c>
      <c r="N73" s="31" t="s">
        <v>16</v>
      </c>
    </row>
    <row r="74" spans="1:14" x14ac:dyDescent="0.25">
      <c r="A74" s="4" t="str">
        <f>Sheet1!A74 &amp; "/" &amp; "2025"</f>
        <v>73/2025</v>
      </c>
      <c r="B74" s="5" t="str">
        <f>Sheet1!E74</f>
        <v>IND/MEL/00073</v>
      </c>
      <c r="C74" s="6" t="str">
        <f>UPPER(Sheet1!B74)</f>
        <v>NINA RISHKAN</v>
      </c>
      <c r="D74" s="7" t="str">
        <f>IF(Sheet1!F74="F","FEMALE","MALE")</f>
        <v>FEMALE</v>
      </c>
      <c r="E74" s="6" t="str">
        <f>UPPER(Sheet1!G74)</f>
        <v>ROHIT RISHKAN</v>
      </c>
      <c r="F74" s="6" t="str">
        <f>UPPER(Sheet1!H74)</f>
        <v>DIYA RISHKAN</v>
      </c>
      <c r="G74" s="5" t="str">
        <f>TEXT(Sheet1!C74,"dd/mm/yyyy") &amp; "," &amp; Sheet1!D74</f>
        <v>12/04/2025,PENRITH</v>
      </c>
      <c r="H74" s="39" t="str">
        <f>UPPER(Sheet1!J74 &amp; "," &amp; Sheet1!K74 &amp; "," &amp; Sheet1!L74)</f>
        <v>15 BIRCHWOOD LANE,EMERALD ROAD,PIN:224030 PENRITH</v>
      </c>
      <c r="I74" s="8">
        <f>Sheet1!I74</f>
        <v>45784</v>
      </c>
      <c r="J74" s="5" t="str">
        <f>Sheet1!M74 &amp; "," &amp; TEXT(Sheet1!N74,"dd/mm/yy")</f>
        <v>MHA/IND/00073,16/08/25</v>
      </c>
      <c r="K74" s="5" t="s">
        <v>5752</v>
      </c>
      <c r="L74" s="31" t="s">
        <v>14</v>
      </c>
      <c r="M74" s="31" t="s">
        <v>15</v>
      </c>
      <c r="N74" s="31" t="s">
        <v>16</v>
      </c>
    </row>
    <row r="75" spans="1:14" x14ac:dyDescent="0.25">
      <c r="A75" s="4" t="str">
        <f>Sheet1!A75 &amp; "/" &amp; "2025"</f>
        <v>74/2025</v>
      </c>
      <c r="B75" s="5" t="str">
        <f>Sheet1!E75</f>
        <v>IND/MEL/00074</v>
      </c>
      <c r="C75" s="6" t="str">
        <f>UPPER(Sheet1!B75)</f>
        <v>ISHAN SHARMA</v>
      </c>
      <c r="D75" s="7" t="str">
        <f>IF(Sheet1!F75="F","FEMALE","MALE")</f>
        <v>MALE</v>
      </c>
      <c r="E75" s="6" t="str">
        <f>UPPER(Sheet1!G75)</f>
        <v>KIRAN SHARMA</v>
      </c>
      <c r="F75" s="6" t="str">
        <f>UPPER(Sheet1!H75)</f>
        <v>ANYA SHARMA</v>
      </c>
      <c r="G75" s="5" t="str">
        <f>TEXT(Sheet1!C75,"dd/mm/yyyy") &amp; "," &amp; Sheet1!D75</f>
        <v>22/09/2025,SHEPPARTON</v>
      </c>
      <c r="H75" s="39" t="str">
        <f>UPPER(Sheet1!J75 &amp; "," &amp; Sheet1!K75 &amp; "," &amp; Sheet1!L75)</f>
        <v>80 BIRCHWOOD LANE,EMERALD ROAD,PIN:482859 SHEPPARTON</v>
      </c>
      <c r="I75" s="8">
        <f>Sheet1!I75</f>
        <v>46001</v>
      </c>
      <c r="J75" s="5" t="str">
        <f>Sheet1!M75 &amp; "," &amp; TEXT(Sheet1!N75,"dd/mm/yy")</f>
        <v>MHA/IND/00074,29/07/25</v>
      </c>
      <c r="K75" s="5" t="s">
        <v>5752</v>
      </c>
      <c r="L75" s="31" t="s">
        <v>14</v>
      </c>
      <c r="M75" s="31" t="s">
        <v>15</v>
      </c>
      <c r="N75" s="31" t="s">
        <v>16</v>
      </c>
    </row>
    <row r="76" spans="1:14" x14ac:dyDescent="0.25">
      <c r="A76" s="4" t="str">
        <f>Sheet1!A76 &amp; "/" &amp; "2025"</f>
        <v>75/2025</v>
      </c>
      <c r="B76" s="5" t="str">
        <f>Sheet1!E76</f>
        <v>IND/MEL/00075</v>
      </c>
      <c r="C76" s="6" t="str">
        <f>UPPER(Sheet1!B76)</f>
        <v>DIYA KALEON</v>
      </c>
      <c r="D76" s="7" t="str">
        <f>IF(Sheet1!F76="F","FEMALE","MALE")</f>
        <v>FEMALE</v>
      </c>
      <c r="E76" s="6" t="str">
        <f>UPPER(Sheet1!G76)</f>
        <v>ROHIT KALEON</v>
      </c>
      <c r="F76" s="6" t="str">
        <f>UPPER(Sheet1!H76)</f>
        <v>TARA KALEON</v>
      </c>
      <c r="G76" s="5" t="str">
        <f>TEXT(Sheet1!C76,"dd/mm/yyyy") &amp; "," &amp; Sheet1!D76</f>
        <v>21/10/2025,CANBERRA</v>
      </c>
      <c r="H76" s="39" t="str">
        <f>UPPER(Sheet1!J76 &amp; "," &amp; Sheet1!K76 &amp; "," &amp; Sheet1!L76)</f>
        <v>125 BIRCHWOOD LANE,EMERALD ROAD,PIN:924013 CANBERRA</v>
      </c>
      <c r="I76" s="8">
        <f>Sheet1!I76</f>
        <v>45996</v>
      </c>
      <c r="J76" s="5" t="str">
        <f>Sheet1!M76 &amp; "," &amp; TEXT(Sheet1!N76,"dd/mm/yy")</f>
        <v>MHA/IND/00075,26/08/25</v>
      </c>
      <c r="K76" s="5" t="s">
        <v>5752</v>
      </c>
      <c r="L76" s="31" t="s">
        <v>14</v>
      </c>
      <c r="M76" s="31" t="s">
        <v>15</v>
      </c>
      <c r="N76" s="31" t="s">
        <v>16</v>
      </c>
    </row>
    <row r="77" spans="1:14" x14ac:dyDescent="0.25">
      <c r="A77" s="4" t="str">
        <f>Sheet1!A77 &amp; "/" &amp; "2025"</f>
        <v>76/2025</v>
      </c>
      <c r="B77" s="5" t="str">
        <f>Sheet1!E77</f>
        <v>IND/MEL/00076</v>
      </c>
      <c r="C77" s="6" t="str">
        <f>UPPER(Sheet1!B77)</f>
        <v>SARA SINDALE</v>
      </c>
      <c r="D77" s="7" t="str">
        <f>IF(Sheet1!F77="F","FEMALE","MALE")</f>
        <v>FEMALE</v>
      </c>
      <c r="E77" s="6" t="str">
        <f>UPPER(Sheet1!G77)</f>
        <v>DEV SINDALE</v>
      </c>
      <c r="F77" s="6" t="str">
        <f>UPPER(Sheet1!H77)</f>
        <v>SARA SINDALE</v>
      </c>
      <c r="G77" s="5" t="str">
        <f>TEXT(Sheet1!C77,"dd/mm/yyyy") &amp; "," &amp; Sheet1!D77</f>
        <v>02/06/2025,KINGSWOOD</v>
      </c>
      <c r="H77" s="39" t="str">
        <f>UPPER(Sheet1!J77 &amp; "," &amp; Sheet1!K77 &amp; "," &amp; Sheet1!L77)</f>
        <v>41 BIRCHWOOD LANE,EMERALD ROAD,PIN:781777 KINGSWOOD</v>
      </c>
      <c r="I77" s="8">
        <f>Sheet1!I77</f>
        <v>45883</v>
      </c>
      <c r="J77" s="5" t="str">
        <f>Sheet1!M77 &amp; "," &amp; TEXT(Sheet1!N77,"dd/mm/yy")</f>
        <v>MHA/IND/00076,09/07/25</v>
      </c>
      <c r="K77" s="5" t="s">
        <v>5752</v>
      </c>
      <c r="L77" s="31" t="s">
        <v>14</v>
      </c>
      <c r="M77" s="31" t="s">
        <v>15</v>
      </c>
      <c r="N77" s="31" t="s">
        <v>16</v>
      </c>
    </row>
    <row r="78" spans="1:14" x14ac:dyDescent="0.25">
      <c r="A78" s="4" t="str">
        <f>Sheet1!A78 &amp; "/" &amp; "2025"</f>
        <v>77/2025</v>
      </c>
      <c r="B78" s="5" t="str">
        <f>Sheet1!E78</f>
        <v>IND/MEL/00077</v>
      </c>
      <c r="C78" s="6" t="str">
        <f>UPPER(Sheet1!B78)</f>
        <v>ANYA RISHKAN</v>
      </c>
      <c r="D78" s="7" t="str">
        <f>IF(Sheet1!F78="F","FEMALE","MALE")</f>
        <v>FEMALE</v>
      </c>
      <c r="E78" s="6" t="str">
        <f>UPPER(Sheet1!G78)</f>
        <v>ISHAN RISHKAN</v>
      </c>
      <c r="F78" s="6" t="str">
        <f>UPPER(Sheet1!H78)</f>
        <v>NINA RISHKAN</v>
      </c>
      <c r="G78" s="5" t="str">
        <f>TEXT(Sheet1!C78,"dd/mm/yyyy") &amp; "," &amp; Sheet1!D78</f>
        <v>26/05/2025,LOGAN</v>
      </c>
      <c r="H78" s="39" t="str">
        <f>UPPER(Sheet1!J78 &amp; "," &amp; Sheet1!K78 &amp; "," &amp; Sheet1!L78)</f>
        <v>185 BIRCHWOOD LANE,EMERALD ROAD,PIN:787279 LOGAN</v>
      </c>
      <c r="I78" s="8">
        <f>Sheet1!I78</f>
        <v>45810</v>
      </c>
      <c r="J78" s="5" t="str">
        <f>Sheet1!M78 &amp; "," &amp; TEXT(Sheet1!N78,"dd/mm/yy")</f>
        <v>MHA/IND/00077,27/08/25</v>
      </c>
      <c r="K78" s="5" t="s">
        <v>5752</v>
      </c>
      <c r="L78" s="31" t="s">
        <v>14</v>
      </c>
      <c r="M78" s="31" t="s">
        <v>15</v>
      </c>
      <c r="N78" s="31" t="s">
        <v>16</v>
      </c>
    </row>
    <row r="79" spans="1:14" x14ac:dyDescent="0.25">
      <c r="A79" s="4" t="str">
        <f>Sheet1!A79 &amp; "/" &amp; "2025"</f>
        <v>78/2025</v>
      </c>
      <c r="B79" s="5" t="str">
        <f>Sheet1!E79</f>
        <v>IND/MEL/00078</v>
      </c>
      <c r="C79" s="6" t="str">
        <f>UPPER(Sheet1!B79)</f>
        <v>ISHAN VALZARI</v>
      </c>
      <c r="D79" s="7" t="str">
        <f>IF(Sheet1!F79="F","FEMALE","MALE")</f>
        <v>MALE</v>
      </c>
      <c r="E79" s="6" t="str">
        <f>UPPER(Sheet1!G79)</f>
        <v>ROHIT VALZARI</v>
      </c>
      <c r="F79" s="6" t="str">
        <f>UPPER(Sheet1!H79)</f>
        <v>ANYA VALZARI</v>
      </c>
      <c r="G79" s="5" t="str">
        <f>TEXT(Sheet1!C79,"dd/mm/yyyy") &amp; "," &amp; Sheet1!D79</f>
        <v>29/03/2025,WOLLONGONG</v>
      </c>
      <c r="H79" s="39" t="str">
        <f>UPPER(Sheet1!J79 &amp; "," &amp; Sheet1!K79 &amp; "," &amp; Sheet1!L79)</f>
        <v>164 BIRCHWOOD LANE,EMERALD ROAD,PIN:587534 WOLLONGONG</v>
      </c>
      <c r="I79" s="8">
        <f>Sheet1!I79</f>
        <v>45765</v>
      </c>
      <c r="J79" s="5" t="str">
        <f>Sheet1!M79 &amp; "," &amp; TEXT(Sheet1!N79,"dd/mm/yy")</f>
        <v>MHA/IND/00078,20/07/25</v>
      </c>
      <c r="K79" s="5" t="s">
        <v>5752</v>
      </c>
      <c r="L79" s="31" t="s">
        <v>14</v>
      </c>
      <c r="M79" s="31" t="s">
        <v>15</v>
      </c>
      <c r="N79" s="31" t="s">
        <v>16</v>
      </c>
    </row>
    <row r="80" spans="1:14" x14ac:dyDescent="0.25">
      <c r="A80" s="4" t="str">
        <f>Sheet1!A80 &amp; "/" &amp; "2025"</f>
        <v>79/2025</v>
      </c>
      <c r="B80" s="5" t="str">
        <f>Sheet1!E80</f>
        <v>IND/MEL/00079</v>
      </c>
      <c r="C80" s="6" t="str">
        <f>UPPER(Sheet1!B80)</f>
        <v>ANYA SHARMA</v>
      </c>
      <c r="D80" s="7" t="str">
        <f>IF(Sheet1!F80="F","FEMALE","MALE")</f>
        <v>FEMALE</v>
      </c>
      <c r="E80" s="6" t="str">
        <f>UPPER(Sheet1!G80)</f>
        <v>ISHAN SHARMA</v>
      </c>
      <c r="F80" s="6" t="str">
        <f>UPPER(Sheet1!H80)</f>
        <v>MIRA SHARMA</v>
      </c>
      <c r="G80" s="5" t="str">
        <f>TEXT(Sheet1!C80,"dd/mm/yyyy") &amp; "," &amp; Sheet1!D80</f>
        <v>22/02/2025,LENAH VALLEY</v>
      </c>
      <c r="H80" s="39" t="str">
        <f>UPPER(Sheet1!J80 &amp; "," &amp; Sheet1!K80 &amp; "," &amp; Sheet1!L80)</f>
        <v>173 BIRCHWOOD LANE,EMERALD ROAD,PIN:603275 LENAH VALLEY</v>
      </c>
      <c r="I80" s="8">
        <f>Sheet1!I80</f>
        <v>45826</v>
      </c>
      <c r="J80" s="5" t="str">
        <f>Sheet1!M80 &amp; "," &amp; TEXT(Sheet1!N80,"dd/mm/yy")</f>
        <v>MHA/IND/00079,31/07/25</v>
      </c>
      <c r="K80" s="5" t="s">
        <v>5752</v>
      </c>
      <c r="L80" s="31" t="s">
        <v>14</v>
      </c>
      <c r="M80" s="31" t="s">
        <v>15</v>
      </c>
      <c r="N80" s="31" t="s">
        <v>16</v>
      </c>
    </row>
    <row r="81" spans="1:14" x14ac:dyDescent="0.25">
      <c r="A81" s="4" t="str">
        <f>Sheet1!A81 &amp; "/" &amp; "2025"</f>
        <v>80/2025</v>
      </c>
      <c r="B81" s="5" t="str">
        <f>Sheet1!E81</f>
        <v>IND/MEL/00080</v>
      </c>
      <c r="C81" s="6" t="str">
        <f>UPPER(Sheet1!B81)</f>
        <v>AREN SHARMA</v>
      </c>
      <c r="D81" s="7" t="str">
        <f>IF(Sheet1!F81="F","FEMALE","MALE")</f>
        <v>MALE</v>
      </c>
      <c r="E81" s="6" t="str">
        <f>UPPER(Sheet1!G81)</f>
        <v>ISHAN SHARMA</v>
      </c>
      <c r="F81" s="6" t="str">
        <f>UPPER(Sheet1!H81)</f>
        <v>SARA SHARMA</v>
      </c>
      <c r="G81" s="5" t="str">
        <f>TEXT(Sheet1!C81,"dd/mm/yyyy") &amp; "," &amp; Sheet1!D81</f>
        <v>24/09/2025,ST ALBANS</v>
      </c>
      <c r="H81" s="39" t="str">
        <f>UPPER(Sheet1!J81 &amp; "," &amp; Sheet1!K81 &amp; "," &amp; Sheet1!L81)</f>
        <v>185 BIRCHWOOD LANE,EMERALD ROAD,PIN:267223 ST ALBANS</v>
      </c>
      <c r="I81" s="8">
        <f>Sheet1!I81</f>
        <v>45978</v>
      </c>
      <c r="J81" s="5" t="str">
        <f>Sheet1!M81 &amp; "," &amp; TEXT(Sheet1!N81,"dd/mm/yy")</f>
        <v>MHA/IND/00080,15/07/25</v>
      </c>
      <c r="K81" s="5" t="s">
        <v>5752</v>
      </c>
      <c r="L81" s="31" t="s">
        <v>14</v>
      </c>
      <c r="M81" s="31" t="s">
        <v>15</v>
      </c>
      <c r="N81" s="31" t="s">
        <v>16</v>
      </c>
    </row>
    <row r="82" spans="1:14" x14ac:dyDescent="0.25">
      <c r="A82" s="4" t="str">
        <f>Sheet1!A82 &amp; "/" &amp; "2025"</f>
        <v>81/2025</v>
      </c>
      <c r="B82" s="5" t="str">
        <f>Sheet1!E82</f>
        <v>IND/MEL/00081</v>
      </c>
      <c r="C82" s="6" t="str">
        <f>UPPER(Sheet1!B82)</f>
        <v>KIRAN RAO</v>
      </c>
      <c r="D82" s="7" t="str">
        <f>IF(Sheet1!F82="F","FEMALE","MALE")</f>
        <v>MALE</v>
      </c>
      <c r="E82" s="6" t="str">
        <f>UPPER(Sheet1!G82)</f>
        <v>ARJUN RAO</v>
      </c>
      <c r="F82" s="6" t="str">
        <f>UPPER(Sheet1!H82)</f>
        <v>NINA RAO</v>
      </c>
      <c r="G82" s="5" t="str">
        <f>TEXT(Sheet1!C82,"dd/mm/yyyy") &amp; "," &amp; Sheet1!D82</f>
        <v>15/08/2025,MOUNT BARKER</v>
      </c>
      <c r="H82" s="39" t="str">
        <f>UPPER(Sheet1!J82 &amp; "," &amp; Sheet1!K82 &amp; "," &amp; Sheet1!L82)</f>
        <v>34 BIRCHWOOD LANE,EMERALD ROAD,PIN:714417 MOUNT BARKER</v>
      </c>
      <c r="I82" s="8">
        <f>Sheet1!I82</f>
        <v>45993</v>
      </c>
      <c r="J82" s="5" t="str">
        <f>Sheet1!M82 &amp; "," &amp; TEXT(Sheet1!N82,"dd/mm/yy")</f>
        <v>MHA/IND/00081,24/08/25</v>
      </c>
      <c r="K82" s="5" t="s">
        <v>5752</v>
      </c>
      <c r="L82" s="31" t="s">
        <v>14</v>
      </c>
      <c r="M82" s="31" t="s">
        <v>15</v>
      </c>
      <c r="N82" s="31" t="s">
        <v>16</v>
      </c>
    </row>
    <row r="83" spans="1:14" x14ac:dyDescent="0.25">
      <c r="A83" s="4" t="str">
        <f>Sheet1!A83 &amp; "/" &amp; "2025"</f>
        <v>82/2025</v>
      </c>
      <c r="B83" s="5" t="str">
        <f>Sheet1!E83</f>
        <v>IND/MEL/00082</v>
      </c>
      <c r="C83" s="6" t="str">
        <f>UPPER(Sheet1!B83)</f>
        <v>DIYA MYRTHOS</v>
      </c>
      <c r="D83" s="7" t="str">
        <f>IF(Sheet1!F83="F","FEMALE","MALE")</f>
        <v>FEMALE</v>
      </c>
      <c r="E83" s="6" t="str">
        <f>UPPER(Sheet1!G83)</f>
        <v>DEV MYRTHOS</v>
      </c>
      <c r="F83" s="6" t="str">
        <f>UPPER(Sheet1!H83)</f>
        <v>ANYA MYRTHOS</v>
      </c>
      <c r="G83" s="5" t="str">
        <f>TEXT(Sheet1!C83,"dd/mm/yyyy") &amp; "," &amp; Sheet1!D83</f>
        <v>11/07/2025,WAGGA WAGGA</v>
      </c>
      <c r="H83" s="39" t="str">
        <f>UPPER(Sheet1!J83 &amp; "," &amp; Sheet1!K83 &amp; "," &amp; Sheet1!L83)</f>
        <v>180 BIRCHWOOD LANE,EMERALD ROAD,PIN:547163 WAGGA WAGGA</v>
      </c>
      <c r="I83" s="8">
        <f>Sheet1!I83</f>
        <v>45947</v>
      </c>
      <c r="J83" s="5" t="str">
        <f>Sheet1!M83 &amp; "," &amp; TEXT(Sheet1!N83,"dd/mm/yy")</f>
        <v>MHA/IND/00082,30/07/25</v>
      </c>
      <c r="K83" s="5" t="s">
        <v>5752</v>
      </c>
      <c r="L83" s="31" t="s">
        <v>14</v>
      </c>
      <c r="M83" s="31" t="s">
        <v>15</v>
      </c>
      <c r="N83" s="31" t="s">
        <v>16</v>
      </c>
    </row>
    <row r="84" spans="1:14" x14ac:dyDescent="0.25">
      <c r="A84" s="4" t="str">
        <f>Sheet1!A84 &amp; "/" &amp; "2025"</f>
        <v>83/2025</v>
      </c>
      <c r="B84" s="5" t="str">
        <f>Sheet1!E84</f>
        <v>IND/MEL/00083</v>
      </c>
      <c r="C84" s="6" t="str">
        <f>UPPER(Sheet1!B84)</f>
        <v>RIYA KALEON</v>
      </c>
      <c r="D84" s="7" t="str">
        <f>IF(Sheet1!F84="F","FEMALE","MALE")</f>
        <v>FEMALE</v>
      </c>
      <c r="E84" s="6" t="str">
        <f>UPPER(Sheet1!G84)</f>
        <v>KIRAN KALEON</v>
      </c>
      <c r="F84" s="6" t="str">
        <f>UPPER(Sheet1!H84)</f>
        <v>DIYA KALEON</v>
      </c>
      <c r="G84" s="5" t="str">
        <f>TEXT(Sheet1!C84,"dd/mm/yyyy") &amp; "," &amp; Sheet1!D84</f>
        <v>20/06/2025,MANDURAH</v>
      </c>
      <c r="H84" s="39" t="str">
        <f>UPPER(Sheet1!J84 &amp; "," &amp; Sheet1!K84 &amp; "," &amp; Sheet1!L84)</f>
        <v>175 BIRCHWOOD LANE,EMERALD ROAD,PIN:580720 MANDURAH</v>
      </c>
      <c r="I84" s="8">
        <f>Sheet1!I84</f>
        <v>45920</v>
      </c>
      <c r="J84" s="5" t="str">
        <f>Sheet1!M84 &amp; "," &amp; TEXT(Sheet1!N84,"dd/mm/yy")</f>
        <v>MHA/IND/00083,16/08/25</v>
      </c>
      <c r="K84" s="5" t="s">
        <v>5752</v>
      </c>
      <c r="L84" s="31" t="s">
        <v>14</v>
      </c>
      <c r="M84" s="31" t="s">
        <v>15</v>
      </c>
      <c r="N84" s="31" t="s">
        <v>16</v>
      </c>
    </row>
    <row r="85" spans="1:14" x14ac:dyDescent="0.25">
      <c r="A85" s="4" t="str">
        <f>Sheet1!A85 &amp; "/" &amp; "2025"</f>
        <v>84/2025</v>
      </c>
      <c r="B85" s="5" t="str">
        <f>Sheet1!E85</f>
        <v>IND/MEL/00084</v>
      </c>
      <c r="C85" s="6" t="str">
        <f>UPPER(Sheet1!B85)</f>
        <v>AREN VALZARI</v>
      </c>
      <c r="D85" s="7" t="str">
        <f>IF(Sheet1!F85="F","FEMALE","MALE")</f>
        <v>MALE</v>
      </c>
      <c r="E85" s="6" t="str">
        <f>UPPER(Sheet1!G85)</f>
        <v>KABIR VALZARI</v>
      </c>
      <c r="F85" s="6" t="str">
        <f>UPPER(Sheet1!H85)</f>
        <v>ANYA VALZARI</v>
      </c>
      <c r="G85" s="5" t="str">
        <f>TEXT(Sheet1!C85,"dd/mm/yyyy") &amp; "," &amp; Sheet1!D85</f>
        <v>08/07/2025,BERWICK</v>
      </c>
      <c r="H85" s="39" t="str">
        <f>UPPER(Sheet1!J85 &amp; "," &amp; Sheet1!K85 &amp; "," &amp; Sheet1!L85)</f>
        <v>172 BIRCHWOOD LANE,EMERALD ROAD,PIN:562388 BERWICK</v>
      </c>
      <c r="I85" s="8">
        <f>Sheet1!I85</f>
        <v>45910</v>
      </c>
      <c r="J85" s="5" t="str">
        <f>Sheet1!M85 &amp; "," &amp; TEXT(Sheet1!N85,"dd/mm/yy")</f>
        <v>MHA/IND/00084,09/08/25</v>
      </c>
      <c r="K85" s="5" t="s">
        <v>5752</v>
      </c>
      <c r="L85" s="31" t="s">
        <v>14</v>
      </c>
      <c r="M85" s="31" t="s">
        <v>15</v>
      </c>
      <c r="N85" s="31" t="s">
        <v>16</v>
      </c>
    </row>
    <row r="86" spans="1:14" x14ac:dyDescent="0.25">
      <c r="A86" s="4" t="str">
        <f>Sheet1!A86 &amp; "/" &amp; "2025"</f>
        <v>85/2025</v>
      </c>
      <c r="B86" s="5" t="str">
        <f>Sheet1!E86</f>
        <v>IND/MEL/00085</v>
      </c>
      <c r="C86" s="6" t="str">
        <f>UPPER(Sheet1!B86)</f>
        <v>SARA VALZARI</v>
      </c>
      <c r="D86" s="7" t="str">
        <f>IF(Sheet1!F86="F","FEMALE","MALE")</f>
        <v>FEMALE</v>
      </c>
      <c r="E86" s="6" t="str">
        <f>UPPER(Sheet1!G86)</f>
        <v>ARJUN VALZARI</v>
      </c>
      <c r="F86" s="6" t="str">
        <f>UPPER(Sheet1!H86)</f>
        <v>RIYA VALZARI</v>
      </c>
      <c r="G86" s="5" t="str">
        <f>TEXT(Sheet1!C86,"dd/mm/yyyy") &amp; "," &amp; Sheet1!D86</f>
        <v>03/07/2025,BERWICK</v>
      </c>
      <c r="H86" s="39" t="str">
        <f>UPPER(Sheet1!J86 &amp; "," &amp; Sheet1!K86 &amp; "," &amp; Sheet1!L86)</f>
        <v>82 BIRCHWOOD LANE,EMERALD ROAD,PIN:894635 BERWICK</v>
      </c>
      <c r="I86" s="8">
        <f>Sheet1!I86</f>
        <v>45873</v>
      </c>
      <c r="J86" s="5" t="str">
        <f>Sheet1!M86 &amp; "," &amp; TEXT(Sheet1!N86,"dd/mm/yy")</f>
        <v>MHA/IND/00085,16/07/25</v>
      </c>
      <c r="K86" s="5" t="s">
        <v>5752</v>
      </c>
      <c r="L86" s="31" t="s">
        <v>14</v>
      </c>
      <c r="M86" s="31" t="s">
        <v>15</v>
      </c>
      <c r="N86" s="31" t="s">
        <v>16</v>
      </c>
    </row>
    <row r="87" spans="1:14" x14ac:dyDescent="0.25">
      <c r="A87" s="4" t="str">
        <f>Sheet1!A87 &amp; "/" &amp; "2025"</f>
        <v>86/2025</v>
      </c>
      <c r="B87" s="5" t="str">
        <f>Sheet1!E87</f>
        <v>IND/MEL/00086</v>
      </c>
      <c r="C87" s="6" t="str">
        <f>UPPER(Sheet1!B87)</f>
        <v>KABIR MYRTHOS</v>
      </c>
      <c r="D87" s="7" t="str">
        <f>IF(Sheet1!F87="F","FEMALE","MALE")</f>
        <v>MALE</v>
      </c>
      <c r="E87" s="6" t="str">
        <f>UPPER(Sheet1!G87)</f>
        <v>DEV MYRTHOS</v>
      </c>
      <c r="F87" s="6" t="str">
        <f>UPPER(Sheet1!H87)</f>
        <v>RIYA MYRTHOS</v>
      </c>
      <c r="G87" s="5" t="str">
        <f>TEXT(Sheet1!C87,"dd/mm/yyyy") &amp; "," &amp; Sheet1!D87</f>
        <v>22/09/2025,LIVERPOOL</v>
      </c>
      <c r="H87" s="39" t="str">
        <f>UPPER(Sheet1!J87 &amp; "," &amp; Sheet1!K87 &amp; "," &amp; Sheet1!L87)</f>
        <v>164 BIRCHWOOD LANE,EMERALD ROAD,PIN:165275 LIVERPOOL</v>
      </c>
      <c r="I87" s="8">
        <f>Sheet1!I87</f>
        <v>45983</v>
      </c>
      <c r="J87" s="5" t="str">
        <f>Sheet1!M87 &amp; "," &amp; TEXT(Sheet1!N87,"dd/mm/yy")</f>
        <v>MHA/IND/00086,06/07/25</v>
      </c>
      <c r="K87" s="5" t="s">
        <v>5752</v>
      </c>
      <c r="L87" s="31" t="s">
        <v>14</v>
      </c>
      <c r="M87" s="31" t="s">
        <v>15</v>
      </c>
      <c r="N87" s="31" t="s">
        <v>16</v>
      </c>
    </row>
    <row r="88" spans="1:14" x14ac:dyDescent="0.25">
      <c r="A88" s="4" t="str">
        <f>Sheet1!A88 &amp; "/" &amp; "2025"</f>
        <v>87/2025</v>
      </c>
      <c r="B88" s="5" t="str">
        <f>Sheet1!E88</f>
        <v>IND/MEL/00087</v>
      </c>
      <c r="C88" s="6" t="str">
        <f>UPPER(Sheet1!B88)</f>
        <v>KIRAN SHARMA</v>
      </c>
      <c r="D88" s="7" t="str">
        <f>IF(Sheet1!F88="F","FEMALE","MALE")</f>
        <v>MALE</v>
      </c>
      <c r="E88" s="6" t="str">
        <f>UPPER(Sheet1!G88)</f>
        <v>AREN SHARMA</v>
      </c>
      <c r="F88" s="6" t="str">
        <f>UPPER(Sheet1!H88)</f>
        <v>DIYA SHARMA</v>
      </c>
      <c r="G88" s="5" t="str">
        <f>TEXT(Sheet1!C88,"dd/mm/yyyy") &amp; "," &amp; Sheet1!D88</f>
        <v>05/03/2025,NEWCASTLE</v>
      </c>
      <c r="H88" s="39" t="str">
        <f>UPPER(Sheet1!J88 &amp; "," &amp; Sheet1!K88 &amp; "," &amp; Sheet1!L88)</f>
        <v>151 BIRCHWOOD LANE,EMERALD ROAD,PIN:313133 NEWCASTLE</v>
      </c>
      <c r="I88" s="8">
        <f>Sheet1!I88</f>
        <v>45744</v>
      </c>
      <c r="J88" s="5" t="str">
        <f>Sheet1!M88 &amp; "," &amp; TEXT(Sheet1!N88,"dd/mm/yy")</f>
        <v>MHA/IND/00087,16/08/25</v>
      </c>
      <c r="K88" s="5" t="s">
        <v>5752</v>
      </c>
      <c r="L88" s="31" t="s">
        <v>14</v>
      </c>
      <c r="M88" s="31" t="s">
        <v>15</v>
      </c>
      <c r="N88" s="31" t="s">
        <v>16</v>
      </c>
    </row>
    <row r="89" spans="1:14" x14ac:dyDescent="0.25">
      <c r="A89" s="4" t="str">
        <f>Sheet1!A89 &amp; "/" &amp; "2025"</f>
        <v>88/2025</v>
      </c>
      <c r="B89" s="5" t="str">
        <f>Sheet1!E89</f>
        <v>IND/MEL/00088</v>
      </c>
      <c r="C89" s="6" t="str">
        <f>UPPER(Sheet1!B89)</f>
        <v>TARA SINDALE</v>
      </c>
      <c r="D89" s="7" t="str">
        <f>IF(Sheet1!F89="F","FEMALE","MALE")</f>
        <v>FEMALE</v>
      </c>
      <c r="E89" s="6" t="str">
        <f>UPPER(Sheet1!G89)</f>
        <v>AREN SINDALE</v>
      </c>
      <c r="F89" s="6" t="str">
        <f>UPPER(Sheet1!H89)</f>
        <v>RIYA SINDALE</v>
      </c>
      <c r="G89" s="5" t="str">
        <f>TEXT(Sheet1!C89,"dd/mm/yyyy") &amp; "," &amp; Sheet1!D89</f>
        <v>04/04/2025,LIVERPOOL</v>
      </c>
      <c r="H89" s="39" t="str">
        <f>UPPER(Sheet1!J89 &amp; "," &amp; Sheet1!K89 &amp; "," &amp; Sheet1!L89)</f>
        <v>29 BIRCHWOOD LANE,EMERALD ROAD,PIN:978049 LIVERPOOL</v>
      </c>
      <c r="I89" s="8">
        <f>Sheet1!I89</f>
        <v>45763</v>
      </c>
      <c r="J89" s="5" t="str">
        <f>Sheet1!M89 &amp; "," &amp; TEXT(Sheet1!N89,"dd/mm/yy")</f>
        <v>MHA/IND/00088,22/08/25</v>
      </c>
      <c r="K89" s="5" t="s">
        <v>5752</v>
      </c>
      <c r="L89" s="31" t="s">
        <v>14</v>
      </c>
      <c r="M89" s="31" t="s">
        <v>15</v>
      </c>
      <c r="N89" s="31" t="s">
        <v>16</v>
      </c>
    </row>
    <row r="90" spans="1:14" x14ac:dyDescent="0.25">
      <c r="A90" s="4" t="str">
        <f>Sheet1!A90 &amp; "/" &amp; "2025"</f>
        <v>89/2025</v>
      </c>
      <c r="B90" s="5" t="str">
        <f>Sheet1!E90</f>
        <v>IND/MEL/00089</v>
      </c>
      <c r="C90" s="6" t="str">
        <f>UPPER(Sheet1!B90)</f>
        <v>ARJUN KALEON</v>
      </c>
      <c r="D90" s="7" t="str">
        <f>IF(Sheet1!F90="F","FEMALE","MALE")</f>
        <v>MALE</v>
      </c>
      <c r="E90" s="6" t="str">
        <f>UPPER(Sheet1!G90)</f>
        <v>ARJUN KALEON</v>
      </c>
      <c r="F90" s="6" t="str">
        <f>UPPER(Sheet1!H90)</f>
        <v>ALYA KALEON</v>
      </c>
      <c r="G90" s="5" t="str">
        <f>TEXT(Sheet1!C90,"dd/mm/yyyy") &amp; "," &amp; Sheet1!D90</f>
        <v>25/07/2025,NEWCASTLE</v>
      </c>
      <c r="H90" s="39" t="str">
        <f>UPPER(Sheet1!J90 &amp; "," &amp; Sheet1!K90 &amp; "," &amp; Sheet1!L90)</f>
        <v>62 BIRCHWOOD LANE,EMERALD ROAD,PIN:759250 NEWCASTLE</v>
      </c>
      <c r="I90" s="8">
        <f>Sheet1!I90</f>
        <v>45879</v>
      </c>
      <c r="J90" s="5" t="str">
        <f>Sheet1!M90 &amp; "," &amp; TEXT(Sheet1!N90,"dd/mm/yy")</f>
        <v>MHA/IND/00089,09/07/25</v>
      </c>
      <c r="K90" s="5" t="s">
        <v>5752</v>
      </c>
      <c r="L90" s="31" t="s">
        <v>14</v>
      </c>
      <c r="M90" s="31" t="s">
        <v>15</v>
      </c>
      <c r="N90" s="31" t="s">
        <v>16</v>
      </c>
    </row>
    <row r="91" spans="1:14" x14ac:dyDescent="0.25">
      <c r="A91" s="4" t="str">
        <f>Sheet1!A91 &amp; "/" &amp; "2025"</f>
        <v>90/2025</v>
      </c>
      <c r="B91" s="5" t="str">
        <f>Sheet1!E91</f>
        <v>IND/MEL/00090</v>
      </c>
      <c r="C91" s="6" t="str">
        <f>UPPER(Sheet1!B91)</f>
        <v>DEV SHARMA</v>
      </c>
      <c r="D91" s="7" t="str">
        <f>IF(Sheet1!F91="F","FEMALE","MALE")</f>
        <v>MALE</v>
      </c>
      <c r="E91" s="6" t="str">
        <f>UPPER(Sheet1!G91)</f>
        <v>ROHIT SHARMA</v>
      </c>
      <c r="F91" s="6" t="str">
        <f>UPPER(Sheet1!H91)</f>
        <v>ALYA SHARMA</v>
      </c>
      <c r="G91" s="5" t="str">
        <f>TEXT(Sheet1!C91,"dd/mm/yyyy") &amp; "," &amp; Sheet1!D91</f>
        <v>21/01/2025,LIVERPOOL</v>
      </c>
      <c r="H91" s="39" t="str">
        <f>UPPER(Sheet1!J91 &amp; "," &amp; Sheet1!K91 &amp; "," &amp; Sheet1!L91)</f>
        <v>136 BIRCHWOOD LANE,EMERALD ROAD,PIN:265684 LIVERPOOL</v>
      </c>
      <c r="I91" s="8">
        <f>Sheet1!I91</f>
        <v>45709</v>
      </c>
      <c r="J91" s="5" t="str">
        <f>Sheet1!M91 &amp; "," &amp; TEXT(Sheet1!N91,"dd/mm/yy")</f>
        <v>MHA/IND/00090,15/08/25</v>
      </c>
      <c r="K91" s="5" t="s">
        <v>5752</v>
      </c>
      <c r="L91" s="31" t="s">
        <v>14</v>
      </c>
      <c r="M91" s="31" t="s">
        <v>15</v>
      </c>
      <c r="N91" s="31" t="s">
        <v>16</v>
      </c>
    </row>
    <row r="92" spans="1:14" x14ac:dyDescent="0.25">
      <c r="A92" s="4" t="str">
        <f>Sheet1!A92 &amp; "/" &amp; "2025"</f>
        <v>91/2025</v>
      </c>
      <c r="B92" s="5" t="str">
        <f>Sheet1!E92</f>
        <v>IND/MEL/00091</v>
      </c>
      <c r="C92" s="6" t="str">
        <f>UPPER(Sheet1!B92)</f>
        <v>KABIR KALEON</v>
      </c>
      <c r="D92" s="7" t="str">
        <f>IF(Sheet1!F92="F","FEMALE","MALE")</f>
        <v>MALE</v>
      </c>
      <c r="E92" s="6" t="str">
        <f>UPPER(Sheet1!G92)</f>
        <v>DEV KALEON</v>
      </c>
      <c r="F92" s="6" t="str">
        <f>UPPER(Sheet1!H92)</f>
        <v>TARA KALEON</v>
      </c>
      <c r="G92" s="5" t="str">
        <f>TEXT(Sheet1!C92,"dd/mm/yyyy") &amp; "," &amp; Sheet1!D92</f>
        <v>07/06/2025,BENDIGO</v>
      </c>
      <c r="H92" s="39" t="str">
        <f>UPPER(Sheet1!J92 &amp; "," &amp; Sheet1!K92 &amp; "," &amp; Sheet1!L92)</f>
        <v>70 BIRCHWOOD LANE,EMERALD ROAD,PIN:669525 BENDIGO</v>
      </c>
      <c r="I92" s="8">
        <f>Sheet1!I92</f>
        <v>45869</v>
      </c>
      <c r="J92" s="5" t="str">
        <f>Sheet1!M92 &amp; "," &amp; TEXT(Sheet1!N92,"dd/mm/yy")</f>
        <v>MHA/IND/00091,04/08/25</v>
      </c>
      <c r="K92" s="5" t="s">
        <v>5752</v>
      </c>
      <c r="L92" s="31" t="s">
        <v>14</v>
      </c>
      <c r="M92" s="31" t="s">
        <v>15</v>
      </c>
      <c r="N92" s="31" t="s">
        <v>16</v>
      </c>
    </row>
    <row r="93" spans="1:14" x14ac:dyDescent="0.25">
      <c r="A93" s="4" t="str">
        <f>Sheet1!A93 &amp; "/" &amp; "2025"</f>
        <v>92/2025</v>
      </c>
      <c r="B93" s="5" t="str">
        <f>Sheet1!E93</f>
        <v>IND/MEL/00092</v>
      </c>
      <c r="C93" s="6" t="str">
        <f>UPPER(Sheet1!B93)</f>
        <v>ALYA SINDALE</v>
      </c>
      <c r="D93" s="7" t="str">
        <f>IF(Sheet1!F93="F","FEMALE","MALE")</f>
        <v>FEMALE</v>
      </c>
      <c r="E93" s="6" t="str">
        <f>UPPER(Sheet1!G93)</f>
        <v>ROHIT SINDALE</v>
      </c>
      <c r="F93" s="6" t="str">
        <f>UPPER(Sheet1!H93)</f>
        <v>NINA SINDALE</v>
      </c>
      <c r="G93" s="5" t="str">
        <f>TEXT(Sheet1!C93,"dd/mm/yyyy") &amp; "," &amp; Sheet1!D93</f>
        <v>13/07/2025,WOLLONGONG</v>
      </c>
      <c r="H93" s="39" t="str">
        <f>UPPER(Sheet1!J93 &amp; "," &amp; Sheet1!K93 &amp; "," &amp; Sheet1!L93)</f>
        <v>71 BIRCHWOOD LANE,EMERALD ROAD,PIN:806096 WOLLONGONG</v>
      </c>
      <c r="I93" s="8">
        <f>Sheet1!I93</f>
        <v>45889</v>
      </c>
      <c r="J93" s="5" t="str">
        <f>Sheet1!M93 &amp; "," &amp; TEXT(Sheet1!N93,"dd/mm/yy")</f>
        <v>MHA/IND/00092,06/07/25</v>
      </c>
      <c r="K93" s="5" t="s">
        <v>5752</v>
      </c>
      <c r="L93" s="31" t="s">
        <v>14</v>
      </c>
      <c r="M93" s="31" t="s">
        <v>15</v>
      </c>
      <c r="N93" s="31" t="s">
        <v>16</v>
      </c>
    </row>
    <row r="94" spans="1:14" x14ac:dyDescent="0.25">
      <c r="A94" s="4" t="str">
        <f>Sheet1!A94 &amp; "/" &amp; "2025"</f>
        <v>93/2025</v>
      </c>
      <c r="B94" s="5" t="str">
        <f>Sheet1!E94</f>
        <v>IND/MEL/00093</v>
      </c>
      <c r="C94" s="6" t="str">
        <f>UPPER(Sheet1!B94)</f>
        <v>MIRA KALEON</v>
      </c>
      <c r="D94" s="7" t="str">
        <f>IF(Sheet1!F94="F","FEMALE","MALE")</f>
        <v>FEMALE</v>
      </c>
      <c r="E94" s="6" t="str">
        <f>UPPER(Sheet1!G94)</f>
        <v>KABIR KALEON</v>
      </c>
      <c r="F94" s="6" t="str">
        <f>UPPER(Sheet1!H94)</f>
        <v>ALYA KALEON</v>
      </c>
      <c r="G94" s="5" t="str">
        <f>TEXT(Sheet1!C94,"dd/mm/yyyy") &amp; "," &amp; Sheet1!D94</f>
        <v>17/06/2025,DALBY</v>
      </c>
      <c r="H94" s="39" t="str">
        <f>UPPER(Sheet1!J94 &amp; "," &amp; Sheet1!K94 &amp; "," &amp; Sheet1!L94)</f>
        <v>123 BIRCHWOOD LANE,EMERALD ROAD,PIN:836079 DALBY</v>
      </c>
      <c r="I94" s="8">
        <f>Sheet1!I94</f>
        <v>45844</v>
      </c>
      <c r="J94" s="5" t="str">
        <f>Sheet1!M94 &amp; "," &amp; TEXT(Sheet1!N94,"dd/mm/yy")</f>
        <v>MHA/IND/00093,18/08/25</v>
      </c>
      <c r="K94" s="5" t="s">
        <v>5752</v>
      </c>
      <c r="L94" s="31" t="s">
        <v>14</v>
      </c>
      <c r="M94" s="31" t="s">
        <v>15</v>
      </c>
      <c r="N94" s="31" t="s">
        <v>16</v>
      </c>
    </row>
    <row r="95" spans="1:14" x14ac:dyDescent="0.25">
      <c r="A95" s="4" t="str">
        <f>Sheet1!A95 &amp; "/" &amp; "2025"</f>
        <v>94/2025</v>
      </c>
      <c r="B95" s="5" t="str">
        <f>Sheet1!E95</f>
        <v>IND/MEL/00094</v>
      </c>
      <c r="C95" s="6" t="str">
        <f>UPPER(Sheet1!B95)</f>
        <v>ROHIT MYRTHOS</v>
      </c>
      <c r="D95" s="7" t="str">
        <f>IF(Sheet1!F95="F","FEMALE","MALE")</f>
        <v>MALE</v>
      </c>
      <c r="E95" s="6" t="str">
        <f>UPPER(Sheet1!G95)</f>
        <v>KABIR MYRTHOS</v>
      </c>
      <c r="F95" s="6" t="str">
        <f>UPPER(Sheet1!H95)</f>
        <v>MIRA MYRTHOS</v>
      </c>
      <c r="G95" s="5" t="str">
        <f>TEXT(Sheet1!C95,"dd/mm/yyyy") &amp; "," &amp; Sheet1!D95</f>
        <v>28/01/2025,CLAYTON</v>
      </c>
      <c r="H95" s="39" t="str">
        <f>UPPER(Sheet1!J95 &amp; "," &amp; Sheet1!K95 &amp; "," &amp; Sheet1!L95)</f>
        <v>106 BIRCHWOOD LANE,EMERALD ROAD,PIN:528267 CLAYTON</v>
      </c>
      <c r="I95" s="8">
        <f>Sheet1!I95</f>
        <v>45709</v>
      </c>
      <c r="J95" s="5" t="str">
        <f>Sheet1!M95 &amp; "," &amp; TEXT(Sheet1!N95,"dd/mm/yy")</f>
        <v>MHA/IND/00094,20/07/25</v>
      </c>
      <c r="K95" s="5" t="s">
        <v>5752</v>
      </c>
      <c r="L95" s="31" t="s">
        <v>14</v>
      </c>
      <c r="M95" s="31" t="s">
        <v>15</v>
      </c>
      <c r="N95" s="31" t="s">
        <v>16</v>
      </c>
    </row>
    <row r="96" spans="1:14" x14ac:dyDescent="0.25">
      <c r="A96" s="4" t="str">
        <f>Sheet1!A96 &amp; "/" &amp; "2025"</f>
        <v>95/2025</v>
      </c>
      <c r="B96" s="5" t="str">
        <f>Sheet1!E96</f>
        <v>IND/MEL/00095</v>
      </c>
      <c r="C96" s="6" t="str">
        <f>UPPER(Sheet1!B96)</f>
        <v>TARA SINDALE</v>
      </c>
      <c r="D96" s="7" t="str">
        <f>IF(Sheet1!F96="F","FEMALE","MALE")</f>
        <v>FEMALE</v>
      </c>
      <c r="E96" s="6" t="str">
        <f>UPPER(Sheet1!G96)</f>
        <v>DEV SINDALE</v>
      </c>
      <c r="F96" s="6" t="str">
        <f>UPPER(Sheet1!H96)</f>
        <v>NINA SINDALE</v>
      </c>
      <c r="G96" s="5" t="str">
        <f>TEXT(Sheet1!C96,"dd/mm/yyyy") &amp; "," &amp; Sheet1!D96</f>
        <v>03/07/2025,MANDURAH</v>
      </c>
      <c r="H96" s="39" t="str">
        <f>UPPER(Sheet1!J96 &amp; "," &amp; Sheet1!K96 &amp; "," &amp; Sheet1!L96)</f>
        <v>163 BIRCHWOOD LANE,EMERALD ROAD,PIN:587920 MANDURAH</v>
      </c>
      <c r="I96" s="8">
        <f>Sheet1!I96</f>
        <v>45884</v>
      </c>
      <c r="J96" s="5" t="str">
        <f>Sheet1!M96 &amp; "," &amp; TEXT(Sheet1!N96,"dd/mm/yy")</f>
        <v>MHA/IND/00095,22/07/25</v>
      </c>
      <c r="K96" s="5" t="s">
        <v>5752</v>
      </c>
      <c r="L96" s="31" t="s">
        <v>14</v>
      </c>
      <c r="M96" s="31" t="s">
        <v>15</v>
      </c>
      <c r="N96" s="31" t="s">
        <v>16</v>
      </c>
    </row>
    <row r="97" spans="1:14" x14ac:dyDescent="0.25">
      <c r="A97" s="4" t="str">
        <f>Sheet1!A97 &amp; "/" &amp; "2025"</f>
        <v>96/2025</v>
      </c>
      <c r="B97" s="5" t="str">
        <f>Sheet1!E97</f>
        <v>IND/MEL/00096</v>
      </c>
      <c r="C97" s="6" t="str">
        <f>UPPER(Sheet1!B97)</f>
        <v>ANYA RAO</v>
      </c>
      <c r="D97" s="7" t="str">
        <f>IF(Sheet1!F97="F","FEMALE","MALE")</f>
        <v>FEMALE</v>
      </c>
      <c r="E97" s="6" t="str">
        <f>UPPER(Sheet1!G97)</f>
        <v>KIRAN RAO</v>
      </c>
      <c r="F97" s="6" t="str">
        <f>UPPER(Sheet1!H97)</f>
        <v>TARA RAO</v>
      </c>
      <c r="G97" s="5" t="str">
        <f>TEXT(Sheet1!C97,"dd/mm/yyyy") &amp; "," &amp; Sheet1!D97</f>
        <v>07/06/2025,BUNDOORA</v>
      </c>
      <c r="H97" s="39" t="str">
        <f>UPPER(Sheet1!J97 &amp; "," &amp; Sheet1!K97 &amp; "," &amp; Sheet1!L97)</f>
        <v>166 BIRCHWOOD LANE,EMERALD ROAD,PIN:443245 BUNDOORA</v>
      </c>
      <c r="I97" s="8">
        <f>Sheet1!I97</f>
        <v>45833</v>
      </c>
      <c r="J97" s="5" t="str">
        <f>Sheet1!M97 &amp; "," &amp; TEXT(Sheet1!N97,"dd/mm/yy")</f>
        <v>MHA/IND/00096,01/08/25</v>
      </c>
      <c r="K97" s="5" t="s">
        <v>5752</v>
      </c>
      <c r="L97" s="31" t="s">
        <v>14</v>
      </c>
      <c r="M97" s="31" t="s">
        <v>15</v>
      </c>
      <c r="N97" s="31" t="s">
        <v>16</v>
      </c>
    </row>
    <row r="98" spans="1:14" x14ac:dyDescent="0.25">
      <c r="A98" s="4" t="str">
        <f>Sheet1!A98 &amp; "/" &amp; "2025"</f>
        <v>97/2025</v>
      </c>
      <c r="B98" s="5" t="str">
        <f>Sheet1!E98</f>
        <v>IND/MEL/00097</v>
      </c>
      <c r="C98" s="6" t="str">
        <f>UPPER(Sheet1!B98)</f>
        <v>TARA RISHKAN</v>
      </c>
      <c r="D98" s="7" t="str">
        <f>IF(Sheet1!F98="F","FEMALE","MALE")</f>
        <v>FEMALE</v>
      </c>
      <c r="E98" s="6" t="str">
        <f>UPPER(Sheet1!G98)</f>
        <v>ROHIT RISHKAN</v>
      </c>
      <c r="F98" s="6" t="str">
        <f>UPPER(Sheet1!H98)</f>
        <v>SARA RISHKAN</v>
      </c>
      <c r="G98" s="5" t="str">
        <f>TEXT(Sheet1!C98,"dd/mm/yyyy") &amp; "," &amp; Sheet1!D98</f>
        <v>26/05/2025,BRISBANE</v>
      </c>
      <c r="H98" s="39" t="str">
        <f>UPPER(Sheet1!J98 &amp; "," &amp; Sheet1!K98 &amp; "," &amp; Sheet1!L98)</f>
        <v>130 BIRCHWOOD LANE,EMERALD ROAD,PIN:854044 BRISBANE</v>
      </c>
      <c r="I98" s="8">
        <f>Sheet1!I98</f>
        <v>45882</v>
      </c>
      <c r="J98" s="5" t="str">
        <f>Sheet1!M98 &amp; "," &amp; TEXT(Sheet1!N98,"dd/mm/yy")</f>
        <v>MHA/IND/00097,28/07/25</v>
      </c>
      <c r="K98" s="5" t="s">
        <v>5752</v>
      </c>
      <c r="L98" s="31" t="s">
        <v>14</v>
      </c>
      <c r="M98" s="31" t="s">
        <v>15</v>
      </c>
      <c r="N98" s="31" t="s">
        <v>16</v>
      </c>
    </row>
    <row r="99" spans="1:14" x14ac:dyDescent="0.25">
      <c r="A99" s="4" t="str">
        <f>Sheet1!A99 &amp; "/" &amp; "2025"</f>
        <v>98/2025</v>
      </c>
      <c r="B99" s="5" t="str">
        <f>Sheet1!E99</f>
        <v>IND/MEL/00098</v>
      </c>
      <c r="C99" s="6" t="str">
        <f>UPPER(Sheet1!B99)</f>
        <v>KABIR SINDALE</v>
      </c>
      <c r="D99" s="7" t="str">
        <f>IF(Sheet1!F99="F","FEMALE","MALE")</f>
        <v>MALE</v>
      </c>
      <c r="E99" s="6" t="str">
        <f>UPPER(Sheet1!G99)</f>
        <v>NEIL SINDALE</v>
      </c>
      <c r="F99" s="6" t="str">
        <f>UPPER(Sheet1!H99)</f>
        <v>RIYA SINDALE</v>
      </c>
      <c r="G99" s="5" t="str">
        <f>TEXT(Sheet1!C99,"dd/mm/yyyy") &amp; "," &amp; Sheet1!D99</f>
        <v>13/03/2025,BERWICK</v>
      </c>
      <c r="H99" s="39" t="str">
        <f>UPPER(Sheet1!J99 &amp; "," &amp; Sheet1!K99 &amp; "," &amp; Sheet1!L99)</f>
        <v>90 BIRCHWOOD LANE,EMERALD ROAD,PIN:146112 BERWICK</v>
      </c>
      <c r="I99" s="8">
        <f>Sheet1!I99</f>
        <v>45792</v>
      </c>
      <c r="J99" s="5" t="str">
        <f>Sheet1!M99 &amp; "," &amp; TEXT(Sheet1!N99,"dd/mm/yy")</f>
        <v>MHA/IND/00098,20/07/25</v>
      </c>
      <c r="K99" s="5" t="s">
        <v>5752</v>
      </c>
      <c r="L99" s="31" t="s">
        <v>14</v>
      </c>
      <c r="M99" s="31" t="s">
        <v>15</v>
      </c>
      <c r="N99" s="31" t="s">
        <v>16</v>
      </c>
    </row>
    <row r="100" spans="1:14" x14ac:dyDescent="0.25">
      <c r="A100" s="4" t="str">
        <f>Sheet1!A100 &amp; "/" &amp; "2025"</f>
        <v>99/2025</v>
      </c>
      <c r="B100" s="5" t="str">
        <f>Sheet1!E100</f>
        <v>IND/MEL/00099</v>
      </c>
      <c r="C100" s="6" t="str">
        <f>UPPER(Sheet1!B100)</f>
        <v>MIRA SHARMA</v>
      </c>
      <c r="D100" s="7" t="str">
        <f>IF(Sheet1!F100="F","FEMALE","MALE")</f>
        <v>FEMALE</v>
      </c>
      <c r="E100" s="6" t="str">
        <f>UPPER(Sheet1!G100)</f>
        <v>KIRAN SHARMA</v>
      </c>
      <c r="F100" s="6" t="str">
        <f>UPPER(Sheet1!H100)</f>
        <v>DIYA SHARMA</v>
      </c>
      <c r="G100" s="5" t="str">
        <f>TEXT(Sheet1!C100,"dd/mm/yyyy") &amp; "," &amp; Sheet1!D100</f>
        <v>17/05/2025,GOSFORD</v>
      </c>
      <c r="H100" s="39" t="str">
        <f>UPPER(Sheet1!J100 &amp; "," &amp; Sheet1!K100 &amp; "," &amp; Sheet1!L100)</f>
        <v>187 BIRCHWOOD LANE,EMERALD ROAD,PIN:116116 GOSFORD</v>
      </c>
      <c r="I100" s="8">
        <f>Sheet1!I100</f>
        <v>45856</v>
      </c>
      <c r="J100" s="5" t="str">
        <f>Sheet1!M100 &amp; "," &amp; TEXT(Sheet1!N100,"dd/mm/yy")</f>
        <v>MHA/IND/00099,11/08/25</v>
      </c>
      <c r="K100" s="5" t="s">
        <v>5752</v>
      </c>
      <c r="L100" s="31" t="s">
        <v>14</v>
      </c>
      <c r="M100" s="31" t="s">
        <v>15</v>
      </c>
      <c r="N100" s="31" t="s">
        <v>16</v>
      </c>
    </row>
    <row r="101" spans="1:14" x14ac:dyDescent="0.25">
      <c r="A101" s="4" t="str">
        <f>Sheet1!A101 &amp; "/" &amp; "2025"</f>
        <v>100/2025</v>
      </c>
      <c r="B101" s="5" t="str">
        <f>Sheet1!E101</f>
        <v>IND/MEL/00100</v>
      </c>
      <c r="C101" s="6" t="str">
        <f>UPPER(Sheet1!B101)</f>
        <v>ANYA KALEON</v>
      </c>
      <c r="D101" s="7" t="str">
        <f>IF(Sheet1!F101="F","FEMALE","MALE")</f>
        <v>FEMALE</v>
      </c>
      <c r="E101" s="6" t="str">
        <f>UPPER(Sheet1!G101)</f>
        <v>ROHIT KALEON</v>
      </c>
      <c r="F101" s="6" t="str">
        <f>UPPER(Sheet1!H101)</f>
        <v>TARA KALEON</v>
      </c>
      <c r="G101" s="5" t="str">
        <f>TEXT(Sheet1!C101,"dd/mm/yyyy") &amp; "," &amp; Sheet1!D101</f>
        <v>12/10/2025,ARMADALE</v>
      </c>
      <c r="H101" s="39" t="str">
        <f>UPPER(Sheet1!J101 &amp; "," &amp; Sheet1!K101 &amp; "," &amp; Sheet1!L101)</f>
        <v>146 BIRCHWOOD LANE,EMERALD ROAD,PIN:698609 ARMADALE</v>
      </c>
      <c r="I101" s="8">
        <f>Sheet1!I101</f>
        <v>45968</v>
      </c>
      <c r="J101" s="5" t="str">
        <f>Sheet1!M101 &amp; "," &amp; TEXT(Sheet1!N101,"dd/mm/yy")</f>
        <v>MHA/IND/00100,09/08/25</v>
      </c>
      <c r="K101" s="5" t="s">
        <v>5752</v>
      </c>
      <c r="L101" s="31" t="s">
        <v>14</v>
      </c>
      <c r="M101" s="31" t="s">
        <v>15</v>
      </c>
      <c r="N101" s="31" t="s">
        <v>16</v>
      </c>
    </row>
    <row r="102" spans="1:14" x14ac:dyDescent="0.25">
      <c r="A102" s="4" t="str">
        <f>Sheet1!A102 &amp; "/" &amp; "2025"</f>
        <v>101/2025</v>
      </c>
      <c r="B102" s="5" t="str">
        <f>Sheet1!E102</f>
        <v>IND/MEL/00101</v>
      </c>
      <c r="C102" s="6" t="str">
        <f>UPPER(Sheet1!B102)</f>
        <v>ALYA KALEON</v>
      </c>
      <c r="D102" s="7" t="str">
        <f>IF(Sheet1!F102="F","FEMALE","MALE")</f>
        <v>FEMALE</v>
      </c>
      <c r="E102" s="6" t="str">
        <f>UPPER(Sheet1!G102)</f>
        <v>ISHAN KALEON</v>
      </c>
      <c r="F102" s="6" t="str">
        <f>UPPER(Sheet1!H102)</f>
        <v>NINA KALEON</v>
      </c>
      <c r="G102" s="5" t="str">
        <f>TEXT(Sheet1!C102,"dd/mm/yyyy") &amp; "," &amp; Sheet1!D102</f>
        <v>10/09/2025,PARKVILLE</v>
      </c>
      <c r="H102" s="39" t="str">
        <f>UPPER(Sheet1!J102 &amp; "," &amp; Sheet1!K102 &amp; "," &amp; Sheet1!L102)</f>
        <v>94 BIRCHWOOD LANE,EMERALD ROAD,PIN:243403 PARKVILLE</v>
      </c>
      <c r="I102" s="8">
        <f>Sheet1!I102</f>
        <v>45999</v>
      </c>
      <c r="J102" s="5" t="str">
        <f>Sheet1!M102 &amp; "," &amp; TEXT(Sheet1!N102,"dd/mm/yy")</f>
        <v>MHA/IND/00101,26/08/25</v>
      </c>
      <c r="K102" s="5" t="s">
        <v>5752</v>
      </c>
      <c r="L102" s="31" t="s">
        <v>14</v>
      </c>
      <c r="M102" s="31" t="s">
        <v>15</v>
      </c>
      <c r="N102" s="31" t="s">
        <v>16</v>
      </c>
    </row>
    <row r="103" spans="1:14" x14ac:dyDescent="0.25">
      <c r="A103" s="4" t="str">
        <f>Sheet1!A103 &amp; "/" &amp; "2025"</f>
        <v>102/2025</v>
      </c>
      <c r="B103" s="5" t="str">
        <f>Sheet1!E103</f>
        <v>IND/MEL/00102</v>
      </c>
      <c r="C103" s="6" t="str">
        <f>UPPER(Sheet1!B103)</f>
        <v>ANYA MYRTHOS</v>
      </c>
      <c r="D103" s="7" t="str">
        <f>IF(Sheet1!F103="F","FEMALE","MALE")</f>
        <v>FEMALE</v>
      </c>
      <c r="E103" s="6" t="str">
        <f>UPPER(Sheet1!G103)</f>
        <v>ROHIT MYRTHOS</v>
      </c>
      <c r="F103" s="6" t="str">
        <f>UPPER(Sheet1!H103)</f>
        <v>MIRA MYRTHOS</v>
      </c>
      <c r="G103" s="5" t="str">
        <f>TEXT(Sheet1!C103,"dd/mm/yyyy") &amp; "," &amp; Sheet1!D103</f>
        <v>12/09/2025,LIVERPOOL</v>
      </c>
      <c r="H103" s="39" t="str">
        <f>UPPER(Sheet1!J103 &amp; "," &amp; Sheet1!K103 &amp; "," &amp; Sheet1!L103)</f>
        <v>61 BIRCHWOOD LANE,EMERALD ROAD,PIN:333036 LIVERPOOL</v>
      </c>
      <c r="I103" s="8">
        <f>Sheet1!I103</f>
        <v>45979</v>
      </c>
      <c r="J103" s="5" t="str">
        <f>Sheet1!M103 &amp; "," &amp; TEXT(Sheet1!N103,"dd/mm/yy")</f>
        <v>MHA/IND/00102,25/08/25</v>
      </c>
      <c r="K103" s="5" t="s">
        <v>5752</v>
      </c>
      <c r="L103" s="31" t="s">
        <v>14</v>
      </c>
      <c r="M103" s="31" t="s">
        <v>15</v>
      </c>
      <c r="N103" s="31" t="s">
        <v>16</v>
      </c>
    </row>
    <row r="104" spans="1:14" x14ac:dyDescent="0.25">
      <c r="A104" s="4" t="str">
        <f>Sheet1!A104 &amp; "/" &amp; "2025"</f>
        <v>103/2025</v>
      </c>
      <c r="B104" s="5" t="str">
        <f>Sheet1!E104</f>
        <v>IND/MEL/00103</v>
      </c>
      <c r="C104" s="6" t="str">
        <f>UPPER(Sheet1!B104)</f>
        <v>ROHIT VALZARI</v>
      </c>
      <c r="D104" s="7" t="str">
        <f>IF(Sheet1!F104="F","FEMALE","MALE")</f>
        <v>MALE</v>
      </c>
      <c r="E104" s="6" t="str">
        <f>UPPER(Sheet1!G104)</f>
        <v>AREN VALZARI</v>
      </c>
      <c r="F104" s="6" t="str">
        <f>UPPER(Sheet1!H104)</f>
        <v>RIYA VALZARI</v>
      </c>
      <c r="G104" s="5" t="str">
        <f>TEXT(Sheet1!C104,"dd/mm/yyyy") &amp; "," &amp; Sheet1!D104</f>
        <v>27/03/2025,BEDFORD PARK</v>
      </c>
      <c r="H104" s="39" t="str">
        <f>UPPER(Sheet1!J104 &amp; "," &amp; Sheet1!K104 &amp; "," &amp; Sheet1!L104)</f>
        <v>69 BIRCHWOOD LANE,EMERALD ROAD,PIN:974106 BEDFORD PARK</v>
      </c>
      <c r="I104" s="8">
        <f>Sheet1!I104</f>
        <v>45808</v>
      </c>
      <c r="J104" s="5" t="str">
        <f>Sheet1!M104 &amp; "," &amp; TEXT(Sheet1!N104,"dd/mm/yy")</f>
        <v>MHA/IND/00103,08/07/25</v>
      </c>
      <c r="K104" s="5" t="s">
        <v>5752</v>
      </c>
      <c r="L104" s="31" t="s">
        <v>14</v>
      </c>
      <c r="M104" s="31" t="s">
        <v>15</v>
      </c>
      <c r="N104" s="31" t="s">
        <v>16</v>
      </c>
    </row>
    <row r="105" spans="1:14" x14ac:dyDescent="0.25">
      <c r="A105" s="4" t="str">
        <f>Sheet1!A105 &amp; "/" &amp; "2025"</f>
        <v>104/2025</v>
      </c>
      <c r="B105" s="5" t="str">
        <f>Sheet1!E105</f>
        <v>IND/MEL/00104</v>
      </c>
      <c r="C105" s="6" t="str">
        <f>UPPER(Sheet1!B105)</f>
        <v>KIRAN VALZARI</v>
      </c>
      <c r="D105" s="7" t="str">
        <f>IF(Sheet1!F105="F","FEMALE","MALE")</f>
        <v>MALE</v>
      </c>
      <c r="E105" s="6" t="str">
        <f>UPPER(Sheet1!G105)</f>
        <v>ROHIT VALZARI</v>
      </c>
      <c r="F105" s="6" t="str">
        <f>UPPER(Sheet1!H105)</f>
        <v>ALYA VALZARI</v>
      </c>
      <c r="G105" s="5" t="str">
        <f>TEXT(Sheet1!C105,"dd/mm/yyyy") &amp; "," &amp; Sheet1!D105</f>
        <v>02/04/2025,WODONGA</v>
      </c>
      <c r="H105" s="39" t="str">
        <f>UPPER(Sheet1!J105 &amp; "," &amp; Sheet1!K105 &amp; "," &amp; Sheet1!L105)</f>
        <v>130 BIRCHWOOD LANE,EMERALD ROAD,PIN:903256 WODONGA</v>
      </c>
      <c r="I105" s="8">
        <f>Sheet1!I105</f>
        <v>45786</v>
      </c>
      <c r="J105" s="5" t="str">
        <f>Sheet1!M105 &amp; "," &amp; TEXT(Sheet1!N105,"dd/mm/yy")</f>
        <v>MHA/IND/00104,24/07/25</v>
      </c>
      <c r="K105" s="5" t="s">
        <v>5752</v>
      </c>
      <c r="L105" s="31" t="s">
        <v>14</v>
      </c>
      <c r="M105" s="31" t="s">
        <v>15</v>
      </c>
      <c r="N105" s="31" t="s">
        <v>16</v>
      </c>
    </row>
    <row r="106" spans="1:14" x14ac:dyDescent="0.25">
      <c r="A106" s="4" t="str">
        <f>Sheet1!A106 &amp; "/" &amp; "2025"</f>
        <v>105/2025</v>
      </c>
      <c r="B106" s="5" t="str">
        <f>Sheet1!E106</f>
        <v>IND/MEL/00105</v>
      </c>
      <c r="C106" s="6" t="str">
        <f>UPPER(Sheet1!B106)</f>
        <v>DEV SINDALE</v>
      </c>
      <c r="D106" s="7" t="str">
        <f>IF(Sheet1!F106="F","FEMALE","MALE")</f>
        <v>MALE</v>
      </c>
      <c r="E106" s="6" t="str">
        <f>UPPER(Sheet1!G106)</f>
        <v>AREN SINDALE</v>
      </c>
      <c r="F106" s="6" t="str">
        <f>UPPER(Sheet1!H106)</f>
        <v>RIYA SINDALE</v>
      </c>
      <c r="G106" s="5" t="str">
        <f>TEXT(Sheet1!C106,"dd/mm/yyyy") &amp; "," &amp; Sheet1!D106</f>
        <v>23/05/2025,FRANKSTON</v>
      </c>
      <c r="H106" s="39" t="str">
        <f>UPPER(Sheet1!J106 &amp; "," &amp; Sheet1!K106 &amp; "," &amp; Sheet1!L106)</f>
        <v>161 BIRCHWOOD LANE,EMERALD ROAD,PIN:724180 FRANKSTON</v>
      </c>
      <c r="I106" s="8">
        <f>Sheet1!I106</f>
        <v>45873</v>
      </c>
      <c r="J106" s="5" t="str">
        <f>Sheet1!M106 &amp; "," &amp; TEXT(Sheet1!N106,"dd/mm/yy")</f>
        <v>MHA/IND/00105,09/08/25</v>
      </c>
      <c r="K106" s="5" t="s">
        <v>5752</v>
      </c>
      <c r="L106" s="31" t="s">
        <v>14</v>
      </c>
      <c r="M106" s="31" t="s">
        <v>15</v>
      </c>
      <c r="N106" s="31" t="s">
        <v>16</v>
      </c>
    </row>
    <row r="107" spans="1:14" x14ac:dyDescent="0.25">
      <c r="A107" s="4" t="str">
        <f>Sheet1!A107 &amp; "/" &amp; "2025"</f>
        <v>106/2025</v>
      </c>
      <c r="B107" s="5" t="str">
        <f>Sheet1!E107</f>
        <v>IND/MEL/00106</v>
      </c>
      <c r="C107" s="6" t="str">
        <f>UPPER(Sheet1!B107)</f>
        <v>KIRAN SHARMA</v>
      </c>
      <c r="D107" s="7" t="str">
        <f>IF(Sheet1!F107="F","FEMALE","MALE")</f>
        <v>MALE</v>
      </c>
      <c r="E107" s="6" t="str">
        <f>UPPER(Sheet1!G107)</f>
        <v>DEV SHARMA</v>
      </c>
      <c r="F107" s="6" t="str">
        <f>UPPER(Sheet1!H107)</f>
        <v>NINA SHARMA</v>
      </c>
      <c r="G107" s="5" t="str">
        <f>TEXT(Sheet1!C107,"dd/mm/yyyy") &amp; "," &amp; Sheet1!D107</f>
        <v>11/06/2025,TUGGERANONG</v>
      </c>
      <c r="H107" s="39" t="str">
        <f>UPPER(Sheet1!J107 &amp; "," &amp; Sheet1!K107 &amp; "," &amp; Sheet1!L107)</f>
        <v>29 BIRCHWOOD LANE,EMERALD ROAD,PIN:696956 TUGGERANONG</v>
      </c>
      <c r="I107" s="8">
        <f>Sheet1!I107</f>
        <v>45937</v>
      </c>
      <c r="J107" s="5" t="str">
        <f>Sheet1!M107 &amp; "," &amp; TEXT(Sheet1!N107,"dd/mm/yy")</f>
        <v>MHA/IND/00106,26/08/25</v>
      </c>
      <c r="K107" s="5" t="s">
        <v>5752</v>
      </c>
      <c r="L107" s="31" t="s">
        <v>14</v>
      </c>
      <c r="M107" s="31" t="s">
        <v>15</v>
      </c>
      <c r="N107" s="31" t="s">
        <v>16</v>
      </c>
    </row>
    <row r="108" spans="1:14" x14ac:dyDescent="0.25">
      <c r="A108" s="4" t="str">
        <f>Sheet1!A108 &amp; "/" &amp; "2025"</f>
        <v>107/2025</v>
      </c>
      <c r="B108" s="5" t="str">
        <f>Sheet1!E108</f>
        <v>IND/MEL/00107</v>
      </c>
      <c r="C108" s="6" t="str">
        <f>UPPER(Sheet1!B108)</f>
        <v>MIRA SHARMA</v>
      </c>
      <c r="D108" s="7" t="str">
        <f>IF(Sheet1!F108="F","FEMALE","MALE")</f>
        <v>FEMALE</v>
      </c>
      <c r="E108" s="6" t="str">
        <f>UPPER(Sheet1!G108)</f>
        <v>ROHIT SHARMA</v>
      </c>
      <c r="F108" s="6" t="str">
        <f>UPPER(Sheet1!H108)</f>
        <v>MIRA SHARMA</v>
      </c>
      <c r="G108" s="5" t="str">
        <f>TEXT(Sheet1!C108,"dd/mm/yyyy") &amp; "," &amp; Sheet1!D108</f>
        <v>01/05/2025,LAUNCESTON</v>
      </c>
      <c r="H108" s="39" t="str">
        <f>UPPER(Sheet1!J108 &amp; "," &amp; Sheet1!K108 &amp; "," &amp; Sheet1!L108)</f>
        <v>193 BIRCHWOOD LANE,EMERALD ROAD,PIN:866652 LAUNCESTON</v>
      </c>
      <c r="I108" s="8">
        <f>Sheet1!I108</f>
        <v>45790</v>
      </c>
      <c r="J108" s="5" t="str">
        <f>Sheet1!M108 &amp; "," &amp; TEXT(Sheet1!N108,"dd/mm/yy")</f>
        <v>MHA/IND/00107,06/07/25</v>
      </c>
      <c r="K108" s="5" t="s">
        <v>5752</v>
      </c>
      <c r="L108" s="31" t="s">
        <v>14</v>
      </c>
      <c r="M108" s="31" t="s">
        <v>15</v>
      </c>
      <c r="N108" s="31" t="s">
        <v>16</v>
      </c>
    </row>
    <row r="109" spans="1:14" x14ac:dyDescent="0.25">
      <c r="A109" s="4" t="str">
        <f>Sheet1!A109 &amp; "/" &amp; "2025"</f>
        <v>108/2025</v>
      </c>
      <c r="B109" s="5" t="str">
        <f>Sheet1!E109</f>
        <v>IND/MEL/00108</v>
      </c>
      <c r="C109" s="6" t="str">
        <f>UPPER(Sheet1!B109)</f>
        <v>SARA KALEON</v>
      </c>
      <c r="D109" s="7" t="str">
        <f>IF(Sheet1!F109="F","FEMALE","MALE")</f>
        <v>FEMALE</v>
      </c>
      <c r="E109" s="6" t="str">
        <f>UPPER(Sheet1!G109)</f>
        <v>ROHIT KALEON</v>
      </c>
      <c r="F109" s="6" t="str">
        <f>UPPER(Sheet1!H109)</f>
        <v>ANYA KALEON</v>
      </c>
      <c r="G109" s="5" t="str">
        <f>TEXT(Sheet1!C109,"dd/mm/yyyy") &amp; "," &amp; Sheet1!D109</f>
        <v>19/03/2025,NORTH ADELAIDE</v>
      </c>
      <c r="H109" s="39" t="str">
        <f>UPPER(Sheet1!J109 &amp; "," &amp; Sheet1!K109 &amp; "," &amp; Sheet1!L109)</f>
        <v>141 BIRCHWOOD LANE,EMERALD ROAD,PIN:277862 NORTH ADELAIDE</v>
      </c>
      <c r="I109" s="8">
        <f>Sheet1!I109</f>
        <v>45767</v>
      </c>
      <c r="J109" s="5" t="str">
        <f>Sheet1!M109 &amp; "," &amp; TEXT(Sheet1!N109,"dd/mm/yy")</f>
        <v>MHA/IND/00108,03/08/25</v>
      </c>
      <c r="K109" s="5" t="s">
        <v>5752</v>
      </c>
      <c r="L109" s="31" t="s">
        <v>14</v>
      </c>
      <c r="M109" s="31" t="s">
        <v>15</v>
      </c>
      <c r="N109" s="31" t="s">
        <v>16</v>
      </c>
    </row>
    <row r="110" spans="1:14" ht="30" customHeight="1" x14ac:dyDescent="0.25">
      <c r="A110" s="4" t="str">
        <f>Sheet1!A110 &amp; "/" &amp; "2025"</f>
        <v>109/2025</v>
      </c>
      <c r="B110" s="5" t="str">
        <f>Sheet1!E110</f>
        <v>IND/MEL/00109</v>
      </c>
      <c r="C110" s="6" t="str">
        <f>UPPER(Sheet1!B110)</f>
        <v>RIYA RISHKAN</v>
      </c>
      <c r="D110" s="7" t="str">
        <f>IF(Sheet1!F110="F","FEMALE","MALE")</f>
        <v>FEMALE</v>
      </c>
      <c r="E110" s="6" t="str">
        <f>UPPER(Sheet1!G110)</f>
        <v>NEIL RISHKAN</v>
      </c>
      <c r="F110" s="6" t="str">
        <f>UPPER(Sheet1!H110)</f>
        <v>ALYA RISHKAN</v>
      </c>
      <c r="G110" s="5" t="str">
        <f>TEXT(Sheet1!C110,"dd/mm/yyyy") &amp; "," &amp; Sheet1!D110</f>
        <v>27/07/2025,TUGGERANONG</v>
      </c>
      <c r="H110" s="39" t="str">
        <f>UPPER(Sheet1!J110 &amp; "," &amp; Sheet1!K110 &amp; "," &amp; Sheet1!L110)</f>
        <v>57 BIRCHWOOD LANE,EMERALD ROAD,PIN:771839 TUGGERANONG</v>
      </c>
      <c r="I110" s="8">
        <f>Sheet1!I110</f>
        <v>45873</v>
      </c>
      <c r="J110" s="5" t="str">
        <f>Sheet1!M110 &amp; "," &amp; TEXT(Sheet1!N110,"dd/mm/yy")</f>
        <v>MHA/IND/00109,14/07/25</v>
      </c>
      <c r="K110" s="5" t="s">
        <v>5752</v>
      </c>
      <c r="L110" s="31" t="s">
        <v>14</v>
      </c>
      <c r="M110" s="31" t="s">
        <v>15</v>
      </c>
      <c r="N110" s="31" t="s">
        <v>16</v>
      </c>
    </row>
    <row r="111" spans="1:14" x14ac:dyDescent="0.25">
      <c r="A111" s="4" t="str">
        <f>Sheet1!A111 &amp; "/" &amp; "2025"</f>
        <v>110/2025</v>
      </c>
      <c r="B111" s="5" t="str">
        <f>Sheet1!E111</f>
        <v>IND/MEL/00110</v>
      </c>
      <c r="C111" s="6" t="str">
        <f>UPPER(Sheet1!B111)</f>
        <v>ANYA SHARMA</v>
      </c>
      <c r="D111" s="7" t="str">
        <f>IF(Sheet1!F111="F","FEMALE","MALE")</f>
        <v>FEMALE</v>
      </c>
      <c r="E111" s="6" t="str">
        <f>UPPER(Sheet1!G111)</f>
        <v>DEV SHARMA</v>
      </c>
      <c r="F111" s="6" t="str">
        <f>UPPER(Sheet1!H111)</f>
        <v>ANYA SHARMA</v>
      </c>
      <c r="G111" s="5" t="str">
        <f>TEXT(Sheet1!C111,"dd/mm/yyyy") &amp; "," &amp; Sheet1!D111</f>
        <v>05/08/2025,LIVERPOOL</v>
      </c>
      <c r="H111" s="39" t="str">
        <f>UPPER(Sheet1!J111 &amp; "," &amp; Sheet1!K111 &amp; "," &amp; Sheet1!L111)</f>
        <v>65 BIRCHWOOD LANE,EMERALD ROAD,PIN:587081 LIVERPOOL</v>
      </c>
      <c r="I111" s="8">
        <f>Sheet1!I111</f>
        <v>45926</v>
      </c>
      <c r="J111" s="5" t="str">
        <f>Sheet1!M111 &amp; "," &amp; TEXT(Sheet1!N111,"dd/mm/yy")</f>
        <v>MHA/IND/00110,04/08/25</v>
      </c>
      <c r="K111" s="5" t="s">
        <v>5752</v>
      </c>
      <c r="L111" s="31" t="s">
        <v>14</v>
      </c>
      <c r="M111" s="31" t="s">
        <v>15</v>
      </c>
      <c r="N111" s="31" t="s">
        <v>16</v>
      </c>
    </row>
    <row r="112" spans="1:14" x14ac:dyDescent="0.25">
      <c r="A112" s="4" t="str">
        <f>Sheet1!A112 &amp; "/" &amp; "2025"</f>
        <v>111/2025</v>
      </c>
      <c r="B112" s="5" t="str">
        <f>Sheet1!E112</f>
        <v>IND/MEL/00111</v>
      </c>
      <c r="C112" s="6" t="str">
        <f>UPPER(Sheet1!B112)</f>
        <v>ANYA VALZARI</v>
      </c>
      <c r="D112" s="7" t="str">
        <f>IF(Sheet1!F112="F","FEMALE","MALE")</f>
        <v>FEMALE</v>
      </c>
      <c r="E112" s="6" t="str">
        <f>UPPER(Sheet1!G112)</f>
        <v>AREN VALZARI</v>
      </c>
      <c r="F112" s="6" t="str">
        <f>UPPER(Sheet1!H112)</f>
        <v>ANYA VALZARI</v>
      </c>
      <c r="G112" s="5" t="str">
        <f>TEXT(Sheet1!C112,"dd/mm/yyyy") &amp; "," &amp; Sheet1!D112</f>
        <v>13/01/2025,BALLARAT CENTRAL</v>
      </c>
      <c r="H112" s="39" t="str">
        <f>UPPER(Sheet1!J112 &amp; "," &amp; Sheet1!K112 &amp; "," &amp; Sheet1!L112)</f>
        <v>74 BIRCHWOOD LANE,EMERALD ROAD,PIN:832571 BALLARAT CENTRAL</v>
      </c>
      <c r="I112" s="8">
        <f>Sheet1!I112</f>
        <v>45679</v>
      </c>
      <c r="J112" s="5" t="str">
        <f>Sheet1!M112 &amp; "," &amp; TEXT(Sheet1!N112,"dd/mm/yy")</f>
        <v>MHA/IND/00111,06/07/25</v>
      </c>
      <c r="K112" s="5" t="s">
        <v>5752</v>
      </c>
      <c r="L112" s="31" t="s">
        <v>14</v>
      </c>
      <c r="M112" s="31" t="s">
        <v>15</v>
      </c>
      <c r="N112" s="31" t="s">
        <v>16</v>
      </c>
    </row>
    <row r="113" spans="1:14" x14ac:dyDescent="0.25">
      <c r="A113" s="4" t="str">
        <f>Sheet1!A113 &amp; "/" &amp; "2025"</f>
        <v>112/2025</v>
      </c>
      <c r="B113" s="5" t="str">
        <f>Sheet1!E113</f>
        <v>IND/MEL/00112</v>
      </c>
      <c r="C113" s="6" t="str">
        <f>UPPER(Sheet1!B113)</f>
        <v>ARJUN SINDALE</v>
      </c>
      <c r="D113" s="7" t="str">
        <f>IF(Sheet1!F113="F","FEMALE","MALE")</f>
        <v>MALE</v>
      </c>
      <c r="E113" s="6" t="str">
        <f>UPPER(Sheet1!G113)</f>
        <v>ISHAN SINDALE</v>
      </c>
      <c r="F113" s="6" t="str">
        <f>UPPER(Sheet1!H113)</f>
        <v>NINA SINDALE</v>
      </c>
      <c r="G113" s="5" t="str">
        <f>TEXT(Sheet1!C113,"dd/mm/yyyy") &amp; "," &amp; Sheet1!D113</f>
        <v>05/08/2025,FREMANTLE</v>
      </c>
      <c r="H113" s="39" t="str">
        <f>UPPER(Sheet1!J113 &amp; "," &amp; Sheet1!K113 &amp; "," &amp; Sheet1!L113)</f>
        <v>26 BIRCHWOOD LANE,EMERALD ROAD,PIN:919321 FREMANTLE</v>
      </c>
      <c r="I113" s="8">
        <f>Sheet1!I113</f>
        <v>45982</v>
      </c>
      <c r="J113" s="5" t="str">
        <f>Sheet1!M113 &amp; "," &amp; TEXT(Sheet1!N113,"dd/mm/yy")</f>
        <v>MHA/IND/00112,28/08/25</v>
      </c>
      <c r="K113" s="5" t="s">
        <v>5752</v>
      </c>
      <c r="L113" s="31" t="s">
        <v>14</v>
      </c>
      <c r="M113" s="31" t="s">
        <v>15</v>
      </c>
      <c r="N113" s="31" t="s">
        <v>16</v>
      </c>
    </row>
    <row r="114" spans="1:14" x14ac:dyDescent="0.25">
      <c r="A114" s="4" t="str">
        <f>Sheet1!A114 &amp; "/" &amp; "2025"</f>
        <v>113/2025</v>
      </c>
      <c r="B114" s="5" t="str">
        <f>Sheet1!E114</f>
        <v>IND/MEL/00113</v>
      </c>
      <c r="C114" s="6" t="str">
        <f>UPPER(Sheet1!B114)</f>
        <v>TARA KALEON</v>
      </c>
      <c r="D114" s="7" t="str">
        <f>IF(Sheet1!F114="F","FEMALE","MALE")</f>
        <v>FEMALE</v>
      </c>
      <c r="E114" s="6" t="str">
        <f>UPPER(Sheet1!G114)</f>
        <v>ROHIT KALEON</v>
      </c>
      <c r="F114" s="6" t="str">
        <f>UPPER(Sheet1!H114)</f>
        <v>TARA KALEON</v>
      </c>
      <c r="G114" s="5" t="str">
        <f>TEXT(Sheet1!C114,"dd/mm/yyyy") &amp; "," &amp; Sheet1!D114</f>
        <v>06/05/2025,IPSWICH</v>
      </c>
      <c r="H114" s="39" t="str">
        <f>UPPER(Sheet1!J114 &amp; "," &amp; Sheet1!K114 &amp; "," &amp; Sheet1!L114)</f>
        <v>109 BIRCHWOOD LANE,EMERALD ROAD,PIN:713260 IPSWICH</v>
      </c>
      <c r="I114" s="8">
        <f>Sheet1!I114</f>
        <v>45863</v>
      </c>
      <c r="J114" s="5" t="str">
        <f>Sheet1!M114 &amp; "," &amp; TEXT(Sheet1!N114,"dd/mm/yy")</f>
        <v>MHA/IND/00113,24/07/25</v>
      </c>
      <c r="K114" s="5" t="s">
        <v>5752</v>
      </c>
      <c r="L114" s="31" t="s">
        <v>14</v>
      </c>
      <c r="M114" s="31" t="s">
        <v>15</v>
      </c>
      <c r="N114" s="31" t="s">
        <v>16</v>
      </c>
    </row>
    <row r="115" spans="1:14" x14ac:dyDescent="0.25">
      <c r="A115" s="4" t="str">
        <f>Sheet1!A115 &amp; "/" &amp; "2025"</f>
        <v>114/2025</v>
      </c>
      <c r="B115" s="5" t="str">
        <f>Sheet1!E115</f>
        <v>IND/MEL/00114</v>
      </c>
      <c r="C115" s="6" t="str">
        <f>UPPER(Sheet1!B115)</f>
        <v>KIRAN SHARMA</v>
      </c>
      <c r="D115" s="7" t="str">
        <f>IF(Sheet1!F115="F","FEMALE","MALE")</f>
        <v>MALE</v>
      </c>
      <c r="E115" s="6" t="str">
        <f>UPPER(Sheet1!G115)</f>
        <v>ISHAN SHARMA</v>
      </c>
      <c r="F115" s="6" t="str">
        <f>UPPER(Sheet1!H115)</f>
        <v>RIYA SHARMA</v>
      </c>
      <c r="G115" s="5" t="str">
        <f>TEXT(Sheet1!C115,"dd/mm/yyyy") &amp; "," &amp; Sheet1!D115</f>
        <v>15/10/2025,MILDURA</v>
      </c>
      <c r="H115" s="39" t="str">
        <f>UPPER(Sheet1!J115 &amp; "," &amp; Sheet1!K115 &amp; "," &amp; Sheet1!L115)</f>
        <v>21 BIRCHWOOD LANE,EMERALD ROAD,PIN:384008 MILDURA</v>
      </c>
      <c r="I115" s="8">
        <f>Sheet1!I115</f>
        <v>45955</v>
      </c>
      <c r="J115" s="5" t="str">
        <f>Sheet1!M115 &amp; "," &amp; TEXT(Sheet1!N115,"dd/mm/yy")</f>
        <v>MHA/IND/00114,12/07/25</v>
      </c>
      <c r="K115" s="5" t="s">
        <v>5752</v>
      </c>
      <c r="L115" s="31" t="s">
        <v>14</v>
      </c>
      <c r="M115" s="31" t="s">
        <v>15</v>
      </c>
      <c r="N115" s="31" t="s">
        <v>16</v>
      </c>
    </row>
    <row r="116" spans="1:14" x14ac:dyDescent="0.25">
      <c r="A116" s="4" t="str">
        <f>Sheet1!A116 &amp; "/" &amp; "2025"</f>
        <v>115/2025</v>
      </c>
      <c r="B116" s="5" t="str">
        <f>Sheet1!E116</f>
        <v>IND/MEL/00115</v>
      </c>
      <c r="C116" s="6" t="str">
        <f>UPPER(Sheet1!B116)</f>
        <v>ANYA RAO</v>
      </c>
      <c r="D116" s="7" t="str">
        <f>IF(Sheet1!F116="F","FEMALE","MALE")</f>
        <v>FEMALE</v>
      </c>
      <c r="E116" s="6" t="str">
        <f>UPPER(Sheet1!G116)</f>
        <v>NEIL RAO</v>
      </c>
      <c r="F116" s="6" t="str">
        <f>UPPER(Sheet1!H116)</f>
        <v>TARA RAO</v>
      </c>
      <c r="G116" s="5" t="str">
        <f>TEXT(Sheet1!C116,"dd/mm/yyyy") &amp; "," &amp; Sheet1!D116</f>
        <v>22/01/2025,ST ALBANS</v>
      </c>
      <c r="H116" s="39" t="str">
        <f>UPPER(Sheet1!J116 &amp; "," &amp; Sheet1!K116 &amp; "," &amp; Sheet1!L116)</f>
        <v>198 BIRCHWOOD LANE,EMERALD ROAD,PIN:435572 ST ALBANS</v>
      </c>
      <c r="I116" s="8">
        <f>Sheet1!I116</f>
        <v>45704</v>
      </c>
      <c r="J116" s="5" t="str">
        <f>Sheet1!M116 &amp; "," &amp; TEXT(Sheet1!N116,"dd/mm/yy")</f>
        <v>MHA/IND/00115,19/08/25</v>
      </c>
      <c r="K116" s="5" t="s">
        <v>5752</v>
      </c>
      <c r="L116" s="31" t="s">
        <v>14</v>
      </c>
      <c r="M116" s="31" t="s">
        <v>15</v>
      </c>
      <c r="N116" s="31" t="s">
        <v>16</v>
      </c>
    </row>
    <row r="117" spans="1:14" x14ac:dyDescent="0.25">
      <c r="A117" s="4" t="str">
        <f>Sheet1!A117 &amp; "/" &amp; "2025"</f>
        <v>116/2025</v>
      </c>
      <c r="B117" s="5" t="str">
        <f>Sheet1!E117</f>
        <v>IND/MEL/00116</v>
      </c>
      <c r="C117" s="6" t="str">
        <f>UPPER(Sheet1!B117)</f>
        <v>DIYA MYRTHOS</v>
      </c>
      <c r="D117" s="7" t="str">
        <f>IF(Sheet1!F117="F","FEMALE","MALE")</f>
        <v>FEMALE</v>
      </c>
      <c r="E117" s="6" t="str">
        <f>UPPER(Sheet1!G117)</f>
        <v>ROHIT MYRTHOS</v>
      </c>
      <c r="F117" s="6" t="str">
        <f>UPPER(Sheet1!H117)</f>
        <v>ALYA MYRTHOS</v>
      </c>
      <c r="G117" s="5" t="str">
        <f>TEXT(Sheet1!C117,"dd/mm/yyyy") &amp; "," &amp; Sheet1!D117</f>
        <v>28/09/2025,BENDIGO</v>
      </c>
      <c r="H117" s="39" t="str">
        <f>UPPER(Sheet1!J117 &amp; "," &amp; Sheet1!K117 &amp; "," &amp; Sheet1!L117)</f>
        <v>157 BIRCHWOOD LANE,EMERALD ROAD,PIN:557614 BENDIGO</v>
      </c>
      <c r="I117" s="8">
        <f>Sheet1!I117</f>
        <v>45960</v>
      </c>
      <c r="J117" s="5" t="str">
        <f>Sheet1!M117 &amp; "," &amp; TEXT(Sheet1!N117,"dd/mm/yy")</f>
        <v>MHA/IND/00116,12/08/25</v>
      </c>
      <c r="K117" s="5" t="s">
        <v>5752</v>
      </c>
      <c r="L117" s="31" t="s">
        <v>14</v>
      </c>
      <c r="M117" s="31" t="s">
        <v>15</v>
      </c>
      <c r="N117" s="31" t="s">
        <v>16</v>
      </c>
    </row>
    <row r="118" spans="1:14" x14ac:dyDescent="0.25">
      <c r="A118" s="4" t="str">
        <f>Sheet1!A118 &amp; "/" &amp; "2025"</f>
        <v>117/2025</v>
      </c>
      <c r="B118" s="5" t="str">
        <f>Sheet1!E118</f>
        <v>IND/MEL/00117</v>
      </c>
      <c r="C118" s="6" t="str">
        <f>UPPER(Sheet1!B118)</f>
        <v>DIYA RISHKAN</v>
      </c>
      <c r="D118" s="7" t="str">
        <f>IF(Sheet1!F118="F","FEMALE","MALE")</f>
        <v>FEMALE</v>
      </c>
      <c r="E118" s="6" t="str">
        <f>UPPER(Sheet1!G118)</f>
        <v>KABIR RISHKAN</v>
      </c>
      <c r="F118" s="6" t="str">
        <f>UPPER(Sheet1!H118)</f>
        <v>NINA RISHKAN</v>
      </c>
      <c r="G118" s="5" t="str">
        <f>TEXT(Sheet1!C118,"dd/mm/yyyy") &amp; "," &amp; Sheet1!D118</f>
        <v>17/10/2025,WOLLONGONG</v>
      </c>
      <c r="H118" s="39" t="str">
        <f>UPPER(Sheet1!J118 &amp; "," &amp; Sheet1!K118 &amp; "," &amp; Sheet1!L118)</f>
        <v>77 BIRCHWOOD LANE,EMERALD ROAD,PIN:990720 WOLLONGONG</v>
      </c>
      <c r="I118" s="8">
        <f>Sheet1!I118</f>
        <v>46053</v>
      </c>
      <c r="J118" s="5" t="str">
        <f>Sheet1!M118 &amp; "," &amp; TEXT(Sheet1!N118,"dd/mm/yy")</f>
        <v>MHA/IND/00117,01/08/25</v>
      </c>
      <c r="K118" s="5" t="s">
        <v>5752</v>
      </c>
      <c r="L118" s="31" t="s">
        <v>14</v>
      </c>
      <c r="M118" s="31" t="s">
        <v>15</v>
      </c>
      <c r="N118" s="31" t="s">
        <v>16</v>
      </c>
    </row>
    <row r="119" spans="1:14" x14ac:dyDescent="0.25">
      <c r="A119" s="4" t="str">
        <f>Sheet1!A119 &amp; "/" &amp; "2025"</f>
        <v>118/2025</v>
      </c>
      <c r="B119" s="5" t="str">
        <f>Sheet1!E119</f>
        <v>IND/MEL/00118</v>
      </c>
      <c r="C119" s="6" t="str">
        <f>UPPER(Sheet1!B119)</f>
        <v>ANYA VALZARI</v>
      </c>
      <c r="D119" s="7" t="str">
        <f>IF(Sheet1!F119="F","FEMALE","MALE")</f>
        <v>FEMALE</v>
      </c>
      <c r="E119" s="6" t="str">
        <f>UPPER(Sheet1!G119)</f>
        <v>NEIL VALZARI</v>
      </c>
      <c r="F119" s="6" t="str">
        <f>UPPER(Sheet1!H119)</f>
        <v>DIYA VALZARI</v>
      </c>
      <c r="G119" s="5" t="str">
        <f>TEXT(Sheet1!C119,"dd/mm/yyyy") &amp; "," &amp; Sheet1!D119</f>
        <v>18/04/2025,WERRIBEE</v>
      </c>
      <c r="H119" s="39" t="str">
        <f>UPPER(Sheet1!J119 &amp; "," &amp; Sheet1!K119 &amp; "," &amp; Sheet1!L119)</f>
        <v>59 BIRCHWOOD LANE,EMERALD ROAD,PIN:686666 WERRIBEE</v>
      </c>
      <c r="I119" s="8">
        <f>Sheet1!I119</f>
        <v>45824</v>
      </c>
      <c r="J119" s="5" t="str">
        <f>Sheet1!M119 &amp; "," &amp; TEXT(Sheet1!N119,"dd/mm/yy")</f>
        <v>MHA/IND/00118,10/08/25</v>
      </c>
      <c r="K119" s="5" t="s">
        <v>5752</v>
      </c>
      <c r="L119" s="31" t="s">
        <v>14</v>
      </c>
      <c r="M119" s="31" t="s">
        <v>15</v>
      </c>
      <c r="N119" s="31" t="s">
        <v>16</v>
      </c>
    </row>
    <row r="120" spans="1:14" x14ac:dyDescent="0.25">
      <c r="A120" s="4" t="str">
        <f>Sheet1!A120 &amp; "/" &amp; "2025"</f>
        <v>119/2025</v>
      </c>
      <c r="B120" s="5" t="str">
        <f>Sheet1!E120</f>
        <v>IND/MEL/00119</v>
      </c>
      <c r="C120" s="6" t="str">
        <f>UPPER(Sheet1!B120)</f>
        <v>DEV MYRTHOS</v>
      </c>
      <c r="D120" s="7" t="str">
        <f>IF(Sheet1!F120="F","FEMALE","MALE")</f>
        <v>MALE</v>
      </c>
      <c r="E120" s="6" t="str">
        <f>UPPER(Sheet1!G120)</f>
        <v>KABIR MYRTHOS</v>
      </c>
      <c r="F120" s="6" t="str">
        <f>UPPER(Sheet1!H120)</f>
        <v>MIRA MYRTHOS</v>
      </c>
      <c r="G120" s="5" t="str">
        <f>TEXT(Sheet1!C120,"dd/mm/yyyy") &amp; "," &amp; Sheet1!D120</f>
        <v>18/08/2025,MIDLAND</v>
      </c>
      <c r="H120" s="39" t="str">
        <f>UPPER(Sheet1!J120 &amp; "," &amp; Sheet1!K120 &amp; "," &amp; Sheet1!L120)</f>
        <v>68 BIRCHWOOD LANE,EMERALD ROAD,PIN:921614 MIDLAND</v>
      </c>
      <c r="I120" s="8">
        <f>Sheet1!I120</f>
        <v>45936</v>
      </c>
      <c r="J120" s="5" t="str">
        <f>Sheet1!M120 &amp; "," &amp; TEXT(Sheet1!N120,"dd/mm/yy")</f>
        <v>MHA/IND/00119,06/07/25</v>
      </c>
      <c r="K120" s="5" t="s">
        <v>5752</v>
      </c>
      <c r="L120" s="31" t="s">
        <v>14</v>
      </c>
      <c r="M120" s="31" t="s">
        <v>15</v>
      </c>
      <c r="N120" s="31" t="s">
        <v>16</v>
      </c>
    </row>
    <row r="121" spans="1:14" x14ac:dyDescent="0.25">
      <c r="A121" s="4" t="str">
        <f>Sheet1!A121 &amp; "/" &amp; "2025"</f>
        <v>120/2025</v>
      </c>
      <c r="B121" s="5" t="str">
        <f>Sheet1!E121</f>
        <v>IND/MEL/00120</v>
      </c>
      <c r="C121" s="6" t="str">
        <f>UPPER(Sheet1!B121)</f>
        <v>NINA MYRTHOS</v>
      </c>
      <c r="D121" s="7" t="str">
        <f>IF(Sheet1!F121="F","FEMALE","MALE")</f>
        <v>FEMALE</v>
      </c>
      <c r="E121" s="6" t="str">
        <f>UPPER(Sheet1!G121)</f>
        <v>ISHAN MYRTHOS</v>
      </c>
      <c r="F121" s="6" t="str">
        <f>UPPER(Sheet1!H121)</f>
        <v>ALYA MYRTHOS</v>
      </c>
      <c r="G121" s="5" t="str">
        <f>TEXT(Sheet1!C121,"dd/mm/yyyy") &amp; "," &amp; Sheet1!D121</f>
        <v>29/01/2025,BUNDOORA</v>
      </c>
      <c r="H121" s="39" t="str">
        <f>UPPER(Sheet1!J121 &amp; "," &amp; Sheet1!K121 &amp; "," &amp; Sheet1!L121)</f>
        <v>191 BIRCHWOOD LANE,EMERALD ROAD,PIN:383372 BUNDOORA</v>
      </c>
      <c r="I121" s="8">
        <f>Sheet1!I121</f>
        <v>45704</v>
      </c>
      <c r="J121" s="5" t="str">
        <f>Sheet1!M121 &amp; "," &amp; TEXT(Sheet1!N121,"dd/mm/yy")</f>
        <v>MHA/IND/00120,29/08/25</v>
      </c>
      <c r="K121" s="5" t="s">
        <v>5752</v>
      </c>
      <c r="L121" s="31" t="s">
        <v>14</v>
      </c>
      <c r="M121" s="31" t="s">
        <v>15</v>
      </c>
      <c r="N121" s="31" t="s">
        <v>16</v>
      </c>
    </row>
    <row r="122" spans="1:14" x14ac:dyDescent="0.25">
      <c r="A122" s="4" t="str">
        <f>Sheet1!A122 &amp; "/" &amp; "2025"</f>
        <v>121/2025</v>
      </c>
      <c r="B122" s="5" t="str">
        <f>Sheet1!E122</f>
        <v>IND/MEL/00121</v>
      </c>
      <c r="C122" s="6" t="str">
        <f>UPPER(Sheet1!B122)</f>
        <v>ARJUN SINDALE</v>
      </c>
      <c r="D122" s="7" t="str">
        <f>IF(Sheet1!F122="F","FEMALE","MALE")</f>
        <v>MALE</v>
      </c>
      <c r="E122" s="6" t="str">
        <f>UPPER(Sheet1!G122)</f>
        <v>AREN SINDALE</v>
      </c>
      <c r="F122" s="6" t="str">
        <f>UPPER(Sheet1!H122)</f>
        <v>ALYA SINDALE</v>
      </c>
      <c r="G122" s="5" t="str">
        <f>TEXT(Sheet1!C122,"dd/mm/yyyy") &amp; "," &amp; Sheet1!D122</f>
        <v>21/04/2025,ADELAIDE</v>
      </c>
      <c r="H122" s="39" t="str">
        <f>UPPER(Sheet1!J122 &amp; "," &amp; Sheet1!K122 &amp; "," &amp; Sheet1!L122)</f>
        <v>28 BIRCHWOOD LANE,EMERALD ROAD,PIN:703922 ADELAIDE</v>
      </c>
      <c r="I122" s="8">
        <f>Sheet1!I122</f>
        <v>45805</v>
      </c>
      <c r="J122" s="5" t="str">
        <f>Sheet1!M122 &amp; "," &amp; TEXT(Sheet1!N122,"dd/mm/yy")</f>
        <v>MHA/IND/00121,15/07/25</v>
      </c>
      <c r="K122" s="5" t="s">
        <v>5752</v>
      </c>
      <c r="L122" s="31" t="s">
        <v>14</v>
      </c>
      <c r="M122" s="31" t="s">
        <v>15</v>
      </c>
      <c r="N122" s="31" t="s">
        <v>16</v>
      </c>
    </row>
    <row r="123" spans="1:14" x14ac:dyDescent="0.25">
      <c r="A123" s="4" t="str">
        <f>Sheet1!A123 &amp; "/" &amp; "2025"</f>
        <v>122/2025</v>
      </c>
      <c r="B123" s="5" t="str">
        <f>Sheet1!E123</f>
        <v>IND/MEL/00122</v>
      </c>
      <c r="C123" s="6" t="str">
        <f>UPPER(Sheet1!B123)</f>
        <v>DIYA SHARMA</v>
      </c>
      <c r="D123" s="7" t="str">
        <f>IF(Sheet1!F123="F","FEMALE","MALE")</f>
        <v>FEMALE</v>
      </c>
      <c r="E123" s="6" t="str">
        <f>UPPER(Sheet1!G123)</f>
        <v>ARJUN SHARMA</v>
      </c>
      <c r="F123" s="6" t="str">
        <f>UPPER(Sheet1!H123)</f>
        <v>ALYA SHARMA</v>
      </c>
      <c r="G123" s="5" t="str">
        <f>TEXT(Sheet1!C123,"dd/mm/yyyy") &amp; "," &amp; Sheet1!D123</f>
        <v>13/02/2025,TOOWOOMBA</v>
      </c>
      <c r="H123" s="39" t="str">
        <f>UPPER(Sheet1!J123 &amp; "," &amp; Sheet1!K123 &amp; "," &amp; Sheet1!L123)</f>
        <v>185 BIRCHWOOD LANE,EMERALD ROAD,PIN:926264 TOOWOOMBA</v>
      </c>
      <c r="I123" s="8">
        <f>Sheet1!I123</f>
        <v>45738</v>
      </c>
      <c r="J123" s="5" t="str">
        <f>Sheet1!M123 &amp; "," &amp; TEXT(Sheet1!N123,"dd/mm/yy")</f>
        <v>MHA/IND/00122,03/07/25</v>
      </c>
      <c r="K123" s="5" t="s">
        <v>5752</v>
      </c>
      <c r="L123" s="31" t="s">
        <v>14</v>
      </c>
      <c r="M123" s="31" t="s">
        <v>15</v>
      </c>
      <c r="N123" s="31" t="s">
        <v>16</v>
      </c>
    </row>
    <row r="124" spans="1:14" x14ac:dyDescent="0.25">
      <c r="A124" s="4" t="str">
        <f>Sheet1!A124 &amp; "/" &amp; "2025"</f>
        <v>123/2025</v>
      </c>
      <c r="B124" s="5" t="str">
        <f>Sheet1!E124</f>
        <v>IND/MEL/00123</v>
      </c>
      <c r="C124" s="6" t="str">
        <f>UPPER(Sheet1!B124)</f>
        <v>ISHAN SINDALE</v>
      </c>
      <c r="D124" s="7" t="str">
        <f>IF(Sheet1!F124="F","FEMALE","MALE")</f>
        <v>MALE</v>
      </c>
      <c r="E124" s="6" t="str">
        <f>UPPER(Sheet1!G124)</f>
        <v>ARJUN SINDALE</v>
      </c>
      <c r="F124" s="6" t="str">
        <f>UPPER(Sheet1!H124)</f>
        <v>SARA SINDALE</v>
      </c>
      <c r="G124" s="5" t="str">
        <f>TEXT(Sheet1!C124,"dd/mm/yyyy") &amp; "," &amp; Sheet1!D124</f>
        <v>21/02/2025,PERTH</v>
      </c>
      <c r="H124" s="39" t="str">
        <f>UPPER(Sheet1!J124 &amp; "," &amp; Sheet1!K124 &amp; "," &amp; Sheet1!L124)</f>
        <v>166 BIRCHWOOD LANE,EMERALD ROAD,PIN:836568 PERTH</v>
      </c>
      <c r="I124" s="8">
        <f>Sheet1!I124</f>
        <v>45797</v>
      </c>
      <c r="J124" s="5" t="str">
        <f>Sheet1!M124 &amp; "," &amp; TEXT(Sheet1!N124,"dd/mm/yy")</f>
        <v>MHA/IND/00123,13/07/25</v>
      </c>
      <c r="K124" s="5" t="s">
        <v>5752</v>
      </c>
      <c r="L124" s="31" t="s">
        <v>14</v>
      </c>
      <c r="M124" s="31" t="s">
        <v>15</v>
      </c>
      <c r="N124" s="31" t="s">
        <v>16</v>
      </c>
    </row>
    <row r="125" spans="1:14" x14ac:dyDescent="0.25">
      <c r="A125" s="4" t="str">
        <f>Sheet1!A125 &amp; "/" &amp; "2025"</f>
        <v>124/2025</v>
      </c>
      <c r="B125" s="5" t="str">
        <f>Sheet1!E125</f>
        <v>IND/MEL/00124</v>
      </c>
      <c r="C125" s="6" t="str">
        <f>UPPER(Sheet1!B125)</f>
        <v>ALYA RAO</v>
      </c>
      <c r="D125" s="7" t="str">
        <f>IF(Sheet1!F125="F","FEMALE","MALE")</f>
        <v>FEMALE</v>
      </c>
      <c r="E125" s="6" t="str">
        <f>UPPER(Sheet1!G125)</f>
        <v>ISHAN RAO</v>
      </c>
      <c r="F125" s="6" t="str">
        <f>UPPER(Sheet1!H125)</f>
        <v>DIYA RAO</v>
      </c>
      <c r="G125" s="5" t="str">
        <f>TEXT(Sheet1!C125,"dd/mm/yyyy") &amp; "," &amp; Sheet1!D125</f>
        <v>03/06/2025,NEWCASTLE</v>
      </c>
      <c r="H125" s="39" t="str">
        <f>UPPER(Sheet1!J125 &amp; "," &amp; Sheet1!K125 &amp; "," &amp; Sheet1!L125)</f>
        <v>190 BIRCHWOOD LANE,EMERALD ROAD,PIN:596001 NEWCASTLE</v>
      </c>
      <c r="I125" s="8">
        <f>Sheet1!I125</f>
        <v>45898</v>
      </c>
      <c r="J125" s="5" t="str">
        <f>Sheet1!M125 &amp; "," &amp; TEXT(Sheet1!N125,"dd/mm/yy")</f>
        <v>MHA/IND/00124,11/07/25</v>
      </c>
      <c r="K125" s="5" t="s">
        <v>5752</v>
      </c>
      <c r="L125" s="31" t="s">
        <v>14</v>
      </c>
      <c r="M125" s="31" t="s">
        <v>15</v>
      </c>
      <c r="N125" s="31" t="s">
        <v>16</v>
      </c>
    </row>
    <row r="126" spans="1:14" x14ac:dyDescent="0.25">
      <c r="A126" s="4" t="str">
        <f>Sheet1!A126 &amp; "/" &amp; "2025"</f>
        <v>125/2025</v>
      </c>
      <c r="B126" s="5" t="str">
        <f>Sheet1!E126</f>
        <v>IND/MEL/00125</v>
      </c>
      <c r="C126" s="6" t="str">
        <f>UPPER(Sheet1!B126)</f>
        <v>ISHAN SINDALE</v>
      </c>
      <c r="D126" s="7" t="str">
        <f>IF(Sheet1!F126="F","FEMALE","MALE")</f>
        <v>MALE</v>
      </c>
      <c r="E126" s="6" t="str">
        <f>UPPER(Sheet1!G126)</f>
        <v>KABIR SINDALE</v>
      </c>
      <c r="F126" s="6" t="str">
        <f>UPPER(Sheet1!H126)</f>
        <v>TARA SINDALE</v>
      </c>
      <c r="G126" s="5" t="str">
        <f>TEXT(Sheet1!C126,"dd/mm/yyyy") &amp; "," &amp; Sheet1!D126</f>
        <v>11/02/2025,SHEPPARTON</v>
      </c>
      <c r="H126" s="39" t="str">
        <f>UPPER(Sheet1!J126 &amp; "," &amp; Sheet1!K126 &amp; "," &amp; Sheet1!L126)</f>
        <v>189 BIRCHWOOD LANE,EMERALD ROAD,PIN:454480 SHEPPARTON</v>
      </c>
      <c r="I126" s="8">
        <f>Sheet1!I126</f>
        <v>45721</v>
      </c>
      <c r="J126" s="5" t="str">
        <f>Sheet1!M126 &amp; "," &amp; TEXT(Sheet1!N126,"dd/mm/yy")</f>
        <v>MHA/IND/00125,14/08/25</v>
      </c>
      <c r="K126" s="5" t="s">
        <v>5752</v>
      </c>
      <c r="L126" s="31" t="s">
        <v>14</v>
      </c>
      <c r="M126" s="31" t="s">
        <v>15</v>
      </c>
      <c r="N126" s="31" t="s">
        <v>16</v>
      </c>
    </row>
    <row r="127" spans="1:14" x14ac:dyDescent="0.25">
      <c r="A127" s="4" t="str">
        <f>Sheet1!A127 &amp; "/" &amp; "2025"</f>
        <v>126/2025</v>
      </c>
      <c r="B127" s="5" t="str">
        <f>Sheet1!E127</f>
        <v>IND/MEL/00126</v>
      </c>
      <c r="C127" s="6" t="str">
        <f>UPPER(Sheet1!B127)</f>
        <v>ISHAN KALEON</v>
      </c>
      <c r="D127" s="7" t="str">
        <f>IF(Sheet1!F127="F","FEMALE","MALE")</f>
        <v>MALE</v>
      </c>
      <c r="E127" s="6" t="str">
        <f>UPPER(Sheet1!G127)</f>
        <v>AREN KALEON</v>
      </c>
      <c r="F127" s="6" t="str">
        <f>UPPER(Sheet1!H127)</f>
        <v>NINA KALEON</v>
      </c>
      <c r="G127" s="5" t="str">
        <f>TEXT(Sheet1!C127,"dd/mm/yyyy") &amp; "," &amp; Sheet1!D127</f>
        <v>15/10/2025,MOUNT WAVERLEY</v>
      </c>
      <c r="H127" s="39" t="str">
        <f>UPPER(Sheet1!J127 &amp; "," &amp; Sheet1!K127 &amp; "," &amp; Sheet1!L127)</f>
        <v>137 BIRCHWOOD LANE,EMERALD ROAD,PIN:600100 MOUNT WAVERLEY</v>
      </c>
      <c r="I127" s="8">
        <f>Sheet1!I127</f>
        <v>46061</v>
      </c>
      <c r="J127" s="5" t="str">
        <f>Sheet1!M127 &amp; "," &amp; TEXT(Sheet1!N127,"dd/mm/yy")</f>
        <v>MHA/IND/00126,05/07/25</v>
      </c>
      <c r="K127" s="5" t="s">
        <v>5752</v>
      </c>
      <c r="L127" s="31" t="s">
        <v>14</v>
      </c>
      <c r="M127" s="31" t="s">
        <v>15</v>
      </c>
      <c r="N127" s="31" t="s">
        <v>16</v>
      </c>
    </row>
    <row r="128" spans="1:14" x14ac:dyDescent="0.25">
      <c r="A128" s="4" t="str">
        <f>Sheet1!A128 &amp; "/" &amp; "2025"</f>
        <v>127/2025</v>
      </c>
      <c r="B128" s="5" t="str">
        <f>Sheet1!E128</f>
        <v>IND/MEL/00127</v>
      </c>
      <c r="C128" s="6" t="str">
        <f>UPPER(Sheet1!B128)</f>
        <v>KIRAN MYRTHOS</v>
      </c>
      <c r="D128" s="7" t="str">
        <f>IF(Sheet1!F128="F","FEMALE","MALE")</f>
        <v>MALE</v>
      </c>
      <c r="E128" s="6" t="str">
        <f>UPPER(Sheet1!G128)</f>
        <v>ARJUN MYRTHOS</v>
      </c>
      <c r="F128" s="6" t="str">
        <f>UPPER(Sheet1!H128)</f>
        <v>MIRA MYRTHOS</v>
      </c>
      <c r="G128" s="5" t="str">
        <f>TEXT(Sheet1!C128,"dd/mm/yyyy") &amp; "," &amp; Sheet1!D128</f>
        <v>20/03/2025,DEVONPORT</v>
      </c>
      <c r="H128" s="39" t="str">
        <f>UPPER(Sheet1!J128 &amp; "," &amp; Sheet1!K128 &amp; "," &amp; Sheet1!L128)</f>
        <v>125 BIRCHWOOD LANE,EMERALD ROAD,PIN:206474 DEVONPORT</v>
      </c>
      <c r="I128" s="8">
        <f>Sheet1!I128</f>
        <v>45837</v>
      </c>
      <c r="J128" s="5" t="str">
        <f>Sheet1!M128 &amp; "," &amp; TEXT(Sheet1!N128,"dd/mm/yy")</f>
        <v>MHA/IND/00127,24/07/25</v>
      </c>
      <c r="K128" s="5" t="s">
        <v>5752</v>
      </c>
      <c r="L128" s="31" t="s">
        <v>14</v>
      </c>
      <c r="M128" s="31" t="s">
        <v>15</v>
      </c>
      <c r="N128" s="31" t="s">
        <v>16</v>
      </c>
    </row>
    <row r="129" spans="1:14" x14ac:dyDescent="0.25">
      <c r="A129" s="4" t="str">
        <f>Sheet1!A129 &amp; "/" &amp; "2025"</f>
        <v>128/2025</v>
      </c>
      <c r="B129" s="5" t="str">
        <f>Sheet1!E129</f>
        <v>IND/MEL/00128</v>
      </c>
      <c r="C129" s="6" t="str">
        <f>UPPER(Sheet1!B129)</f>
        <v>ISHAN MYRTHOS</v>
      </c>
      <c r="D129" s="7" t="str">
        <f>IF(Sheet1!F129="F","FEMALE","MALE")</f>
        <v>MALE</v>
      </c>
      <c r="E129" s="6" t="str">
        <f>UPPER(Sheet1!G129)</f>
        <v>AREN MYRTHOS</v>
      </c>
      <c r="F129" s="6" t="str">
        <f>UPPER(Sheet1!H129)</f>
        <v>ANYA MYRTHOS</v>
      </c>
      <c r="G129" s="5" t="str">
        <f>TEXT(Sheet1!C129,"dd/mm/yyyy") &amp; "," &amp; Sheet1!D129</f>
        <v>20/06/2025,BENDIGO</v>
      </c>
      <c r="H129" s="39" t="str">
        <f>UPPER(Sheet1!J129 &amp; "," &amp; Sheet1!K129 &amp; "," &amp; Sheet1!L129)</f>
        <v>153 BIRCHWOOD LANE,EMERALD ROAD,PIN:734089 BENDIGO</v>
      </c>
      <c r="I129" s="8">
        <f>Sheet1!I129</f>
        <v>45844</v>
      </c>
      <c r="J129" s="5" t="str">
        <f>Sheet1!M129 &amp; "," &amp; TEXT(Sheet1!N129,"dd/mm/yy")</f>
        <v>MHA/IND/00128,06/07/25</v>
      </c>
      <c r="K129" s="5" t="s">
        <v>5752</v>
      </c>
      <c r="L129" s="31" t="s">
        <v>14</v>
      </c>
      <c r="M129" s="31" t="s">
        <v>15</v>
      </c>
      <c r="N129" s="31" t="s">
        <v>16</v>
      </c>
    </row>
    <row r="130" spans="1:14" x14ac:dyDescent="0.25">
      <c r="A130" s="4" t="str">
        <f>Sheet1!A130 &amp; "/" &amp; "2025"</f>
        <v>129/2025</v>
      </c>
      <c r="B130" s="5" t="str">
        <f>Sheet1!E130</f>
        <v>IND/MEL/00129</v>
      </c>
      <c r="C130" s="6" t="str">
        <f>UPPER(Sheet1!B130)</f>
        <v>AREN SINDALE</v>
      </c>
      <c r="D130" s="7" t="str">
        <f>IF(Sheet1!F130="F","FEMALE","MALE")</f>
        <v>MALE</v>
      </c>
      <c r="E130" s="6" t="str">
        <f>UPPER(Sheet1!G130)</f>
        <v>KIRAN SINDALE</v>
      </c>
      <c r="F130" s="6" t="str">
        <f>UPPER(Sheet1!H130)</f>
        <v>TARA SINDALE</v>
      </c>
      <c r="G130" s="5" t="str">
        <f>TEXT(Sheet1!C130,"dd/mm/yyyy") &amp; "," &amp; Sheet1!D130</f>
        <v>30/06/2025,SHEPPARTON</v>
      </c>
      <c r="H130" s="39" t="str">
        <f>UPPER(Sheet1!J130 &amp; "," &amp; Sheet1!K130 &amp; "," &amp; Sheet1!L130)</f>
        <v>62 BIRCHWOOD LANE,EMERALD ROAD,PIN:334715 SHEPPARTON</v>
      </c>
      <c r="I130" s="8">
        <f>Sheet1!I130</f>
        <v>45918</v>
      </c>
      <c r="J130" s="5" t="str">
        <f>Sheet1!M130 &amp; "," &amp; TEXT(Sheet1!N130,"dd/mm/yy")</f>
        <v>MHA/IND/00129,21/08/25</v>
      </c>
      <c r="K130" s="5" t="s">
        <v>5752</v>
      </c>
      <c r="L130" s="31" t="s">
        <v>14</v>
      </c>
      <c r="M130" s="31" t="s">
        <v>15</v>
      </c>
      <c r="N130" s="31" t="s">
        <v>16</v>
      </c>
    </row>
    <row r="131" spans="1:14" x14ac:dyDescent="0.25">
      <c r="A131" s="4" t="str">
        <f>Sheet1!A131 &amp; "/" &amp; "2025"</f>
        <v>130/2025</v>
      </c>
      <c r="B131" s="5" t="str">
        <f>Sheet1!E131</f>
        <v>IND/MEL/00130</v>
      </c>
      <c r="C131" s="6" t="str">
        <f>UPPER(Sheet1!B131)</f>
        <v>ARJUN SHARMA</v>
      </c>
      <c r="D131" s="7" t="str">
        <f>IF(Sheet1!F131="F","FEMALE","MALE")</f>
        <v>MALE</v>
      </c>
      <c r="E131" s="6" t="str">
        <f>UPPER(Sheet1!G131)</f>
        <v>DEV SHARMA</v>
      </c>
      <c r="F131" s="6" t="str">
        <f>UPPER(Sheet1!H131)</f>
        <v>RIYA SHARMA</v>
      </c>
      <c r="G131" s="5" t="str">
        <f>TEXT(Sheet1!C131,"dd/mm/yyyy") &amp; "," &amp; Sheet1!D131</f>
        <v>31/08/2025,WODONGA</v>
      </c>
      <c r="H131" s="39" t="str">
        <f>UPPER(Sheet1!J131 &amp; "," &amp; Sheet1!K131 &amp; "," &amp; Sheet1!L131)</f>
        <v>93 BIRCHWOOD LANE,EMERALD ROAD,PIN:490957 WODONGA</v>
      </c>
      <c r="I131" s="8">
        <f>Sheet1!I131</f>
        <v>45984</v>
      </c>
      <c r="J131" s="5" t="str">
        <f>Sheet1!M131 &amp; "," &amp; TEXT(Sheet1!N131,"dd/mm/yy")</f>
        <v>MHA/IND/00130,08/07/25</v>
      </c>
      <c r="K131" s="5" t="s">
        <v>5752</v>
      </c>
      <c r="L131" s="31" t="s">
        <v>14</v>
      </c>
      <c r="M131" s="31" t="s">
        <v>15</v>
      </c>
      <c r="N131" s="31" t="s">
        <v>16</v>
      </c>
    </row>
    <row r="132" spans="1:14" x14ac:dyDescent="0.25">
      <c r="A132" s="4" t="str">
        <f>Sheet1!A132 &amp; "/" &amp; "2025"</f>
        <v>131/2025</v>
      </c>
      <c r="B132" s="5" t="str">
        <f>Sheet1!E132</f>
        <v>IND/MEL/00131</v>
      </c>
      <c r="C132" s="6" t="str">
        <f>UPPER(Sheet1!B132)</f>
        <v>ALYA RAO</v>
      </c>
      <c r="D132" s="7" t="str">
        <f>IF(Sheet1!F132="F","FEMALE","MALE")</f>
        <v>FEMALE</v>
      </c>
      <c r="E132" s="6" t="str">
        <f>UPPER(Sheet1!G132)</f>
        <v>NEIL RAO</v>
      </c>
      <c r="F132" s="6" t="str">
        <f>UPPER(Sheet1!H132)</f>
        <v>MIRA RAO</v>
      </c>
      <c r="G132" s="5" t="str">
        <f>TEXT(Sheet1!C132,"dd/mm/yyyy") &amp; "," &amp; Sheet1!D132</f>
        <v>23/10/2025,PENRITH</v>
      </c>
      <c r="H132" s="39" t="str">
        <f>UPPER(Sheet1!J132 &amp; "," &amp; Sheet1!K132 &amp; "," &amp; Sheet1!L132)</f>
        <v>159 BIRCHWOOD LANE,EMERALD ROAD,PIN:895389 PENRITH</v>
      </c>
      <c r="I132" s="8">
        <f>Sheet1!I132</f>
        <v>45959</v>
      </c>
      <c r="J132" s="5" t="str">
        <f>Sheet1!M132 &amp; "," &amp; TEXT(Sheet1!N132,"dd/mm/yy")</f>
        <v>MHA/IND/00131,07/07/25</v>
      </c>
      <c r="K132" s="5" t="s">
        <v>5752</v>
      </c>
      <c r="L132" s="31" t="s">
        <v>14</v>
      </c>
      <c r="M132" s="31" t="s">
        <v>15</v>
      </c>
      <c r="N132" s="31" t="s">
        <v>16</v>
      </c>
    </row>
    <row r="133" spans="1:14" x14ac:dyDescent="0.25">
      <c r="A133" s="4" t="str">
        <f>Sheet1!A133 &amp; "/" &amp; "2025"</f>
        <v>132/2025</v>
      </c>
      <c r="B133" s="5" t="str">
        <f>Sheet1!E133</f>
        <v>IND/MEL/00132</v>
      </c>
      <c r="C133" s="6" t="str">
        <f>UPPER(Sheet1!B133)</f>
        <v>DIYA KALEON</v>
      </c>
      <c r="D133" s="7" t="str">
        <f>IF(Sheet1!F133="F","FEMALE","MALE")</f>
        <v>FEMALE</v>
      </c>
      <c r="E133" s="6" t="str">
        <f>UPPER(Sheet1!G133)</f>
        <v>ISHAN KALEON</v>
      </c>
      <c r="F133" s="6" t="str">
        <f>UPPER(Sheet1!H133)</f>
        <v>ALYA KALEON</v>
      </c>
      <c r="G133" s="5" t="str">
        <f>TEXT(Sheet1!C133,"dd/mm/yyyy") &amp; "," &amp; Sheet1!D133</f>
        <v>27/04/2025,WODONGA</v>
      </c>
      <c r="H133" s="39" t="str">
        <f>UPPER(Sheet1!J133 &amp; "," &amp; Sheet1!K133 &amp; "," &amp; Sheet1!L133)</f>
        <v>21 BIRCHWOOD LANE,EMERALD ROAD,PIN:899035 WODONGA</v>
      </c>
      <c r="I133" s="8">
        <f>Sheet1!I133</f>
        <v>45805</v>
      </c>
      <c r="J133" s="5" t="str">
        <f>Sheet1!M133 &amp; "," &amp; TEXT(Sheet1!N133,"dd/mm/yy")</f>
        <v>MHA/IND/00132,29/08/25</v>
      </c>
      <c r="K133" s="5" t="s">
        <v>5752</v>
      </c>
      <c r="L133" s="31" t="s">
        <v>14</v>
      </c>
      <c r="M133" s="31" t="s">
        <v>15</v>
      </c>
      <c r="N133" s="31" t="s">
        <v>16</v>
      </c>
    </row>
    <row r="134" spans="1:14" x14ac:dyDescent="0.25">
      <c r="A134" s="4" t="str">
        <f>Sheet1!A134 &amp; "/" &amp; "2025"</f>
        <v>133/2025</v>
      </c>
      <c r="B134" s="5" t="str">
        <f>Sheet1!E134</f>
        <v>IND/MEL/00133</v>
      </c>
      <c r="C134" s="6" t="str">
        <f>UPPER(Sheet1!B134)</f>
        <v>ANYA RAO</v>
      </c>
      <c r="D134" s="7" t="str">
        <f>IF(Sheet1!F134="F","FEMALE","MALE")</f>
        <v>FEMALE</v>
      </c>
      <c r="E134" s="6" t="str">
        <f>UPPER(Sheet1!G134)</f>
        <v>NEIL RAO</v>
      </c>
      <c r="F134" s="6" t="str">
        <f>UPPER(Sheet1!H134)</f>
        <v>DIYA RAO</v>
      </c>
      <c r="G134" s="5" t="str">
        <f>TEXT(Sheet1!C134,"dd/mm/yyyy") &amp; "," &amp; Sheet1!D134</f>
        <v>06/10/2025,IPSWICH</v>
      </c>
      <c r="H134" s="39" t="str">
        <f>UPPER(Sheet1!J134 &amp; "," &amp; Sheet1!K134 &amp; "," &amp; Sheet1!L134)</f>
        <v>125 BIRCHWOOD LANE,EMERALD ROAD,PIN:344922 IPSWICH</v>
      </c>
      <c r="I134" s="8">
        <f>Sheet1!I134</f>
        <v>45992</v>
      </c>
      <c r="J134" s="5" t="str">
        <f>Sheet1!M134 &amp; "," &amp; TEXT(Sheet1!N134,"dd/mm/yy")</f>
        <v>MHA/IND/00133,08/08/25</v>
      </c>
      <c r="K134" s="5" t="s">
        <v>5752</v>
      </c>
      <c r="L134" s="31" t="s">
        <v>14</v>
      </c>
      <c r="M134" s="31" t="s">
        <v>15</v>
      </c>
      <c r="N134" s="31" t="s">
        <v>16</v>
      </c>
    </row>
    <row r="135" spans="1:14" x14ac:dyDescent="0.25">
      <c r="A135" s="4" t="str">
        <f>Sheet1!A135 &amp; "/" &amp; "2025"</f>
        <v>134/2025</v>
      </c>
      <c r="B135" s="5" t="str">
        <f>Sheet1!E135</f>
        <v>IND/MEL/00134</v>
      </c>
      <c r="C135" s="6" t="str">
        <f>UPPER(Sheet1!B135)</f>
        <v>NINA KALEON</v>
      </c>
      <c r="D135" s="7" t="str">
        <f>IF(Sheet1!F135="F","FEMALE","MALE")</f>
        <v>FEMALE</v>
      </c>
      <c r="E135" s="6" t="str">
        <f>UPPER(Sheet1!G135)</f>
        <v>ARJUN KALEON</v>
      </c>
      <c r="F135" s="6" t="str">
        <f>UPPER(Sheet1!H135)</f>
        <v>ANYA KALEON</v>
      </c>
      <c r="G135" s="5" t="str">
        <f>TEXT(Sheet1!C135,"dd/mm/yyyy") &amp; "," &amp; Sheet1!D135</f>
        <v>27/03/2025,BERWICK</v>
      </c>
      <c r="H135" s="39" t="str">
        <f>UPPER(Sheet1!J135 &amp; "," &amp; Sheet1!K135 &amp; "," &amp; Sheet1!L135)</f>
        <v>68 BIRCHWOOD LANE,EMERALD ROAD,PIN:360661 BERWICK</v>
      </c>
      <c r="I135" s="8">
        <f>Sheet1!I135</f>
        <v>45754</v>
      </c>
      <c r="J135" s="5" t="str">
        <f>Sheet1!M135 &amp; "," &amp; TEXT(Sheet1!N135,"dd/mm/yy")</f>
        <v>MHA/IND/00134,03/08/25</v>
      </c>
      <c r="K135" s="5" t="s">
        <v>5752</v>
      </c>
      <c r="L135" s="31" t="s">
        <v>14</v>
      </c>
      <c r="M135" s="31" t="s">
        <v>15</v>
      </c>
      <c r="N135" s="31" t="s">
        <v>16</v>
      </c>
    </row>
    <row r="136" spans="1:14" x14ac:dyDescent="0.25">
      <c r="A136" s="4" t="str">
        <f>Sheet1!A136 &amp; "/" &amp; "2025"</f>
        <v>135/2025</v>
      </c>
      <c r="B136" s="5" t="str">
        <f>Sheet1!E136</f>
        <v>IND/MEL/00135</v>
      </c>
      <c r="C136" s="6" t="str">
        <f>UPPER(Sheet1!B136)</f>
        <v>ANYA MYRTHOS</v>
      </c>
      <c r="D136" s="7" t="str">
        <f>IF(Sheet1!F136="F","FEMALE","MALE")</f>
        <v>FEMALE</v>
      </c>
      <c r="E136" s="6" t="str">
        <f>UPPER(Sheet1!G136)</f>
        <v>ARJUN MYRTHOS</v>
      </c>
      <c r="F136" s="6" t="str">
        <f>UPPER(Sheet1!H136)</f>
        <v>NINA MYRTHOS</v>
      </c>
      <c r="G136" s="5" t="str">
        <f>TEXT(Sheet1!C136,"dd/mm/yyyy") &amp; "," &amp; Sheet1!D136</f>
        <v>20/10/2025,CANBERRA</v>
      </c>
      <c r="H136" s="39" t="str">
        <f>UPPER(Sheet1!J136 &amp; "," &amp; Sheet1!K136 &amp; "," &amp; Sheet1!L136)</f>
        <v>196 BIRCHWOOD LANE,EMERALD ROAD,PIN:308984 CANBERRA</v>
      </c>
      <c r="I136" s="8">
        <f>Sheet1!I136</f>
        <v>45969</v>
      </c>
      <c r="J136" s="5" t="str">
        <f>Sheet1!M136 &amp; "," &amp; TEXT(Sheet1!N136,"dd/mm/yy")</f>
        <v>MHA/IND/00135,02/07/25</v>
      </c>
      <c r="K136" s="5" t="s">
        <v>5752</v>
      </c>
      <c r="L136" s="31" t="s">
        <v>14</v>
      </c>
      <c r="M136" s="31" t="s">
        <v>15</v>
      </c>
      <c r="N136" s="31" t="s">
        <v>16</v>
      </c>
    </row>
    <row r="137" spans="1:14" x14ac:dyDescent="0.25">
      <c r="A137" s="4" t="str">
        <f>Sheet1!A137 &amp; "/" &amp; "2025"</f>
        <v>136/2025</v>
      </c>
      <c r="B137" s="5" t="str">
        <f>Sheet1!E137</f>
        <v>IND/MEL/00136</v>
      </c>
      <c r="C137" s="6" t="str">
        <f>UPPER(Sheet1!B137)</f>
        <v>ANYA KALEON</v>
      </c>
      <c r="D137" s="7" t="str">
        <f>IF(Sheet1!F137="F","FEMALE","MALE")</f>
        <v>FEMALE</v>
      </c>
      <c r="E137" s="6" t="str">
        <f>UPPER(Sheet1!G137)</f>
        <v>AREN KALEON</v>
      </c>
      <c r="F137" s="6" t="str">
        <f>UPPER(Sheet1!H137)</f>
        <v>ALYA KALEON</v>
      </c>
      <c r="G137" s="5" t="str">
        <f>TEXT(Sheet1!C137,"dd/mm/yyyy") &amp; "," &amp; Sheet1!D137</f>
        <v>02/01/2025,CLAYTON</v>
      </c>
      <c r="H137" s="39" t="str">
        <f>UPPER(Sheet1!J137 &amp; "," &amp; Sheet1!K137 &amp; "," &amp; Sheet1!L137)</f>
        <v>37 BIRCHWOOD LANE,EMERALD ROAD,PIN:907143 CLAYTON</v>
      </c>
      <c r="I137" s="8">
        <f>Sheet1!I137</f>
        <v>45686</v>
      </c>
      <c r="J137" s="5" t="str">
        <f>Sheet1!M137 &amp; "," &amp; TEXT(Sheet1!N137,"dd/mm/yy")</f>
        <v>MHA/IND/00136,20/07/25</v>
      </c>
      <c r="K137" s="5" t="s">
        <v>5752</v>
      </c>
      <c r="L137" s="31" t="s">
        <v>14</v>
      </c>
      <c r="M137" s="31" t="s">
        <v>15</v>
      </c>
      <c r="N137" s="31" t="s">
        <v>16</v>
      </c>
    </row>
    <row r="138" spans="1:14" x14ac:dyDescent="0.25">
      <c r="A138" s="4" t="str">
        <f>Sheet1!A138 &amp; "/" &amp; "2025"</f>
        <v>137/2025</v>
      </c>
      <c r="B138" s="5" t="str">
        <f>Sheet1!E138</f>
        <v>IND/MEL/00137</v>
      </c>
      <c r="C138" s="6" t="str">
        <f>UPPER(Sheet1!B138)</f>
        <v>RIYA MYRTHOS</v>
      </c>
      <c r="D138" s="7" t="str">
        <f>IF(Sheet1!F138="F","FEMALE","MALE")</f>
        <v>FEMALE</v>
      </c>
      <c r="E138" s="6" t="str">
        <f>UPPER(Sheet1!G138)</f>
        <v>AREN MYRTHOS</v>
      </c>
      <c r="F138" s="6" t="str">
        <f>UPPER(Sheet1!H138)</f>
        <v>SARA MYRTHOS</v>
      </c>
      <c r="G138" s="5" t="str">
        <f>TEXT(Sheet1!C138,"dd/mm/yyyy") &amp; "," &amp; Sheet1!D138</f>
        <v>03/07/2025,BRISBANE</v>
      </c>
      <c r="H138" s="39" t="str">
        <f>UPPER(Sheet1!J138 &amp; "," &amp; Sheet1!K138 &amp; "," &amp; Sheet1!L138)</f>
        <v>78 BIRCHWOOD LANE,EMERALD ROAD,PIN:350260 BRISBANE</v>
      </c>
      <c r="I138" s="8">
        <f>Sheet1!I138</f>
        <v>45924</v>
      </c>
      <c r="J138" s="5" t="str">
        <f>Sheet1!M138 &amp; "," &amp; TEXT(Sheet1!N138,"dd/mm/yy")</f>
        <v>MHA/IND/00137,21/07/25</v>
      </c>
      <c r="K138" s="5" t="s">
        <v>5752</v>
      </c>
      <c r="L138" s="31" t="s">
        <v>14</v>
      </c>
      <c r="M138" s="31" t="s">
        <v>15</v>
      </c>
      <c r="N138" s="31" t="s">
        <v>16</v>
      </c>
    </row>
    <row r="139" spans="1:14" x14ac:dyDescent="0.25">
      <c r="A139" s="4" t="str">
        <f>Sheet1!A139 &amp; "/" &amp; "2025"</f>
        <v>138/2025</v>
      </c>
      <c r="B139" s="5" t="str">
        <f>Sheet1!E139</f>
        <v>IND/MEL/00138</v>
      </c>
      <c r="C139" s="6" t="str">
        <f>UPPER(Sheet1!B139)</f>
        <v>NEIL KALEON</v>
      </c>
      <c r="D139" s="7" t="str">
        <f>IF(Sheet1!F139="F","FEMALE","MALE")</f>
        <v>MALE</v>
      </c>
      <c r="E139" s="6" t="str">
        <f>UPPER(Sheet1!G139)</f>
        <v>KIRAN KALEON</v>
      </c>
      <c r="F139" s="6" t="str">
        <f>UPPER(Sheet1!H139)</f>
        <v>DIYA KALEON</v>
      </c>
      <c r="G139" s="5" t="str">
        <f>TEXT(Sheet1!C139,"dd/mm/yyyy") &amp; "," &amp; Sheet1!D139</f>
        <v>27/06/2025,KINGSWOOD</v>
      </c>
      <c r="H139" s="39" t="str">
        <f>UPPER(Sheet1!J139 &amp; "," &amp; Sheet1!K139 &amp; "," &amp; Sheet1!L139)</f>
        <v>112 BIRCHWOOD LANE,EMERALD ROAD,PIN:337234 KINGSWOOD</v>
      </c>
      <c r="I139" s="8">
        <f>Sheet1!I139</f>
        <v>45893</v>
      </c>
      <c r="J139" s="5" t="str">
        <f>Sheet1!M139 &amp; "," &amp; TEXT(Sheet1!N139,"dd/mm/yy")</f>
        <v>MHA/IND/00138,08/07/25</v>
      </c>
      <c r="K139" s="5" t="s">
        <v>5752</v>
      </c>
      <c r="L139" s="31" t="s">
        <v>14</v>
      </c>
      <c r="M139" s="31" t="s">
        <v>15</v>
      </c>
      <c r="N139" s="31" t="s">
        <v>16</v>
      </c>
    </row>
    <row r="140" spans="1:14" x14ac:dyDescent="0.25">
      <c r="A140" s="4" t="str">
        <f>Sheet1!A140 &amp; "/" &amp; "2025"</f>
        <v>139/2025</v>
      </c>
      <c r="B140" s="5" t="str">
        <f>Sheet1!E140</f>
        <v>IND/MEL/00139</v>
      </c>
      <c r="C140" s="6" t="str">
        <f>UPPER(Sheet1!B140)</f>
        <v>KABIR SHARMA</v>
      </c>
      <c r="D140" s="7" t="str">
        <f>IF(Sheet1!F140="F","FEMALE","MALE")</f>
        <v>MALE</v>
      </c>
      <c r="E140" s="6" t="str">
        <f>UPPER(Sheet1!G140)</f>
        <v>ARJUN SHARMA</v>
      </c>
      <c r="F140" s="6" t="str">
        <f>UPPER(Sheet1!H140)</f>
        <v>MIRA SHARMA</v>
      </c>
      <c r="G140" s="5" t="str">
        <f>TEXT(Sheet1!C140,"dd/mm/yyyy") &amp; "," &amp; Sheet1!D140</f>
        <v>26/09/2025,CAMPBELLTOWN</v>
      </c>
      <c r="H140" s="39" t="str">
        <f>UPPER(Sheet1!J140 &amp; "," &amp; Sheet1!K140 &amp; "," &amp; Sheet1!L140)</f>
        <v>84 BIRCHWOOD LANE,EMERALD ROAD,PIN:403707 CAMPBELLTOWN</v>
      </c>
      <c r="I140" s="8">
        <f>Sheet1!I140</f>
        <v>45969</v>
      </c>
      <c r="J140" s="5" t="str">
        <f>Sheet1!M140 &amp; "," &amp; TEXT(Sheet1!N140,"dd/mm/yy")</f>
        <v>MHA/IND/00139,27/08/25</v>
      </c>
      <c r="K140" s="5" t="s">
        <v>5752</v>
      </c>
      <c r="L140" s="31" t="s">
        <v>14</v>
      </c>
      <c r="M140" s="31" t="s">
        <v>15</v>
      </c>
      <c r="N140" s="31" t="s">
        <v>16</v>
      </c>
    </row>
    <row r="141" spans="1:14" x14ac:dyDescent="0.25">
      <c r="A141" s="4" t="str">
        <f>Sheet1!A141 &amp; "/" &amp; "2025"</f>
        <v>140/2025</v>
      </c>
      <c r="B141" s="5" t="str">
        <f>Sheet1!E141</f>
        <v>IND/MEL/00140</v>
      </c>
      <c r="C141" s="6" t="str">
        <f>UPPER(Sheet1!B141)</f>
        <v>ANYA RISHKAN</v>
      </c>
      <c r="D141" s="7" t="str">
        <f>IF(Sheet1!F141="F","FEMALE","MALE")</f>
        <v>FEMALE</v>
      </c>
      <c r="E141" s="6" t="str">
        <f>UPPER(Sheet1!G141)</f>
        <v>ARJUN RISHKAN</v>
      </c>
      <c r="F141" s="6" t="str">
        <f>UPPER(Sheet1!H141)</f>
        <v>MIRA RISHKAN</v>
      </c>
      <c r="G141" s="5" t="str">
        <f>TEXT(Sheet1!C141,"dd/mm/yyyy") &amp; "," &amp; Sheet1!D141</f>
        <v>06/01/2025,BERWICK</v>
      </c>
      <c r="H141" s="39" t="str">
        <f>UPPER(Sheet1!J141 &amp; "," &amp; Sheet1!K141 &amp; "," &amp; Sheet1!L141)</f>
        <v>61 BIRCHWOOD LANE,EMERALD ROAD,PIN:379882 BERWICK</v>
      </c>
      <c r="I141" s="8">
        <f>Sheet1!I141</f>
        <v>45730</v>
      </c>
      <c r="J141" s="5" t="str">
        <f>Sheet1!M141 &amp; "," &amp; TEXT(Sheet1!N141,"dd/mm/yy")</f>
        <v>MHA/IND/00140,10/07/25</v>
      </c>
      <c r="K141" s="5" t="s">
        <v>5752</v>
      </c>
      <c r="L141" s="31" t="s">
        <v>14</v>
      </c>
      <c r="M141" s="31" t="s">
        <v>15</v>
      </c>
      <c r="N141" s="31" t="s">
        <v>16</v>
      </c>
    </row>
    <row r="142" spans="1:14" x14ac:dyDescent="0.25">
      <c r="A142" s="4" t="str">
        <f>Sheet1!A142 &amp; "/" &amp; "2025"</f>
        <v>141/2025</v>
      </c>
      <c r="B142" s="5" t="str">
        <f>Sheet1!E142</f>
        <v>IND/MEL/00141</v>
      </c>
      <c r="C142" s="6" t="str">
        <f>UPPER(Sheet1!B142)</f>
        <v>ISHAN RAO</v>
      </c>
      <c r="D142" s="7" t="str">
        <f>IF(Sheet1!F142="F","FEMALE","MALE")</f>
        <v>MALE</v>
      </c>
      <c r="E142" s="6" t="str">
        <f>UPPER(Sheet1!G142)</f>
        <v>ARJUN RAO</v>
      </c>
      <c r="F142" s="6" t="str">
        <f>UPPER(Sheet1!H142)</f>
        <v>MIRA RAO</v>
      </c>
      <c r="G142" s="5" t="str">
        <f>TEXT(Sheet1!C142,"dd/mm/yyyy") &amp; "," &amp; Sheet1!D142</f>
        <v>18/02/2025,PERTH</v>
      </c>
      <c r="H142" s="39" t="str">
        <f>UPPER(Sheet1!J142 &amp; "," &amp; Sheet1!K142 &amp; "," &amp; Sheet1!L142)</f>
        <v>15 BIRCHWOOD LANE,EMERALD ROAD,PIN:909065 PERTH</v>
      </c>
      <c r="I142" s="8">
        <f>Sheet1!I142</f>
        <v>45815</v>
      </c>
      <c r="J142" s="5" t="str">
        <f>Sheet1!M142 &amp; "," &amp; TEXT(Sheet1!N142,"dd/mm/yy")</f>
        <v>MHA/IND/00141,15/08/25</v>
      </c>
      <c r="K142" s="5" t="s">
        <v>5752</v>
      </c>
      <c r="L142" s="31" t="s">
        <v>14</v>
      </c>
      <c r="M142" s="31" t="s">
        <v>15</v>
      </c>
      <c r="N142" s="31" t="s">
        <v>16</v>
      </c>
    </row>
    <row r="143" spans="1:14" x14ac:dyDescent="0.25">
      <c r="A143" s="4" t="str">
        <f>Sheet1!A143 &amp; "/" &amp; "2025"</f>
        <v>142/2025</v>
      </c>
      <c r="B143" s="5" t="str">
        <f>Sheet1!E143</f>
        <v>IND/MEL/00142</v>
      </c>
      <c r="C143" s="6" t="str">
        <f>UPPER(Sheet1!B143)</f>
        <v>DIYA SHARMA</v>
      </c>
      <c r="D143" s="7" t="str">
        <f>IF(Sheet1!F143="F","FEMALE","MALE")</f>
        <v>FEMALE</v>
      </c>
      <c r="E143" s="6" t="str">
        <f>UPPER(Sheet1!G143)</f>
        <v>ROHIT SHARMA</v>
      </c>
      <c r="F143" s="6" t="str">
        <f>UPPER(Sheet1!H143)</f>
        <v>ANYA SHARMA</v>
      </c>
      <c r="G143" s="5" t="str">
        <f>TEXT(Sheet1!C143,"dd/mm/yyyy") &amp; "," &amp; Sheet1!D143</f>
        <v>16/07/2025,TRARALGON</v>
      </c>
      <c r="H143" s="39" t="str">
        <f>UPPER(Sheet1!J143 &amp; "," &amp; Sheet1!K143 &amp; "," &amp; Sheet1!L143)</f>
        <v>105 BIRCHWOOD LANE,EMERALD ROAD,PIN:749689 TRARALGON</v>
      </c>
      <c r="I143" s="8">
        <f>Sheet1!I143</f>
        <v>45971</v>
      </c>
      <c r="J143" s="5" t="str">
        <f>Sheet1!M143 &amp; "," &amp; TEXT(Sheet1!N143,"dd/mm/yy")</f>
        <v>MHA/IND/00142,03/08/25</v>
      </c>
      <c r="K143" s="5" t="s">
        <v>5752</v>
      </c>
      <c r="L143" s="31" t="s">
        <v>14</v>
      </c>
      <c r="M143" s="31" t="s">
        <v>15</v>
      </c>
      <c r="N143" s="31" t="s">
        <v>16</v>
      </c>
    </row>
    <row r="144" spans="1:14" x14ac:dyDescent="0.25">
      <c r="A144" s="4" t="str">
        <f>Sheet1!A144 &amp; "/" &amp; "2025"</f>
        <v>143/2025</v>
      </c>
      <c r="B144" s="5" t="str">
        <f>Sheet1!E144</f>
        <v>IND/MEL/00143</v>
      </c>
      <c r="C144" s="6" t="str">
        <f>UPPER(Sheet1!B144)</f>
        <v>SARA KALEON</v>
      </c>
      <c r="D144" s="7" t="str">
        <f>IF(Sheet1!F144="F","FEMALE","MALE")</f>
        <v>FEMALE</v>
      </c>
      <c r="E144" s="6" t="str">
        <f>UPPER(Sheet1!G144)</f>
        <v>ISHAN KALEON</v>
      </c>
      <c r="F144" s="6" t="str">
        <f>UPPER(Sheet1!H144)</f>
        <v>NINA KALEON</v>
      </c>
      <c r="G144" s="5" t="str">
        <f>TEXT(Sheet1!C144,"dd/mm/yyyy") &amp; "," &amp; Sheet1!D144</f>
        <v>16/10/2025,BRISBANE</v>
      </c>
      <c r="H144" s="39" t="str">
        <f>UPPER(Sheet1!J144 &amp; "," &amp; Sheet1!K144 &amp; "," &amp; Sheet1!L144)</f>
        <v>151 BIRCHWOOD LANE,EMERALD ROAD,PIN:690803 BRISBANE</v>
      </c>
      <c r="I144" s="8">
        <f>Sheet1!I144</f>
        <v>46009</v>
      </c>
      <c r="J144" s="5" t="str">
        <f>Sheet1!M144 &amp; "," &amp; TEXT(Sheet1!N144,"dd/mm/yy")</f>
        <v>MHA/IND/00143,03/07/25</v>
      </c>
      <c r="K144" s="5" t="s">
        <v>5752</v>
      </c>
      <c r="L144" s="31" t="s">
        <v>14</v>
      </c>
      <c r="M144" s="31" t="s">
        <v>15</v>
      </c>
      <c r="N144" s="31" t="s">
        <v>16</v>
      </c>
    </row>
    <row r="145" spans="1:14" x14ac:dyDescent="0.25">
      <c r="A145" s="4" t="str">
        <f>Sheet1!A145 &amp; "/" &amp; "2025"</f>
        <v>144/2025</v>
      </c>
      <c r="B145" s="5" t="str">
        <f>Sheet1!E145</f>
        <v>IND/MEL/00144</v>
      </c>
      <c r="C145" s="6" t="str">
        <f>UPPER(Sheet1!B145)</f>
        <v>KABIR RAO</v>
      </c>
      <c r="D145" s="7" t="str">
        <f>IF(Sheet1!F145="F","FEMALE","MALE")</f>
        <v>MALE</v>
      </c>
      <c r="E145" s="6" t="str">
        <f>UPPER(Sheet1!G145)</f>
        <v>NEIL RAO</v>
      </c>
      <c r="F145" s="6" t="str">
        <f>UPPER(Sheet1!H145)</f>
        <v>RIYA RAO</v>
      </c>
      <c r="G145" s="5" t="str">
        <f>TEXT(Sheet1!C145,"dd/mm/yyyy") &amp; "," &amp; Sheet1!D145</f>
        <v>10/10/2025,GEELONG</v>
      </c>
      <c r="H145" s="39" t="str">
        <f>UPPER(Sheet1!J145 &amp; "," &amp; Sheet1!K145 &amp; "," &amp; Sheet1!L145)</f>
        <v>28 BIRCHWOOD LANE,EMERALD ROAD,PIN:862049 GEELONG</v>
      </c>
      <c r="I145" s="8">
        <f>Sheet1!I145</f>
        <v>46053</v>
      </c>
      <c r="J145" s="5" t="str">
        <f>Sheet1!M145 &amp; "," &amp; TEXT(Sheet1!N145,"dd/mm/yy")</f>
        <v>MHA/IND/00144,07/07/25</v>
      </c>
      <c r="K145" s="5" t="s">
        <v>5752</v>
      </c>
      <c r="L145" s="31" t="s">
        <v>14</v>
      </c>
      <c r="M145" s="31" t="s">
        <v>15</v>
      </c>
      <c r="N145" s="31" t="s">
        <v>16</v>
      </c>
    </row>
    <row r="146" spans="1:14" x14ac:dyDescent="0.25">
      <c r="A146" s="4" t="str">
        <f>Sheet1!A146 &amp; "/" &amp; "2025"</f>
        <v>145/2025</v>
      </c>
      <c r="B146" s="5" t="str">
        <f>Sheet1!E146</f>
        <v>IND/MEL/00145</v>
      </c>
      <c r="C146" s="6" t="str">
        <f>UPPER(Sheet1!B146)</f>
        <v>NEIL SHARMA</v>
      </c>
      <c r="D146" s="7" t="str">
        <f>IF(Sheet1!F146="F","FEMALE","MALE")</f>
        <v>MALE</v>
      </c>
      <c r="E146" s="6" t="str">
        <f>UPPER(Sheet1!G146)</f>
        <v>AREN SHARMA</v>
      </c>
      <c r="F146" s="6" t="str">
        <f>UPPER(Sheet1!H146)</f>
        <v>TARA SHARMA</v>
      </c>
      <c r="G146" s="5" t="str">
        <f>TEXT(Sheet1!C146,"dd/mm/yyyy") &amp; "," &amp; Sheet1!D146</f>
        <v>10/02/2025,WONTHAGGI</v>
      </c>
      <c r="H146" s="39" t="str">
        <f>UPPER(Sheet1!J146 &amp; "," &amp; Sheet1!K146 &amp; "," &amp; Sheet1!L146)</f>
        <v>49 BIRCHWOOD LANE,EMERALD ROAD,PIN:481640 WONTHAGGI</v>
      </c>
      <c r="I146" s="8">
        <f>Sheet1!I146</f>
        <v>45746</v>
      </c>
      <c r="J146" s="5" t="str">
        <f>Sheet1!M146 &amp; "," &amp; TEXT(Sheet1!N146,"dd/mm/yy")</f>
        <v>MHA/IND/00145,07/08/25</v>
      </c>
      <c r="K146" s="5" t="s">
        <v>5752</v>
      </c>
      <c r="L146" s="31" t="s">
        <v>14</v>
      </c>
      <c r="M146" s="31" t="s">
        <v>15</v>
      </c>
      <c r="N146" s="31" t="s">
        <v>16</v>
      </c>
    </row>
    <row r="147" spans="1:14" x14ac:dyDescent="0.25">
      <c r="A147" s="4" t="str">
        <f>Sheet1!A147 &amp; "/" &amp; "2025"</f>
        <v>146/2025</v>
      </c>
      <c r="B147" s="5" t="str">
        <f>Sheet1!E147</f>
        <v>IND/MEL/00146</v>
      </c>
      <c r="C147" s="6" t="str">
        <f>UPPER(Sheet1!B147)</f>
        <v>NINA RAO</v>
      </c>
      <c r="D147" s="7" t="str">
        <f>IF(Sheet1!F147="F","FEMALE","MALE")</f>
        <v>FEMALE</v>
      </c>
      <c r="E147" s="6" t="str">
        <f>UPPER(Sheet1!G147)</f>
        <v>NEIL RAO</v>
      </c>
      <c r="F147" s="6" t="str">
        <f>UPPER(Sheet1!H147)</f>
        <v>ANYA RAO</v>
      </c>
      <c r="G147" s="5" t="str">
        <f>TEXT(Sheet1!C147,"dd/mm/yyyy") &amp; "," &amp; Sheet1!D147</f>
        <v>09/05/2025,BELCONNEN</v>
      </c>
      <c r="H147" s="39" t="str">
        <f>UPPER(Sheet1!J147 &amp; "," &amp; Sheet1!K147 &amp; "," &amp; Sheet1!L147)</f>
        <v>139 BIRCHWOOD LANE,EMERALD ROAD,PIN:562907 BELCONNEN</v>
      </c>
      <c r="I147" s="8">
        <f>Sheet1!I147</f>
        <v>45815</v>
      </c>
      <c r="J147" s="5" t="str">
        <f>Sheet1!M147 &amp; "," &amp; TEXT(Sheet1!N147,"dd/mm/yy")</f>
        <v>MHA/IND/00146,21/08/25</v>
      </c>
      <c r="K147" s="5" t="s">
        <v>5752</v>
      </c>
      <c r="L147" s="31" t="s">
        <v>14</v>
      </c>
      <c r="M147" s="31" t="s">
        <v>15</v>
      </c>
      <c r="N147" s="31" t="s">
        <v>16</v>
      </c>
    </row>
    <row r="148" spans="1:14" x14ac:dyDescent="0.25">
      <c r="A148" s="4" t="str">
        <f>Sheet1!A148 &amp; "/" &amp; "2025"</f>
        <v>147/2025</v>
      </c>
      <c r="B148" s="5" t="str">
        <f>Sheet1!E148</f>
        <v>IND/MEL/00147</v>
      </c>
      <c r="C148" s="6" t="str">
        <f>UPPER(Sheet1!B148)</f>
        <v>ANYA VALZARI</v>
      </c>
      <c r="D148" s="7" t="str">
        <f>IF(Sheet1!F148="F","FEMALE","MALE")</f>
        <v>FEMALE</v>
      </c>
      <c r="E148" s="6" t="str">
        <f>UPPER(Sheet1!G148)</f>
        <v>DEV VALZARI</v>
      </c>
      <c r="F148" s="6" t="str">
        <f>UPPER(Sheet1!H148)</f>
        <v>TARA VALZARI</v>
      </c>
      <c r="G148" s="5" t="str">
        <f>TEXT(Sheet1!C148,"dd/mm/yyyy") &amp; "," &amp; Sheet1!D148</f>
        <v>20/06/2025,ST ALBANS</v>
      </c>
      <c r="H148" s="39" t="str">
        <f>UPPER(Sheet1!J148 &amp; "," &amp; Sheet1!K148 &amp; "," &amp; Sheet1!L148)</f>
        <v>121 BIRCHWOOD LANE,EMERALD ROAD,PIN:447933 ST ALBANS</v>
      </c>
      <c r="I148" s="8">
        <f>Sheet1!I148</f>
        <v>45852</v>
      </c>
      <c r="J148" s="5" t="str">
        <f>Sheet1!M148 &amp; "," &amp; TEXT(Sheet1!N148,"dd/mm/yy")</f>
        <v>MHA/IND/00147,29/08/25</v>
      </c>
      <c r="K148" s="5" t="s">
        <v>5752</v>
      </c>
      <c r="L148" s="31" t="s">
        <v>14</v>
      </c>
      <c r="M148" s="31" t="s">
        <v>15</v>
      </c>
      <c r="N148" s="31" t="s">
        <v>16</v>
      </c>
    </row>
    <row r="149" spans="1:14" x14ac:dyDescent="0.25">
      <c r="A149" s="4" t="str">
        <f>Sheet1!A149 &amp; "/" &amp; "2025"</f>
        <v>148/2025</v>
      </c>
      <c r="B149" s="5" t="str">
        <f>Sheet1!E149</f>
        <v>IND/MEL/00148</v>
      </c>
      <c r="C149" s="6" t="str">
        <f>UPPER(Sheet1!B149)</f>
        <v>NINA RISHKAN</v>
      </c>
      <c r="D149" s="7" t="str">
        <f>IF(Sheet1!F149="F","FEMALE","MALE")</f>
        <v>FEMALE</v>
      </c>
      <c r="E149" s="6" t="str">
        <f>UPPER(Sheet1!G149)</f>
        <v>ROHIT RISHKAN</v>
      </c>
      <c r="F149" s="6" t="str">
        <f>UPPER(Sheet1!H149)</f>
        <v>DIYA RISHKAN</v>
      </c>
      <c r="G149" s="5" t="str">
        <f>TEXT(Sheet1!C149,"dd/mm/yyyy") &amp; "," &amp; Sheet1!D149</f>
        <v>11/02/2025,TOWNSVILLE</v>
      </c>
      <c r="H149" s="39" t="str">
        <f>UPPER(Sheet1!J149 &amp; "," &amp; Sheet1!K149 &amp; "," &amp; Sheet1!L149)</f>
        <v>13 BIRCHWOOD LANE,EMERALD ROAD,PIN:803740 TOWNSVILLE</v>
      </c>
      <c r="I149" s="8">
        <f>Sheet1!I149</f>
        <v>45809</v>
      </c>
      <c r="J149" s="5" t="str">
        <f>Sheet1!M149 &amp; "," &amp; TEXT(Sheet1!N149,"dd/mm/yy")</f>
        <v>MHA/IND/00148,28/07/25</v>
      </c>
      <c r="K149" s="5" t="s">
        <v>5752</v>
      </c>
      <c r="L149" s="31" t="s">
        <v>14</v>
      </c>
      <c r="M149" s="31" t="s">
        <v>15</v>
      </c>
      <c r="N149" s="31" t="s">
        <v>16</v>
      </c>
    </row>
    <row r="150" spans="1:14" x14ac:dyDescent="0.25">
      <c r="A150" s="4" t="str">
        <f>Sheet1!A150 &amp; "/" &amp; "2025"</f>
        <v>149/2025</v>
      </c>
      <c r="B150" s="5" t="str">
        <f>Sheet1!E150</f>
        <v>IND/MEL/00149</v>
      </c>
      <c r="C150" s="6" t="str">
        <f>UPPER(Sheet1!B150)</f>
        <v>MIRA KALEON</v>
      </c>
      <c r="D150" s="7" t="str">
        <f>IF(Sheet1!F150="F","FEMALE","MALE")</f>
        <v>FEMALE</v>
      </c>
      <c r="E150" s="6" t="str">
        <f>UPPER(Sheet1!G150)</f>
        <v>KABIR KALEON</v>
      </c>
      <c r="F150" s="6" t="str">
        <f>UPPER(Sheet1!H150)</f>
        <v>RIYA KALEON</v>
      </c>
      <c r="G150" s="5" t="str">
        <f>TEXT(Sheet1!C150,"dd/mm/yyyy") &amp; "," &amp; Sheet1!D150</f>
        <v>15/02/2025,WOLLONGONG</v>
      </c>
      <c r="H150" s="39" t="str">
        <f>UPPER(Sheet1!J150 &amp; "," &amp; Sheet1!K150 &amp; "," &amp; Sheet1!L150)</f>
        <v>31 BIRCHWOOD LANE,EMERALD ROAD,PIN:595547 WOLLONGONG</v>
      </c>
      <c r="I150" s="8">
        <f>Sheet1!I150</f>
        <v>45820</v>
      </c>
      <c r="J150" s="5" t="str">
        <f>Sheet1!M150 &amp; "," &amp; TEXT(Sheet1!N150,"dd/mm/yy")</f>
        <v>MHA/IND/00149,28/08/25</v>
      </c>
      <c r="K150" s="5" t="s">
        <v>5752</v>
      </c>
      <c r="L150" s="31" t="s">
        <v>14</v>
      </c>
      <c r="M150" s="31" t="s">
        <v>15</v>
      </c>
      <c r="N150" s="31" t="s">
        <v>16</v>
      </c>
    </row>
    <row r="151" spans="1:14" x14ac:dyDescent="0.25">
      <c r="A151" s="4" t="str">
        <f>Sheet1!A151 &amp; "/" &amp; "2025"</f>
        <v>150/2025</v>
      </c>
      <c r="B151" s="5" t="str">
        <f>Sheet1!E151</f>
        <v>IND/MEL/00150</v>
      </c>
      <c r="C151" s="6" t="str">
        <f>UPPER(Sheet1!B151)</f>
        <v>ROHIT MYRTHOS</v>
      </c>
      <c r="D151" s="7" t="str">
        <f>IF(Sheet1!F151="F","FEMALE","MALE")</f>
        <v>MALE</v>
      </c>
      <c r="E151" s="6" t="str">
        <f>UPPER(Sheet1!G151)</f>
        <v>ROHIT MYRTHOS</v>
      </c>
      <c r="F151" s="6" t="str">
        <f>UPPER(Sheet1!H151)</f>
        <v>ALYA MYRTHOS</v>
      </c>
      <c r="G151" s="5" t="str">
        <f>TEXT(Sheet1!C151,"dd/mm/yyyy") &amp; "," &amp; Sheet1!D151</f>
        <v>21/03/2025,CAMPBELLTOWN</v>
      </c>
      <c r="H151" s="39" t="str">
        <f>UPPER(Sheet1!J151 &amp; "," &amp; Sheet1!K151 &amp; "," &amp; Sheet1!L151)</f>
        <v>59 BIRCHWOOD LANE,EMERALD ROAD,PIN:475285 CAMPBELLTOWN</v>
      </c>
      <c r="I151" s="8">
        <f>Sheet1!I151</f>
        <v>45800</v>
      </c>
      <c r="J151" s="5" t="str">
        <f>Sheet1!M151 &amp; "," &amp; TEXT(Sheet1!N151,"dd/mm/yy")</f>
        <v>MHA/IND/00150,16/08/25</v>
      </c>
      <c r="K151" s="5" t="s">
        <v>5752</v>
      </c>
      <c r="L151" s="31" t="s">
        <v>14</v>
      </c>
      <c r="M151" s="31" t="s">
        <v>15</v>
      </c>
      <c r="N151" s="31" t="s">
        <v>16</v>
      </c>
    </row>
    <row r="152" spans="1:14" x14ac:dyDescent="0.25">
      <c r="A152" s="4" t="str">
        <f>Sheet1!A152 &amp; "/" &amp; "2025"</f>
        <v>151/2025</v>
      </c>
      <c r="B152" s="5" t="str">
        <f>Sheet1!E152</f>
        <v>IND/MEL/00151</v>
      </c>
      <c r="C152" s="6" t="str">
        <f>UPPER(Sheet1!B152)</f>
        <v>ISHAN SHARMA</v>
      </c>
      <c r="D152" s="7" t="str">
        <f>IF(Sheet1!F152="F","FEMALE","MALE")</f>
        <v>MALE</v>
      </c>
      <c r="E152" s="6" t="str">
        <f>UPPER(Sheet1!G152)</f>
        <v>DEV SHARMA</v>
      </c>
      <c r="F152" s="6" t="str">
        <f>UPPER(Sheet1!H152)</f>
        <v>RIYA SHARMA</v>
      </c>
      <c r="G152" s="5" t="str">
        <f>TEXT(Sheet1!C152,"dd/mm/yyyy") &amp; "," &amp; Sheet1!D152</f>
        <v>25/10/2025,LENAH VALLEY</v>
      </c>
      <c r="H152" s="39" t="str">
        <f>UPPER(Sheet1!J152 &amp; "," &amp; Sheet1!K152 &amp; "," &amp; Sheet1!L152)</f>
        <v>55 BIRCHWOOD LANE,EMERALD ROAD,PIN:883192 LENAH VALLEY</v>
      </c>
      <c r="I152" s="8">
        <f>Sheet1!I152</f>
        <v>45983</v>
      </c>
      <c r="J152" s="5" t="str">
        <f>Sheet1!M152 &amp; "," &amp; TEXT(Sheet1!N152,"dd/mm/yy")</f>
        <v>MHA/IND/00151,30/07/25</v>
      </c>
      <c r="K152" s="5" t="s">
        <v>5752</v>
      </c>
      <c r="L152" s="31" t="s">
        <v>14</v>
      </c>
      <c r="M152" s="31" t="s">
        <v>15</v>
      </c>
      <c r="N152" s="31" t="s">
        <v>16</v>
      </c>
    </row>
    <row r="153" spans="1:14" x14ac:dyDescent="0.25">
      <c r="A153" s="4" t="str">
        <f>Sheet1!A153 &amp; "/" &amp; "2025"</f>
        <v>152/2025</v>
      </c>
      <c r="B153" s="5" t="str">
        <f>Sheet1!E153</f>
        <v>IND/MEL/00152</v>
      </c>
      <c r="C153" s="6" t="str">
        <f>UPPER(Sheet1!B153)</f>
        <v>DEV VALZARI</v>
      </c>
      <c r="D153" s="7" t="str">
        <f>IF(Sheet1!F153="F","FEMALE","MALE")</f>
        <v>MALE</v>
      </c>
      <c r="E153" s="6" t="str">
        <f>UPPER(Sheet1!G153)</f>
        <v>KABIR VALZARI</v>
      </c>
      <c r="F153" s="6" t="str">
        <f>UPPER(Sheet1!H153)</f>
        <v>ANYA VALZARI</v>
      </c>
      <c r="G153" s="5" t="str">
        <f>TEXT(Sheet1!C153,"dd/mm/yyyy") &amp; "," &amp; Sheet1!D153</f>
        <v>18/06/2025,PARRAMATTA</v>
      </c>
      <c r="H153" s="39" t="str">
        <f>UPPER(Sheet1!J153 &amp; "," &amp; Sheet1!K153 &amp; "," &amp; Sheet1!L153)</f>
        <v>18 BIRCHWOOD LANE,EMERALD ROAD,PIN:623840 PARRAMATTA</v>
      </c>
      <c r="I153" s="8">
        <f>Sheet1!I153</f>
        <v>45840</v>
      </c>
      <c r="J153" s="5" t="str">
        <f>Sheet1!M153 &amp; "," &amp; TEXT(Sheet1!N153,"dd/mm/yy")</f>
        <v>MHA/IND/00152,20/07/25</v>
      </c>
      <c r="K153" s="5" t="s">
        <v>5752</v>
      </c>
      <c r="L153" s="31" t="s">
        <v>14</v>
      </c>
      <c r="M153" s="31" t="s">
        <v>15</v>
      </c>
      <c r="N153" s="31" t="s">
        <v>16</v>
      </c>
    </row>
    <row r="154" spans="1:14" x14ac:dyDescent="0.25">
      <c r="A154" s="4" t="str">
        <f>Sheet1!A154 &amp; "/" &amp; "2025"</f>
        <v>153/2025</v>
      </c>
      <c r="B154" s="5" t="str">
        <f>Sheet1!E154</f>
        <v>IND/MEL/00153</v>
      </c>
      <c r="C154" s="6" t="str">
        <f>UPPER(Sheet1!B154)</f>
        <v>ANYA RAO</v>
      </c>
      <c r="D154" s="7" t="str">
        <f>IF(Sheet1!F154="F","FEMALE","MALE")</f>
        <v>FEMALE</v>
      </c>
      <c r="E154" s="6" t="str">
        <f>UPPER(Sheet1!G154)</f>
        <v>ROHIT RAO</v>
      </c>
      <c r="F154" s="6" t="str">
        <f>UPPER(Sheet1!H154)</f>
        <v>ALYA RAO</v>
      </c>
      <c r="G154" s="5" t="str">
        <f>TEXT(Sheet1!C154,"dd/mm/yyyy") &amp; "," &amp; Sheet1!D154</f>
        <v>05/05/2025,GEELONG</v>
      </c>
      <c r="H154" s="39" t="str">
        <f>UPPER(Sheet1!J154 &amp; "," &amp; Sheet1!K154 &amp; "," &amp; Sheet1!L154)</f>
        <v>112 BIRCHWOOD LANE,EMERALD ROAD,PIN:153426 GEELONG</v>
      </c>
      <c r="I154" s="8">
        <f>Sheet1!I154</f>
        <v>45787</v>
      </c>
      <c r="J154" s="5" t="str">
        <f>Sheet1!M154 &amp; "," &amp; TEXT(Sheet1!N154,"dd/mm/yy")</f>
        <v>MHA/IND/00153,14/07/25</v>
      </c>
      <c r="K154" s="5" t="s">
        <v>5752</v>
      </c>
      <c r="L154" s="31" t="s">
        <v>14</v>
      </c>
      <c r="M154" s="31" t="s">
        <v>15</v>
      </c>
      <c r="N154" s="31" t="s">
        <v>16</v>
      </c>
    </row>
    <row r="155" spans="1:14" x14ac:dyDescent="0.25">
      <c r="A155" s="4" t="str">
        <f>Sheet1!A155 &amp; "/" &amp; "2025"</f>
        <v>154/2025</v>
      </c>
      <c r="B155" s="5" t="str">
        <f>Sheet1!E155</f>
        <v>IND/MEL/00154</v>
      </c>
      <c r="C155" s="6" t="str">
        <f>UPPER(Sheet1!B155)</f>
        <v>ROHIT VALZARI</v>
      </c>
      <c r="D155" s="7" t="str">
        <f>IF(Sheet1!F155="F","FEMALE","MALE")</f>
        <v>MALE</v>
      </c>
      <c r="E155" s="6" t="str">
        <f>UPPER(Sheet1!G155)</f>
        <v>AREN VALZARI</v>
      </c>
      <c r="F155" s="6" t="str">
        <f>UPPER(Sheet1!H155)</f>
        <v>ANYA VALZARI</v>
      </c>
      <c r="G155" s="5" t="str">
        <f>TEXT(Sheet1!C155,"dd/mm/yyyy") &amp; "," &amp; Sheet1!D155</f>
        <v>07/04/2025,PALMERSTON</v>
      </c>
      <c r="H155" s="39" t="str">
        <f>UPPER(Sheet1!J155 &amp; "," &amp; Sheet1!K155 &amp; "," &amp; Sheet1!L155)</f>
        <v>20 BIRCHWOOD LANE,EMERALD ROAD,PIN:548726 PALMERSTON</v>
      </c>
      <c r="I155" s="8">
        <f>Sheet1!I155</f>
        <v>45765</v>
      </c>
      <c r="J155" s="5" t="str">
        <f>Sheet1!M155 &amp; "," &amp; TEXT(Sheet1!N155,"dd/mm/yy")</f>
        <v>MHA/IND/00154,17/07/25</v>
      </c>
      <c r="K155" s="5" t="s">
        <v>5752</v>
      </c>
      <c r="L155" s="31" t="s">
        <v>14</v>
      </c>
      <c r="M155" s="31" t="s">
        <v>15</v>
      </c>
      <c r="N155" s="31" t="s">
        <v>16</v>
      </c>
    </row>
    <row r="156" spans="1:14" x14ac:dyDescent="0.25">
      <c r="A156" s="4" t="str">
        <f>Sheet1!A156 &amp; "/" &amp; "2025"</f>
        <v>155/2025</v>
      </c>
      <c r="B156" s="5" t="str">
        <f>Sheet1!E156</f>
        <v>IND/MEL/00155</v>
      </c>
      <c r="C156" s="6" t="str">
        <f>UPPER(Sheet1!B156)</f>
        <v>ARJUN KALEON</v>
      </c>
      <c r="D156" s="7" t="str">
        <f>IF(Sheet1!F156="F","FEMALE","MALE")</f>
        <v>MALE</v>
      </c>
      <c r="E156" s="6" t="str">
        <f>UPPER(Sheet1!G156)</f>
        <v>KABIR KALEON</v>
      </c>
      <c r="F156" s="6" t="str">
        <f>UPPER(Sheet1!H156)</f>
        <v>RIYA KALEON</v>
      </c>
      <c r="G156" s="5" t="str">
        <f>TEXT(Sheet1!C156,"dd/mm/yyyy") &amp; "," &amp; Sheet1!D156</f>
        <v>21/10/2025,LENAH VALLEY</v>
      </c>
      <c r="H156" s="39" t="str">
        <f>UPPER(Sheet1!J156 &amp; "," &amp; Sheet1!K156 &amp; "," &amp; Sheet1!L156)</f>
        <v>163 BIRCHWOOD LANE,EMERALD ROAD,PIN:398774 LENAH VALLEY</v>
      </c>
      <c r="I156" s="8">
        <f>Sheet1!I156</f>
        <v>46031</v>
      </c>
      <c r="J156" s="5" t="str">
        <f>Sheet1!M156 &amp; "," &amp; TEXT(Sheet1!N156,"dd/mm/yy")</f>
        <v>MHA/IND/00155,11/08/25</v>
      </c>
      <c r="K156" s="5" t="s">
        <v>5752</v>
      </c>
      <c r="L156" s="31" t="s">
        <v>14</v>
      </c>
      <c r="M156" s="31" t="s">
        <v>15</v>
      </c>
      <c r="N156" s="31" t="s">
        <v>16</v>
      </c>
    </row>
    <row r="157" spans="1:14" x14ac:dyDescent="0.25">
      <c r="A157" s="4" t="str">
        <f>Sheet1!A157 &amp; "/" &amp; "2025"</f>
        <v>156/2025</v>
      </c>
      <c r="B157" s="5" t="str">
        <f>Sheet1!E157</f>
        <v>IND/MEL/00156</v>
      </c>
      <c r="C157" s="6" t="str">
        <f>UPPER(Sheet1!B157)</f>
        <v>AREN MYRTHOS</v>
      </c>
      <c r="D157" s="7" t="str">
        <f>IF(Sheet1!F157="F","FEMALE","MALE")</f>
        <v>MALE</v>
      </c>
      <c r="E157" s="6" t="str">
        <f>UPPER(Sheet1!G157)</f>
        <v>KABIR MYRTHOS</v>
      </c>
      <c r="F157" s="6" t="str">
        <f>UPPER(Sheet1!H157)</f>
        <v>NINA MYRTHOS</v>
      </c>
      <c r="G157" s="5" t="str">
        <f>TEXT(Sheet1!C157,"dd/mm/yyyy") &amp; "," &amp; Sheet1!D157</f>
        <v>27/05/2025,MIDLAND</v>
      </c>
      <c r="H157" s="39" t="str">
        <f>UPPER(Sheet1!J157 &amp; "," &amp; Sheet1!K157 &amp; "," &amp; Sheet1!L157)</f>
        <v>179 BIRCHWOOD LANE,EMERALD ROAD,PIN:688803 MIDLAND</v>
      </c>
      <c r="I157" s="8">
        <f>Sheet1!I157</f>
        <v>45918</v>
      </c>
      <c r="J157" s="5" t="str">
        <f>Sheet1!M157 &amp; "," &amp; TEXT(Sheet1!N157,"dd/mm/yy")</f>
        <v>MHA/IND/00156,21/07/25</v>
      </c>
      <c r="K157" s="5" t="s">
        <v>5752</v>
      </c>
      <c r="L157" s="31" t="s">
        <v>14</v>
      </c>
      <c r="M157" s="31" t="s">
        <v>15</v>
      </c>
      <c r="N157" s="31" t="s">
        <v>16</v>
      </c>
    </row>
    <row r="158" spans="1:14" x14ac:dyDescent="0.25">
      <c r="A158" s="4" t="str">
        <f>Sheet1!A158 &amp; "/" &amp; "2025"</f>
        <v>157/2025</v>
      </c>
      <c r="B158" s="5" t="str">
        <f>Sheet1!E158</f>
        <v>IND/MEL/00157</v>
      </c>
      <c r="C158" s="6" t="str">
        <f>UPPER(Sheet1!B158)</f>
        <v>MIRA SINDALE</v>
      </c>
      <c r="D158" s="7" t="str">
        <f>IF(Sheet1!F158="F","FEMALE","MALE")</f>
        <v>FEMALE</v>
      </c>
      <c r="E158" s="6" t="str">
        <f>UPPER(Sheet1!G158)</f>
        <v>ISHAN SINDALE</v>
      </c>
      <c r="F158" s="6" t="str">
        <f>UPPER(Sheet1!H158)</f>
        <v>ANYA SINDALE</v>
      </c>
      <c r="G158" s="5" t="str">
        <f>TEXT(Sheet1!C158,"dd/mm/yyyy") &amp; "," &amp; Sheet1!D158</f>
        <v>08/09/2025,ROCKHAMPTON</v>
      </c>
      <c r="H158" s="39" t="str">
        <f>UPPER(Sheet1!J158 &amp; "," &amp; Sheet1!K158 &amp; "," &amp; Sheet1!L158)</f>
        <v>11 BIRCHWOOD LANE,EMERALD ROAD,PIN:572879 ROCKHAMPTON</v>
      </c>
      <c r="I158" s="8">
        <f>Sheet1!I158</f>
        <v>45915</v>
      </c>
      <c r="J158" s="5" t="str">
        <f>Sheet1!M158 &amp; "," &amp; TEXT(Sheet1!N158,"dd/mm/yy")</f>
        <v>MHA/IND/00157,04/07/25</v>
      </c>
      <c r="K158" s="5" t="s">
        <v>5752</v>
      </c>
      <c r="L158" s="31" t="s">
        <v>14</v>
      </c>
      <c r="M158" s="31" t="s">
        <v>15</v>
      </c>
      <c r="N158" s="31" t="s">
        <v>16</v>
      </c>
    </row>
    <row r="159" spans="1:14" x14ac:dyDescent="0.25">
      <c r="A159" s="4" t="str">
        <f>Sheet1!A159 &amp; "/" &amp; "2025"</f>
        <v>158/2025</v>
      </c>
      <c r="B159" s="5" t="str">
        <f>Sheet1!E159</f>
        <v>IND/MEL/00158</v>
      </c>
      <c r="C159" s="6" t="str">
        <f>UPPER(Sheet1!B159)</f>
        <v>ALYA VALZARI</v>
      </c>
      <c r="D159" s="7" t="str">
        <f>IF(Sheet1!F159="F","FEMALE","MALE")</f>
        <v>FEMALE</v>
      </c>
      <c r="E159" s="6" t="str">
        <f>UPPER(Sheet1!G159)</f>
        <v>DEV VALZARI</v>
      </c>
      <c r="F159" s="6" t="str">
        <f>UPPER(Sheet1!H159)</f>
        <v>ALYA VALZARI</v>
      </c>
      <c r="G159" s="5" t="str">
        <f>TEXT(Sheet1!C159,"dd/mm/yyyy") &amp; "," &amp; Sheet1!D159</f>
        <v>04/02/2025,MANDURAH</v>
      </c>
      <c r="H159" s="39" t="str">
        <f>UPPER(Sheet1!J159 &amp; "," &amp; Sheet1!K159 &amp; "," &amp; Sheet1!L159)</f>
        <v>69 BIRCHWOOD LANE,EMERALD ROAD,PIN:775685 MANDURAH</v>
      </c>
      <c r="I159" s="8">
        <f>Sheet1!I159</f>
        <v>45717</v>
      </c>
      <c r="J159" s="5" t="str">
        <f>Sheet1!M159 &amp; "," &amp; TEXT(Sheet1!N159,"dd/mm/yy")</f>
        <v>MHA/IND/00158,17/08/25</v>
      </c>
      <c r="K159" s="5" t="s">
        <v>5752</v>
      </c>
      <c r="L159" s="31" t="s">
        <v>14</v>
      </c>
      <c r="M159" s="31" t="s">
        <v>15</v>
      </c>
      <c r="N159" s="31" t="s">
        <v>16</v>
      </c>
    </row>
    <row r="160" spans="1:14" x14ac:dyDescent="0.25">
      <c r="A160" s="4" t="str">
        <f>Sheet1!A160 &amp; "/" &amp; "2025"</f>
        <v>159/2025</v>
      </c>
      <c r="B160" s="5" t="str">
        <f>Sheet1!E160</f>
        <v>IND/MEL/00159</v>
      </c>
      <c r="C160" s="6" t="str">
        <f>UPPER(Sheet1!B160)</f>
        <v>ARJUN RISHKAN</v>
      </c>
      <c r="D160" s="7" t="str">
        <f>IF(Sheet1!F160="F","FEMALE","MALE")</f>
        <v>MALE</v>
      </c>
      <c r="E160" s="6" t="str">
        <f>UPPER(Sheet1!G160)</f>
        <v>ARJUN RISHKAN</v>
      </c>
      <c r="F160" s="6" t="str">
        <f>UPPER(Sheet1!H160)</f>
        <v>RIYA RISHKAN</v>
      </c>
      <c r="G160" s="5" t="str">
        <f>TEXT(Sheet1!C160,"dd/mm/yyyy") &amp; "," &amp; Sheet1!D160</f>
        <v>07/02/2025,DALBY</v>
      </c>
      <c r="H160" s="39" t="str">
        <f>UPPER(Sheet1!J160 &amp; "," &amp; Sheet1!K160 &amp; "," &amp; Sheet1!L160)</f>
        <v>16 BIRCHWOOD LANE,EMERALD ROAD,PIN:294333 DALBY</v>
      </c>
      <c r="I160" s="8">
        <f>Sheet1!I160</f>
        <v>45747</v>
      </c>
      <c r="J160" s="5" t="str">
        <f>Sheet1!M160 &amp; "," &amp; TEXT(Sheet1!N160,"dd/mm/yy")</f>
        <v>MHA/IND/00159,23/08/25</v>
      </c>
      <c r="K160" s="5" t="s">
        <v>5752</v>
      </c>
      <c r="L160" s="31" t="s">
        <v>14</v>
      </c>
      <c r="M160" s="31" t="s">
        <v>15</v>
      </c>
      <c r="N160" s="31" t="s">
        <v>16</v>
      </c>
    </row>
    <row r="161" spans="1:14" x14ac:dyDescent="0.25">
      <c r="A161" s="4" t="str">
        <f>Sheet1!A161 &amp; "/" &amp; "2025"</f>
        <v>160/2025</v>
      </c>
      <c r="B161" s="5" t="str">
        <f>Sheet1!E161</f>
        <v>IND/MEL/00160</v>
      </c>
      <c r="C161" s="6" t="str">
        <f>UPPER(Sheet1!B161)</f>
        <v>ANYA RAO</v>
      </c>
      <c r="D161" s="7" t="str">
        <f>IF(Sheet1!F161="F","FEMALE","MALE")</f>
        <v>FEMALE</v>
      </c>
      <c r="E161" s="6" t="str">
        <f>UPPER(Sheet1!G161)</f>
        <v>ISHAN RAO</v>
      </c>
      <c r="F161" s="6" t="str">
        <f>UPPER(Sheet1!H161)</f>
        <v>RIYA RAO</v>
      </c>
      <c r="G161" s="5" t="str">
        <f>TEXT(Sheet1!C161,"dd/mm/yyyy") &amp; "," &amp; Sheet1!D161</f>
        <v>25/06/2025,PARKVILLE</v>
      </c>
      <c r="H161" s="39" t="str">
        <f>UPPER(Sheet1!J161 &amp; "," &amp; Sheet1!K161 &amp; "," &amp; Sheet1!L161)</f>
        <v>89 BIRCHWOOD LANE,EMERALD ROAD,PIN:778480 PARKVILLE</v>
      </c>
      <c r="I161" s="8">
        <f>Sheet1!I161</f>
        <v>45856</v>
      </c>
      <c r="J161" s="5" t="str">
        <f>Sheet1!M161 &amp; "," &amp; TEXT(Sheet1!N161,"dd/mm/yy")</f>
        <v>MHA/IND/00160,24/08/25</v>
      </c>
      <c r="K161" s="5" t="s">
        <v>5752</v>
      </c>
      <c r="L161" s="31" t="s">
        <v>14</v>
      </c>
      <c r="M161" s="31" t="s">
        <v>15</v>
      </c>
      <c r="N161" s="31" t="s">
        <v>16</v>
      </c>
    </row>
    <row r="162" spans="1:14" x14ac:dyDescent="0.25">
      <c r="A162" s="4" t="str">
        <f>Sheet1!A162 &amp; "/" &amp; "2025"</f>
        <v>161/2025</v>
      </c>
      <c r="B162" s="5" t="str">
        <f>Sheet1!E162</f>
        <v>IND/MEL/00161</v>
      </c>
      <c r="C162" s="6" t="str">
        <f>UPPER(Sheet1!B162)</f>
        <v>TARA RISHKAN</v>
      </c>
      <c r="D162" s="7" t="str">
        <f>IF(Sheet1!F162="F","FEMALE","MALE")</f>
        <v>FEMALE</v>
      </c>
      <c r="E162" s="6" t="str">
        <f>UPPER(Sheet1!G162)</f>
        <v>KABIR RISHKAN</v>
      </c>
      <c r="F162" s="6" t="str">
        <f>UPPER(Sheet1!H162)</f>
        <v>SARA RISHKAN</v>
      </c>
      <c r="G162" s="5" t="str">
        <f>TEXT(Sheet1!C162,"dd/mm/yyyy") &amp; "," &amp; Sheet1!D162</f>
        <v>04/06/2025,ADELAIDE</v>
      </c>
      <c r="H162" s="39" t="str">
        <f>UPPER(Sheet1!J162 &amp; "," &amp; Sheet1!K162 &amp; "," &amp; Sheet1!L162)</f>
        <v>77 BIRCHWOOD LANE,EMERALD ROAD,PIN:952963 ADELAIDE</v>
      </c>
      <c r="I162" s="8">
        <f>Sheet1!I162</f>
        <v>45931</v>
      </c>
      <c r="J162" s="5" t="str">
        <f>Sheet1!M162 &amp; "," &amp; TEXT(Sheet1!N162,"dd/mm/yy")</f>
        <v>MHA/IND/00161,08/08/25</v>
      </c>
      <c r="K162" s="5" t="s">
        <v>5752</v>
      </c>
      <c r="L162" s="31" t="s">
        <v>14</v>
      </c>
      <c r="M162" s="31" t="s">
        <v>15</v>
      </c>
      <c r="N162" s="31" t="s">
        <v>16</v>
      </c>
    </row>
    <row r="163" spans="1:14" x14ac:dyDescent="0.25">
      <c r="A163" s="4" t="str">
        <f>Sheet1!A163 &amp; "/" &amp; "2025"</f>
        <v>162/2025</v>
      </c>
      <c r="B163" s="5" t="str">
        <f>Sheet1!E163</f>
        <v>IND/MEL/00162</v>
      </c>
      <c r="C163" s="6" t="str">
        <f>UPPER(Sheet1!B163)</f>
        <v>ISHAN RAO</v>
      </c>
      <c r="D163" s="7" t="str">
        <f>IF(Sheet1!F163="F","FEMALE","MALE")</f>
        <v>MALE</v>
      </c>
      <c r="E163" s="6" t="str">
        <f>UPPER(Sheet1!G163)</f>
        <v>ARJUN RAO</v>
      </c>
      <c r="F163" s="6" t="str">
        <f>UPPER(Sheet1!H163)</f>
        <v>NINA RAO</v>
      </c>
      <c r="G163" s="5" t="str">
        <f>TEXT(Sheet1!C163,"dd/mm/yyyy") &amp; "," &amp; Sheet1!D163</f>
        <v>25/06/2025,LOGAN</v>
      </c>
      <c r="H163" s="39" t="str">
        <f>UPPER(Sheet1!J163 &amp; "," &amp; Sheet1!K163 &amp; "," &amp; Sheet1!L163)</f>
        <v>190 BIRCHWOOD LANE,EMERALD ROAD,PIN:921501 LOGAN</v>
      </c>
      <c r="I163" s="8">
        <f>Sheet1!I163</f>
        <v>45935</v>
      </c>
      <c r="J163" s="5" t="str">
        <f>Sheet1!M163 &amp; "," &amp; TEXT(Sheet1!N163,"dd/mm/yy")</f>
        <v>MHA/IND/00162,10/07/25</v>
      </c>
      <c r="K163" s="5" t="s">
        <v>5752</v>
      </c>
      <c r="L163" s="31" t="s">
        <v>14</v>
      </c>
      <c r="M163" s="31" t="s">
        <v>15</v>
      </c>
      <c r="N163" s="31" t="s">
        <v>16</v>
      </c>
    </row>
    <row r="164" spans="1:14" x14ac:dyDescent="0.25">
      <c r="A164" s="4" t="str">
        <f>Sheet1!A164 &amp; "/" &amp; "2025"</f>
        <v>163/2025</v>
      </c>
      <c r="B164" s="5" t="str">
        <f>Sheet1!E164</f>
        <v>IND/MEL/00163</v>
      </c>
      <c r="C164" s="6" t="str">
        <f>UPPER(Sheet1!B164)</f>
        <v>NEIL RISHKAN</v>
      </c>
      <c r="D164" s="7" t="str">
        <f>IF(Sheet1!F164="F","FEMALE","MALE")</f>
        <v>MALE</v>
      </c>
      <c r="E164" s="6" t="str">
        <f>UPPER(Sheet1!G164)</f>
        <v>NEIL RISHKAN</v>
      </c>
      <c r="F164" s="6" t="str">
        <f>UPPER(Sheet1!H164)</f>
        <v>TARA RISHKAN</v>
      </c>
      <c r="G164" s="5" t="str">
        <f>TEXT(Sheet1!C164,"dd/mm/yyyy") &amp; "," &amp; Sheet1!D164</f>
        <v>26/06/2025,FRANKSTON</v>
      </c>
      <c r="H164" s="39" t="str">
        <f>UPPER(Sheet1!J164 &amp; "," &amp; Sheet1!K164 &amp; "," &amp; Sheet1!L164)</f>
        <v>135 BIRCHWOOD LANE,EMERALD ROAD,PIN:461997 FRANKSTON</v>
      </c>
      <c r="I164" s="8">
        <f>Sheet1!I164</f>
        <v>45866</v>
      </c>
      <c r="J164" s="5" t="str">
        <f>Sheet1!M164 &amp; "," &amp; TEXT(Sheet1!N164,"dd/mm/yy")</f>
        <v>MHA/IND/00163,12/08/25</v>
      </c>
      <c r="K164" s="5" t="s">
        <v>5752</v>
      </c>
      <c r="L164" s="31" t="s">
        <v>14</v>
      </c>
      <c r="M164" s="31" t="s">
        <v>15</v>
      </c>
      <c r="N164" s="31" t="s">
        <v>16</v>
      </c>
    </row>
    <row r="165" spans="1:14" x14ac:dyDescent="0.25">
      <c r="A165" s="4" t="str">
        <f>Sheet1!A165 &amp; "/" &amp; "2025"</f>
        <v>164/2025</v>
      </c>
      <c r="B165" s="5" t="str">
        <f>Sheet1!E165</f>
        <v>IND/MEL/00164</v>
      </c>
      <c r="C165" s="6" t="str">
        <f>UPPER(Sheet1!B165)</f>
        <v>KIRAN MYRTHOS</v>
      </c>
      <c r="D165" s="7" t="str">
        <f>IF(Sheet1!F165="F","FEMALE","MALE")</f>
        <v>MALE</v>
      </c>
      <c r="E165" s="6" t="str">
        <f>UPPER(Sheet1!G165)</f>
        <v>ARJUN MYRTHOS</v>
      </c>
      <c r="F165" s="6" t="str">
        <f>UPPER(Sheet1!H165)</f>
        <v>SARA MYRTHOS</v>
      </c>
      <c r="G165" s="5" t="str">
        <f>TEXT(Sheet1!C165,"dd/mm/yyyy") &amp; "," &amp; Sheet1!D165</f>
        <v>10/05/2025,ST ALBANS</v>
      </c>
      <c r="H165" s="39" t="str">
        <f>UPPER(Sheet1!J165 &amp; "," &amp; Sheet1!K165 &amp; "," &amp; Sheet1!L165)</f>
        <v>118 BIRCHWOOD LANE,EMERALD ROAD,PIN:541304 ST ALBANS</v>
      </c>
      <c r="I165" s="8">
        <f>Sheet1!I165</f>
        <v>45833</v>
      </c>
      <c r="J165" s="5" t="str">
        <f>Sheet1!M165 &amp; "," &amp; TEXT(Sheet1!N165,"dd/mm/yy")</f>
        <v>MHA/IND/00164,09/08/25</v>
      </c>
      <c r="K165" s="5" t="s">
        <v>5752</v>
      </c>
      <c r="L165" s="31" t="s">
        <v>14</v>
      </c>
      <c r="M165" s="31" t="s">
        <v>15</v>
      </c>
      <c r="N165" s="31" t="s">
        <v>16</v>
      </c>
    </row>
    <row r="166" spans="1:14" x14ac:dyDescent="0.25">
      <c r="A166" s="4" t="str">
        <f>Sheet1!A166 &amp; "/" &amp; "2025"</f>
        <v>165/2025</v>
      </c>
      <c r="B166" s="5" t="str">
        <f>Sheet1!E166</f>
        <v>IND/MEL/00165</v>
      </c>
      <c r="C166" s="6" t="str">
        <f>UPPER(Sheet1!B166)</f>
        <v>DEV RISHKAN</v>
      </c>
      <c r="D166" s="7" t="str">
        <f>IF(Sheet1!F166="F","FEMALE","MALE")</f>
        <v>MALE</v>
      </c>
      <c r="E166" s="6" t="str">
        <f>UPPER(Sheet1!G166)</f>
        <v>ARJUN RISHKAN</v>
      </c>
      <c r="F166" s="6" t="str">
        <f>UPPER(Sheet1!H166)</f>
        <v>SARA RISHKAN</v>
      </c>
      <c r="G166" s="5" t="str">
        <f>TEXT(Sheet1!C166,"dd/mm/yyyy") &amp; "," &amp; Sheet1!D166</f>
        <v>10/01/2025,MANDURAH</v>
      </c>
      <c r="H166" s="39" t="str">
        <f>UPPER(Sheet1!J166 &amp; "," &amp; Sheet1!K166 &amp; "," &amp; Sheet1!L166)</f>
        <v>10 BIRCHWOOD LANE,EMERALD ROAD,PIN:613365 MANDURAH</v>
      </c>
      <c r="I166" s="8">
        <f>Sheet1!I166</f>
        <v>45721</v>
      </c>
      <c r="J166" s="5" t="str">
        <f>Sheet1!M166 &amp; "," &amp; TEXT(Sheet1!N166,"dd/mm/yy")</f>
        <v>MHA/IND/00165,08/08/25</v>
      </c>
      <c r="K166" s="5" t="s">
        <v>5752</v>
      </c>
      <c r="L166" s="31" t="s">
        <v>14</v>
      </c>
      <c r="M166" s="31" t="s">
        <v>15</v>
      </c>
      <c r="N166" s="31" t="s">
        <v>16</v>
      </c>
    </row>
    <row r="167" spans="1:14" x14ac:dyDescent="0.25">
      <c r="A167" s="4" t="str">
        <f>Sheet1!A167 &amp; "/" &amp; "2025"</f>
        <v>166/2025</v>
      </c>
      <c r="B167" s="5" t="str">
        <f>Sheet1!E167</f>
        <v>IND/MEL/00166</v>
      </c>
      <c r="C167" s="6" t="str">
        <f>UPPER(Sheet1!B167)</f>
        <v>SARA VALZARI</v>
      </c>
      <c r="D167" s="7" t="str">
        <f>IF(Sheet1!F167="F","FEMALE","MALE")</f>
        <v>FEMALE</v>
      </c>
      <c r="E167" s="6" t="str">
        <f>UPPER(Sheet1!G167)</f>
        <v>ARJUN VALZARI</v>
      </c>
      <c r="F167" s="6" t="str">
        <f>UPPER(Sheet1!H167)</f>
        <v>DIYA VALZARI</v>
      </c>
      <c r="G167" s="5" t="str">
        <f>TEXT(Sheet1!C167,"dd/mm/yyyy") &amp; "," &amp; Sheet1!D167</f>
        <v>26/10/2025,BEDFORD PARK</v>
      </c>
      <c r="H167" s="39" t="str">
        <f>UPPER(Sheet1!J167 &amp; "," &amp; Sheet1!K167 &amp; "," &amp; Sheet1!L167)</f>
        <v>184 BIRCHWOOD LANE,EMERALD ROAD,PIN:462170 BEDFORD PARK</v>
      </c>
      <c r="I167" s="8">
        <f>Sheet1!I167</f>
        <v>45962</v>
      </c>
      <c r="J167" s="5" t="str">
        <f>Sheet1!M167 &amp; "," &amp; TEXT(Sheet1!N167,"dd/mm/yy")</f>
        <v>MHA/IND/00166,26/07/25</v>
      </c>
      <c r="K167" s="5" t="s">
        <v>5752</v>
      </c>
      <c r="L167" s="31" t="s">
        <v>14</v>
      </c>
      <c r="M167" s="31" t="s">
        <v>15</v>
      </c>
      <c r="N167" s="31" t="s">
        <v>16</v>
      </c>
    </row>
    <row r="168" spans="1:14" x14ac:dyDescent="0.25">
      <c r="A168" s="4" t="str">
        <f>Sheet1!A168 &amp; "/" &amp; "2025"</f>
        <v>167/2025</v>
      </c>
      <c r="B168" s="5" t="str">
        <f>Sheet1!E168</f>
        <v>IND/MEL/00167</v>
      </c>
      <c r="C168" s="6" t="str">
        <f>UPPER(Sheet1!B168)</f>
        <v>ROHIT MYRTHOS</v>
      </c>
      <c r="D168" s="7" t="str">
        <f>IF(Sheet1!F168="F","FEMALE","MALE")</f>
        <v>MALE</v>
      </c>
      <c r="E168" s="6" t="str">
        <f>UPPER(Sheet1!G168)</f>
        <v>ARJUN MYRTHOS</v>
      </c>
      <c r="F168" s="6" t="str">
        <f>UPPER(Sheet1!H168)</f>
        <v>NINA MYRTHOS</v>
      </c>
      <c r="G168" s="5" t="str">
        <f>TEXT(Sheet1!C168,"dd/mm/yyyy") &amp; "," &amp; Sheet1!D168</f>
        <v>01/09/2025,WERRIBEE</v>
      </c>
      <c r="H168" s="39" t="str">
        <f>UPPER(Sheet1!J168 &amp; "," &amp; Sheet1!K168 &amp; "," &amp; Sheet1!L168)</f>
        <v>35 BIRCHWOOD LANE,EMERALD ROAD,PIN:345085 WERRIBEE</v>
      </c>
      <c r="I168" s="8">
        <f>Sheet1!I168</f>
        <v>45941</v>
      </c>
      <c r="J168" s="5" t="str">
        <f>Sheet1!M168 &amp; "," &amp; TEXT(Sheet1!N168,"dd/mm/yy")</f>
        <v>MHA/IND/00167,19/07/25</v>
      </c>
      <c r="K168" s="5" t="s">
        <v>5752</v>
      </c>
      <c r="L168" s="31" t="s">
        <v>14</v>
      </c>
      <c r="M168" s="31" t="s">
        <v>15</v>
      </c>
      <c r="N168" s="31" t="s">
        <v>16</v>
      </c>
    </row>
    <row r="169" spans="1:14" x14ac:dyDescent="0.25">
      <c r="A169" s="4" t="str">
        <f>Sheet1!A169 &amp; "/" &amp; "2025"</f>
        <v>168/2025</v>
      </c>
      <c r="B169" s="5" t="str">
        <f>Sheet1!E169</f>
        <v>IND/MEL/00168</v>
      </c>
      <c r="C169" s="6" t="str">
        <f>UPPER(Sheet1!B169)</f>
        <v>KABIR RAO</v>
      </c>
      <c r="D169" s="7" t="str">
        <f>IF(Sheet1!F169="F","FEMALE","MALE")</f>
        <v>MALE</v>
      </c>
      <c r="E169" s="6" t="str">
        <f>UPPER(Sheet1!G169)</f>
        <v>NEIL RAO</v>
      </c>
      <c r="F169" s="6" t="str">
        <f>UPPER(Sheet1!H169)</f>
        <v>SARA RAO</v>
      </c>
      <c r="G169" s="5" t="str">
        <f>TEXT(Sheet1!C169,"dd/mm/yyyy") &amp; "," &amp; Sheet1!D169</f>
        <v>22/07/2025,BUNDABERG</v>
      </c>
      <c r="H169" s="39" t="str">
        <f>UPPER(Sheet1!J169 &amp; "," &amp; Sheet1!K169 &amp; "," &amp; Sheet1!L169)</f>
        <v>131 BIRCHWOOD LANE,EMERALD ROAD,PIN:834366 BUNDABERG</v>
      </c>
      <c r="I169" s="8">
        <f>Sheet1!I169</f>
        <v>45905</v>
      </c>
      <c r="J169" s="5" t="str">
        <f>Sheet1!M169 &amp; "," &amp; TEXT(Sheet1!N169,"dd/mm/yy")</f>
        <v>MHA/IND/00168,06/07/25</v>
      </c>
      <c r="K169" s="5" t="s">
        <v>5752</v>
      </c>
      <c r="L169" s="31" t="s">
        <v>14</v>
      </c>
      <c r="M169" s="31" t="s">
        <v>15</v>
      </c>
      <c r="N169" s="31" t="s">
        <v>16</v>
      </c>
    </row>
    <row r="170" spans="1:14" x14ac:dyDescent="0.25">
      <c r="A170" s="4" t="str">
        <f>Sheet1!A170 &amp; "/" &amp; "2025"</f>
        <v>169/2025</v>
      </c>
      <c r="B170" s="5" t="str">
        <f>Sheet1!E170</f>
        <v>IND/MEL/00169</v>
      </c>
      <c r="C170" s="6" t="str">
        <f>UPPER(Sheet1!B170)</f>
        <v>DIYA RAO</v>
      </c>
      <c r="D170" s="7" t="str">
        <f>IF(Sheet1!F170="F","FEMALE","MALE")</f>
        <v>FEMALE</v>
      </c>
      <c r="E170" s="6" t="str">
        <f>UPPER(Sheet1!G170)</f>
        <v>NEIL RAO</v>
      </c>
      <c r="F170" s="6" t="str">
        <f>UPPER(Sheet1!H170)</f>
        <v>RIYA RAO</v>
      </c>
      <c r="G170" s="5" t="str">
        <f>TEXT(Sheet1!C170,"dd/mm/yyyy") &amp; "," &amp; Sheet1!D170</f>
        <v>20/06/2025,PERTH</v>
      </c>
      <c r="H170" s="39" t="str">
        <f>UPPER(Sheet1!J170 &amp; "," &amp; Sheet1!K170 &amp; "," &amp; Sheet1!L170)</f>
        <v>32 BIRCHWOOD LANE,EMERALD ROAD,PIN:127602 PERTH</v>
      </c>
      <c r="I170" s="8">
        <f>Sheet1!I170</f>
        <v>45872</v>
      </c>
      <c r="J170" s="5" t="str">
        <f>Sheet1!M170 &amp; "," &amp; TEXT(Sheet1!N170,"dd/mm/yy")</f>
        <v>MHA/IND/00169,26/07/25</v>
      </c>
      <c r="K170" s="5" t="s">
        <v>5752</v>
      </c>
      <c r="L170" s="31" t="s">
        <v>14</v>
      </c>
      <c r="M170" s="31" t="s">
        <v>15</v>
      </c>
      <c r="N170" s="31" t="s">
        <v>16</v>
      </c>
    </row>
    <row r="171" spans="1:14" x14ac:dyDescent="0.25">
      <c r="A171" s="4" t="str">
        <f>Sheet1!A171 &amp; "/" &amp; "2025"</f>
        <v>170/2025</v>
      </c>
      <c r="B171" s="5" t="str">
        <f>Sheet1!E171</f>
        <v>IND/MEL/00170</v>
      </c>
      <c r="C171" s="6" t="str">
        <f>UPPER(Sheet1!B171)</f>
        <v>KIRAN MYRTHOS</v>
      </c>
      <c r="D171" s="7" t="str">
        <f>IF(Sheet1!F171="F","FEMALE","MALE")</f>
        <v>MALE</v>
      </c>
      <c r="E171" s="6" t="str">
        <f>UPPER(Sheet1!G171)</f>
        <v>ISHAN MYRTHOS</v>
      </c>
      <c r="F171" s="6" t="str">
        <f>UPPER(Sheet1!H171)</f>
        <v>ANYA MYRTHOS</v>
      </c>
      <c r="G171" s="5" t="str">
        <f>TEXT(Sheet1!C171,"dd/mm/yyyy") &amp; "," &amp; Sheet1!D171</f>
        <v>28/04/2025,NEWCASTLE</v>
      </c>
      <c r="H171" s="39" t="str">
        <f>UPPER(Sheet1!J171 &amp; "," &amp; Sheet1!K171 &amp; "," &amp; Sheet1!L171)</f>
        <v>139 BIRCHWOOD LANE,EMERALD ROAD,PIN:884260 NEWCASTLE</v>
      </c>
      <c r="I171" s="8">
        <f>Sheet1!I171</f>
        <v>45873</v>
      </c>
      <c r="J171" s="5" t="str">
        <f>Sheet1!M171 &amp; "," &amp; TEXT(Sheet1!N171,"dd/mm/yy")</f>
        <v>MHA/IND/00170,02/07/25</v>
      </c>
      <c r="K171" s="5" t="s">
        <v>5752</v>
      </c>
      <c r="L171" s="31" t="s">
        <v>14</v>
      </c>
      <c r="M171" s="31" t="s">
        <v>15</v>
      </c>
      <c r="N171" s="31" t="s">
        <v>16</v>
      </c>
    </row>
    <row r="172" spans="1:14" x14ac:dyDescent="0.25">
      <c r="A172" s="4" t="str">
        <f>Sheet1!A172 &amp; "/" &amp; "2025"</f>
        <v>171/2025</v>
      </c>
      <c r="B172" s="5" t="str">
        <f>Sheet1!E172</f>
        <v>IND/MEL/00171</v>
      </c>
      <c r="C172" s="6" t="str">
        <f>UPPER(Sheet1!B172)</f>
        <v>NEIL SINDALE</v>
      </c>
      <c r="D172" s="7" t="str">
        <f>IF(Sheet1!F172="F","FEMALE","MALE")</f>
        <v>MALE</v>
      </c>
      <c r="E172" s="6" t="str">
        <f>UPPER(Sheet1!G172)</f>
        <v>KABIR SINDALE</v>
      </c>
      <c r="F172" s="6" t="str">
        <f>UPPER(Sheet1!H172)</f>
        <v>SARA SINDALE</v>
      </c>
      <c r="G172" s="5" t="str">
        <f>TEXT(Sheet1!C172,"dd/mm/yyyy") &amp; "," &amp; Sheet1!D172</f>
        <v>17/03/2025,PARKVILLE</v>
      </c>
      <c r="H172" s="39" t="str">
        <f>UPPER(Sheet1!J172 &amp; "," &amp; Sheet1!K172 &amp; "," &amp; Sheet1!L172)</f>
        <v>164 BIRCHWOOD LANE,EMERALD ROAD,PIN:603548 PARKVILLE</v>
      </c>
      <c r="I172" s="8">
        <f>Sheet1!I172</f>
        <v>45786</v>
      </c>
      <c r="J172" s="5" t="str">
        <f>Sheet1!M172 &amp; "," &amp; TEXT(Sheet1!N172,"dd/mm/yy")</f>
        <v>MHA/IND/00171,30/07/25</v>
      </c>
      <c r="K172" s="5" t="s">
        <v>5752</v>
      </c>
      <c r="L172" s="31" t="s">
        <v>14</v>
      </c>
      <c r="M172" s="31" t="s">
        <v>15</v>
      </c>
      <c r="N172" s="31" t="s">
        <v>16</v>
      </c>
    </row>
    <row r="173" spans="1:14" x14ac:dyDescent="0.25">
      <c r="A173" s="4" t="str">
        <f>Sheet1!A173 &amp; "/" &amp; "2025"</f>
        <v>172/2025</v>
      </c>
      <c r="B173" s="5" t="str">
        <f>Sheet1!E173</f>
        <v>IND/MEL/00172</v>
      </c>
      <c r="C173" s="6" t="str">
        <f>UPPER(Sheet1!B173)</f>
        <v>ANYA RISHKAN</v>
      </c>
      <c r="D173" s="7" t="str">
        <f>IF(Sheet1!F173="F","FEMALE","MALE")</f>
        <v>FEMALE</v>
      </c>
      <c r="E173" s="6" t="str">
        <f>UPPER(Sheet1!G173)</f>
        <v>ARJUN RISHKAN</v>
      </c>
      <c r="F173" s="6" t="str">
        <f>UPPER(Sheet1!H173)</f>
        <v>RIYA RISHKAN</v>
      </c>
      <c r="G173" s="5" t="str">
        <f>TEXT(Sheet1!C173,"dd/mm/yyyy") &amp; "," &amp; Sheet1!D173</f>
        <v>05/06/2025,CLAYTON</v>
      </c>
      <c r="H173" s="39" t="str">
        <f>UPPER(Sheet1!J173 &amp; "," &amp; Sheet1!K173 &amp; "," &amp; Sheet1!L173)</f>
        <v>115 BIRCHWOOD LANE,EMERALD ROAD,PIN:420167 CLAYTON</v>
      </c>
      <c r="I173" s="8">
        <f>Sheet1!I173</f>
        <v>45881</v>
      </c>
      <c r="J173" s="5" t="str">
        <f>Sheet1!M173 &amp; "," &amp; TEXT(Sheet1!N173,"dd/mm/yy")</f>
        <v>MHA/IND/00172,11/07/25</v>
      </c>
      <c r="K173" s="5" t="s">
        <v>5752</v>
      </c>
      <c r="L173" s="31" t="s">
        <v>14</v>
      </c>
      <c r="M173" s="31" t="s">
        <v>15</v>
      </c>
      <c r="N173" s="31" t="s">
        <v>16</v>
      </c>
    </row>
    <row r="174" spans="1:14" x14ac:dyDescent="0.25">
      <c r="A174" s="4" t="str">
        <f>Sheet1!A174 &amp; "/" &amp; "2025"</f>
        <v>173/2025</v>
      </c>
      <c r="B174" s="5" t="str">
        <f>Sheet1!E174</f>
        <v>IND/MEL/00173</v>
      </c>
      <c r="C174" s="6" t="str">
        <f>UPPER(Sheet1!B174)</f>
        <v>ISHAN MYRTHOS</v>
      </c>
      <c r="D174" s="7" t="str">
        <f>IF(Sheet1!F174="F","FEMALE","MALE")</f>
        <v>MALE</v>
      </c>
      <c r="E174" s="6" t="str">
        <f>UPPER(Sheet1!G174)</f>
        <v>ROHIT MYRTHOS</v>
      </c>
      <c r="F174" s="6" t="str">
        <f>UPPER(Sheet1!H174)</f>
        <v>SARA MYRTHOS</v>
      </c>
      <c r="G174" s="5" t="str">
        <f>TEXT(Sheet1!C174,"dd/mm/yyyy") &amp; "," &amp; Sheet1!D174</f>
        <v>15/08/2025,SYDNEY</v>
      </c>
      <c r="H174" s="39" t="str">
        <f>UPPER(Sheet1!J174 &amp; "," &amp; Sheet1!K174 &amp; "," &amp; Sheet1!L174)</f>
        <v>87 BIRCHWOOD LANE,EMERALD ROAD,PIN:467770 SYDNEY</v>
      </c>
      <c r="I174" s="8">
        <f>Sheet1!I174</f>
        <v>45929</v>
      </c>
      <c r="J174" s="5" t="str">
        <f>Sheet1!M174 &amp; "," &amp; TEXT(Sheet1!N174,"dd/mm/yy")</f>
        <v>MHA/IND/00173,17/07/25</v>
      </c>
      <c r="K174" s="5" t="s">
        <v>5752</v>
      </c>
      <c r="L174" s="31" t="s">
        <v>14</v>
      </c>
      <c r="M174" s="31" t="s">
        <v>15</v>
      </c>
      <c r="N174" s="31" t="s">
        <v>16</v>
      </c>
    </row>
    <row r="175" spans="1:14" x14ac:dyDescent="0.25">
      <c r="A175" s="4" t="str">
        <f>Sheet1!A175 &amp; "/" &amp; "2025"</f>
        <v>174/2025</v>
      </c>
      <c r="B175" s="5" t="str">
        <f>Sheet1!E175</f>
        <v>IND/MEL/00174</v>
      </c>
      <c r="C175" s="6" t="str">
        <f>UPPER(Sheet1!B175)</f>
        <v>ROHIT KALEON</v>
      </c>
      <c r="D175" s="7" t="str">
        <f>IF(Sheet1!F175="F","FEMALE","MALE")</f>
        <v>MALE</v>
      </c>
      <c r="E175" s="6" t="str">
        <f>UPPER(Sheet1!G175)</f>
        <v>ARJUN KALEON</v>
      </c>
      <c r="F175" s="6" t="str">
        <f>UPPER(Sheet1!H175)</f>
        <v>NINA KALEON</v>
      </c>
      <c r="G175" s="5" t="str">
        <f>TEXT(Sheet1!C175,"dd/mm/yyyy") &amp; "," &amp; Sheet1!D175</f>
        <v>22/09/2025,SHEPPARTON</v>
      </c>
      <c r="H175" s="39" t="str">
        <f>UPPER(Sheet1!J175 &amp; "," &amp; Sheet1!K175 &amp; "," &amp; Sheet1!L175)</f>
        <v>77 BIRCHWOOD LANE,EMERALD ROAD,PIN:757926 SHEPPARTON</v>
      </c>
      <c r="I175" s="8">
        <f>Sheet1!I175</f>
        <v>46024</v>
      </c>
      <c r="J175" s="5" t="str">
        <f>Sheet1!M175 &amp; "," &amp; TEXT(Sheet1!N175,"dd/mm/yy")</f>
        <v>MHA/IND/00174,10/08/25</v>
      </c>
      <c r="K175" s="5" t="s">
        <v>5752</v>
      </c>
      <c r="L175" s="31" t="s">
        <v>14</v>
      </c>
      <c r="M175" s="31" t="s">
        <v>15</v>
      </c>
      <c r="N175" s="31" t="s">
        <v>16</v>
      </c>
    </row>
    <row r="176" spans="1:14" x14ac:dyDescent="0.25">
      <c r="A176" s="4" t="str">
        <f>Sheet1!A176 &amp; "/" &amp; "2025"</f>
        <v>175/2025</v>
      </c>
      <c r="B176" s="5" t="str">
        <f>Sheet1!E176</f>
        <v>IND/MEL/00175</v>
      </c>
      <c r="C176" s="6" t="str">
        <f>UPPER(Sheet1!B176)</f>
        <v>NEIL KALEON</v>
      </c>
      <c r="D176" s="7" t="str">
        <f>IF(Sheet1!F176="F","FEMALE","MALE")</f>
        <v>MALE</v>
      </c>
      <c r="E176" s="6" t="str">
        <f>UPPER(Sheet1!G176)</f>
        <v>ROHIT KALEON</v>
      </c>
      <c r="F176" s="6" t="str">
        <f>UPPER(Sheet1!H176)</f>
        <v>DIYA KALEON</v>
      </c>
      <c r="G176" s="5" t="str">
        <f>TEXT(Sheet1!C176,"dd/mm/yyyy") &amp; "," &amp; Sheet1!D176</f>
        <v>21/04/2025,WERRIBEE</v>
      </c>
      <c r="H176" s="39" t="str">
        <f>UPPER(Sheet1!J176 &amp; "," &amp; Sheet1!K176 &amp; "," &amp; Sheet1!L176)</f>
        <v>59 BIRCHWOOD LANE,EMERALD ROAD,PIN:445229 WERRIBEE</v>
      </c>
      <c r="I176" s="8">
        <f>Sheet1!I176</f>
        <v>45776</v>
      </c>
      <c r="J176" s="5" t="str">
        <f>Sheet1!M176 &amp; "," &amp; TEXT(Sheet1!N176,"dd/mm/yy")</f>
        <v>MHA/IND/00175,28/08/25</v>
      </c>
      <c r="K176" s="5" t="s">
        <v>5752</v>
      </c>
      <c r="L176" s="31" t="s">
        <v>14</v>
      </c>
      <c r="M176" s="31" t="s">
        <v>15</v>
      </c>
      <c r="N176" s="31" t="s">
        <v>16</v>
      </c>
    </row>
    <row r="177" spans="1:14" x14ac:dyDescent="0.25">
      <c r="A177" s="4" t="str">
        <f>Sheet1!A177 &amp; "/" &amp; "2025"</f>
        <v>176/2025</v>
      </c>
      <c r="B177" s="5" t="str">
        <f>Sheet1!E177</f>
        <v>IND/MEL/00176</v>
      </c>
      <c r="C177" s="6" t="str">
        <f>UPPER(Sheet1!B177)</f>
        <v>MIRA KALEON</v>
      </c>
      <c r="D177" s="7" t="str">
        <f>IF(Sheet1!F177="F","FEMALE","MALE")</f>
        <v>FEMALE</v>
      </c>
      <c r="E177" s="6" t="str">
        <f>UPPER(Sheet1!G177)</f>
        <v>ARJUN KALEON</v>
      </c>
      <c r="F177" s="6" t="str">
        <f>UPPER(Sheet1!H177)</f>
        <v>DIYA KALEON</v>
      </c>
      <c r="G177" s="5" t="str">
        <f>TEXT(Sheet1!C177,"dd/mm/yyyy") &amp; "," &amp; Sheet1!D177</f>
        <v>27/10/2025,MOUNT WAVERLEY</v>
      </c>
      <c r="H177" s="39" t="str">
        <f>UPPER(Sheet1!J177 &amp; "," &amp; Sheet1!K177 &amp; "," &amp; Sheet1!L177)</f>
        <v>97 BIRCHWOOD LANE,EMERALD ROAD,PIN:563405 MOUNT WAVERLEY</v>
      </c>
      <c r="I177" s="8">
        <f>Sheet1!I177</f>
        <v>45976</v>
      </c>
      <c r="J177" s="5" t="str">
        <f>Sheet1!M177 &amp; "," &amp; TEXT(Sheet1!N177,"dd/mm/yy")</f>
        <v>MHA/IND/00176,01/07/25</v>
      </c>
      <c r="K177" s="5" t="s">
        <v>5752</v>
      </c>
      <c r="L177" s="31" t="s">
        <v>14</v>
      </c>
      <c r="M177" s="31" t="s">
        <v>15</v>
      </c>
      <c r="N177" s="31" t="s">
        <v>16</v>
      </c>
    </row>
    <row r="178" spans="1:14" x14ac:dyDescent="0.25">
      <c r="A178" s="4" t="str">
        <f>Sheet1!A178 &amp; "/" &amp; "2025"</f>
        <v>177/2025</v>
      </c>
      <c r="B178" s="5" t="str">
        <f>Sheet1!E178</f>
        <v>IND/MEL/00177</v>
      </c>
      <c r="C178" s="6" t="str">
        <f>UPPER(Sheet1!B178)</f>
        <v>DIYA KALEON</v>
      </c>
      <c r="D178" s="7" t="str">
        <f>IF(Sheet1!F178="F","FEMALE","MALE")</f>
        <v>FEMALE</v>
      </c>
      <c r="E178" s="6" t="str">
        <f>UPPER(Sheet1!G178)</f>
        <v>DEV KALEON</v>
      </c>
      <c r="F178" s="6" t="str">
        <f>UPPER(Sheet1!H178)</f>
        <v>ANYA KALEON</v>
      </c>
      <c r="G178" s="5" t="str">
        <f>TEXT(Sheet1!C178,"dd/mm/yyyy") &amp; "," &amp; Sheet1!D178</f>
        <v>11/07/2025,BRISBANE</v>
      </c>
      <c r="H178" s="39" t="str">
        <f>UPPER(Sheet1!J178 &amp; "," &amp; Sheet1!K178 &amp; "," &amp; Sheet1!L178)</f>
        <v>27 BIRCHWOOD LANE,EMERALD ROAD,PIN:220650 BRISBANE</v>
      </c>
      <c r="I178" s="8">
        <f>Sheet1!I178</f>
        <v>45956</v>
      </c>
      <c r="J178" s="5" t="str">
        <f>Sheet1!M178 &amp; "," &amp; TEXT(Sheet1!N178,"dd/mm/yy")</f>
        <v>MHA/IND/00177,24/08/25</v>
      </c>
      <c r="K178" s="5" t="s">
        <v>5752</v>
      </c>
      <c r="L178" s="31" t="s">
        <v>14</v>
      </c>
      <c r="M178" s="31" t="s">
        <v>15</v>
      </c>
      <c r="N178" s="31" t="s">
        <v>16</v>
      </c>
    </row>
    <row r="179" spans="1:14" x14ac:dyDescent="0.25">
      <c r="A179" s="4" t="str">
        <f>Sheet1!A179 &amp; "/" &amp; "2025"</f>
        <v>178/2025</v>
      </c>
      <c r="B179" s="5" t="str">
        <f>Sheet1!E179</f>
        <v>IND/MEL/00178</v>
      </c>
      <c r="C179" s="6" t="str">
        <f>UPPER(Sheet1!B179)</f>
        <v>KABIR MYRTHOS</v>
      </c>
      <c r="D179" s="7" t="str">
        <f>IF(Sheet1!F179="F","FEMALE","MALE")</f>
        <v>MALE</v>
      </c>
      <c r="E179" s="6" t="str">
        <f>UPPER(Sheet1!G179)</f>
        <v>KIRAN MYRTHOS</v>
      </c>
      <c r="F179" s="6" t="str">
        <f>UPPER(Sheet1!H179)</f>
        <v>SARA MYRTHOS</v>
      </c>
      <c r="G179" s="5" t="str">
        <f>TEXT(Sheet1!C179,"dd/mm/yyyy") &amp; "," &amp; Sheet1!D179</f>
        <v>16/02/2025,MILDURA</v>
      </c>
      <c r="H179" s="39" t="str">
        <f>UPPER(Sheet1!J179 &amp; "," &amp; Sheet1!K179 &amp; "," &amp; Sheet1!L179)</f>
        <v>198 BIRCHWOOD LANE,EMERALD ROAD,PIN:462004 MILDURA</v>
      </c>
      <c r="I179" s="8">
        <f>Sheet1!I179</f>
        <v>45773</v>
      </c>
      <c r="J179" s="5" t="str">
        <f>Sheet1!M179 &amp; "," &amp; TEXT(Sheet1!N179,"dd/mm/yy")</f>
        <v>MHA/IND/00178,12/08/25</v>
      </c>
      <c r="K179" s="5" t="s">
        <v>5752</v>
      </c>
      <c r="L179" s="31" t="s">
        <v>14</v>
      </c>
      <c r="M179" s="31" t="s">
        <v>15</v>
      </c>
      <c r="N179" s="31" t="s">
        <v>16</v>
      </c>
    </row>
    <row r="180" spans="1:14" x14ac:dyDescent="0.25">
      <c r="A180" s="4" t="str">
        <f>Sheet1!A180 &amp; "/" &amp; "2025"</f>
        <v>179/2025</v>
      </c>
      <c r="B180" s="5" t="str">
        <f>Sheet1!E180</f>
        <v>IND/MEL/00179</v>
      </c>
      <c r="C180" s="6" t="str">
        <f>UPPER(Sheet1!B180)</f>
        <v>ROHIT RISHKAN</v>
      </c>
      <c r="D180" s="7" t="str">
        <f>IF(Sheet1!F180="F","FEMALE","MALE")</f>
        <v>MALE</v>
      </c>
      <c r="E180" s="6" t="str">
        <f>UPPER(Sheet1!G180)</f>
        <v>ARJUN RISHKAN</v>
      </c>
      <c r="F180" s="6" t="str">
        <f>UPPER(Sheet1!H180)</f>
        <v>ANYA RISHKAN</v>
      </c>
      <c r="G180" s="5" t="str">
        <f>TEXT(Sheet1!C180,"dd/mm/yyyy") &amp; "," &amp; Sheet1!D180</f>
        <v>14/02/2025,KINGSWOOD</v>
      </c>
      <c r="H180" s="39" t="str">
        <f>UPPER(Sheet1!J180 &amp; "," &amp; Sheet1!K180 &amp; "," &amp; Sheet1!L180)</f>
        <v>83 BIRCHWOOD LANE,EMERALD ROAD,PIN:270087 KINGSWOOD</v>
      </c>
      <c r="I180" s="8">
        <f>Sheet1!I180</f>
        <v>45741</v>
      </c>
      <c r="J180" s="5" t="str">
        <f>Sheet1!M180 &amp; "," &amp; TEXT(Sheet1!N180,"dd/mm/yy")</f>
        <v>MHA/IND/00179,24/07/25</v>
      </c>
      <c r="K180" s="5" t="s">
        <v>5752</v>
      </c>
      <c r="L180" s="31" t="s">
        <v>14</v>
      </c>
      <c r="M180" s="31" t="s">
        <v>15</v>
      </c>
      <c r="N180" s="31" t="s">
        <v>16</v>
      </c>
    </row>
    <row r="181" spans="1:14" x14ac:dyDescent="0.25">
      <c r="A181" s="4" t="str">
        <f>Sheet1!A181 &amp; "/" &amp; "2025"</f>
        <v>180/2025</v>
      </c>
      <c r="B181" s="5" t="str">
        <f>Sheet1!E181</f>
        <v>IND/MEL/00180</v>
      </c>
      <c r="C181" s="6" t="str">
        <f>UPPER(Sheet1!B181)</f>
        <v>ROHIT MYRTHOS</v>
      </c>
      <c r="D181" s="7" t="str">
        <f>IF(Sheet1!F181="F","FEMALE","MALE")</f>
        <v>MALE</v>
      </c>
      <c r="E181" s="6" t="str">
        <f>UPPER(Sheet1!G181)</f>
        <v>NEIL MYRTHOS</v>
      </c>
      <c r="F181" s="6" t="str">
        <f>UPPER(Sheet1!H181)</f>
        <v>RIYA MYRTHOS</v>
      </c>
      <c r="G181" s="5" t="str">
        <f>TEXT(Sheet1!C181,"dd/mm/yyyy") &amp; "," &amp; Sheet1!D181</f>
        <v>17/09/2025,TUGGERANONG</v>
      </c>
      <c r="H181" s="39" t="str">
        <f>UPPER(Sheet1!J181 &amp; "," &amp; Sheet1!K181 &amp; "," &amp; Sheet1!L181)</f>
        <v>97 BIRCHWOOD LANE,EMERALD ROAD,PIN:639992 TUGGERANONG</v>
      </c>
      <c r="I181" s="8">
        <f>Sheet1!I181</f>
        <v>45969</v>
      </c>
      <c r="J181" s="5" t="str">
        <f>Sheet1!M181 &amp; "," &amp; TEXT(Sheet1!N181,"dd/mm/yy")</f>
        <v>MHA/IND/00180,17/08/25</v>
      </c>
      <c r="K181" s="5" t="s">
        <v>5752</v>
      </c>
      <c r="L181" s="31" t="s">
        <v>14</v>
      </c>
      <c r="M181" s="31" t="s">
        <v>15</v>
      </c>
      <c r="N181" s="31" t="s">
        <v>16</v>
      </c>
    </row>
    <row r="182" spans="1:14" x14ac:dyDescent="0.25">
      <c r="A182" s="4" t="str">
        <f>Sheet1!A182 &amp; "/" &amp; "2025"</f>
        <v>181/2025</v>
      </c>
      <c r="B182" s="5" t="str">
        <f>Sheet1!E182</f>
        <v>IND/MEL/00181</v>
      </c>
      <c r="C182" s="6" t="str">
        <f>UPPER(Sheet1!B182)</f>
        <v>ALYA RAO</v>
      </c>
      <c r="D182" s="7" t="str">
        <f>IF(Sheet1!F182="F","FEMALE","MALE")</f>
        <v>FEMALE</v>
      </c>
      <c r="E182" s="6" t="str">
        <f>UPPER(Sheet1!G182)</f>
        <v>ROHIT RAO</v>
      </c>
      <c r="F182" s="6" t="str">
        <f>UPPER(Sheet1!H182)</f>
        <v>ALYA RAO</v>
      </c>
      <c r="G182" s="5" t="str">
        <f>TEXT(Sheet1!C182,"dd/mm/yyyy") &amp; "," &amp; Sheet1!D182</f>
        <v>14/01/2025,HEIDELBERG</v>
      </c>
      <c r="H182" s="39" t="str">
        <f>UPPER(Sheet1!J182 &amp; "," &amp; Sheet1!K182 &amp; "," &amp; Sheet1!L182)</f>
        <v>140 BIRCHWOOD LANE,EMERALD ROAD,PIN:499471 HEIDELBERG</v>
      </c>
      <c r="I182" s="8">
        <f>Sheet1!I182</f>
        <v>45780</v>
      </c>
      <c r="J182" s="5" t="str">
        <f>Sheet1!M182 &amp; "," &amp; TEXT(Sheet1!N182,"dd/mm/yy")</f>
        <v>MHA/IND/00181,28/07/25</v>
      </c>
      <c r="K182" s="5" t="s">
        <v>5752</v>
      </c>
      <c r="L182" s="31" t="s">
        <v>14</v>
      </c>
      <c r="M182" s="31" t="s">
        <v>15</v>
      </c>
      <c r="N182" s="31" t="s">
        <v>16</v>
      </c>
    </row>
    <row r="183" spans="1:14" x14ac:dyDescent="0.25">
      <c r="A183" s="4" t="str">
        <f>Sheet1!A183 &amp; "/" &amp; "2025"</f>
        <v>182/2025</v>
      </c>
      <c r="B183" s="5" t="str">
        <f>Sheet1!E183</f>
        <v>IND/MEL/00182</v>
      </c>
      <c r="C183" s="6" t="str">
        <f>UPPER(Sheet1!B183)</f>
        <v>NEIL RISHKAN</v>
      </c>
      <c r="D183" s="7" t="str">
        <f>IF(Sheet1!F183="F","FEMALE","MALE")</f>
        <v>MALE</v>
      </c>
      <c r="E183" s="6" t="str">
        <f>UPPER(Sheet1!G183)</f>
        <v>NEIL RISHKAN</v>
      </c>
      <c r="F183" s="6" t="str">
        <f>UPPER(Sheet1!H183)</f>
        <v>NINA RISHKAN</v>
      </c>
      <c r="G183" s="5" t="str">
        <f>TEXT(Sheet1!C183,"dd/mm/yyyy") &amp; "," &amp; Sheet1!D183</f>
        <v>23/05/2025,BALLARAT CENTRAL</v>
      </c>
      <c r="H183" s="39" t="str">
        <f>UPPER(Sheet1!J183 &amp; "," &amp; Sheet1!K183 &amp; "," &amp; Sheet1!L183)</f>
        <v>80 BIRCHWOOD LANE,EMERALD ROAD,PIN:295625 BALLARAT CENTRAL</v>
      </c>
      <c r="I183" s="8">
        <f>Sheet1!I183</f>
        <v>45822</v>
      </c>
      <c r="J183" s="5" t="str">
        <f>Sheet1!M183 &amp; "," &amp; TEXT(Sheet1!N183,"dd/mm/yy")</f>
        <v>MHA/IND/00182,13/07/25</v>
      </c>
      <c r="K183" s="5" t="s">
        <v>5752</v>
      </c>
      <c r="L183" s="31" t="s">
        <v>14</v>
      </c>
      <c r="M183" s="31" t="s">
        <v>15</v>
      </c>
      <c r="N183" s="31" t="s">
        <v>16</v>
      </c>
    </row>
    <row r="184" spans="1:14" x14ac:dyDescent="0.25">
      <c r="A184" s="4" t="str">
        <f>Sheet1!A184 &amp; "/" &amp; "2025"</f>
        <v>183/2025</v>
      </c>
      <c r="B184" s="5" t="str">
        <f>Sheet1!E184</f>
        <v>IND/MEL/00183</v>
      </c>
      <c r="C184" s="6" t="str">
        <f>UPPER(Sheet1!B184)</f>
        <v>RIYA SHARMA</v>
      </c>
      <c r="D184" s="7" t="str">
        <f>IF(Sheet1!F184="F","FEMALE","MALE")</f>
        <v>FEMALE</v>
      </c>
      <c r="E184" s="6" t="str">
        <f>UPPER(Sheet1!G184)</f>
        <v>KABIR SHARMA</v>
      </c>
      <c r="F184" s="6" t="str">
        <f>UPPER(Sheet1!H184)</f>
        <v>ALYA SHARMA</v>
      </c>
      <c r="G184" s="5" t="str">
        <f>TEXT(Sheet1!C184,"dd/mm/yyyy") &amp; "," &amp; Sheet1!D184</f>
        <v>02/10/2025,BUNDABERG</v>
      </c>
      <c r="H184" s="39" t="str">
        <f>UPPER(Sheet1!J184 &amp; "," &amp; Sheet1!K184 &amp; "," &amp; Sheet1!L184)</f>
        <v>164 BIRCHWOOD LANE,EMERALD ROAD,PIN:842372 BUNDABERG</v>
      </c>
      <c r="I184" s="8">
        <f>Sheet1!I184</f>
        <v>45950</v>
      </c>
      <c r="J184" s="5" t="str">
        <f>Sheet1!M184 &amp; "," &amp; TEXT(Sheet1!N184,"dd/mm/yy")</f>
        <v>MHA/IND/00183,16/08/25</v>
      </c>
      <c r="K184" s="5" t="s">
        <v>5752</v>
      </c>
      <c r="L184" s="31" t="s">
        <v>14</v>
      </c>
      <c r="M184" s="31" t="s">
        <v>15</v>
      </c>
      <c r="N184" s="31" t="s">
        <v>16</v>
      </c>
    </row>
    <row r="185" spans="1:14" x14ac:dyDescent="0.25">
      <c r="A185" s="4" t="str">
        <f>Sheet1!A185 &amp; "/" &amp; "2025"</f>
        <v>184/2025</v>
      </c>
      <c r="B185" s="5" t="str">
        <f>Sheet1!E185</f>
        <v>IND/MEL/00184</v>
      </c>
      <c r="C185" s="6" t="str">
        <f>UPPER(Sheet1!B185)</f>
        <v>ALYA SHARMA</v>
      </c>
      <c r="D185" s="7" t="str">
        <f>IF(Sheet1!F185="F","FEMALE","MALE")</f>
        <v>FEMALE</v>
      </c>
      <c r="E185" s="6" t="str">
        <f>UPPER(Sheet1!G185)</f>
        <v>KABIR SHARMA</v>
      </c>
      <c r="F185" s="6" t="str">
        <f>UPPER(Sheet1!H185)</f>
        <v>ALYA SHARMA</v>
      </c>
      <c r="G185" s="5" t="str">
        <f>TEXT(Sheet1!C185,"dd/mm/yyyy") &amp; "," &amp; Sheet1!D185</f>
        <v>28/04/2025,LAUNCESTON</v>
      </c>
      <c r="H185" s="39" t="str">
        <f>UPPER(Sheet1!J185 &amp; "," &amp; Sheet1!K185 &amp; "," &amp; Sheet1!L185)</f>
        <v>15 BIRCHWOOD LANE,EMERALD ROAD,PIN:931268 LAUNCESTON</v>
      </c>
      <c r="I185" s="8">
        <f>Sheet1!I185</f>
        <v>45864</v>
      </c>
      <c r="J185" s="5" t="str">
        <f>Sheet1!M185 &amp; "," &amp; TEXT(Sheet1!N185,"dd/mm/yy")</f>
        <v>MHA/IND/00184,28/08/25</v>
      </c>
      <c r="K185" s="5" t="s">
        <v>5752</v>
      </c>
      <c r="L185" s="31" t="s">
        <v>14</v>
      </c>
      <c r="M185" s="31" t="s">
        <v>15</v>
      </c>
      <c r="N185" s="31" t="s">
        <v>16</v>
      </c>
    </row>
    <row r="186" spans="1:14" x14ac:dyDescent="0.25">
      <c r="A186" s="4" t="str">
        <f>Sheet1!A186 &amp; "/" &amp; "2025"</f>
        <v>185/2025</v>
      </c>
      <c r="B186" s="5" t="str">
        <f>Sheet1!E186</f>
        <v>IND/MEL/00185</v>
      </c>
      <c r="C186" s="6" t="str">
        <f>UPPER(Sheet1!B186)</f>
        <v>SARA KALEON</v>
      </c>
      <c r="D186" s="7" t="str">
        <f>IF(Sheet1!F186="F","FEMALE","MALE")</f>
        <v>FEMALE</v>
      </c>
      <c r="E186" s="6" t="str">
        <f>UPPER(Sheet1!G186)</f>
        <v>KABIR KALEON</v>
      </c>
      <c r="F186" s="6" t="str">
        <f>UPPER(Sheet1!H186)</f>
        <v>MIRA KALEON</v>
      </c>
      <c r="G186" s="5" t="str">
        <f>TEXT(Sheet1!C186,"dd/mm/yyyy") &amp; "," &amp; Sheet1!D186</f>
        <v>12/10/2025,BUNDOORA</v>
      </c>
      <c r="H186" s="39" t="str">
        <f>UPPER(Sheet1!J186 &amp; "," &amp; Sheet1!K186 &amp; "," &amp; Sheet1!L186)</f>
        <v>100 BIRCHWOOD LANE,EMERALD ROAD,PIN:115514 BUNDOORA</v>
      </c>
      <c r="I186" s="8">
        <f>Sheet1!I186</f>
        <v>45975</v>
      </c>
      <c r="J186" s="5" t="str">
        <f>Sheet1!M186 &amp; "," &amp; TEXT(Sheet1!N186,"dd/mm/yy")</f>
        <v>MHA/IND/00185,20/07/25</v>
      </c>
      <c r="K186" s="5" t="s">
        <v>5752</v>
      </c>
      <c r="L186" s="31" t="s">
        <v>14</v>
      </c>
      <c r="M186" s="31" t="s">
        <v>15</v>
      </c>
      <c r="N186" s="31" t="s">
        <v>16</v>
      </c>
    </row>
    <row r="187" spans="1:14" x14ac:dyDescent="0.25">
      <c r="A187" s="4" t="str">
        <f>Sheet1!A187 &amp; "/" &amp; "2025"</f>
        <v>186/2025</v>
      </c>
      <c r="B187" s="5" t="str">
        <f>Sheet1!E187</f>
        <v>IND/MEL/00186</v>
      </c>
      <c r="C187" s="6" t="str">
        <f>UPPER(Sheet1!B187)</f>
        <v>ARJUN VALZARI</v>
      </c>
      <c r="D187" s="7" t="str">
        <f>IF(Sheet1!F187="F","FEMALE","MALE")</f>
        <v>MALE</v>
      </c>
      <c r="E187" s="6" t="str">
        <f>UPPER(Sheet1!G187)</f>
        <v>ARJUN VALZARI</v>
      </c>
      <c r="F187" s="6" t="str">
        <f>UPPER(Sheet1!H187)</f>
        <v>ALYA VALZARI</v>
      </c>
      <c r="G187" s="5" t="str">
        <f>TEXT(Sheet1!C187,"dd/mm/yyyy") &amp; "," &amp; Sheet1!D187</f>
        <v>07/01/2025,ST ALBANS</v>
      </c>
      <c r="H187" s="39" t="str">
        <f>UPPER(Sheet1!J187 &amp; "," &amp; Sheet1!K187 &amp; "," &amp; Sheet1!L187)</f>
        <v>140 BIRCHWOOD LANE,EMERALD ROAD,PIN:979619 ST ALBANS</v>
      </c>
      <c r="I187" s="8">
        <f>Sheet1!I187</f>
        <v>45725</v>
      </c>
      <c r="J187" s="5" t="str">
        <f>Sheet1!M187 &amp; "," &amp; TEXT(Sheet1!N187,"dd/mm/yy")</f>
        <v>MHA/IND/00186,21/07/25</v>
      </c>
      <c r="K187" s="5" t="s">
        <v>5752</v>
      </c>
      <c r="L187" s="31" t="s">
        <v>14</v>
      </c>
      <c r="M187" s="31" t="s">
        <v>15</v>
      </c>
      <c r="N187" s="31" t="s">
        <v>16</v>
      </c>
    </row>
    <row r="188" spans="1:14" x14ac:dyDescent="0.25">
      <c r="A188" s="4" t="str">
        <f>Sheet1!A188 &amp; "/" &amp; "2025"</f>
        <v>187/2025</v>
      </c>
      <c r="B188" s="5" t="str">
        <f>Sheet1!E188</f>
        <v>IND/MEL/00187</v>
      </c>
      <c r="C188" s="6" t="str">
        <f>UPPER(Sheet1!B188)</f>
        <v>NEIL VALZARI</v>
      </c>
      <c r="D188" s="7" t="str">
        <f>IF(Sheet1!F188="F","FEMALE","MALE")</f>
        <v>MALE</v>
      </c>
      <c r="E188" s="6" t="str">
        <f>UPPER(Sheet1!G188)</f>
        <v>ISHAN VALZARI</v>
      </c>
      <c r="F188" s="6" t="str">
        <f>UPPER(Sheet1!H188)</f>
        <v>SARA VALZARI</v>
      </c>
      <c r="G188" s="5" t="str">
        <f>TEXT(Sheet1!C188,"dd/mm/yyyy") &amp; "," &amp; Sheet1!D188</f>
        <v>25/08/2025,BLACKTOWN</v>
      </c>
      <c r="H188" s="39" t="str">
        <f>UPPER(Sheet1!J188 &amp; "," &amp; Sheet1!K188 &amp; "," &amp; Sheet1!L188)</f>
        <v>59 BIRCHWOOD LANE,EMERALD ROAD,PIN:338900 BLACKTOWN</v>
      </c>
      <c r="I188" s="8">
        <f>Sheet1!I188</f>
        <v>45951</v>
      </c>
      <c r="J188" s="5" t="str">
        <f>Sheet1!M188 &amp; "," &amp; TEXT(Sheet1!N188,"dd/mm/yy")</f>
        <v>MHA/IND/00187,26/08/25</v>
      </c>
      <c r="K188" s="5" t="s">
        <v>5752</v>
      </c>
      <c r="L188" s="31" t="s">
        <v>14</v>
      </c>
      <c r="M188" s="31" t="s">
        <v>15</v>
      </c>
      <c r="N188" s="31" t="s">
        <v>16</v>
      </c>
    </row>
    <row r="189" spans="1:14" x14ac:dyDescent="0.25">
      <c r="A189" s="4" t="str">
        <f>Sheet1!A189 &amp; "/" &amp; "2025"</f>
        <v>188/2025</v>
      </c>
      <c r="B189" s="5" t="str">
        <f>Sheet1!E189</f>
        <v>IND/MEL/00188</v>
      </c>
      <c r="C189" s="6" t="str">
        <f>UPPER(Sheet1!B189)</f>
        <v>ANYA RISHKAN</v>
      </c>
      <c r="D189" s="7" t="str">
        <f>IF(Sheet1!F189="F","FEMALE","MALE")</f>
        <v>FEMALE</v>
      </c>
      <c r="E189" s="6" t="str">
        <f>UPPER(Sheet1!G189)</f>
        <v>ROHIT RISHKAN</v>
      </c>
      <c r="F189" s="6" t="str">
        <f>UPPER(Sheet1!H189)</f>
        <v>MIRA RISHKAN</v>
      </c>
      <c r="G189" s="5" t="str">
        <f>TEXT(Sheet1!C189,"dd/mm/yyyy") &amp; "," &amp; Sheet1!D189</f>
        <v>22/08/2025,DARWIN</v>
      </c>
      <c r="H189" s="39" t="str">
        <f>UPPER(Sheet1!J189 &amp; "," &amp; Sheet1!K189 &amp; "," &amp; Sheet1!L189)</f>
        <v>125 BIRCHWOOD LANE,EMERALD ROAD,PIN:311709 DARWIN</v>
      </c>
      <c r="I189" s="8">
        <f>Sheet1!I189</f>
        <v>45934</v>
      </c>
      <c r="J189" s="5" t="str">
        <f>Sheet1!M189 &amp; "," &amp; TEXT(Sheet1!N189,"dd/mm/yy")</f>
        <v>MHA/IND/00188,15/08/25</v>
      </c>
      <c r="K189" s="5" t="s">
        <v>5752</v>
      </c>
      <c r="L189" s="31" t="s">
        <v>14</v>
      </c>
      <c r="M189" s="31" t="s">
        <v>15</v>
      </c>
      <c r="N189" s="31" t="s">
        <v>16</v>
      </c>
    </row>
    <row r="190" spans="1:14" x14ac:dyDescent="0.25">
      <c r="A190" s="4" t="str">
        <f>Sheet1!A190 &amp; "/" &amp; "2025"</f>
        <v>189/2025</v>
      </c>
      <c r="B190" s="5" t="str">
        <f>Sheet1!E190</f>
        <v>IND/MEL/00189</v>
      </c>
      <c r="C190" s="6" t="str">
        <f>UPPER(Sheet1!B190)</f>
        <v>RIYA VALZARI</v>
      </c>
      <c r="D190" s="7" t="str">
        <f>IF(Sheet1!F190="F","FEMALE","MALE")</f>
        <v>FEMALE</v>
      </c>
      <c r="E190" s="6" t="str">
        <f>UPPER(Sheet1!G190)</f>
        <v>KIRAN VALZARI</v>
      </c>
      <c r="F190" s="6" t="str">
        <f>UPPER(Sheet1!H190)</f>
        <v>RIYA VALZARI</v>
      </c>
      <c r="G190" s="5" t="str">
        <f>TEXT(Sheet1!C190,"dd/mm/yyyy") &amp; "," &amp; Sheet1!D190</f>
        <v>24/01/2025,TOWNSVILLE</v>
      </c>
      <c r="H190" s="39" t="str">
        <f>UPPER(Sheet1!J190 &amp; "," &amp; Sheet1!K190 &amp; "," &amp; Sheet1!L190)</f>
        <v>66 BIRCHWOOD LANE,EMERALD ROAD,PIN:614427 TOWNSVILLE</v>
      </c>
      <c r="I190" s="8">
        <f>Sheet1!I190</f>
        <v>45731</v>
      </c>
      <c r="J190" s="5" t="str">
        <f>Sheet1!M190 &amp; "," &amp; TEXT(Sheet1!N190,"dd/mm/yy")</f>
        <v>MHA/IND/00189,19/07/25</v>
      </c>
      <c r="K190" s="5" t="s">
        <v>5752</v>
      </c>
      <c r="L190" s="31" t="s">
        <v>14</v>
      </c>
      <c r="M190" s="31" t="s">
        <v>15</v>
      </c>
      <c r="N190" s="31" t="s">
        <v>16</v>
      </c>
    </row>
    <row r="191" spans="1:14" x14ac:dyDescent="0.25">
      <c r="A191" s="4" t="str">
        <f>Sheet1!A191 &amp; "/" &amp; "2025"</f>
        <v>190/2025</v>
      </c>
      <c r="B191" s="5" t="str">
        <f>Sheet1!E191</f>
        <v>IND/MEL/00190</v>
      </c>
      <c r="C191" s="6" t="str">
        <f>UPPER(Sheet1!B191)</f>
        <v>NINA MYRTHOS</v>
      </c>
      <c r="D191" s="7" t="str">
        <f>IF(Sheet1!F191="F","FEMALE","MALE")</f>
        <v>FEMALE</v>
      </c>
      <c r="E191" s="6" t="str">
        <f>UPPER(Sheet1!G191)</f>
        <v>NEIL MYRTHOS</v>
      </c>
      <c r="F191" s="6" t="str">
        <f>UPPER(Sheet1!H191)</f>
        <v>MIRA MYRTHOS</v>
      </c>
      <c r="G191" s="5" t="str">
        <f>TEXT(Sheet1!C191,"dd/mm/yyyy") &amp; "," &amp; Sheet1!D191</f>
        <v>15/05/2025,MANDURAH</v>
      </c>
      <c r="H191" s="39" t="str">
        <f>UPPER(Sheet1!J191 &amp; "," &amp; Sheet1!K191 &amp; "," &amp; Sheet1!L191)</f>
        <v>141 BIRCHWOOD LANE,EMERALD ROAD,PIN:221704 MANDURAH</v>
      </c>
      <c r="I191" s="8">
        <f>Sheet1!I191</f>
        <v>45804</v>
      </c>
      <c r="J191" s="5" t="str">
        <f>Sheet1!M191 &amp; "," &amp; TEXT(Sheet1!N191,"dd/mm/yy")</f>
        <v>MHA/IND/00190,18/07/25</v>
      </c>
      <c r="K191" s="5" t="s">
        <v>5752</v>
      </c>
      <c r="L191" s="31" t="s">
        <v>14</v>
      </c>
      <c r="M191" s="31" t="s">
        <v>15</v>
      </c>
      <c r="N191" s="31" t="s">
        <v>16</v>
      </c>
    </row>
    <row r="192" spans="1:14" x14ac:dyDescent="0.25">
      <c r="A192" s="4" t="str">
        <f>Sheet1!A192 &amp; "/" &amp; "2025"</f>
        <v>191/2025</v>
      </c>
      <c r="B192" s="5" t="str">
        <f>Sheet1!E192</f>
        <v>IND/MEL/00191</v>
      </c>
      <c r="C192" s="6" t="str">
        <f>UPPER(Sheet1!B192)</f>
        <v>KABIR KALEON</v>
      </c>
      <c r="D192" s="7" t="str">
        <f>IF(Sheet1!F192="F","FEMALE","MALE")</f>
        <v>MALE</v>
      </c>
      <c r="E192" s="6" t="str">
        <f>UPPER(Sheet1!G192)</f>
        <v>KABIR KALEON</v>
      </c>
      <c r="F192" s="6" t="str">
        <f>UPPER(Sheet1!H192)</f>
        <v>TARA KALEON</v>
      </c>
      <c r="G192" s="5" t="str">
        <f>TEXT(Sheet1!C192,"dd/mm/yyyy") &amp; "," &amp; Sheet1!D192</f>
        <v>04/03/2025,CLAYTON</v>
      </c>
      <c r="H192" s="39" t="str">
        <f>UPPER(Sheet1!J192 &amp; "," &amp; Sheet1!K192 &amp; "," &amp; Sheet1!L192)</f>
        <v>185 BIRCHWOOD LANE,EMERALD ROAD,PIN:746995 CLAYTON</v>
      </c>
      <c r="I192" s="8">
        <f>Sheet1!I192</f>
        <v>45828</v>
      </c>
      <c r="J192" s="5" t="str">
        <f>Sheet1!M192 &amp; "," &amp; TEXT(Sheet1!N192,"dd/mm/yy")</f>
        <v>MHA/IND/00191,01/08/25</v>
      </c>
      <c r="K192" s="5" t="s">
        <v>5752</v>
      </c>
      <c r="L192" s="31" t="s">
        <v>14</v>
      </c>
      <c r="M192" s="31" t="s">
        <v>15</v>
      </c>
      <c r="N192" s="31" t="s">
        <v>16</v>
      </c>
    </row>
    <row r="193" spans="1:14" x14ac:dyDescent="0.25">
      <c r="A193" s="4" t="str">
        <f>Sheet1!A193 &amp; "/" &amp; "2025"</f>
        <v>192/2025</v>
      </c>
      <c r="B193" s="5" t="str">
        <f>Sheet1!E193</f>
        <v>IND/MEL/00192</v>
      </c>
      <c r="C193" s="6" t="str">
        <f>UPPER(Sheet1!B193)</f>
        <v>MIRA MYRTHOS</v>
      </c>
      <c r="D193" s="7" t="str">
        <f>IF(Sheet1!F193="F","FEMALE","MALE")</f>
        <v>FEMALE</v>
      </c>
      <c r="E193" s="6" t="str">
        <f>UPPER(Sheet1!G193)</f>
        <v>KIRAN MYRTHOS</v>
      </c>
      <c r="F193" s="6" t="str">
        <f>UPPER(Sheet1!H193)</f>
        <v>SARA MYRTHOS</v>
      </c>
      <c r="G193" s="5" t="str">
        <f>TEXT(Sheet1!C193,"dd/mm/yyyy") &amp; "," &amp; Sheet1!D193</f>
        <v>02/09/2025,WAGGA WAGGA</v>
      </c>
      <c r="H193" s="39" t="str">
        <f>UPPER(Sheet1!J193 &amp; "," &amp; Sheet1!K193 &amp; "," &amp; Sheet1!L193)</f>
        <v>91 BIRCHWOOD LANE,EMERALD ROAD,PIN:224333 WAGGA WAGGA</v>
      </c>
      <c r="I193" s="8">
        <f>Sheet1!I193</f>
        <v>45948</v>
      </c>
      <c r="J193" s="5" t="str">
        <f>Sheet1!M193 &amp; "," &amp; TEXT(Sheet1!N193,"dd/mm/yy")</f>
        <v>MHA/IND/00192,16/08/25</v>
      </c>
      <c r="K193" s="5" t="s">
        <v>5752</v>
      </c>
      <c r="L193" s="31" t="s">
        <v>14</v>
      </c>
      <c r="M193" s="31" t="s">
        <v>15</v>
      </c>
      <c r="N193" s="31" t="s">
        <v>16</v>
      </c>
    </row>
    <row r="194" spans="1:14" x14ac:dyDescent="0.25">
      <c r="A194" s="4" t="str">
        <f>Sheet1!A194 &amp; "/" &amp; "2025"</f>
        <v>193/2025</v>
      </c>
      <c r="B194" s="5" t="str">
        <f>Sheet1!E194</f>
        <v>IND/MEL/00193</v>
      </c>
      <c r="C194" s="6" t="str">
        <f>UPPER(Sheet1!B194)</f>
        <v>KIRAN SHARMA</v>
      </c>
      <c r="D194" s="7" t="str">
        <f>IF(Sheet1!F194="F","FEMALE","MALE")</f>
        <v>MALE</v>
      </c>
      <c r="E194" s="6" t="str">
        <f>UPPER(Sheet1!G194)</f>
        <v>ROHIT SHARMA</v>
      </c>
      <c r="F194" s="6" t="str">
        <f>UPPER(Sheet1!H194)</f>
        <v>ANYA SHARMA</v>
      </c>
      <c r="G194" s="5" t="str">
        <f>TEXT(Sheet1!C194,"dd/mm/yyyy") &amp; "," &amp; Sheet1!D194</f>
        <v>25/04/2025,BOX HILL</v>
      </c>
      <c r="H194" s="39" t="str">
        <f>UPPER(Sheet1!J194 &amp; "," &amp; Sheet1!K194 &amp; "," &amp; Sheet1!L194)</f>
        <v>177 BIRCHWOOD LANE,EMERALD ROAD,PIN:240679 BOX HILL</v>
      </c>
      <c r="I194" s="8">
        <f>Sheet1!I194</f>
        <v>45866</v>
      </c>
      <c r="J194" s="5" t="str">
        <f>Sheet1!M194 &amp; "," &amp; TEXT(Sheet1!N194,"dd/mm/yy")</f>
        <v>MHA/IND/00193,02/08/25</v>
      </c>
      <c r="K194" s="5" t="s">
        <v>5752</v>
      </c>
      <c r="L194" s="31" t="s">
        <v>14</v>
      </c>
      <c r="M194" s="31" t="s">
        <v>15</v>
      </c>
      <c r="N194" s="31" t="s">
        <v>16</v>
      </c>
    </row>
    <row r="195" spans="1:14" x14ac:dyDescent="0.25">
      <c r="A195" s="4" t="str">
        <f>Sheet1!A195 &amp; "/" &amp; "2025"</f>
        <v>194/2025</v>
      </c>
      <c r="B195" s="5" t="str">
        <f>Sheet1!E195</f>
        <v>IND/MEL/00194</v>
      </c>
      <c r="C195" s="6" t="str">
        <f>UPPER(Sheet1!B195)</f>
        <v>KIRAN KALEON</v>
      </c>
      <c r="D195" s="7" t="str">
        <f>IF(Sheet1!F195="F","FEMALE","MALE")</f>
        <v>MALE</v>
      </c>
      <c r="E195" s="6" t="str">
        <f>UPPER(Sheet1!G195)</f>
        <v>NEIL KALEON</v>
      </c>
      <c r="F195" s="6" t="str">
        <f>UPPER(Sheet1!H195)</f>
        <v>ALYA KALEON</v>
      </c>
      <c r="G195" s="5" t="str">
        <f>TEXT(Sheet1!C195,"dd/mm/yyyy") &amp; "," &amp; Sheet1!D195</f>
        <v>08/08/2025,ARMADALE</v>
      </c>
      <c r="H195" s="39" t="str">
        <f>UPPER(Sheet1!J195 &amp; "," &amp; Sheet1!K195 &amp; "," &amp; Sheet1!L195)</f>
        <v>129 BIRCHWOOD LANE,EMERALD ROAD,PIN:586924 ARMADALE</v>
      </c>
      <c r="I195" s="8">
        <f>Sheet1!I195</f>
        <v>45911</v>
      </c>
      <c r="J195" s="5" t="str">
        <f>Sheet1!M195 &amp; "," &amp; TEXT(Sheet1!N195,"dd/mm/yy")</f>
        <v>MHA/IND/00194,23/07/25</v>
      </c>
      <c r="K195" s="5" t="s">
        <v>5752</v>
      </c>
      <c r="L195" s="31" t="s">
        <v>14</v>
      </c>
      <c r="M195" s="31" t="s">
        <v>15</v>
      </c>
      <c r="N195" s="31" t="s">
        <v>16</v>
      </c>
    </row>
    <row r="196" spans="1:14" x14ac:dyDescent="0.25">
      <c r="A196" s="4" t="str">
        <f>Sheet1!A196 &amp; "/" &amp; "2025"</f>
        <v>195/2025</v>
      </c>
      <c r="B196" s="5" t="str">
        <f>Sheet1!E196</f>
        <v>IND/MEL/00195</v>
      </c>
      <c r="C196" s="6" t="str">
        <f>UPPER(Sheet1!B196)</f>
        <v>TARA SINDALE</v>
      </c>
      <c r="D196" s="7" t="str">
        <f>IF(Sheet1!F196="F","FEMALE","MALE")</f>
        <v>FEMALE</v>
      </c>
      <c r="E196" s="6" t="str">
        <f>UPPER(Sheet1!G196)</f>
        <v>KIRAN SINDALE</v>
      </c>
      <c r="F196" s="6" t="str">
        <f>UPPER(Sheet1!H196)</f>
        <v>RIYA SINDALE</v>
      </c>
      <c r="G196" s="5" t="str">
        <f>TEXT(Sheet1!C196,"dd/mm/yyyy") &amp; "," &amp; Sheet1!D196</f>
        <v>03/03/2025,BUNDABERG</v>
      </c>
      <c r="H196" s="39" t="str">
        <f>UPPER(Sheet1!J196 &amp; "," &amp; Sheet1!K196 &amp; "," &amp; Sheet1!L196)</f>
        <v>16 BIRCHWOOD LANE,EMERALD ROAD,PIN:282096 BUNDABERG</v>
      </c>
      <c r="I196" s="8">
        <f>Sheet1!I196</f>
        <v>45770</v>
      </c>
      <c r="J196" s="5" t="str">
        <f>Sheet1!M196 &amp; "," &amp; TEXT(Sheet1!N196,"dd/mm/yy")</f>
        <v>MHA/IND/00195,04/08/25</v>
      </c>
      <c r="K196" s="5" t="s">
        <v>5752</v>
      </c>
      <c r="L196" s="31" t="s">
        <v>14</v>
      </c>
      <c r="M196" s="31" t="s">
        <v>15</v>
      </c>
      <c r="N196" s="31" t="s">
        <v>16</v>
      </c>
    </row>
    <row r="197" spans="1:14" x14ac:dyDescent="0.25">
      <c r="A197" s="4" t="str">
        <f>Sheet1!A197 &amp; "/" &amp; "2025"</f>
        <v>196/2025</v>
      </c>
      <c r="B197" s="5" t="str">
        <f>Sheet1!E197</f>
        <v>IND/MEL/00196</v>
      </c>
      <c r="C197" s="6" t="str">
        <f>UPPER(Sheet1!B197)</f>
        <v>DEV RAO</v>
      </c>
      <c r="D197" s="7" t="str">
        <f>IF(Sheet1!F197="F","FEMALE","MALE")</f>
        <v>MALE</v>
      </c>
      <c r="E197" s="6" t="str">
        <f>UPPER(Sheet1!G197)</f>
        <v>ARJUN RAO</v>
      </c>
      <c r="F197" s="6" t="str">
        <f>UPPER(Sheet1!H197)</f>
        <v>SARA RAO</v>
      </c>
      <c r="G197" s="5" t="str">
        <f>TEXT(Sheet1!C197,"dd/mm/yyyy") &amp; "," &amp; Sheet1!D197</f>
        <v>28/03/2025,CANBERRA</v>
      </c>
      <c r="H197" s="39" t="str">
        <f>UPPER(Sheet1!J197 &amp; "," &amp; Sheet1!K197 &amp; "," &amp; Sheet1!L197)</f>
        <v>41 BIRCHWOOD LANE,EMERALD ROAD,PIN:342753 CANBERRA</v>
      </c>
      <c r="I197" s="8">
        <f>Sheet1!I197</f>
        <v>45788</v>
      </c>
      <c r="J197" s="5" t="str">
        <f>Sheet1!M197 &amp; "," &amp; TEXT(Sheet1!N197,"dd/mm/yy")</f>
        <v>MHA/IND/00196,15/07/25</v>
      </c>
      <c r="K197" s="5" t="s">
        <v>5752</v>
      </c>
      <c r="L197" s="31" t="s">
        <v>14</v>
      </c>
      <c r="M197" s="31" t="s">
        <v>15</v>
      </c>
      <c r="N197" s="31" t="s">
        <v>16</v>
      </c>
    </row>
    <row r="198" spans="1:14" x14ac:dyDescent="0.25">
      <c r="A198" s="4" t="str">
        <f>Sheet1!A198 &amp; "/" &amp; "2025"</f>
        <v>197/2025</v>
      </c>
      <c r="B198" s="5" t="str">
        <f>Sheet1!E198</f>
        <v>IND/MEL/00197</v>
      </c>
      <c r="C198" s="6" t="str">
        <f>UPPER(Sheet1!B198)</f>
        <v>ISHAN RISHKAN</v>
      </c>
      <c r="D198" s="7" t="str">
        <f>IF(Sheet1!F198="F","FEMALE","MALE")</f>
        <v>MALE</v>
      </c>
      <c r="E198" s="6" t="str">
        <f>UPPER(Sheet1!G198)</f>
        <v>ARJUN RISHKAN</v>
      </c>
      <c r="F198" s="6" t="str">
        <f>UPPER(Sheet1!H198)</f>
        <v>SARA RISHKAN</v>
      </c>
      <c r="G198" s="5" t="str">
        <f>TEXT(Sheet1!C198,"dd/mm/yyyy") &amp; "," &amp; Sheet1!D198</f>
        <v>17/06/2025,DALBY</v>
      </c>
      <c r="H198" s="39" t="str">
        <f>UPPER(Sheet1!J198 &amp; "," &amp; Sheet1!K198 &amp; "," &amp; Sheet1!L198)</f>
        <v>153 BIRCHWOOD LANE,EMERALD ROAD,PIN:321233 DALBY</v>
      </c>
      <c r="I198" s="8">
        <f>Sheet1!I198</f>
        <v>45852</v>
      </c>
      <c r="J198" s="5" t="str">
        <f>Sheet1!M198 &amp; "," &amp; TEXT(Sheet1!N198,"dd/mm/yy")</f>
        <v>MHA/IND/00197,27/07/25</v>
      </c>
      <c r="K198" s="5" t="s">
        <v>5752</v>
      </c>
      <c r="L198" s="31" t="s">
        <v>14</v>
      </c>
      <c r="M198" s="31" t="s">
        <v>15</v>
      </c>
      <c r="N198" s="31" t="s">
        <v>16</v>
      </c>
    </row>
    <row r="199" spans="1:14" x14ac:dyDescent="0.25">
      <c r="A199" s="4" t="str">
        <f>Sheet1!A199 &amp; "/" &amp; "2025"</f>
        <v>198/2025</v>
      </c>
      <c r="B199" s="5" t="str">
        <f>Sheet1!E199</f>
        <v>IND/MEL/00198</v>
      </c>
      <c r="C199" s="6" t="str">
        <f>UPPER(Sheet1!B199)</f>
        <v>KABIR SINDALE</v>
      </c>
      <c r="D199" s="7" t="str">
        <f>IF(Sheet1!F199="F","FEMALE","MALE")</f>
        <v>MALE</v>
      </c>
      <c r="E199" s="6" t="str">
        <f>UPPER(Sheet1!G199)</f>
        <v>DEV SINDALE</v>
      </c>
      <c r="F199" s="6" t="str">
        <f>UPPER(Sheet1!H199)</f>
        <v>MIRA SINDALE</v>
      </c>
      <c r="G199" s="5" t="str">
        <f>TEXT(Sheet1!C199,"dd/mm/yyyy") &amp; "," &amp; Sheet1!D199</f>
        <v>17/09/2025,FREMANTLE</v>
      </c>
      <c r="H199" s="39" t="str">
        <f>UPPER(Sheet1!J199 &amp; "," &amp; Sheet1!K199 &amp; "," &amp; Sheet1!L199)</f>
        <v>85 BIRCHWOOD LANE,EMERALD ROAD,PIN:895271 FREMANTLE</v>
      </c>
      <c r="I199" s="8">
        <f>Sheet1!I199</f>
        <v>46021</v>
      </c>
      <c r="J199" s="5" t="str">
        <f>Sheet1!M199 &amp; "," &amp; TEXT(Sheet1!N199,"dd/mm/yy")</f>
        <v>MHA/IND/00198,02/07/25</v>
      </c>
      <c r="K199" s="5" t="s">
        <v>5752</v>
      </c>
      <c r="L199" s="31" t="s">
        <v>14</v>
      </c>
      <c r="M199" s="31" t="s">
        <v>15</v>
      </c>
      <c r="N199" s="31" t="s">
        <v>16</v>
      </c>
    </row>
    <row r="200" spans="1:14" x14ac:dyDescent="0.25">
      <c r="A200" s="4" t="str">
        <f>Sheet1!A200 &amp; "/" &amp; "2025"</f>
        <v>199/2025</v>
      </c>
      <c r="B200" s="5" t="str">
        <f>Sheet1!E200</f>
        <v>IND/MEL/00199</v>
      </c>
      <c r="C200" s="6" t="str">
        <f>UPPER(Sheet1!B200)</f>
        <v>KABIR SINDALE</v>
      </c>
      <c r="D200" s="7" t="str">
        <f>IF(Sheet1!F200="F","FEMALE","MALE")</f>
        <v>MALE</v>
      </c>
      <c r="E200" s="6" t="str">
        <f>UPPER(Sheet1!G200)</f>
        <v>ROHIT SINDALE</v>
      </c>
      <c r="F200" s="6" t="str">
        <f>UPPER(Sheet1!H200)</f>
        <v>RIYA SINDALE</v>
      </c>
      <c r="G200" s="5" t="str">
        <f>TEXT(Sheet1!C200,"dd/mm/yyyy") &amp; "," &amp; Sheet1!D200</f>
        <v>03/08/2025,MILDURA</v>
      </c>
      <c r="H200" s="39" t="str">
        <f>UPPER(Sheet1!J200 &amp; "," &amp; Sheet1!K200 &amp; "," &amp; Sheet1!L200)</f>
        <v>79 BIRCHWOOD LANE,EMERALD ROAD,PIN:922144 MILDURA</v>
      </c>
      <c r="I200" s="8">
        <f>Sheet1!I200</f>
        <v>45939</v>
      </c>
      <c r="J200" s="5" t="str">
        <f>Sheet1!M200 &amp; "," &amp; TEXT(Sheet1!N200,"dd/mm/yy")</f>
        <v>MHA/IND/00199,09/08/25</v>
      </c>
      <c r="K200" s="5" t="s">
        <v>5752</v>
      </c>
      <c r="L200" s="31" t="s">
        <v>14</v>
      </c>
      <c r="M200" s="31" t="s">
        <v>15</v>
      </c>
      <c r="N200" s="31" t="s">
        <v>16</v>
      </c>
    </row>
    <row r="201" spans="1:14" x14ac:dyDescent="0.25">
      <c r="A201" s="4" t="str">
        <f>Sheet1!A201 &amp; "/" &amp; "2025"</f>
        <v>200/2025</v>
      </c>
      <c r="B201" s="5" t="str">
        <f>Sheet1!E201</f>
        <v>IND/MEL/00200</v>
      </c>
      <c r="C201" s="6" t="str">
        <f>UPPER(Sheet1!B201)</f>
        <v>AREN RAO</v>
      </c>
      <c r="D201" s="7" t="str">
        <f>IF(Sheet1!F201="F","FEMALE","MALE")</f>
        <v>MALE</v>
      </c>
      <c r="E201" s="6" t="str">
        <f>UPPER(Sheet1!G201)</f>
        <v>ROHIT RAO</v>
      </c>
      <c r="F201" s="6" t="str">
        <f>UPPER(Sheet1!H201)</f>
        <v>ALYA RAO</v>
      </c>
      <c r="G201" s="5" t="str">
        <f>TEXT(Sheet1!C201,"dd/mm/yyyy") &amp; "," &amp; Sheet1!D201</f>
        <v>21/01/2025,BENDIGO</v>
      </c>
      <c r="H201" s="39" t="str">
        <f>UPPER(Sheet1!J201 &amp; "," &amp; Sheet1!K201 &amp; "," &amp; Sheet1!L201)</f>
        <v>196 BIRCHWOOD LANE,EMERALD ROAD,PIN:670585 BENDIGO</v>
      </c>
      <c r="I201" s="8">
        <f>Sheet1!I201</f>
        <v>45741</v>
      </c>
      <c r="J201" s="5" t="str">
        <f>Sheet1!M201 &amp; "," &amp; TEXT(Sheet1!N201,"dd/mm/yy")</f>
        <v>MHA/IND/00200,07/07/25</v>
      </c>
      <c r="K201" s="5" t="s">
        <v>5752</v>
      </c>
      <c r="L201" s="31" t="s">
        <v>14</v>
      </c>
      <c r="M201" s="31" t="s">
        <v>15</v>
      </c>
      <c r="N201" s="31" t="s">
        <v>16</v>
      </c>
    </row>
    <row r="202" spans="1:14" x14ac:dyDescent="0.25">
      <c r="A202" s="4" t="str">
        <f>Sheet1!A202 &amp; "/" &amp; "2025"</f>
        <v>201/2025</v>
      </c>
      <c r="B202" s="5" t="str">
        <f>Sheet1!E202</f>
        <v>IND/MEL/00201</v>
      </c>
      <c r="C202" s="6" t="str">
        <f>UPPER(Sheet1!B202)</f>
        <v>ANYA KALEON</v>
      </c>
      <c r="D202" s="7" t="str">
        <f>IF(Sheet1!F202="F","FEMALE","MALE")</f>
        <v>FEMALE</v>
      </c>
      <c r="E202" s="6" t="str">
        <f>UPPER(Sheet1!G202)</f>
        <v>ARJUN KALEON</v>
      </c>
      <c r="F202" s="6" t="str">
        <f>UPPER(Sheet1!H202)</f>
        <v>DIYA KALEON</v>
      </c>
      <c r="G202" s="5" t="str">
        <f>TEXT(Sheet1!C202,"dd/mm/yyyy") &amp; "," &amp; Sheet1!D202</f>
        <v>02/08/2025,ELIZABETH VALE</v>
      </c>
      <c r="H202" s="39" t="str">
        <f>UPPER(Sheet1!J202 &amp; "," &amp; Sheet1!K202 &amp; "," &amp; Sheet1!L202)</f>
        <v>21 BIRCHWOOD LANE,EMERALD ROAD,PIN:270043 ELIZABETH VALE</v>
      </c>
      <c r="I202" s="8">
        <f>Sheet1!I202</f>
        <v>45877</v>
      </c>
      <c r="J202" s="5" t="str">
        <f>Sheet1!M202 &amp; "," &amp; TEXT(Sheet1!N202,"dd/mm/yy")</f>
        <v>MHA/IND/00201,20/07/25</v>
      </c>
      <c r="K202" s="5" t="s">
        <v>5752</v>
      </c>
      <c r="L202" s="31" t="s">
        <v>14</v>
      </c>
      <c r="M202" s="31" t="s">
        <v>15</v>
      </c>
      <c r="N202" s="31" t="s">
        <v>16</v>
      </c>
    </row>
    <row r="203" spans="1:14" x14ac:dyDescent="0.25">
      <c r="A203" s="4" t="str">
        <f>Sheet1!A203 &amp; "/" &amp; "2025"</f>
        <v>202/2025</v>
      </c>
      <c r="B203" s="5" t="str">
        <f>Sheet1!E203</f>
        <v>IND/MEL/00202</v>
      </c>
      <c r="C203" s="6" t="str">
        <f>UPPER(Sheet1!B203)</f>
        <v>TARA SHARMA</v>
      </c>
      <c r="D203" s="7" t="str">
        <f>IF(Sheet1!F203="F","FEMALE","MALE")</f>
        <v>FEMALE</v>
      </c>
      <c r="E203" s="6" t="str">
        <f>UPPER(Sheet1!G203)</f>
        <v>ISHAN SHARMA</v>
      </c>
      <c r="F203" s="6" t="str">
        <f>UPPER(Sheet1!H203)</f>
        <v>ALYA SHARMA</v>
      </c>
      <c r="G203" s="5" t="str">
        <f>TEXT(Sheet1!C203,"dd/mm/yyyy") &amp; "," &amp; Sheet1!D203</f>
        <v>21/01/2025,ROCKHAMPTON</v>
      </c>
      <c r="H203" s="39" t="str">
        <f>UPPER(Sheet1!J203 &amp; "," &amp; Sheet1!K203 &amp; "," &amp; Sheet1!L203)</f>
        <v>18 BIRCHWOOD LANE,EMERALD ROAD,PIN:303591 ROCKHAMPTON</v>
      </c>
      <c r="I203" s="8">
        <f>Sheet1!I203</f>
        <v>45723</v>
      </c>
      <c r="J203" s="5" t="str">
        <f>Sheet1!M203 &amp; "," &amp; TEXT(Sheet1!N203,"dd/mm/yy")</f>
        <v>MHA/IND/00202,27/07/25</v>
      </c>
      <c r="K203" s="5" t="s">
        <v>5752</v>
      </c>
      <c r="L203" s="31" t="s">
        <v>14</v>
      </c>
      <c r="M203" s="31" t="s">
        <v>15</v>
      </c>
      <c r="N203" s="31" t="s">
        <v>16</v>
      </c>
    </row>
    <row r="204" spans="1:14" x14ac:dyDescent="0.25">
      <c r="A204" s="4" t="str">
        <f>Sheet1!A204 &amp; "/" &amp; "2025"</f>
        <v>203/2025</v>
      </c>
      <c r="B204" s="5" t="str">
        <f>Sheet1!E204</f>
        <v>IND/MEL/00203</v>
      </c>
      <c r="C204" s="6" t="str">
        <f>UPPER(Sheet1!B204)</f>
        <v>NINA RISHKAN</v>
      </c>
      <c r="D204" s="7" t="str">
        <f>IF(Sheet1!F204="F","FEMALE","MALE")</f>
        <v>FEMALE</v>
      </c>
      <c r="E204" s="6" t="str">
        <f>UPPER(Sheet1!G204)</f>
        <v>ROHIT RISHKAN</v>
      </c>
      <c r="F204" s="6" t="str">
        <f>UPPER(Sheet1!H204)</f>
        <v>DIYA RISHKAN</v>
      </c>
      <c r="G204" s="5" t="str">
        <f>TEXT(Sheet1!C204,"dd/mm/yyyy") &amp; "," &amp; Sheet1!D204</f>
        <v>12/04/2025,PENRITH</v>
      </c>
      <c r="H204" s="39" t="str">
        <f>UPPER(Sheet1!J204 &amp; "," &amp; Sheet1!K204 &amp; "," &amp; Sheet1!L204)</f>
        <v>15 BIRCHWOOD LANE,EMERALD ROAD,PIN:224030 PENRITH</v>
      </c>
      <c r="I204" s="8">
        <f>Sheet1!I204</f>
        <v>45784</v>
      </c>
      <c r="J204" s="5" t="str">
        <f>Sheet1!M204 &amp; "," &amp; TEXT(Sheet1!N204,"dd/mm/yy")</f>
        <v>MHA/IND/00203,16/08/25</v>
      </c>
      <c r="K204" s="5" t="s">
        <v>5752</v>
      </c>
      <c r="L204" s="31" t="s">
        <v>14</v>
      </c>
      <c r="M204" s="31" t="s">
        <v>15</v>
      </c>
      <c r="N204" s="31" t="s">
        <v>16</v>
      </c>
    </row>
    <row r="205" spans="1:14" x14ac:dyDescent="0.25">
      <c r="A205" s="4" t="str">
        <f>Sheet1!A205 &amp; "/" &amp; "2025"</f>
        <v>204/2025</v>
      </c>
      <c r="B205" s="5" t="str">
        <f>Sheet1!E205</f>
        <v>IND/MEL/00204</v>
      </c>
      <c r="C205" s="6" t="str">
        <f>UPPER(Sheet1!B205)</f>
        <v>ISHAN SHARMA</v>
      </c>
      <c r="D205" s="7" t="str">
        <f>IF(Sheet1!F205="F","FEMALE","MALE")</f>
        <v>MALE</v>
      </c>
      <c r="E205" s="6" t="str">
        <f>UPPER(Sheet1!G205)</f>
        <v>KIRAN SHARMA</v>
      </c>
      <c r="F205" s="6" t="str">
        <f>UPPER(Sheet1!H205)</f>
        <v>ANYA SHARMA</v>
      </c>
      <c r="G205" s="5" t="str">
        <f>TEXT(Sheet1!C205,"dd/mm/yyyy") &amp; "," &amp; Sheet1!D205</f>
        <v>22/09/2025,SHEPPARTON</v>
      </c>
      <c r="H205" s="39" t="str">
        <f>UPPER(Sheet1!J205 &amp; "," &amp; Sheet1!K205 &amp; "," &amp; Sheet1!L205)</f>
        <v>80 BIRCHWOOD LANE,EMERALD ROAD,PIN:482859 SHEPPARTON</v>
      </c>
      <c r="I205" s="8">
        <f>Sheet1!I205</f>
        <v>46001</v>
      </c>
      <c r="J205" s="5" t="str">
        <f>Sheet1!M205 &amp; "," &amp; TEXT(Sheet1!N205,"dd/mm/yy")</f>
        <v>MHA/IND/00204,29/07/25</v>
      </c>
      <c r="K205" s="5" t="s">
        <v>5752</v>
      </c>
      <c r="L205" s="31" t="s">
        <v>14</v>
      </c>
      <c r="M205" s="31" t="s">
        <v>15</v>
      </c>
      <c r="N205" s="31" t="s">
        <v>16</v>
      </c>
    </row>
    <row r="206" spans="1:14" x14ac:dyDescent="0.25">
      <c r="A206" s="4" t="str">
        <f>Sheet1!A206 &amp; "/" &amp; "2025"</f>
        <v>205/2025</v>
      </c>
      <c r="B206" s="5" t="str">
        <f>Sheet1!E206</f>
        <v>IND/MEL/00205</v>
      </c>
      <c r="C206" s="6" t="str">
        <f>UPPER(Sheet1!B206)</f>
        <v>DIYA KALEON</v>
      </c>
      <c r="D206" s="7" t="str">
        <f>IF(Sheet1!F206="F","FEMALE","MALE")</f>
        <v>FEMALE</v>
      </c>
      <c r="E206" s="6" t="str">
        <f>UPPER(Sheet1!G206)</f>
        <v>ROHIT KALEON</v>
      </c>
      <c r="F206" s="6" t="str">
        <f>UPPER(Sheet1!H206)</f>
        <v>TARA KALEON</v>
      </c>
      <c r="G206" s="5" t="str">
        <f>TEXT(Sheet1!C206,"dd/mm/yyyy") &amp; "," &amp; Sheet1!D206</f>
        <v>21/10/2025,CANBERRA</v>
      </c>
      <c r="H206" s="39" t="str">
        <f>UPPER(Sheet1!J206 &amp; "," &amp; Sheet1!K206 &amp; "," &amp; Sheet1!L206)</f>
        <v>125 BIRCHWOOD LANE,EMERALD ROAD,PIN:924013 CANBERRA</v>
      </c>
      <c r="I206" s="8">
        <f>Sheet1!I206</f>
        <v>45996</v>
      </c>
      <c r="J206" s="5" t="str">
        <f>Sheet1!M206 &amp; "," &amp; TEXT(Sheet1!N206,"dd/mm/yy")</f>
        <v>MHA/IND/00205,26/08/25</v>
      </c>
      <c r="K206" s="5" t="s">
        <v>5752</v>
      </c>
      <c r="L206" s="31" t="s">
        <v>14</v>
      </c>
      <c r="M206" s="31" t="s">
        <v>15</v>
      </c>
      <c r="N206" s="31" t="s">
        <v>16</v>
      </c>
    </row>
    <row r="207" spans="1:14" x14ac:dyDescent="0.25">
      <c r="A207" s="4" t="str">
        <f>Sheet1!A207 &amp; "/" &amp; "2025"</f>
        <v>206/2025</v>
      </c>
      <c r="B207" s="5" t="str">
        <f>Sheet1!E207</f>
        <v>IND/MEL/00206</v>
      </c>
      <c r="C207" s="6" t="str">
        <f>UPPER(Sheet1!B207)</f>
        <v>SARA SINDALE</v>
      </c>
      <c r="D207" s="7" t="str">
        <f>IF(Sheet1!F207="F","FEMALE","MALE")</f>
        <v>FEMALE</v>
      </c>
      <c r="E207" s="6" t="str">
        <f>UPPER(Sheet1!G207)</f>
        <v>DEV SINDALE</v>
      </c>
      <c r="F207" s="6" t="str">
        <f>UPPER(Sheet1!H207)</f>
        <v>SARA SINDALE</v>
      </c>
      <c r="G207" s="5" t="str">
        <f>TEXT(Sheet1!C207,"dd/mm/yyyy") &amp; "," &amp; Sheet1!D207</f>
        <v>02/06/2025,KINGSWOOD</v>
      </c>
      <c r="H207" s="39" t="str">
        <f>UPPER(Sheet1!J207 &amp; "," &amp; Sheet1!K207 &amp; "," &amp; Sheet1!L207)</f>
        <v>41 BIRCHWOOD LANE,EMERALD ROAD,PIN:781777 KINGSWOOD</v>
      </c>
      <c r="I207" s="8">
        <f>Sheet1!I207</f>
        <v>45883</v>
      </c>
      <c r="J207" s="5" t="str">
        <f>Sheet1!M207 &amp; "," &amp; TEXT(Sheet1!N207,"dd/mm/yy")</f>
        <v>MHA/IND/00206,09/07/25</v>
      </c>
      <c r="K207" s="5" t="s">
        <v>5752</v>
      </c>
      <c r="L207" s="31" t="s">
        <v>14</v>
      </c>
      <c r="M207" s="31" t="s">
        <v>15</v>
      </c>
      <c r="N207" s="31" t="s">
        <v>16</v>
      </c>
    </row>
    <row r="208" spans="1:14" x14ac:dyDescent="0.25">
      <c r="A208" s="4" t="str">
        <f>Sheet1!A208 &amp; "/" &amp; "2025"</f>
        <v>207/2025</v>
      </c>
      <c r="B208" s="5" t="str">
        <f>Sheet1!E208</f>
        <v>IND/MEL/00207</v>
      </c>
      <c r="C208" s="6" t="str">
        <f>UPPER(Sheet1!B208)</f>
        <v>ANYA RISHKAN</v>
      </c>
      <c r="D208" s="7" t="str">
        <f>IF(Sheet1!F208="F","FEMALE","MALE")</f>
        <v>FEMALE</v>
      </c>
      <c r="E208" s="6" t="str">
        <f>UPPER(Sheet1!G208)</f>
        <v>ISHAN RISHKAN</v>
      </c>
      <c r="F208" s="6" t="str">
        <f>UPPER(Sheet1!H208)</f>
        <v>NINA RISHKAN</v>
      </c>
      <c r="G208" s="5" t="str">
        <f>TEXT(Sheet1!C208,"dd/mm/yyyy") &amp; "," &amp; Sheet1!D208</f>
        <v>26/05/2025,LOGAN</v>
      </c>
      <c r="H208" s="39" t="str">
        <f>UPPER(Sheet1!J208 &amp; "," &amp; Sheet1!K208 &amp; "," &amp; Sheet1!L208)</f>
        <v>185 BIRCHWOOD LANE,EMERALD ROAD,PIN:787279 LOGAN</v>
      </c>
      <c r="I208" s="8">
        <f>Sheet1!I208</f>
        <v>45810</v>
      </c>
      <c r="J208" s="5" t="str">
        <f>Sheet1!M208 &amp; "," &amp; TEXT(Sheet1!N208,"dd/mm/yy")</f>
        <v>MHA/IND/00207,27/08/25</v>
      </c>
      <c r="K208" s="5" t="s">
        <v>5752</v>
      </c>
      <c r="L208" s="31" t="s">
        <v>14</v>
      </c>
      <c r="M208" s="31" t="s">
        <v>15</v>
      </c>
      <c r="N208" s="31" t="s">
        <v>16</v>
      </c>
    </row>
    <row r="209" spans="1:14" x14ac:dyDescent="0.25">
      <c r="A209" s="4" t="str">
        <f>Sheet1!A209 &amp; "/" &amp; "2025"</f>
        <v>208/2025</v>
      </c>
      <c r="B209" s="5" t="str">
        <f>Sheet1!E209</f>
        <v>IND/MEL/00208</v>
      </c>
      <c r="C209" s="6" t="str">
        <f>UPPER(Sheet1!B209)</f>
        <v>ISHAN VALZARI</v>
      </c>
      <c r="D209" s="7" t="str">
        <f>IF(Sheet1!F209="F","FEMALE","MALE")</f>
        <v>MALE</v>
      </c>
      <c r="E209" s="6" t="str">
        <f>UPPER(Sheet1!G209)</f>
        <v>ROHIT VALZARI</v>
      </c>
      <c r="F209" s="6" t="str">
        <f>UPPER(Sheet1!H209)</f>
        <v>ANYA VALZARI</v>
      </c>
      <c r="G209" s="5" t="str">
        <f>TEXT(Sheet1!C209,"dd/mm/yyyy") &amp; "," &amp; Sheet1!D209</f>
        <v>29/03/2025,WOLLONGONG</v>
      </c>
      <c r="H209" s="39" t="str">
        <f>UPPER(Sheet1!J209 &amp; "," &amp; Sheet1!K209 &amp; "," &amp; Sheet1!L209)</f>
        <v>164 BIRCHWOOD LANE,EMERALD ROAD,PIN:587534 WOLLONGONG</v>
      </c>
      <c r="I209" s="8">
        <f>Sheet1!I209</f>
        <v>45765</v>
      </c>
      <c r="J209" s="5" t="str">
        <f>Sheet1!M209 &amp; "," &amp; TEXT(Sheet1!N209,"dd/mm/yy")</f>
        <v>MHA/IND/00208,20/07/25</v>
      </c>
      <c r="K209" s="5" t="s">
        <v>5752</v>
      </c>
      <c r="L209" s="31" t="s">
        <v>14</v>
      </c>
      <c r="M209" s="31" t="s">
        <v>15</v>
      </c>
      <c r="N209" s="31" t="s">
        <v>16</v>
      </c>
    </row>
    <row r="210" spans="1:14" x14ac:dyDescent="0.25">
      <c r="A210" s="4" t="str">
        <f>Sheet1!A210 &amp; "/" &amp; "2025"</f>
        <v>209/2025</v>
      </c>
      <c r="B210" s="5" t="str">
        <f>Sheet1!E210</f>
        <v>IND/MEL/00209</v>
      </c>
      <c r="C210" s="6" t="str">
        <f>UPPER(Sheet1!B210)</f>
        <v>ANYA SHARMA</v>
      </c>
      <c r="D210" s="7" t="str">
        <f>IF(Sheet1!F210="F","FEMALE","MALE")</f>
        <v>FEMALE</v>
      </c>
      <c r="E210" s="6" t="str">
        <f>UPPER(Sheet1!G210)</f>
        <v>ISHAN SHARMA</v>
      </c>
      <c r="F210" s="6" t="str">
        <f>UPPER(Sheet1!H210)</f>
        <v>MIRA SHARMA</v>
      </c>
      <c r="G210" s="5" t="str">
        <f>TEXT(Sheet1!C210,"dd/mm/yyyy") &amp; "," &amp; Sheet1!D210</f>
        <v>22/02/2025,LENAH VALLEY</v>
      </c>
      <c r="H210" s="39" t="str">
        <f>UPPER(Sheet1!J210 &amp; "," &amp; Sheet1!K210 &amp; "," &amp; Sheet1!L210)</f>
        <v>173 BIRCHWOOD LANE,EMERALD ROAD,PIN:603275 LENAH VALLEY</v>
      </c>
      <c r="I210" s="8">
        <f>Sheet1!I210</f>
        <v>45826</v>
      </c>
      <c r="J210" s="5" t="str">
        <f>Sheet1!M210 &amp; "," &amp; TEXT(Sheet1!N210,"dd/mm/yy")</f>
        <v>MHA/IND/00209,31/07/25</v>
      </c>
      <c r="K210" s="5" t="s">
        <v>5752</v>
      </c>
      <c r="L210" s="31" t="s">
        <v>14</v>
      </c>
      <c r="M210" s="31" t="s">
        <v>15</v>
      </c>
      <c r="N210" s="31" t="s">
        <v>16</v>
      </c>
    </row>
    <row r="211" spans="1:14" x14ac:dyDescent="0.25">
      <c r="A211" s="4" t="str">
        <f>Sheet1!A211 &amp; "/" &amp; "2025"</f>
        <v>210/2025</v>
      </c>
      <c r="B211" s="5" t="str">
        <f>Sheet1!E211</f>
        <v>IND/MEL/00210</v>
      </c>
      <c r="C211" s="6" t="str">
        <f>UPPER(Sheet1!B211)</f>
        <v>AREN SHARMA</v>
      </c>
      <c r="D211" s="7" t="str">
        <f>IF(Sheet1!F211="F","FEMALE","MALE")</f>
        <v>MALE</v>
      </c>
      <c r="E211" s="6" t="str">
        <f>UPPER(Sheet1!G211)</f>
        <v>ISHAN SHARMA</v>
      </c>
      <c r="F211" s="6" t="str">
        <f>UPPER(Sheet1!H211)</f>
        <v>SARA SHARMA</v>
      </c>
      <c r="G211" s="5" t="str">
        <f>TEXT(Sheet1!C211,"dd/mm/yyyy") &amp; "," &amp; Sheet1!D211</f>
        <v>24/09/2025,ST ALBANS</v>
      </c>
      <c r="H211" s="39" t="str">
        <f>UPPER(Sheet1!J211 &amp; "," &amp; Sheet1!K211 &amp; "," &amp; Sheet1!L211)</f>
        <v>185 BIRCHWOOD LANE,EMERALD ROAD,PIN:267223 ST ALBANS</v>
      </c>
      <c r="I211" s="8">
        <f>Sheet1!I211</f>
        <v>45978</v>
      </c>
      <c r="J211" s="5" t="str">
        <f>Sheet1!M211 &amp; "," &amp; TEXT(Sheet1!N211,"dd/mm/yy")</f>
        <v>MHA/IND/00210,15/07/25</v>
      </c>
      <c r="K211" s="5" t="s">
        <v>5752</v>
      </c>
      <c r="L211" s="31" t="s">
        <v>14</v>
      </c>
      <c r="M211" s="31" t="s">
        <v>15</v>
      </c>
      <c r="N211" s="31" t="s">
        <v>16</v>
      </c>
    </row>
    <row r="212" spans="1:14" x14ac:dyDescent="0.25">
      <c r="A212" s="4" t="str">
        <f>Sheet1!A212 &amp; "/" &amp; "2025"</f>
        <v>211/2025</v>
      </c>
      <c r="B212" s="5" t="str">
        <f>Sheet1!E212</f>
        <v>IND/MEL/00211</v>
      </c>
      <c r="C212" s="6" t="str">
        <f>UPPER(Sheet1!B212)</f>
        <v>KIRAN RAO</v>
      </c>
      <c r="D212" s="7" t="str">
        <f>IF(Sheet1!F212="F","FEMALE","MALE")</f>
        <v>MALE</v>
      </c>
      <c r="E212" s="6" t="str">
        <f>UPPER(Sheet1!G212)</f>
        <v>ARJUN RAO</v>
      </c>
      <c r="F212" s="6" t="str">
        <f>UPPER(Sheet1!H212)</f>
        <v>NINA RAO</v>
      </c>
      <c r="G212" s="5" t="str">
        <f>TEXT(Sheet1!C212,"dd/mm/yyyy") &amp; "," &amp; Sheet1!D212</f>
        <v>15/08/2025,MOUNT BARKER</v>
      </c>
      <c r="H212" s="39" t="str">
        <f>UPPER(Sheet1!J212 &amp; "," &amp; Sheet1!K212 &amp; "," &amp; Sheet1!L212)</f>
        <v>34 BIRCHWOOD LANE,EMERALD ROAD,PIN:714417 MOUNT BARKER</v>
      </c>
      <c r="I212" s="8">
        <f>Sheet1!I212</f>
        <v>45993</v>
      </c>
      <c r="J212" s="5" t="str">
        <f>Sheet1!M212 &amp; "," &amp; TEXT(Sheet1!N212,"dd/mm/yy")</f>
        <v>MHA/IND/00211,24/08/25</v>
      </c>
      <c r="K212" s="5" t="s">
        <v>5752</v>
      </c>
      <c r="L212" s="31" t="s">
        <v>14</v>
      </c>
      <c r="M212" s="31" t="s">
        <v>15</v>
      </c>
      <c r="N212" s="31" t="s">
        <v>16</v>
      </c>
    </row>
    <row r="213" spans="1:14" x14ac:dyDescent="0.25">
      <c r="A213" s="4" t="str">
        <f>Sheet1!A213 &amp; "/" &amp; "2025"</f>
        <v>212/2025</v>
      </c>
      <c r="B213" s="5" t="str">
        <f>Sheet1!E213</f>
        <v>IND/MEL/00212</v>
      </c>
      <c r="C213" s="6" t="str">
        <f>UPPER(Sheet1!B213)</f>
        <v>DIYA MYRTHOS</v>
      </c>
      <c r="D213" s="7" t="str">
        <f>IF(Sheet1!F213="F","FEMALE","MALE")</f>
        <v>FEMALE</v>
      </c>
      <c r="E213" s="6" t="str">
        <f>UPPER(Sheet1!G213)</f>
        <v>DEV MYRTHOS</v>
      </c>
      <c r="F213" s="6" t="str">
        <f>UPPER(Sheet1!H213)</f>
        <v>ANYA MYRTHOS</v>
      </c>
      <c r="G213" s="5" t="str">
        <f>TEXT(Sheet1!C213,"dd/mm/yyyy") &amp; "," &amp; Sheet1!D213</f>
        <v>11/07/2025,WAGGA WAGGA</v>
      </c>
      <c r="H213" s="39" t="str">
        <f>UPPER(Sheet1!J213 &amp; "," &amp; Sheet1!K213 &amp; "," &amp; Sheet1!L213)</f>
        <v>180 BIRCHWOOD LANE,EMERALD ROAD,PIN:547163 WAGGA WAGGA</v>
      </c>
      <c r="I213" s="8">
        <f>Sheet1!I213</f>
        <v>45947</v>
      </c>
      <c r="J213" s="5" t="str">
        <f>Sheet1!M213 &amp; "," &amp; TEXT(Sheet1!N213,"dd/mm/yy")</f>
        <v>MHA/IND/00212,30/07/25</v>
      </c>
      <c r="K213" s="5" t="s">
        <v>5752</v>
      </c>
      <c r="L213" s="31" t="s">
        <v>14</v>
      </c>
      <c r="M213" s="31" t="s">
        <v>15</v>
      </c>
      <c r="N213" s="31" t="s">
        <v>16</v>
      </c>
    </row>
    <row r="214" spans="1:14" x14ac:dyDescent="0.25">
      <c r="A214" s="4" t="str">
        <f>Sheet1!A214 &amp; "/" &amp; "2025"</f>
        <v>213/2025</v>
      </c>
      <c r="B214" s="5" t="str">
        <f>Sheet1!E214</f>
        <v>IND/MEL/00213</v>
      </c>
      <c r="C214" s="6" t="str">
        <f>UPPER(Sheet1!B214)</f>
        <v>RIYA KALEON</v>
      </c>
      <c r="D214" s="7" t="str">
        <f>IF(Sheet1!F214="F","FEMALE","MALE")</f>
        <v>FEMALE</v>
      </c>
      <c r="E214" s="6" t="str">
        <f>UPPER(Sheet1!G214)</f>
        <v>KIRAN KALEON</v>
      </c>
      <c r="F214" s="6" t="str">
        <f>UPPER(Sheet1!H214)</f>
        <v>DIYA KALEON</v>
      </c>
      <c r="G214" s="5" t="str">
        <f>TEXT(Sheet1!C214,"dd/mm/yyyy") &amp; "," &amp; Sheet1!D214</f>
        <v>20/06/2025,MANDURAH</v>
      </c>
      <c r="H214" s="39" t="str">
        <f>UPPER(Sheet1!J214 &amp; "," &amp; Sheet1!K214 &amp; "," &amp; Sheet1!L214)</f>
        <v>175 BIRCHWOOD LANE,EMERALD ROAD,PIN:580720 MANDURAH</v>
      </c>
      <c r="I214" s="8">
        <f>Sheet1!I214</f>
        <v>45920</v>
      </c>
      <c r="J214" s="5" t="str">
        <f>Sheet1!M214 &amp; "," &amp; TEXT(Sheet1!N214,"dd/mm/yy")</f>
        <v>MHA/IND/00213,16/08/25</v>
      </c>
      <c r="K214" s="5" t="s">
        <v>5752</v>
      </c>
      <c r="L214" s="31" t="s">
        <v>14</v>
      </c>
      <c r="M214" s="31" t="s">
        <v>15</v>
      </c>
      <c r="N214" s="31" t="s">
        <v>16</v>
      </c>
    </row>
    <row r="215" spans="1:14" x14ac:dyDescent="0.25">
      <c r="A215" s="4" t="str">
        <f>Sheet1!A215 &amp; "/" &amp; "2025"</f>
        <v>214/2025</v>
      </c>
      <c r="B215" s="5" t="str">
        <f>Sheet1!E215</f>
        <v>IND/MEL/00214</v>
      </c>
      <c r="C215" s="6" t="str">
        <f>UPPER(Sheet1!B215)</f>
        <v>AREN VALZARI</v>
      </c>
      <c r="D215" s="7" t="str">
        <f>IF(Sheet1!F215="F","FEMALE","MALE")</f>
        <v>MALE</v>
      </c>
      <c r="E215" s="6" t="str">
        <f>UPPER(Sheet1!G215)</f>
        <v>KABIR VALZARI</v>
      </c>
      <c r="F215" s="6" t="str">
        <f>UPPER(Sheet1!H215)</f>
        <v>ANYA VALZARI</v>
      </c>
      <c r="G215" s="5" t="str">
        <f>TEXT(Sheet1!C215,"dd/mm/yyyy") &amp; "," &amp; Sheet1!D215</f>
        <v>08/07/2025,BERWICK</v>
      </c>
      <c r="H215" s="39" t="str">
        <f>UPPER(Sheet1!J215 &amp; "," &amp; Sheet1!K215 &amp; "," &amp; Sheet1!L215)</f>
        <v>172 BIRCHWOOD LANE,EMERALD ROAD,PIN:562388 BERWICK</v>
      </c>
      <c r="I215" s="8">
        <f>Sheet1!I215</f>
        <v>45910</v>
      </c>
      <c r="J215" s="5" t="str">
        <f>Sheet1!M215 &amp; "," &amp; TEXT(Sheet1!N215,"dd/mm/yy")</f>
        <v>MHA/IND/00214,09/08/25</v>
      </c>
      <c r="K215" s="5" t="s">
        <v>5752</v>
      </c>
      <c r="L215" s="31" t="s">
        <v>14</v>
      </c>
      <c r="M215" s="31" t="s">
        <v>15</v>
      </c>
      <c r="N215" s="31" t="s">
        <v>16</v>
      </c>
    </row>
    <row r="216" spans="1:14" x14ac:dyDescent="0.25">
      <c r="A216" s="4" t="str">
        <f>Sheet1!A216 &amp; "/" &amp; "2025"</f>
        <v>215/2025</v>
      </c>
      <c r="B216" s="5" t="str">
        <f>Sheet1!E216</f>
        <v>IND/MEL/00215</v>
      </c>
      <c r="C216" s="6" t="str">
        <f>UPPER(Sheet1!B216)</f>
        <v>SARA VALZARI</v>
      </c>
      <c r="D216" s="7" t="str">
        <f>IF(Sheet1!F216="F","FEMALE","MALE")</f>
        <v>FEMALE</v>
      </c>
      <c r="E216" s="6" t="str">
        <f>UPPER(Sheet1!G216)</f>
        <v>ARJUN VALZARI</v>
      </c>
      <c r="F216" s="6" t="str">
        <f>UPPER(Sheet1!H216)</f>
        <v>RIYA VALZARI</v>
      </c>
      <c r="G216" s="5" t="str">
        <f>TEXT(Sheet1!C216,"dd/mm/yyyy") &amp; "," &amp; Sheet1!D216</f>
        <v>03/07/2025,BERWICK</v>
      </c>
      <c r="H216" s="39" t="str">
        <f>UPPER(Sheet1!J216 &amp; "," &amp; Sheet1!K216 &amp; "," &amp; Sheet1!L216)</f>
        <v>82 BIRCHWOOD LANE,EMERALD ROAD,PIN:894635 BERWICK</v>
      </c>
      <c r="I216" s="8">
        <f>Sheet1!I216</f>
        <v>45873</v>
      </c>
      <c r="J216" s="5" t="str">
        <f>Sheet1!M216 &amp; "," &amp; TEXT(Sheet1!N216,"dd/mm/yy")</f>
        <v>MHA/IND/00215,16/07/25</v>
      </c>
      <c r="K216" s="5" t="s">
        <v>5752</v>
      </c>
      <c r="L216" s="31" t="s">
        <v>14</v>
      </c>
      <c r="M216" s="31" t="s">
        <v>15</v>
      </c>
      <c r="N216" s="31" t="s">
        <v>16</v>
      </c>
    </row>
    <row r="217" spans="1:14" x14ac:dyDescent="0.25">
      <c r="A217" s="4" t="str">
        <f>Sheet1!A217 &amp; "/" &amp; "2025"</f>
        <v>216/2025</v>
      </c>
      <c r="B217" s="5" t="str">
        <f>Sheet1!E217</f>
        <v>IND/MEL/00216</v>
      </c>
      <c r="C217" s="6" t="str">
        <f>UPPER(Sheet1!B217)</f>
        <v>KABIR MYRTHOS</v>
      </c>
      <c r="D217" s="7" t="str">
        <f>IF(Sheet1!F217="F","FEMALE","MALE")</f>
        <v>MALE</v>
      </c>
      <c r="E217" s="6" t="str">
        <f>UPPER(Sheet1!G217)</f>
        <v>DEV MYRTHOS</v>
      </c>
      <c r="F217" s="6" t="str">
        <f>UPPER(Sheet1!H217)</f>
        <v>RIYA MYRTHOS</v>
      </c>
      <c r="G217" s="5" t="str">
        <f>TEXT(Sheet1!C217,"dd/mm/yyyy") &amp; "," &amp; Sheet1!D217</f>
        <v>22/09/2025,LIVERPOOL</v>
      </c>
      <c r="H217" s="39" t="str">
        <f>UPPER(Sheet1!J217 &amp; "," &amp; Sheet1!K217 &amp; "," &amp; Sheet1!L217)</f>
        <v>164 BIRCHWOOD LANE,EMERALD ROAD,PIN:165275 LIVERPOOL</v>
      </c>
      <c r="I217" s="8">
        <f>Sheet1!I217</f>
        <v>45983</v>
      </c>
      <c r="J217" s="5" t="str">
        <f>Sheet1!M217 &amp; "," &amp; TEXT(Sheet1!N217,"dd/mm/yy")</f>
        <v>MHA/IND/00216,06/07/25</v>
      </c>
      <c r="K217" s="5" t="s">
        <v>5752</v>
      </c>
      <c r="L217" s="31" t="s">
        <v>14</v>
      </c>
      <c r="M217" s="31" t="s">
        <v>15</v>
      </c>
      <c r="N217" s="31" t="s">
        <v>16</v>
      </c>
    </row>
    <row r="218" spans="1:14" x14ac:dyDescent="0.25">
      <c r="A218" s="4" t="str">
        <f>Sheet1!A218 &amp; "/" &amp; "2025"</f>
        <v>217/2025</v>
      </c>
      <c r="B218" s="5" t="str">
        <f>Sheet1!E218</f>
        <v>IND/MEL/00217</v>
      </c>
      <c r="C218" s="6" t="str">
        <f>UPPER(Sheet1!B218)</f>
        <v>KIRAN SHARMA</v>
      </c>
      <c r="D218" s="7" t="str">
        <f>IF(Sheet1!F218="F","FEMALE","MALE")</f>
        <v>MALE</v>
      </c>
      <c r="E218" s="6" t="str">
        <f>UPPER(Sheet1!G218)</f>
        <v>AREN SHARMA</v>
      </c>
      <c r="F218" s="6" t="str">
        <f>UPPER(Sheet1!H218)</f>
        <v>DIYA SHARMA</v>
      </c>
      <c r="G218" s="5" t="str">
        <f>TEXT(Sheet1!C218,"dd/mm/yyyy") &amp; "," &amp; Sheet1!D218</f>
        <v>05/03/2025,NEWCASTLE</v>
      </c>
      <c r="H218" s="39" t="str">
        <f>UPPER(Sheet1!J218 &amp; "," &amp; Sheet1!K218 &amp; "," &amp; Sheet1!L218)</f>
        <v>151 BIRCHWOOD LANE,EMERALD ROAD,PIN:313133 NEWCASTLE</v>
      </c>
      <c r="I218" s="8">
        <f>Sheet1!I218</f>
        <v>45744</v>
      </c>
      <c r="J218" s="5" t="str">
        <f>Sheet1!M218 &amp; "," &amp; TEXT(Sheet1!N218,"dd/mm/yy")</f>
        <v>MHA/IND/00217,16/08/25</v>
      </c>
      <c r="K218" s="5" t="s">
        <v>5752</v>
      </c>
      <c r="L218" s="31" t="s">
        <v>14</v>
      </c>
      <c r="M218" s="31" t="s">
        <v>15</v>
      </c>
      <c r="N218" s="31" t="s">
        <v>16</v>
      </c>
    </row>
    <row r="219" spans="1:14" x14ac:dyDescent="0.25">
      <c r="A219" s="4" t="str">
        <f>Sheet1!A219 &amp; "/" &amp; "2025"</f>
        <v>218/2025</v>
      </c>
      <c r="B219" s="5" t="str">
        <f>Sheet1!E219</f>
        <v>IND/MEL/00218</v>
      </c>
      <c r="C219" s="6" t="str">
        <f>UPPER(Sheet1!B219)</f>
        <v>TARA SINDALE</v>
      </c>
      <c r="D219" s="7" t="str">
        <f>IF(Sheet1!F219="F","FEMALE","MALE")</f>
        <v>FEMALE</v>
      </c>
      <c r="E219" s="6" t="str">
        <f>UPPER(Sheet1!G219)</f>
        <v>AREN SINDALE</v>
      </c>
      <c r="F219" s="6" t="str">
        <f>UPPER(Sheet1!H219)</f>
        <v>RIYA SINDALE</v>
      </c>
      <c r="G219" s="5" t="str">
        <f>TEXT(Sheet1!C219,"dd/mm/yyyy") &amp; "," &amp; Sheet1!D219</f>
        <v>04/04/2025,LIVERPOOL</v>
      </c>
      <c r="H219" s="39" t="str">
        <f>UPPER(Sheet1!J219 &amp; "," &amp; Sheet1!K219 &amp; "," &amp; Sheet1!L219)</f>
        <v>29 BIRCHWOOD LANE,EMERALD ROAD,PIN:978049 LIVERPOOL</v>
      </c>
      <c r="I219" s="8">
        <f>Sheet1!I219</f>
        <v>45763</v>
      </c>
      <c r="J219" s="5" t="str">
        <f>Sheet1!M219 &amp; "," &amp; TEXT(Sheet1!N219,"dd/mm/yy")</f>
        <v>MHA/IND/00218,22/08/25</v>
      </c>
      <c r="K219" s="5" t="s">
        <v>5752</v>
      </c>
      <c r="L219" s="31" t="s">
        <v>14</v>
      </c>
      <c r="M219" s="31" t="s">
        <v>15</v>
      </c>
      <c r="N219" s="31" t="s">
        <v>16</v>
      </c>
    </row>
    <row r="220" spans="1:14" x14ac:dyDescent="0.25">
      <c r="A220" s="4" t="str">
        <f>Sheet1!A220 &amp; "/" &amp; "2025"</f>
        <v>219/2025</v>
      </c>
      <c r="B220" s="5" t="str">
        <f>Sheet1!E220</f>
        <v>IND/MEL/00219</v>
      </c>
      <c r="C220" s="6" t="str">
        <f>UPPER(Sheet1!B220)</f>
        <v>ARJUN KALEON</v>
      </c>
      <c r="D220" s="7" t="str">
        <f>IF(Sheet1!F220="F","FEMALE","MALE")</f>
        <v>MALE</v>
      </c>
      <c r="E220" s="6" t="str">
        <f>UPPER(Sheet1!G220)</f>
        <v>ARJUN KALEON</v>
      </c>
      <c r="F220" s="6" t="str">
        <f>UPPER(Sheet1!H220)</f>
        <v>ALYA KALEON</v>
      </c>
      <c r="G220" s="5" t="str">
        <f>TEXT(Sheet1!C220,"dd/mm/yyyy") &amp; "," &amp; Sheet1!D220</f>
        <v>25/07/2025,NEWCASTLE</v>
      </c>
      <c r="H220" s="39" t="str">
        <f>UPPER(Sheet1!J220 &amp; "," &amp; Sheet1!K220 &amp; "," &amp; Sheet1!L220)</f>
        <v>62 BIRCHWOOD LANE,EMERALD ROAD,PIN:759250 NEWCASTLE</v>
      </c>
      <c r="I220" s="8">
        <f>Sheet1!I220</f>
        <v>45879</v>
      </c>
      <c r="J220" s="5" t="str">
        <f>Sheet1!M220 &amp; "," &amp; TEXT(Sheet1!N220,"dd/mm/yy")</f>
        <v>MHA/IND/00219,09/07/25</v>
      </c>
      <c r="K220" s="5" t="s">
        <v>5752</v>
      </c>
      <c r="L220" s="31" t="s">
        <v>14</v>
      </c>
      <c r="M220" s="31" t="s">
        <v>15</v>
      </c>
      <c r="N220" s="31" t="s">
        <v>16</v>
      </c>
    </row>
    <row r="221" spans="1:14" x14ac:dyDescent="0.25">
      <c r="A221" s="4" t="str">
        <f>Sheet1!A221 &amp; "/" &amp; "2025"</f>
        <v>220/2025</v>
      </c>
      <c r="B221" s="5" t="str">
        <f>Sheet1!E221</f>
        <v>IND/MEL/00220</v>
      </c>
      <c r="C221" s="6" t="str">
        <f>UPPER(Sheet1!B221)</f>
        <v>DEV SHARMA</v>
      </c>
      <c r="D221" s="7" t="str">
        <f>IF(Sheet1!F221="F","FEMALE","MALE")</f>
        <v>MALE</v>
      </c>
      <c r="E221" s="6" t="str">
        <f>UPPER(Sheet1!G221)</f>
        <v>ROHIT SHARMA</v>
      </c>
      <c r="F221" s="6" t="str">
        <f>UPPER(Sheet1!H221)</f>
        <v>ALYA SHARMA</v>
      </c>
      <c r="G221" s="5" t="str">
        <f>TEXT(Sheet1!C221,"dd/mm/yyyy") &amp; "," &amp; Sheet1!D221</f>
        <v>21/01/2025,LIVERPOOL</v>
      </c>
      <c r="H221" s="39" t="str">
        <f>UPPER(Sheet1!J221 &amp; "," &amp; Sheet1!K221 &amp; "," &amp; Sheet1!L221)</f>
        <v>136 BIRCHWOOD LANE,EMERALD ROAD,PIN:265684 LIVERPOOL</v>
      </c>
      <c r="I221" s="8">
        <f>Sheet1!I221</f>
        <v>45709</v>
      </c>
      <c r="J221" s="5" t="str">
        <f>Sheet1!M221 &amp; "," &amp; TEXT(Sheet1!N221,"dd/mm/yy")</f>
        <v>MHA/IND/00220,15/08/25</v>
      </c>
      <c r="K221" s="5" t="s">
        <v>5752</v>
      </c>
      <c r="L221" s="31" t="s">
        <v>14</v>
      </c>
      <c r="M221" s="31" t="s">
        <v>15</v>
      </c>
      <c r="N221" s="31" t="s">
        <v>16</v>
      </c>
    </row>
    <row r="222" spans="1:14" x14ac:dyDescent="0.25">
      <c r="A222" s="4" t="str">
        <f>Sheet1!A222 &amp; "/" &amp; "2025"</f>
        <v>221/2025</v>
      </c>
      <c r="B222" s="5" t="str">
        <f>Sheet1!E222</f>
        <v>IND/MEL/00221</v>
      </c>
      <c r="C222" s="6" t="str">
        <f>UPPER(Sheet1!B222)</f>
        <v>KABIR KALEON</v>
      </c>
      <c r="D222" s="7" t="str">
        <f>IF(Sheet1!F222="F","FEMALE","MALE")</f>
        <v>MALE</v>
      </c>
      <c r="E222" s="6" t="str">
        <f>UPPER(Sheet1!G222)</f>
        <v>DEV KALEON</v>
      </c>
      <c r="F222" s="6" t="str">
        <f>UPPER(Sheet1!H222)</f>
        <v>TARA KALEON</v>
      </c>
      <c r="G222" s="5" t="str">
        <f>TEXT(Sheet1!C222,"dd/mm/yyyy") &amp; "," &amp; Sheet1!D222</f>
        <v>07/06/2025,BENDIGO</v>
      </c>
      <c r="H222" s="39" t="str">
        <f>UPPER(Sheet1!J222 &amp; "," &amp; Sheet1!K222 &amp; "," &amp; Sheet1!L222)</f>
        <v>70 BIRCHWOOD LANE,EMERALD ROAD,PIN:669525 BENDIGO</v>
      </c>
      <c r="I222" s="8">
        <f>Sheet1!I222</f>
        <v>45869</v>
      </c>
      <c r="J222" s="5" t="str">
        <f>Sheet1!M222 &amp; "," &amp; TEXT(Sheet1!N222,"dd/mm/yy")</f>
        <v>MHA/IND/00221,04/08/25</v>
      </c>
      <c r="K222" s="5" t="s">
        <v>5752</v>
      </c>
      <c r="L222" s="31" t="s">
        <v>14</v>
      </c>
      <c r="M222" s="31" t="s">
        <v>15</v>
      </c>
      <c r="N222" s="31" t="s">
        <v>16</v>
      </c>
    </row>
    <row r="223" spans="1:14" x14ac:dyDescent="0.25">
      <c r="A223" s="4" t="str">
        <f>Sheet1!A223 &amp; "/" &amp; "2025"</f>
        <v>222/2025</v>
      </c>
      <c r="B223" s="5" t="str">
        <f>Sheet1!E223</f>
        <v>IND/MEL/00222</v>
      </c>
      <c r="C223" s="6" t="str">
        <f>UPPER(Sheet1!B223)</f>
        <v>ALYA SINDALE</v>
      </c>
      <c r="D223" s="7" t="str">
        <f>IF(Sheet1!F223="F","FEMALE","MALE")</f>
        <v>FEMALE</v>
      </c>
      <c r="E223" s="6" t="str">
        <f>UPPER(Sheet1!G223)</f>
        <v>ROHIT SINDALE</v>
      </c>
      <c r="F223" s="6" t="str">
        <f>UPPER(Sheet1!H223)</f>
        <v>NINA SINDALE</v>
      </c>
      <c r="G223" s="5" t="str">
        <f>TEXT(Sheet1!C223,"dd/mm/yyyy") &amp; "," &amp; Sheet1!D223</f>
        <v>13/07/2025,WOLLONGONG</v>
      </c>
      <c r="H223" s="39" t="str">
        <f>UPPER(Sheet1!J223 &amp; "," &amp; Sheet1!K223 &amp; "," &amp; Sheet1!L223)</f>
        <v>71 BIRCHWOOD LANE,EMERALD ROAD,PIN:806096 WOLLONGONG</v>
      </c>
      <c r="I223" s="8">
        <f>Sheet1!I223</f>
        <v>45889</v>
      </c>
      <c r="J223" s="5" t="str">
        <f>Sheet1!M223 &amp; "," &amp; TEXT(Sheet1!N223,"dd/mm/yy")</f>
        <v>MHA/IND/00222,06/07/25</v>
      </c>
      <c r="K223" s="5" t="s">
        <v>5752</v>
      </c>
      <c r="L223" s="31" t="s">
        <v>14</v>
      </c>
      <c r="M223" s="31" t="s">
        <v>15</v>
      </c>
      <c r="N223" s="31" t="s">
        <v>16</v>
      </c>
    </row>
    <row r="224" spans="1:14" x14ac:dyDescent="0.25">
      <c r="A224" s="4" t="str">
        <f>Sheet1!A224 &amp; "/" &amp; "2025"</f>
        <v>223/2025</v>
      </c>
      <c r="B224" s="5" t="str">
        <f>Sheet1!E224</f>
        <v>IND/MEL/00223</v>
      </c>
      <c r="C224" s="6" t="str">
        <f>UPPER(Sheet1!B224)</f>
        <v>MIRA KALEON</v>
      </c>
      <c r="D224" s="7" t="str">
        <f>IF(Sheet1!F224="F","FEMALE","MALE")</f>
        <v>FEMALE</v>
      </c>
      <c r="E224" s="6" t="str">
        <f>UPPER(Sheet1!G224)</f>
        <v>KABIR KALEON</v>
      </c>
      <c r="F224" s="6" t="str">
        <f>UPPER(Sheet1!H224)</f>
        <v>ALYA KALEON</v>
      </c>
      <c r="G224" s="5" t="str">
        <f>TEXT(Sheet1!C224,"dd/mm/yyyy") &amp; "," &amp; Sheet1!D224</f>
        <v>17/06/2025,DALBY</v>
      </c>
      <c r="H224" s="39" t="str">
        <f>UPPER(Sheet1!J224 &amp; "," &amp; Sheet1!K224 &amp; "," &amp; Sheet1!L224)</f>
        <v>123 BIRCHWOOD LANE,EMERALD ROAD,PIN:836079 DALBY</v>
      </c>
      <c r="I224" s="8">
        <f>Sheet1!I224</f>
        <v>45844</v>
      </c>
      <c r="J224" s="5" t="str">
        <f>Sheet1!M224 &amp; "," &amp; TEXT(Sheet1!N224,"dd/mm/yy")</f>
        <v>MHA/IND/00223,18/08/25</v>
      </c>
      <c r="K224" s="5" t="s">
        <v>5752</v>
      </c>
      <c r="L224" s="31" t="s">
        <v>14</v>
      </c>
      <c r="M224" s="31" t="s">
        <v>15</v>
      </c>
      <c r="N224" s="31" t="s">
        <v>16</v>
      </c>
    </row>
    <row r="225" spans="1:14" x14ac:dyDescent="0.25">
      <c r="A225" s="4" t="str">
        <f>Sheet1!A225 &amp; "/" &amp; "2025"</f>
        <v>224/2025</v>
      </c>
      <c r="B225" s="5" t="str">
        <f>Sheet1!E225</f>
        <v>IND/MEL/00224</v>
      </c>
      <c r="C225" s="6" t="str">
        <f>UPPER(Sheet1!B225)</f>
        <v>ROHIT MYRTHOS</v>
      </c>
      <c r="D225" s="7" t="str">
        <f>IF(Sheet1!F225="F","FEMALE","MALE")</f>
        <v>MALE</v>
      </c>
      <c r="E225" s="6" t="str">
        <f>UPPER(Sheet1!G225)</f>
        <v>KABIR MYRTHOS</v>
      </c>
      <c r="F225" s="6" t="str">
        <f>UPPER(Sheet1!H225)</f>
        <v>MIRA MYRTHOS</v>
      </c>
      <c r="G225" s="5" t="str">
        <f>TEXT(Sheet1!C225,"dd/mm/yyyy") &amp; "," &amp; Sheet1!D225</f>
        <v>28/01/2025,CLAYTON</v>
      </c>
      <c r="H225" s="39" t="str">
        <f>UPPER(Sheet1!J225 &amp; "," &amp; Sheet1!K225 &amp; "," &amp; Sheet1!L225)</f>
        <v>106 BIRCHWOOD LANE,EMERALD ROAD,PIN:528267 CLAYTON</v>
      </c>
      <c r="I225" s="8">
        <f>Sheet1!I225</f>
        <v>45709</v>
      </c>
      <c r="J225" s="5" t="str">
        <f>Sheet1!M225 &amp; "," &amp; TEXT(Sheet1!N225,"dd/mm/yy")</f>
        <v>MHA/IND/00224,20/07/25</v>
      </c>
      <c r="K225" s="5" t="s">
        <v>5752</v>
      </c>
      <c r="L225" s="31" t="s">
        <v>14</v>
      </c>
      <c r="M225" s="31" t="s">
        <v>15</v>
      </c>
      <c r="N225" s="31" t="s">
        <v>16</v>
      </c>
    </row>
    <row r="226" spans="1:14" x14ac:dyDescent="0.25">
      <c r="A226" s="4" t="str">
        <f>Sheet1!A226 &amp; "/" &amp; "2025"</f>
        <v>225/2025</v>
      </c>
      <c r="B226" s="5" t="str">
        <f>Sheet1!E226</f>
        <v>IND/MEL/00225</v>
      </c>
      <c r="C226" s="6" t="str">
        <f>UPPER(Sheet1!B226)</f>
        <v>TARA SINDALE</v>
      </c>
      <c r="D226" s="7" t="str">
        <f>IF(Sheet1!F226="F","FEMALE","MALE")</f>
        <v>FEMALE</v>
      </c>
      <c r="E226" s="6" t="str">
        <f>UPPER(Sheet1!G226)</f>
        <v>DEV SINDALE</v>
      </c>
      <c r="F226" s="6" t="str">
        <f>UPPER(Sheet1!H226)</f>
        <v>NINA SINDALE</v>
      </c>
      <c r="G226" s="5" t="str">
        <f>TEXT(Sheet1!C226,"dd/mm/yyyy") &amp; "," &amp; Sheet1!D226</f>
        <v>03/07/2025,MANDURAH</v>
      </c>
      <c r="H226" s="39" t="str">
        <f>UPPER(Sheet1!J226 &amp; "," &amp; Sheet1!K226 &amp; "," &amp; Sheet1!L226)</f>
        <v>163 BIRCHWOOD LANE,EMERALD ROAD,PIN:587920 MANDURAH</v>
      </c>
      <c r="I226" s="8">
        <f>Sheet1!I226</f>
        <v>45884</v>
      </c>
      <c r="J226" s="5" t="str">
        <f>Sheet1!M226 &amp; "," &amp; TEXT(Sheet1!N226,"dd/mm/yy")</f>
        <v>MHA/IND/00225,22/07/25</v>
      </c>
      <c r="K226" s="5" t="s">
        <v>5752</v>
      </c>
      <c r="L226" s="31" t="s">
        <v>14</v>
      </c>
      <c r="M226" s="31" t="s">
        <v>15</v>
      </c>
      <c r="N226" s="31" t="s">
        <v>16</v>
      </c>
    </row>
    <row r="227" spans="1:14" x14ac:dyDescent="0.25">
      <c r="A227" s="4" t="str">
        <f>Sheet1!A227 &amp; "/" &amp; "2025"</f>
        <v>226/2025</v>
      </c>
      <c r="B227" s="5" t="str">
        <f>Sheet1!E227</f>
        <v>IND/MEL/00226</v>
      </c>
      <c r="C227" s="6" t="str">
        <f>UPPER(Sheet1!B227)</f>
        <v>ANYA RAO</v>
      </c>
      <c r="D227" s="7" t="str">
        <f>IF(Sheet1!F227="F","FEMALE","MALE")</f>
        <v>FEMALE</v>
      </c>
      <c r="E227" s="6" t="str">
        <f>UPPER(Sheet1!G227)</f>
        <v>KIRAN RAO</v>
      </c>
      <c r="F227" s="6" t="str">
        <f>UPPER(Sheet1!H227)</f>
        <v>TARA RAO</v>
      </c>
      <c r="G227" s="5" t="str">
        <f>TEXT(Sheet1!C227,"dd/mm/yyyy") &amp; "," &amp; Sheet1!D227</f>
        <v>07/06/2025,BUNDOORA</v>
      </c>
      <c r="H227" s="39" t="str">
        <f>UPPER(Sheet1!J227 &amp; "," &amp; Sheet1!K227 &amp; "," &amp; Sheet1!L227)</f>
        <v>166 BIRCHWOOD LANE,EMERALD ROAD,PIN:443245 BUNDOORA</v>
      </c>
      <c r="I227" s="8">
        <f>Sheet1!I227</f>
        <v>45833</v>
      </c>
      <c r="J227" s="5" t="str">
        <f>Sheet1!M227 &amp; "," &amp; TEXT(Sheet1!N227,"dd/mm/yy")</f>
        <v>MHA/IND/00226,01/08/25</v>
      </c>
      <c r="K227" s="5" t="s">
        <v>5752</v>
      </c>
      <c r="L227" s="31" t="s">
        <v>14</v>
      </c>
      <c r="M227" s="31" t="s">
        <v>15</v>
      </c>
      <c r="N227" s="31" t="s">
        <v>16</v>
      </c>
    </row>
    <row r="228" spans="1:14" x14ac:dyDescent="0.25">
      <c r="A228" s="4" t="str">
        <f>Sheet1!A228 &amp; "/" &amp; "2025"</f>
        <v>227/2025</v>
      </c>
      <c r="B228" s="5" t="str">
        <f>Sheet1!E228</f>
        <v>IND/MEL/00227</v>
      </c>
      <c r="C228" s="6" t="str">
        <f>UPPER(Sheet1!B228)</f>
        <v>TARA RISHKAN</v>
      </c>
      <c r="D228" s="7" t="str">
        <f>IF(Sheet1!F228="F","FEMALE","MALE")</f>
        <v>FEMALE</v>
      </c>
      <c r="E228" s="6" t="str">
        <f>UPPER(Sheet1!G228)</f>
        <v>ROHIT RISHKAN</v>
      </c>
      <c r="F228" s="6" t="str">
        <f>UPPER(Sheet1!H228)</f>
        <v>SARA RISHKAN</v>
      </c>
      <c r="G228" s="5" t="str">
        <f>TEXT(Sheet1!C228,"dd/mm/yyyy") &amp; "," &amp; Sheet1!D228</f>
        <v>26/05/2025,BRISBANE</v>
      </c>
      <c r="H228" s="39" t="str">
        <f>UPPER(Sheet1!J228 &amp; "," &amp; Sheet1!K228 &amp; "," &amp; Sheet1!L228)</f>
        <v>130 BIRCHWOOD LANE,EMERALD ROAD,PIN:854044 BRISBANE</v>
      </c>
      <c r="I228" s="8">
        <f>Sheet1!I228</f>
        <v>45882</v>
      </c>
      <c r="J228" s="5" t="str">
        <f>Sheet1!M228 &amp; "," &amp; TEXT(Sheet1!N228,"dd/mm/yy")</f>
        <v>MHA/IND/00227,28/07/25</v>
      </c>
      <c r="K228" s="5" t="s">
        <v>5752</v>
      </c>
      <c r="L228" s="31" t="s">
        <v>14</v>
      </c>
      <c r="M228" s="31" t="s">
        <v>15</v>
      </c>
      <c r="N228" s="31" t="s">
        <v>16</v>
      </c>
    </row>
    <row r="229" spans="1:14" x14ac:dyDescent="0.25">
      <c r="A229" s="4" t="str">
        <f>Sheet1!A229 &amp; "/" &amp; "2025"</f>
        <v>228/2025</v>
      </c>
      <c r="B229" s="5" t="str">
        <f>Sheet1!E229</f>
        <v>IND/MEL/00228</v>
      </c>
      <c r="C229" s="6" t="str">
        <f>UPPER(Sheet1!B229)</f>
        <v>KABIR SINDALE</v>
      </c>
      <c r="D229" s="7" t="str">
        <f>IF(Sheet1!F229="F","FEMALE","MALE")</f>
        <v>MALE</v>
      </c>
      <c r="E229" s="6" t="str">
        <f>UPPER(Sheet1!G229)</f>
        <v>NEIL SINDALE</v>
      </c>
      <c r="F229" s="6" t="str">
        <f>UPPER(Sheet1!H229)</f>
        <v>RIYA SINDALE</v>
      </c>
      <c r="G229" s="5" t="str">
        <f>TEXT(Sheet1!C229,"dd/mm/yyyy") &amp; "," &amp; Sheet1!D229</f>
        <v>13/03/2025,BERWICK</v>
      </c>
      <c r="H229" s="39" t="str">
        <f>UPPER(Sheet1!J229 &amp; "," &amp; Sheet1!K229 &amp; "," &amp; Sheet1!L229)</f>
        <v>90 BIRCHWOOD LANE,EMERALD ROAD,PIN:146112 BERWICK</v>
      </c>
      <c r="I229" s="8">
        <f>Sheet1!I229</f>
        <v>45792</v>
      </c>
      <c r="J229" s="5" t="str">
        <f>Sheet1!M229 &amp; "," &amp; TEXT(Sheet1!N229,"dd/mm/yy")</f>
        <v>MHA/IND/00228,20/07/25</v>
      </c>
      <c r="K229" s="5" t="s">
        <v>5752</v>
      </c>
      <c r="L229" s="31" t="s">
        <v>14</v>
      </c>
      <c r="M229" s="31" t="s">
        <v>15</v>
      </c>
      <c r="N229" s="31" t="s">
        <v>16</v>
      </c>
    </row>
    <row r="230" spans="1:14" x14ac:dyDescent="0.25">
      <c r="A230" s="4" t="str">
        <f>Sheet1!A230 &amp; "/" &amp; "2025"</f>
        <v>229/2025</v>
      </c>
      <c r="B230" s="5" t="str">
        <f>Sheet1!E230</f>
        <v>IND/MEL/00229</v>
      </c>
      <c r="C230" s="6" t="str">
        <f>UPPER(Sheet1!B230)</f>
        <v>MIRA SHARMA</v>
      </c>
      <c r="D230" s="7" t="str">
        <f>IF(Sheet1!F230="F","FEMALE","MALE")</f>
        <v>FEMALE</v>
      </c>
      <c r="E230" s="6" t="str">
        <f>UPPER(Sheet1!G230)</f>
        <v>KIRAN SHARMA</v>
      </c>
      <c r="F230" s="6" t="str">
        <f>UPPER(Sheet1!H230)</f>
        <v>DIYA SHARMA</v>
      </c>
      <c r="G230" s="5" t="str">
        <f>TEXT(Sheet1!C230,"dd/mm/yyyy") &amp; "," &amp; Sheet1!D230</f>
        <v>17/05/2025,GOSFORD</v>
      </c>
      <c r="H230" s="39" t="str">
        <f>UPPER(Sheet1!J230 &amp; "," &amp; Sheet1!K230 &amp; "," &amp; Sheet1!L230)</f>
        <v>187 BIRCHWOOD LANE,EMERALD ROAD,PIN:116116 GOSFORD</v>
      </c>
      <c r="I230" s="8">
        <f>Sheet1!I230</f>
        <v>45856</v>
      </c>
      <c r="J230" s="5" t="str">
        <f>Sheet1!M230 &amp; "," &amp; TEXT(Sheet1!N230,"dd/mm/yy")</f>
        <v>MHA/IND/00229,11/08/25</v>
      </c>
      <c r="K230" s="5" t="s">
        <v>5752</v>
      </c>
      <c r="L230" s="31" t="s">
        <v>14</v>
      </c>
      <c r="M230" s="31" t="s">
        <v>15</v>
      </c>
      <c r="N230" s="31" t="s">
        <v>16</v>
      </c>
    </row>
    <row r="231" spans="1:14" x14ac:dyDescent="0.25">
      <c r="A231" s="4" t="str">
        <f>Sheet1!A231 &amp; "/" &amp; "2025"</f>
        <v>230/2025</v>
      </c>
      <c r="B231" s="5" t="str">
        <f>Sheet1!E231</f>
        <v>IND/MEL/00230</v>
      </c>
      <c r="C231" s="6" t="str">
        <f>UPPER(Sheet1!B231)</f>
        <v>ANYA KALEON</v>
      </c>
      <c r="D231" s="7" t="str">
        <f>IF(Sheet1!F231="F","FEMALE","MALE")</f>
        <v>FEMALE</v>
      </c>
      <c r="E231" s="6" t="str">
        <f>UPPER(Sheet1!G231)</f>
        <v>ROHIT KALEON</v>
      </c>
      <c r="F231" s="6" t="str">
        <f>UPPER(Sheet1!H231)</f>
        <v>TARA KALEON</v>
      </c>
      <c r="G231" s="5" t="str">
        <f>TEXT(Sheet1!C231,"dd/mm/yyyy") &amp; "," &amp; Sheet1!D231</f>
        <v>12/10/2025,ARMADALE</v>
      </c>
      <c r="H231" s="39" t="str">
        <f>UPPER(Sheet1!J231 &amp; "," &amp; Sheet1!K231 &amp; "," &amp; Sheet1!L231)</f>
        <v>146 BIRCHWOOD LANE,EMERALD ROAD,PIN:698609 ARMADALE</v>
      </c>
      <c r="I231" s="8">
        <f>Sheet1!I231</f>
        <v>45968</v>
      </c>
      <c r="J231" s="5" t="str">
        <f>Sheet1!M231 &amp; "," &amp; TEXT(Sheet1!N231,"dd/mm/yy")</f>
        <v>MHA/IND/00230,09/08/25</v>
      </c>
      <c r="K231" s="5" t="s">
        <v>5752</v>
      </c>
      <c r="L231" s="31" t="s">
        <v>14</v>
      </c>
      <c r="M231" s="31" t="s">
        <v>15</v>
      </c>
      <c r="N231" s="31" t="s">
        <v>16</v>
      </c>
    </row>
    <row r="232" spans="1:14" x14ac:dyDescent="0.25">
      <c r="A232" s="4" t="str">
        <f>Sheet1!A232 &amp; "/" &amp; "2025"</f>
        <v>231/2025</v>
      </c>
      <c r="B232" s="5" t="str">
        <f>Sheet1!E232</f>
        <v>IND/MEL/00231</v>
      </c>
      <c r="C232" s="6" t="str">
        <f>UPPER(Sheet1!B232)</f>
        <v>ALYA KALEON</v>
      </c>
      <c r="D232" s="7" t="str">
        <f>IF(Sheet1!F232="F","FEMALE","MALE")</f>
        <v>FEMALE</v>
      </c>
      <c r="E232" s="6" t="str">
        <f>UPPER(Sheet1!G232)</f>
        <v>ISHAN KALEON</v>
      </c>
      <c r="F232" s="6" t="str">
        <f>UPPER(Sheet1!H232)</f>
        <v>NINA KALEON</v>
      </c>
      <c r="G232" s="5" t="str">
        <f>TEXT(Sheet1!C232,"dd/mm/yyyy") &amp; "," &amp; Sheet1!D232</f>
        <v>10/09/2025,PARKVILLE</v>
      </c>
      <c r="H232" s="39" t="str">
        <f>UPPER(Sheet1!J232 &amp; "," &amp; Sheet1!K232 &amp; "," &amp; Sheet1!L232)</f>
        <v>94 BIRCHWOOD LANE,EMERALD ROAD,PIN:243403 PARKVILLE</v>
      </c>
      <c r="I232" s="8">
        <f>Sheet1!I232</f>
        <v>45999</v>
      </c>
      <c r="J232" s="5" t="str">
        <f>Sheet1!M232 &amp; "," &amp; TEXT(Sheet1!N232,"dd/mm/yy")</f>
        <v>MHA/IND/00231,26/08/25</v>
      </c>
      <c r="K232" s="5" t="s">
        <v>5752</v>
      </c>
      <c r="L232" s="31" t="s">
        <v>14</v>
      </c>
      <c r="M232" s="31" t="s">
        <v>15</v>
      </c>
      <c r="N232" s="31" t="s">
        <v>16</v>
      </c>
    </row>
    <row r="233" spans="1:14" x14ac:dyDescent="0.25">
      <c r="A233" s="4" t="str">
        <f>Sheet1!A233 &amp; "/" &amp; "2025"</f>
        <v>232/2025</v>
      </c>
      <c r="B233" s="5" t="str">
        <f>Sheet1!E233</f>
        <v>IND/MEL/00232</v>
      </c>
      <c r="C233" s="6" t="str">
        <f>UPPER(Sheet1!B233)</f>
        <v>ANYA MYRTHOS</v>
      </c>
      <c r="D233" s="7" t="str">
        <f>IF(Sheet1!F233="F","FEMALE","MALE")</f>
        <v>FEMALE</v>
      </c>
      <c r="E233" s="6" t="str">
        <f>UPPER(Sheet1!G233)</f>
        <v>ROHIT MYRTHOS</v>
      </c>
      <c r="F233" s="6" t="str">
        <f>UPPER(Sheet1!H233)</f>
        <v>MIRA MYRTHOS</v>
      </c>
      <c r="G233" s="5" t="str">
        <f>TEXT(Sheet1!C233,"dd/mm/yyyy") &amp; "," &amp; Sheet1!D233</f>
        <v>12/09/2025,LIVERPOOL</v>
      </c>
      <c r="H233" s="39" t="str">
        <f>UPPER(Sheet1!J233 &amp; "," &amp; Sheet1!K233 &amp; "," &amp; Sheet1!L233)</f>
        <v>61 BIRCHWOOD LANE,EMERALD ROAD,PIN:333036 LIVERPOOL</v>
      </c>
      <c r="I233" s="8">
        <f>Sheet1!I233</f>
        <v>45979</v>
      </c>
      <c r="J233" s="5" t="str">
        <f>Sheet1!M233 &amp; "," &amp; TEXT(Sheet1!N233,"dd/mm/yy")</f>
        <v>MHA/IND/00232,25/08/25</v>
      </c>
      <c r="K233" s="5" t="s">
        <v>5752</v>
      </c>
      <c r="L233" s="31" t="s">
        <v>14</v>
      </c>
      <c r="M233" s="31" t="s">
        <v>15</v>
      </c>
      <c r="N233" s="31" t="s">
        <v>16</v>
      </c>
    </row>
    <row r="234" spans="1:14" x14ac:dyDescent="0.25">
      <c r="A234" s="4" t="str">
        <f>Sheet1!A234 &amp; "/" &amp; "2025"</f>
        <v>233/2025</v>
      </c>
      <c r="B234" s="5" t="str">
        <f>Sheet1!E234</f>
        <v>IND/MEL/00233</v>
      </c>
      <c r="C234" s="6" t="str">
        <f>UPPER(Sheet1!B234)</f>
        <v>ROHIT VALZARI</v>
      </c>
      <c r="D234" s="7" t="str">
        <f>IF(Sheet1!F234="F","FEMALE","MALE")</f>
        <v>MALE</v>
      </c>
      <c r="E234" s="6" t="str">
        <f>UPPER(Sheet1!G234)</f>
        <v>AREN VALZARI</v>
      </c>
      <c r="F234" s="6" t="str">
        <f>UPPER(Sheet1!H234)</f>
        <v>RIYA VALZARI</v>
      </c>
      <c r="G234" s="5" t="str">
        <f>TEXT(Sheet1!C234,"dd/mm/yyyy") &amp; "," &amp; Sheet1!D234</f>
        <v>27/03/2025,BEDFORD PARK</v>
      </c>
      <c r="H234" s="39" t="str">
        <f>UPPER(Sheet1!J234 &amp; "," &amp; Sheet1!K234 &amp; "," &amp; Sheet1!L234)</f>
        <v>69 BIRCHWOOD LANE,EMERALD ROAD,PIN:974106 BEDFORD PARK</v>
      </c>
      <c r="I234" s="8">
        <f>Sheet1!I234</f>
        <v>45808</v>
      </c>
      <c r="J234" s="5" t="str">
        <f>Sheet1!M234 &amp; "," &amp; TEXT(Sheet1!N234,"dd/mm/yy")</f>
        <v>MHA/IND/00233,08/07/25</v>
      </c>
      <c r="K234" s="5" t="s">
        <v>5752</v>
      </c>
      <c r="L234" s="31" t="s">
        <v>14</v>
      </c>
      <c r="M234" s="31" t="s">
        <v>15</v>
      </c>
      <c r="N234" s="31" t="s">
        <v>16</v>
      </c>
    </row>
    <row r="235" spans="1:14" x14ac:dyDescent="0.25">
      <c r="A235" s="4" t="str">
        <f>Sheet1!A235 &amp; "/" &amp; "2025"</f>
        <v>234/2025</v>
      </c>
      <c r="B235" s="5" t="str">
        <f>Sheet1!E235</f>
        <v>IND/MEL/00234</v>
      </c>
      <c r="C235" s="6" t="str">
        <f>UPPER(Sheet1!B235)</f>
        <v>KIRAN VALZARI</v>
      </c>
      <c r="D235" s="7" t="str">
        <f>IF(Sheet1!F235="F","FEMALE","MALE")</f>
        <v>MALE</v>
      </c>
      <c r="E235" s="6" t="str">
        <f>UPPER(Sheet1!G235)</f>
        <v>ROHIT VALZARI</v>
      </c>
      <c r="F235" s="6" t="str">
        <f>UPPER(Sheet1!H235)</f>
        <v>ALYA VALZARI</v>
      </c>
      <c r="G235" s="5" t="str">
        <f>TEXT(Sheet1!C235,"dd/mm/yyyy") &amp; "," &amp; Sheet1!D235</f>
        <v>02/04/2025,WODONGA</v>
      </c>
      <c r="H235" s="39" t="str">
        <f>UPPER(Sheet1!J235 &amp; "," &amp; Sheet1!K235 &amp; "," &amp; Sheet1!L235)</f>
        <v>130 BIRCHWOOD LANE,EMERALD ROAD,PIN:903256 WODONGA</v>
      </c>
      <c r="I235" s="8">
        <f>Sheet1!I235</f>
        <v>45786</v>
      </c>
      <c r="J235" s="5" t="str">
        <f>Sheet1!M235 &amp; "," &amp; TEXT(Sheet1!N235,"dd/mm/yy")</f>
        <v>MHA/IND/00234,24/07/25</v>
      </c>
      <c r="K235" s="5" t="s">
        <v>5752</v>
      </c>
      <c r="L235" s="31" t="s">
        <v>14</v>
      </c>
      <c r="M235" s="31" t="s">
        <v>15</v>
      </c>
      <c r="N235" s="31" t="s">
        <v>16</v>
      </c>
    </row>
    <row r="236" spans="1:14" x14ac:dyDescent="0.25">
      <c r="A236" s="4" t="str">
        <f>Sheet1!A236 &amp; "/" &amp; "2025"</f>
        <v>235/2025</v>
      </c>
      <c r="B236" s="5" t="str">
        <f>Sheet1!E236</f>
        <v>IND/MEL/00235</v>
      </c>
      <c r="C236" s="6" t="str">
        <f>UPPER(Sheet1!B236)</f>
        <v>DEV SINDALE</v>
      </c>
      <c r="D236" s="7" t="str">
        <f>IF(Sheet1!F236="F","FEMALE","MALE")</f>
        <v>MALE</v>
      </c>
      <c r="E236" s="6" t="str">
        <f>UPPER(Sheet1!G236)</f>
        <v>AREN SINDALE</v>
      </c>
      <c r="F236" s="6" t="str">
        <f>UPPER(Sheet1!H236)</f>
        <v>RIYA SINDALE</v>
      </c>
      <c r="G236" s="5" t="str">
        <f>TEXT(Sheet1!C236,"dd/mm/yyyy") &amp; "," &amp; Sheet1!D236</f>
        <v>23/05/2025,FRANKSTON</v>
      </c>
      <c r="H236" s="39" t="str">
        <f>UPPER(Sheet1!J236 &amp; "," &amp; Sheet1!K236 &amp; "," &amp; Sheet1!L236)</f>
        <v>161 BIRCHWOOD LANE,EMERALD ROAD,PIN:724180 FRANKSTON</v>
      </c>
      <c r="I236" s="8">
        <f>Sheet1!I236</f>
        <v>45873</v>
      </c>
      <c r="J236" s="5" t="str">
        <f>Sheet1!M236 &amp; "," &amp; TEXT(Sheet1!N236,"dd/mm/yy")</f>
        <v>MHA/IND/00235,09/08/25</v>
      </c>
      <c r="K236" s="5" t="s">
        <v>5752</v>
      </c>
      <c r="L236" s="31" t="s">
        <v>14</v>
      </c>
      <c r="M236" s="31" t="s">
        <v>15</v>
      </c>
      <c r="N236" s="31" t="s">
        <v>16</v>
      </c>
    </row>
    <row r="237" spans="1:14" x14ac:dyDescent="0.25">
      <c r="A237" s="4" t="str">
        <f>Sheet1!A237 &amp; "/" &amp; "2025"</f>
        <v>236/2025</v>
      </c>
      <c r="B237" s="5" t="str">
        <f>Sheet1!E237</f>
        <v>IND/MEL/00236</v>
      </c>
      <c r="C237" s="6" t="str">
        <f>UPPER(Sheet1!B237)</f>
        <v>KIRAN SHARMA</v>
      </c>
      <c r="D237" s="7" t="str">
        <f>IF(Sheet1!F237="F","FEMALE","MALE")</f>
        <v>MALE</v>
      </c>
      <c r="E237" s="6" t="str">
        <f>UPPER(Sheet1!G237)</f>
        <v>DEV SHARMA</v>
      </c>
      <c r="F237" s="6" t="str">
        <f>UPPER(Sheet1!H237)</f>
        <v>NINA SHARMA</v>
      </c>
      <c r="G237" s="5" t="str">
        <f>TEXT(Sheet1!C237,"dd/mm/yyyy") &amp; "," &amp; Sheet1!D237</f>
        <v>11/06/2025,TUGGERANONG</v>
      </c>
      <c r="H237" s="39" t="str">
        <f>UPPER(Sheet1!J237 &amp; "," &amp; Sheet1!K237 &amp; "," &amp; Sheet1!L237)</f>
        <v>29 BIRCHWOOD LANE,EMERALD ROAD,PIN:696956 TUGGERANONG</v>
      </c>
      <c r="I237" s="8">
        <f>Sheet1!I237</f>
        <v>45937</v>
      </c>
      <c r="J237" s="5" t="str">
        <f>Sheet1!M237 &amp; "," &amp; TEXT(Sheet1!N237,"dd/mm/yy")</f>
        <v>MHA/IND/00236,26/08/25</v>
      </c>
      <c r="K237" s="5" t="s">
        <v>5752</v>
      </c>
      <c r="L237" s="31" t="s">
        <v>14</v>
      </c>
      <c r="M237" s="31" t="s">
        <v>15</v>
      </c>
      <c r="N237" s="31" t="s">
        <v>16</v>
      </c>
    </row>
    <row r="238" spans="1:14" x14ac:dyDescent="0.25">
      <c r="A238" s="4" t="str">
        <f>Sheet1!A238 &amp; "/" &amp; "2025"</f>
        <v>237/2025</v>
      </c>
      <c r="B238" s="5" t="str">
        <f>Sheet1!E238</f>
        <v>IND/MEL/00237</v>
      </c>
      <c r="C238" s="6" t="str">
        <f>UPPER(Sheet1!B238)</f>
        <v>MIRA SHARMA</v>
      </c>
      <c r="D238" s="7" t="str">
        <f>IF(Sheet1!F238="F","FEMALE","MALE")</f>
        <v>FEMALE</v>
      </c>
      <c r="E238" s="6" t="str">
        <f>UPPER(Sheet1!G238)</f>
        <v>ROHIT SHARMA</v>
      </c>
      <c r="F238" s="6" t="str">
        <f>UPPER(Sheet1!H238)</f>
        <v>MIRA SHARMA</v>
      </c>
      <c r="G238" s="5" t="str">
        <f>TEXT(Sheet1!C238,"dd/mm/yyyy") &amp; "," &amp; Sheet1!D238</f>
        <v>01/05/2025,LAUNCESTON</v>
      </c>
      <c r="H238" s="39" t="str">
        <f>UPPER(Sheet1!J238 &amp; "," &amp; Sheet1!K238 &amp; "," &amp; Sheet1!L238)</f>
        <v>193 BIRCHWOOD LANE,EMERALD ROAD,PIN:866652 LAUNCESTON</v>
      </c>
      <c r="I238" s="8">
        <f>Sheet1!I238</f>
        <v>45790</v>
      </c>
      <c r="J238" s="5" t="str">
        <f>Sheet1!M238 &amp; "," &amp; TEXT(Sheet1!N238,"dd/mm/yy")</f>
        <v>MHA/IND/00237,06/07/25</v>
      </c>
      <c r="K238" s="5" t="s">
        <v>5752</v>
      </c>
      <c r="L238" s="31" t="s">
        <v>14</v>
      </c>
      <c r="M238" s="31" t="s">
        <v>15</v>
      </c>
      <c r="N238" s="31" t="s">
        <v>16</v>
      </c>
    </row>
    <row r="239" spans="1:14" x14ac:dyDescent="0.25">
      <c r="A239" s="4" t="str">
        <f>Sheet1!A239 &amp; "/" &amp; "2025"</f>
        <v>238/2025</v>
      </c>
      <c r="B239" s="5" t="str">
        <f>Sheet1!E239</f>
        <v>IND/MEL/00238</v>
      </c>
      <c r="C239" s="6" t="str">
        <f>UPPER(Sheet1!B239)</f>
        <v>SARA KALEON</v>
      </c>
      <c r="D239" s="7" t="str">
        <f>IF(Sheet1!F239="F","FEMALE","MALE")</f>
        <v>FEMALE</v>
      </c>
      <c r="E239" s="6" t="str">
        <f>UPPER(Sheet1!G239)</f>
        <v>ROHIT KALEON</v>
      </c>
      <c r="F239" s="6" t="str">
        <f>UPPER(Sheet1!H239)</f>
        <v>ANYA KALEON</v>
      </c>
      <c r="G239" s="5" t="str">
        <f>TEXT(Sheet1!C239,"dd/mm/yyyy") &amp; "," &amp; Sheet1!D239</f>
        <v>19/03/2025,NORTH ADELAIDE</v>
      </c>
      <c r="H239" s="39" t="str">
        <f>UPPER(Sheet1!J239 &amp; "," &amp; Sheet1!K239 &amp; "," &amp; Sheet1!L239)</f>
        <v>141 BIRCHWOOD LANE,EMERALD ROAD,PIN:277862 NORTH ADELAIDE</v>
      </c>
      <c r="I239" s="8">
        <f>Sheet1!I239</f>
        <v>45767</v>
      </c>
      <c r="J239" s="5" t="str">
        <f>Sheet1!M239 &amp; "," &amp; TEXT(Sheet1!N239,"dd/mm/yy")</f>
        <v>MHA/IND/00238,03/08/25</v>
      </c>
      <c r="K239" s="5" t="s">
        <v>5752</v>
      </c>
      <c r="L239" s="31" t="s">
        <v>14</v>
      </c>
      <c r="M239" s="31" t="s">
        <v>15</v>
      </c>
      <c r="N239" s="31" t="s">
        <v>16</v>
      </c>
    </row>
    <row r="240" spans="1:14" x14ac:dyDescent="0.25">
      <c r="A240" s="4" t="str">
        <f>Sheet1!A240 &amp; "/" &amp; "2025"</f>
        <v>239/2025</v>
      </c>
      <c r="B240" s="5" t="str">
        <f>Sheet1!E240</f>
        <v>IND/MEL/00239</v>
      </c>
      <c r="C240" s="6" t="str">
        <f>UPPER(Sheet1!B240)</f>
        <v>RIYA RISHKAN</v>
      </c>
      <c r="D240" s="7" t="str">
        <f>IF(Sheet1!F240="F","FEMALE","MALE")</f>
        <v>FEMALE</v>
      </c>
      <c r="E240" s="6" t="str">
        <f>UPPER(Sheet1!G240)</f>
        <v>NEIL RISHKAN</v>
      </c>
      <c r="F240" s="6" t="str">
        <f>UPPER(Sheet1!H240)</f>
        <v>ALYA RISHKAN</v>
      </c>
      <c r="G240" s="5" t="str">
        <f>TEXT(Sheet1!C240,"dd/mm/yyyy") &amp; "," &amp; Sheet1!D240</f>
        <v>27/07/2025,TUGGERANONG</v>
      </c>
      <c r="H240" s="39" t="str">
        <f>UPPER(Sheet1!J240 &amp; "," &amp; Sheet1!K240 &amp; "," &amp; Sheet1!L240)</f>
        <v>57 BIRCHWOOD LANE,EMERALD ROAD,PIN:771839 TUGGERANONG</v>
      </c>
      <c r="I240" s="8">
        <f>Sheet1!I240</f>
        <v>45873</v>
      </c>
      <c r="J240" s="5" t="str">
        <f>Sheet1!M240 &amp; "," &amp; TEXT(Sheet1!N240,"dd/mm/yy")</f>
        <v>MHA/IND/00239,14/07/25</v>
      </c>
      <c r="K240" s="5" t="s">
        <v>5752</v>
      </c>
      <c r="L240" s="31" t="s">
        <v>14</v>
      </c>
      <c r="M240" s="31" t="s">
        <v>15</v>
      </c>
      <c r="N240" s="31" t="s">
        <v>16</v>
      </c>
    </row>
    <row r="241" spans="1:14" x14ac:dyDescent="0.25">
      <c r="A241" s="4" t="str">
        <f>Sheet1!A241 &amp; "/" &amp; "2025"</f>
        <v>240/2025</v>
      </c>
      <c r="B241" s="5" t="str">
        <f>Sheet1!E241</f>
        <v>IND/MEL/00240</v>
      </c>
      <c r="C241" s="6" t="str">
        <f>UPPER(Sheet1!B241)</f>
        <v>ANYA SHARMA</v>
      </c>
      <c r="D241" s="7" t="str">
        <f>IF(Sheet1!F241="F","FEMALE","MALE")</f>
        <v>FEMALE</v>
      </c>
      <c r="E241" s="6" t="str">
        <f>UPPER(Sheet1!G241)</f>
        <v>DEV SHARMA</v>
      </c>
      <c r="F241" s="6" t="str">
        <f>UPPER(Sheet1!H241)</f>
        <v>ANYA SHARMA</v>
      </c>
      <c r="G241" s="5" t="str">
        <f>TEXT(Sheet1!C241,"dd/mm/yyyy") &amp; "," &amp; Sheet1!D241</f>
        <v>05/08/2025,LIVERPOOL</v>
      </c>
      <c r="H241" s="39" t="str">
        <f>UPPER(Sheet1!J241 &amp; "," &amp; Sheet1!K241 &amp; "," &amp; Sheet1!L241)</f>
        <v>65 BIRCHWOOD LANE,EMERALD ROAD,PIN:587081 LIVERPOOL</v>
      </c>
      <c r="I241" s="8">
        <f>Sheet1!I241</f>
        <v>45926</v>
      </c>
      <c r="J241" s="5" t="str">
        <f>Sheet1!M241 &amp; "," &amp; TEXT(Sheet1!N241,"dd/mm/yy")</f>
        <v>MHA/IND/00240,04/08/25</v>
      </c>
      <c r="K241" s="5" t="s">
        <v>5752</v>
      </c>
      <c r="L241" s="31" t="s">
        <v>14</v>
      </c>
      <c r="M241" s="31" t="s">
        <v>15</v>
      </c>
      <c r="N241" s="31" t="s">
        <v>16</v>
      </c>
    </row>
    <row r="242" spans="1:14" x14ac:dyDescent="0.25">
      <c r="A242" s="4" t="str">
        <f>Sheet1!A242 &amp; "/" &amp; "2025"</f>
        <v>241/2025</v>
      </c>
      <c r="B242" s="5" t="str">
        <f>Sheet1!E242</f>
        <v>IND/MEL/00241</v>
      </c>
      <c r="C242" s="6" t="str">
        <f>UPPER(Sheet1!B242)</f>
        <v>ANYA VALZARI</v>
      </c>
      <c r="D242" s="7" t="str">
        <f>IF(Sheet1!F242="F","FEMALE","MALE")</f>
        <v>FEMALE</v>
      </c>
      <c r="E242" s="6" t="str">
        <f>UPPER(Sheet1!G242)</f>
        <v>AREN VALZARI</v>
      </c>
      <c r="F242" s="6" t="str">
        <f>UPPER(Sheet1!H242)</f>
        <v>ANYA VALZARI</v>
      </c>
      <c r="G242" s="5" t="str">
        <f>TEXT(Sheet1!C242,"dd/mm/yyyy") &amp; "," &amp; Sheet1!D242</f>
        <v>13/01/2025,BALLARAT CENTRAL</v>
      </c>
      <c r="H242" s="39" t="str">
        <f>UPPER(Sheet1!J242 &amp; "," &amp; Sheet1!K242 &amp; "," &amp; Sheet1!L242)</f>
        <v>74 BIRCHWOOD LANE,EMERALD ROAD,PIN:832571 BALLARAT CENTRAL</v>
      </c>
      <c r="I242" s="8">
        <f>Sheet1!I242</f>
        <v>45679</v>
      </c>
      <c r="J242" s="5" t="str">
        <f>Sheet1!M242 &amp; "," &amp; TEXT(Sheet1!N242,"dd/mm/yy")</f>
        <v>MHA/IND/00241,06/07/25</v>
      </c>
      <c r="K242" s="5" t="s">
        <v>5752</v>
      </c>
      <c r="L242" s="31" t="s">
        <v>14</v>
      </c>
      <c r="M242" s="31" t="s">
        <v>15</v>
      </c>
      <c r="N242" s="31" t="s">
        <v>16</v>
      </c>
    </row>
    <row r="243" spans="1:14" x14ac:dyDescent="0.25">
      <c r="A243" s="4" t="str">
        <f>Sheet1!A243 &amp; "/" &amp; "2025"</f>
        <v>242/2025</v>
      </c>
      <c r="B243" s="5" t="str">
        <f>Sheet1!E243</f>
        <v>IND/MEL/00242</v>
      </c>
      <c r="C243" s="6" t="str">
        <f>UPPER(Sheet1!B243)</f>
        <v>ARJUN SINDALE</v>
      </c>
      <c r="D243" s="7" t="str">
        <f>IF(Sheet1!F243="F","FEMALE","MALE")</f>
        <v>MALE</v>
      </c>
      <c r="E243" s="6" t="str">
        <f>UPPER(Sheet1!G243)</f>
        <v>ISHAN SINDALE</v>
      </c>
      <c r="F243" s="6" t="str">
        <f>UPPER(Sheet1!H243)</f>
        <v>NINA SINDALE</v>
      </c>
      <c r="G243" s="5" t="str">
        <f>TEXT(Sheet1!C243,"dd/mm/yyyy") &amp; "," &amp; Sheet1!D243</f>
        <v>05/08/2025,FREMANTLE</v>
      </c>
      <c r="H243" s="39" t="str">
        <f>UPPER(Sheet1!J243 &amp; "," &amp; Sheet1!K243 &amp; "," &amp; Sheet1!L243)</f>
        <v>26 BIRCHWOOD LANE,EMERALD ROAD,PIN:919321 FREMANTLE</v>
      </c>
      <c r="I243" s="8">
        <f>Sheet1!I243</f>
        <v>45982</v>
      </c>
      <c r="J243" s="5" t="str">
        <f>Sheet1!M243 &amp; "," &amp; TEXT(Sheet1!N243,"dd/mm/yy")</f>
        <v>MHA/IND/00242,28/08/25</v>
      </c>
      <c r="K243" s="5" t="s">
        <v>5752</v>
      </c>
      <c r="L243" s="31" t="s">
        <v>14</v>
      </c>
      <c r="M243" s="31" t="s">
        <v>15</v>
      </c>
      <c r="N243" s="31" t="s">
        <v>16</v>
      </c>
    </row>
    <row r="244" spans="1:14" x14ac:dyDescent="0.25">
      <c r="A244" s="4" t="str">
        <f>Sheet1!A244 &amp; "/" &amp; "2025"</f>
        <v>243/2025</v>
      </c>
      <c r="B244" s="5" t="str">
        <f>Sheet1!E244</f>
        <v>IND/MEL/00243</v>
      </c>
      <c r="C244" s="6" t="str">
        <f>UPPER(Sheet1!B244)</f>
        <v>TARA KALEON</v>
      </c>
      <c r="D244" s="7" t="str">
        <f>IF(Sheet1!F244="F","FEMALE","MALE")</f>
        <v>FEMALE</v>
      </c>
      <c r="E244" s="6" t="str">
        <f>UPPER(Sheet1!G244)</f>
        <v>ROHIT KALEON</v>
      </c>
      <c r="F244" s="6" t="str">
        <f>UPPER(Sheet1!H244)</f>
        <v>TARA KALEON</v>
      </c>
      <c r="G244" s="5" t="str">
        <f>TEXT(Sheet1!C244,"dd/mm/yyyy") &amp; "," &amp; Sheet1!D244</f>
        <v>06/05/2025,IPSWICH</v>
      </c>
      <c r="H244" s="39" t="str">
        <f>UPPER(Sheet1!J244 &amp; "," &amp; Sheet1!K244 &amp; "," &amp; Sheet1!L244)</f>
        <v>109 BIRCHWOOD LANE,EMERALD ROAD,PIN:713260 IPSWICH</v>
      </c>
      <c r="I244" s="8">
        <f>Sheet1!I244</f>
        <v>45863</v>
      </c>
      <c r="J244" s="5" t="str">
        <f>Sheet1!M244 &amp; "," &amp; TEXT(Sheet1!N244,"dd/mm/yy")</f>
        <v>MHA/IND/00243,24/07/25</v>
      </c>
      <c r="K244" s="5" t="s">
        <v>5752</v>
      </c>
      <c r="L244" s="31" t="s">
        <v>14</v>
      </c>
      <c r="M244" s="31" t="s">
        <v>15</v>
      </c>
      <c r="N244" s="31" t="s">
        <v>16</v>
      </c>
    </row>
    <row r="245" spans="1:14" x14ac:dyDescent="0.25">
      <c r="A245" s="4" t="str">
        <f>Sheet1!A245 &amp; "/" &amp; "2025"</f>
        <v>244/2025</v>
      </c>
      <c r="B245" s="5" t="str">
        <f>Sheet1!E245</f>
        <v>IND/MEL/00244</v>
      </c>
      <c r="C245" s="6" t="str">
        <f>UPPER(Sheet1!B245)</f>
        <v>KIRAN SHARMA</v>
      </c>
      <c r="D245" s="7" t="str">
        <f>IF(Sheet1!F245="F","FEMALE","MALE")</f>
        <v>MALE</v>
      </c>
      <c r="E245" s="6" t="str">
        <f>UPPER(Sheet1!G245)</f>
        <v>ISHAN SHARMA</v>
      </c>
      <c r="F245" s="6" t="str">
        <f>UPPER(Sheet1!H245)</f>
        <v>RIYA SHARMA</v>
      </c>
      <c r="G245" s="5" t="str">
        <f>TEXT(Sheet1!C245,"dd/mm/yyyy") &amp; "," &amp; Sheet1!D245</f>
        <v>15/10/2025,MILDURA</v>
      </c>
      <c r="H245" s="39" t="str">
        <f>UPPER(Sheet1!J245 &amp; "," &amp; Sheet1!K245 &amp; "," &amp; Sheet1!L245)</f>
        <v>21 BIRCHWOOD LANE,EMERALD ROAD,PIN:384008 MILDURA</v>
      </c>
      <c r="I245" s="8">
        <f>Sheet1!I245</f>
        <v>45955</v>
      </c>
      <c r="J245" s="5" t="str">
        <f>Sheet1!M245 &amp; "," &amp; TEXT(Sheet1!N245,"dd/mm/yy")</f>
        <v>MHA/IND/00244,12/07/25</v>
      </c>
      <c r="K245" s="5" t="s">
        <v>5752</v>
      </c>
      <c r="L245" s="31" t="s">
        <v>14</v>
      </c>
      <c r="M245" s="31" t="s">
        <v>15</v>
      </c>
      <c r="N245" s="31" t="s">
        <v>16</v>
      </c>
    </row>
    <row r="246" spans="1:14" x14ac:dyDescent="0.25">
      <c r="A246" s="4" t="str">
        <f>Sheet1!A246 &amp; "/" &amp; "2025"</f>
        <v>245/2025</v>
      </c>
      <c r="B246" s="5" t="str">
        <f>Sheet1!E246</f>
        <v>IND/MEL/00245</v>
      </c>
      <c r="C246" s="6" t="str">
        <f>UPPER(Sheet1!B246)</f>
        <v>ANYA RAO</v>
      </c>
      <c r="D246" s="7" t="str">
        <f>IF(Sheet1!F246="F","FEMALE","MALE")</f>
        <v>FEMALE</v>
      </c>
      <c r="E246" s="6" t="str">
        <f>UPPER(Sheet1!G246)</f>
        <v>NEIL RAO</v>
      </c>
      <c r="F246" s="6" t="str">
        <f>UPPER(Sheet1!H246)</f>
        <v>TARA RAO</v>
      </c>
      <c r="G246" s="5" t="str">
        <f>TEXT(Sheet1!C246,"dd/mm/yyyy") &amp; "," &amp; Sheet1!D246</f>
        <v>22/01/2025,ST ALBANS</v>
      </c>
      <c r="H246" s="39" t="str">
        <f>UPPER(Sheet1!J246 &amp; "," &amp; Sheet1!K246 &amp; "," &amp; Sheet1!L246)</f>
        <v>198 BIRCHWOOD LANE,EMERALD ROAD,PIN:435572 ST ALBANS</v>
      </c>
      <c r="I246" s="8">
        <f>Sheet1!I246</f>
        <v>45704</v>
      </c>
      <c r="J246" s="5" t="str">
        <f>Sheet1!M246 &amp; "," &amp; TEXT(Sheet1!N246,"dd/mm/yy")</f>
        <v>MHA/IND/00245,19/08/25</v>
      </c>
      <c r="K246" s="5" t="s">
        <v>5752</v>
      </c>
      <c r="L246" s="31" t="s">
        <v>14</v>
      </c>
      <c r="M246" s="31" t="s">
        <v>15</v>
      </c>
      <c r="N246" s="31" t="s">
        <v>16</v>
      </c>
    </row>
    <row r="247" spans="1:14" x14ac:dyDescent="0.25">
      <c r="A247" s="4" t="str">
        <f>Sheet1!A247 &amp; "/" &amp; "2025"</f>
        <v>246/2025</v>
      </c>
      <c r="B247" s="5" t="str">
        <f>Sheet1!E247</f>
        <v>IND/MEL/00246</v>
      </c>
      <c r="C247" s="6" t="str">
        <f>UPPER(Sheet1!B247)</f>
        <v>DIYA MYRTHOS</v>
      </c>
      <c r="D247" s="7" t="str">
        <f>IF(Sheet1!F247="F","FEMALE","MALE")</f>
        <v>FEMALE</v>
      </c>
      <c r="E247" s="6" t="str">
        <f>UPPER(Sheet1!G247)</f>
        <v>ROHIT MYRTHOS</v>
      </c>
      <c r="F247" s="6" t="str">
        <f>UPPER(Sheet1!H247)</f>
        <v>ALYA MYRTHOS</v>
      </c>
      <c r="G247" s="5" t="str">
        <f>TEXT(Sheet1!C247,"dd/mm/yyyy") &amp; "," &amp; Sheet1!D247</f>
        <v>28/09/2025,BENDIGO</v>
      </c>
      <c r="H247" s="39" t="str">
        <f>UPPER(Sheet1!J247 &amp; "," &amp; Sheet1!K247 &amp; "," &amp; Sheet1!L247)</f>
        <v>157 BIRCHWOOD LANE,EMERALD ROAD,PIN:557614 BENDIGO</v>
      </c>
      <c r="I247" s="8">
        <f>Sheet1!I247</f>
        <v>45960</v>
      </c>
      <c r="J247" s="5" t="str">
        <f>Sheet1!M247 &amp; "," &amp; TEXT(Sheet1!N247,"dd/mm/yy")</f>
        <v>MHA/IND/00246,12/08/25</v>
      </c>
      <c r="K247" s="5" t="s">
        <v>5752</v>
      </c>
      <c r="L247" s="31" t="s">
        <v>14</v>
      </c>
      <c r="M247" s="31" t="s">
        <v>15</v>
      </c>
      <c r="N247" s="31" t="s">
        <v>16</v>
      </c>
    </row>
    <row r="248" spans="1:14" x14ac:dyDescent="0.25">
      <c r="A248" s="4" t="str">
        <f>Sheet1!A248 &amp; "/" &amp; "2025"</f>
        <v>247/2025</v>
      </c>
      <c r="B248" s="5" t="str">
        <f>Sheet1!E248</f>
        <v>IND/MEL/00247</v>
      </c>
      <c r="C248" s="6" t="str">
        <f>UPPER(Sheet1!B248)</f>
        <v>DIYA RISHKAN</v>
      </c>
      <c r="D248" s="7" t="str">
        <f>IF(Sheet1!F248="F","FEMALE","MALE")</f>
        <v>FEMALE</v>
      </c>
      <c r="E248" s="6" t="str">
        <f>UPPER(Sheet1!G248)</f>
        <v>KABIR RISHKAN</v>
      </c>
      <c r="F248" s="6" t="str">
        <f>UPPER(Sheet1!H248)</f>
        <v>NINA RISHKAN</v>
      </c>
      <c r="G248" s="5" t="str">
        <f>TEXT(Sheet1!C248,"dd/mm/yyyy") &amp; "," &amp; Sheet1!D248</f>
        <v>17/10/2025,WOLLONGONG</v>
      </c>
      <c r="H248" s="39" t="str">
        <f>UPPER(Sheet1!J248 &amp; "," &amp; Sheet1!K248 &amp; "," &amp; Sheet1!L248)</f>
        <v>77 BIRCHWOOD LANE,EMERALD ROAD,PIN:990720 WOLLONGONG</v>
      </c>
      <c r="I248" s="8">
        <f>Sheet1!I248</f>
        <v>46053</v>
      </c>
      <c r="J248" s="5" t="str">
        <f>Sheet1!M248 &amp; "," &amp; TEXT(Sheet1!N248,"dd/mm/yy")</f>
        <v>MHA/IND/00247,01/08/25</v>
      </c>
      <c r="K248" s="5" t="s">
        <v>5752</v>
      </c>
      <c r="L248" s="31" t="s">
        <v>14</v>
      </c>
      <c r="M248" s="31" t="s">
        <v>15</v>
      </c>
      <c r="N248" s="31" t="s">
        <v>16</v>
      </c>
    </row>
    <row r="249" spans="1:14" x14ac:dyDescent="0.25">
      <c r="A249" s="4" t="str">
        <f>Sheet1!A249 &amp; "/" &amp; "2025"</f>
        <v>248/2025</v>
      </c>
      <c r="B249" s="5" t="str">
        <f>Sheet1!E249</f>
        <v>IND/MEL/00248</v>
      </c>
      <c r="C249" s="6" t="str">
        <f>UPPER(Sheet1!B249)</f>
        <v>ANYA VALZARI</v>
      </c>
      <c r="D249" s="7" t="str">
        <f>IF(Sheet1!F249="F","FEMALE","MALE")</f>
        <v>FEMALE</v>
      </c>
      <c r="E249" s="6" t="str">
        <f>UPPER(Sheet1!G249)</f>
        <v>NEIL VALZARI</v>
      </c>
      <c r="F249" s="6" t="str">
        <f>UPPER(Sheet1!H249)</f>
        <v>DIYA VALZARI</v>
      </c>
      <c r="G249" s="5" t="str">
        <f>TEXT(Sheet1!C249,"dd/mm/yyyy") &amp; "," &amp; Sheet1!D249</f>
        <v>18/04/2025,WERRIBEE</v>
      </c>
      <c r="H249" s="39" t="str">
        <f>UPPER(Sheet1!J249 &amp; "," &amp; Sheet1!K249 &amp; "," &amp; Sheet1!L249)</f>
        <v>59 BIRCHWOOD LANE,EMERALD ROAD,PIN:686666 WERRIBEE</v>
      </c>
      <c r="I249" s="8">
        <f>Sheet1!I249</f>
        <v>45824</v>
      </c>
      <c r="J249" s="5" t="str">
        <f>Sheet1!M249 &amp; "," &amp; TEXT(Sheet1!N249,"dd/mm/yy")</f>
        <v>MHA/IND/00248,10/08/25</v>
      </c>
      <c r="K249" s="5" t="s">
        <v>5752</v>
      </c>
      <c r="L249" s="31" t="s">
        <v>14</v>
      </c>
      <c r="M249" s="31" t="s">
        <v>15</v>
      </c>
      <c r="N249" s="31" t="s">
        <v>16</v>
      </c>
    </row>
    <row r="250" spans="1:14" x14ac:dyDescent="0.25">
      <c r="A250" s="4" t="str">
        <f>Sheet1!A250 &amp; "/" &amp; "2025"</f>
        <v>249/2025</v>
      </c>
      <c r="B250" s="5" t="str">
        <f>Sheet1!E250</f>
        <v>IND/MEL/00249</v>
      </c>
      <c r="C250" s="6" t="str">
        <f>UPPER(Sheet1!B250)</f>
        <v>DEV MYRTHOS</v>
      </c>
      <c r="D250" s="7" t="str">
        <f>IF(Sheet1!F250="F","FEMALE","MALE")</f>
        <v>MALE</v>
      </c>
      <c r="E250" s="6" t="str">
        <f>UPPER(Sheet1!G250)</f>
        <v>KABIR MYRTHOS</v>
      </c>
      <c r="F250" s="6" t="str">
        <f>UPPER(Sheet1!H250)</f>
        <v>MIRA MYRTHOS</v>
      </c>
      <c r="G250" s="5" t="str">
        <f>TEXT(Sheet1!C250,"dd/mm/yyyy") &amp; "," &amp; Sheet1!D250</f>
        <v>18/08/2025,MIDLAND</v>
      </c>
      <c r="H250" s="39" t="str">
        <f>UPPER(Sheet1!J250 &amp; "," &amp; Sheet1!K250 &amp; "," &amp; Sheet1!L250)</f>
        <v>68 BIRCHWOOD LANE,EMERALD ROAD,PIN:921614 MIDLAND</v>
      </c>
      <c r="I250" s="8">
        <f>Sheet1!I250</f>
        <v>45936</v>
      </c>
      <c r="J250" s="5" t="str">
        <f>Sheet1!M250 &amp; "," &amp; TEXT(Sheet1!N250,"dd/mm/yy")</f>
        <v>MHA/IND/00249,06/07/25</v>
      </c>
      <c r="K250" s="5" t="s">
        <v>5752</v>
      </c>
      <c r="L250" s="31" t="s">
        <v>14</v>
      </c>
      <c r="M250" s="31" t="s">
        <v>15</v>
      </c>
      <c r="N250" s="31" t="s">
        <v>16</v>
      </c>
    </row>
    <row r="251" spans="1:14" x14ac:dyDescent="0.25">
      <c r="A251" s="4" t="str">
        <f>Sheet1!A251 &amp; "/" &amp; "2025"</f>
        <v>250/2025</v>
      </c>
      <c r="B251" s="5" t="str">
        <f>Sheet1!E251</f>
        <v>IND/MEL/00250</v>
      </c>
      <c r="C251" s="6" t="str">
        <f>UPPER(Sheet1!B251)</f>
        <v>NINA MYRTHOS</v>
      </c>
      <c r="D251" s="7" t="str">
        <f>IF(Sheet1!F251="F","FEMALE","MALE")</f>
        <v>FEMALE</v>
      </c>
      <c r="E251" s="6" t="str">
        <f>UPPER(Sheet1!G251)</f>
        <v>ISHAN MYRTHOS</v>
      </c>
      <c r="F251" s="6" t="str">
        <f>UPPER(Sheet1!H251)</f>
        <v>ALYA MYRTHOS</v>
      </c>
      <c r="G251" s="5" t="str">
        <f>TEXT(Sheet1!C251,"dd/mm/yyyy") &amp; "," &amp; Sheet1!D251</f>
        <v>29/01/2025,BUNDOORA</v>
      </c>
      <c r="H251" s="39" t="str">
        <f>UPPER(Sheet1!J251 &amp; "," &amp; Sheet1!K251 &amp; "," &amp; Sheet1!L251)</f>
        <v>191 BIRCHWOOD LANE,EMERALD ROAD,PIN:383372 BUNDOORA</v>
      </c>
      <c r="I251" s="8">
        <f>Sheet1!I251</f>
        <v>45704</v>
      </c>
      <c r="J251" s="5" t="str">
        <f>Sheet1!M251 &amp; "," &amp; TEXT(Sheet1!N251,"dd/mm/yy")</f>
        <v>MHA/IND/00250,29/08/25</v>
      </c>
      <c r="K251" s="5" t="s">
        <v>5752</v>
      </c>
      <c r="L251" s="31" t="s">
        <v>14</v>
      </c>
      <c r="M251" s="31" t="s">
        <v>15</v>
      </c>
      <c r="N251" s="31" t="s">
        <v>16</v>
      </c>
    </row>
    <row r="252" spans="1:14" x14ac:dyDescent="0.25">
      <c r="A252" s="4" t="str">
        <f>Sheet1!A252 &amp; "/" &amp; "2025"</f>
        <v>251/2025</v>
      </c>
      <c r="B252" s="5" t="str">
        <f>Sheet1!E252</f>
        <v>IND/MEL/00251</v>
      </c>
      <c r="C252" s="6" t="str">
        <f>UPPER(Sheet1!B252)</f>
        <v>ARJUN SINDALE</v>
      </c>
      <c r="D252" s="7" t="str">
        <f>IF(Sheet1!F252="F","FEMALE","MALE")</f>
        <v>MALE</v>
      </c>
      <c r="E252" s="6" t="str">
        <f>UPPER(Sheet1!G252)</f>
        <v>AREN SINDALE</v>
      </c>
      <c r="F252" s="6" t="str">
        <f>UPPER(Sheet1!H252)</f>
        <v>ALYA SINDALE</v>
      </c>
      <c r="G252" s="5" t="str">
        <f>TEXT(Sheet1!C252,"dd/mm/yyyy") &amp; "," &amp; Sheet1!D252</f>
        <v>21/04/2025,ADELAIDE</v>
      </c>
      <c r="H252" s="39" t="str">
        <f>UPPER(Sheet1!J252 &amp; "," &amp; Sheet1!K252 &amp; "," &amp; Sheet1!L252)</f>
        <v>28 BIRCHWOOD LANE,EMERALD ROAD,PIN:703922 ADELAIDE</v>
      </c>
      <c r="I252" s="8">
        <f>Sheet1!I252</f>
        <v>45805</v>
      </c>
      <c r="J252" s="5" t="str">
        <f>Sheet1!M252 &amp; "," &amp; TEXT(Sheet1!N252,"dd/mm/yy")</f>
        <v>MHA/IND/00251,15/07/25</v>
      </c>
      <c r="K252" s="5" t="s">
        <v>5752</v>
      </c>
      <c r="L252" s="31" t="s">
        <v>14</v>
      </c>
      <c r="M252" s="31" t="s">
        <v>15</v>
      </c>
      <c r="N252" s="31" t="s">
        <v>16</v>
      </c>
    </row>
    <row r="253" spans="1:14" x14ac:dyDescent="0.25">
      <c r="A253" s="4" t="str">
        <f>Sheet1!A253 &amp; "/" &amp; "2025"</f>
        <v>252/2025</v>
      </c>
      <c r="B253" s="5" t="str">
        <f>Sheet1!E253</f>
        <v>IND/MEL/00252</v>
      </c>
      <c r="C253" s="6" t="str">
        <f>UPPER(Sheet1!B253)</f>
        <v>DIYA SHARMA</v>
      </c>
      <c r="D253" s="7" t="str">
        <f>IF(Sheet1!F253="F","FEMALE","MALE")</f>
        <v>FEMALE</v>
      </c>
      <c r="E253" s="6" t="str">
        <f>UPPER(Sheet1!G253)</f>
        <v>ARJUN SHARMA</v>
      </c>
      <c r="F253" s="6" t="str">
        <f>UPPER(Sheet1!H253)</f>
        <v>ALYA SHARMA</v>
      </c>
      <c r="G253" s="5" t="str">
        <f>TEXT(Sheet1!C253,"dd/mm/yyyy") &amp; "," &amp; Sheet1!D253</f>
        <v>13/02/2025,TOOWOOMBA</v>
      </c>
      <c r="H253" s="39" t="str">
        <f>UPPER(Sheet1!J253 &amp; "," &amp; Sheet1!K253 &amp; "," &amp; Sheet1!L253)</f>
        <v>185 BIRCHWOOD LANE,EMERALD ROAD,PIN:926264 TOOWOOMBA</v>
      </c>
      <c r="I253" s="8">
        <f>Sheet1!I253</f>
        <v>45738</v>
      </c>
      <c r="J253" s="5" t="str">
        <f>Sheet1!M253 &amp; "," &amp; TEXT(Sheet1!N253,"dd/mm/yy")</f>
        <v>MHA/IND/00252,03/07/25</v>
      </c>
      <c r="K253" s="5" t="s">
        <v>5752</v>
      </c>
      <c r="L253" s="31" t="s">
        <v>14</v>
      </c>
      <c r="M253" s="31" t="s">
        <v>15</v>
      </c>
      <c r="N253" s="31" t="s">
        <v>16</v>
      </c>
    </row>
    <row r="254" spans="1:14" x14ac:dyDescent="0.25">
      <c r="A254" s="4" t="str">
        <f>Sheet1!A254 &amp; "/" &amp; "2025"</f>
        <v>253/2025</v>
      </c>
      <c r="B254" s="5" t="str">
        <f>Sheet1!E254</f>
        <v>IND/MEL/00253</v>
      </c>
      <c r="C254" s="6" t="str">
        <f>UPPER(Sheet1!B254)</f>
        <v>ISHAN SINDALE</v>
      </c>
      <c r="D254" s="7" t="str">
        <f>IF(Sheet1!F254="F","FEMALE","MALE")</f>
        <v>MALE</v>
      </c>
      <c r="E254" s="6" t="str">
        <f>UPPER(Sheet1!G254)</f>
        <v>ARJUN SINDALE</v>
      </c>
      <c r="F254" s="6" t="str">
        <f>UPPER(Sheet1!H254)</f>
        <v>SARA SINDALE</v>
      </c>
      <c r="G254" s="5" t="str">
        <f>TEXT(Sheet1!C254,"dd/mm/yyyy") &amp; "," &amp; Sheet1!D254</f>
        <v>21/02/2025,PERTH</v>
      </c>
      <c r="H254" s="39" t="str">
        <f>UPPER(Sheet1!J254 &amp; "," &amp; Sheet1!K254 &amp; "," &amp; Sheet1!L254)</f>
        <v>166 BIRCHWOOD LANE,EMERALD ROAD,PIN:836568 PERTH</v>
      </c>
      <c r="I254" s="8">
        <f>Sheet1!I254</f>
        <v>45797</v>
      </c>
      <c r="J254" s="5" t="str">
        <f>Sheet1!M254 &amp; "," &amp; TEXT(Sheet1!N254,"dd/mm/yy")</f>
        <v>MHA/IND/00253,13/07/25</v>
      </c>
      <c r="K254" s="5" t="s">
        <v>5752</v>
      </c>
      <c r="L254" s="31" t="s">
        <v>14</v>
      </c>
      <c r="M254" s="31" t="s">
        <v>15</v>
      </c>
      <c r="N254" s="31" t="s">
        <v>16</v>
      </c>
    </row>
    <row r="255" spans="1:14" x14ac:dyDescent="0.25">
      <c r="A255" s="4" t="str">
        <f>Sheet1!A255 &amp; "/" &amp; "2025"</f>
        <v>254/2025</v>
      </c>
      <c r="B255" s="5" t="str">
        <f>Sheet1!E255</f>
        <v>IND/MEL/00254</v>
      </c>
      <c r="C255" s="6" t="str">
        <f>UPPER(Sheet1!B255)</f>
        <v>ALYA RAO</v>
      </c>
      <c r="D255" s="7" t="str">
        <f>IF(Sheet1!F255="F","FEMALE","MALE")</f>
        <v>FEMALE</v>
      </c>
      <c r="E255" s="6" t="str">
        <f>UPPER(Sheet1!G255)</f>
        <v>ISHAN RAO</v>
      </c>
      <c r="F255" s="6" t="str">
        <f>UPPER(Sheet1!H255)</f>
        <v>DIYA RAO</v>
      </c>
      <c r="G255" s="5" t="str">
        <f>TEXT(Sheet1!C255,"dd/mm/yyyy") &amp; "," &amp; Sheet1!D255</f>
        <v>03/06/2025,NEWCASTLE</v>
      </c>
      <c r="H255" s="39" t="str">
        <f>UPPER(Sheet1!J255 &amp; "," &amp; Sheet1!K255 &amp; "," &amp; Sheet1!L255)</f>
        <v>190 BIRCHWOOD LANE,EMERALD ROAD,PIN:596001 NEWCASTLE</v>
      </c>
      <c r="I255" s="8">
        <f>Sheet1!I255</f>
        <v>45898</v>
      </c>
      <c r="J255" s="5" t="str">
        <f>Sheet1!M255 &amp; "," &amp; TEXT(Sheet1!N255,"dd/mm/yy")</f>
        <v>MHA/IND/00254,11/07/25</v>
      </c>
      <c r="K255" s="5" t="s">
        <v>5752</v>
      </c>
      <c r="L255" s="31" t="s">
        <v>14</v>
      </c>
      <c r="M255" s="31" t="s">
        <v>15</v>
      </c>
      <c r="N255" s="31" t="s">
        <v>16</v>
      </c>
    </row>
    <row r="256" spans="1:14" x14ac:dyDescent="0.25">
      <c r="A256" s="4" t="str">
        <f>Sheet1!A256 &amp; "/" &amp; "2025"</f>
        <v>255/2025</v>
      </c>
      <c r="B256" s="5" t="str">
        <f>Sheet1!E256</f>
        <v>IND/MEL/00255</v>
      </c>
      <c r="C256" s="6" t="str">
        <f>UPPER(Sheet1!B256)</f>
        <v>ISHAN SINDALE</v>
      </c>
      <c r="D256" s="7" t="str">
        <f>IF(Sheet1!F256="F","FEMALE","MALE")</f>
        <v>MALE</v>
      </c>
      <c r="E256" s="6" t="str">
        <f>UPPER(Sheet1!G256)</f>
        <v>KABIR SINDALE</v>
      </c>
      <c r="F256" s="6" t="str">
        <f>UPPER(Sheet1!H256)</f>
        <v>TARA SINDALE</v>
      </c>
      <c r="G256" s="5" t="str">
        <f>TEXT(Sheet1!C256,"dd/mm/yyyy") &amp; "," &amp; Sheet1!D256</f>
        <v>11/02/2025,SHEPPARTON</v>
      </c>
      <c r="H256" s="39" t="str">
        <f>UPPER(Sheet1!J256 &amp; "," &amp; Sheet1!K256 &amp; "," &amp; Sheet1!L256)</f>
        <v>189 BIRCHWOOD LANE,EMERALD ROAD,PIN:454480 SHEPPARTON</v>
      </c>
      <c r="I256" s="8">
        <f>Sheet1!I256</f>
        <v>45721</v>
      </c>
      <c r="J256" s="5" t="str">
        <f>Sheet1!M256 &amp; "," &amp; TEXT(Sheet1!N256,"dd/mm/yy")</f>
        <v>MHA/IND/00255,14/08/25</v>
      </c>
      <c r="K256" s="5" t="s">
        <v>5752</v>
      </c>
      <c r="L256" s="31" t="s">
        <v>14</v>
      </c>
      <c r="M256" s="31" t="s">
        <v>15</v>
      </c>
      <c r="N256" s="31" t="s">
        <v>16</v>
      </c>
    </row>
    <row r="257" spans="1:14" x14ac:dyDescent="0.25">
      <c r="A257" s="4" t="str">
        <f>Sheet1!A257 &amp; "/" &amp; "2025"</f>
        <v>256/2025</v>
      </c>
      <c r="B257" s="5" t="str">
        <f>Sheet1!E257</f>
        <v>IND/MEL/00256</v>
      </c>
      <c r="C257" s="6" t="str">
        <f>UPPER(Sheet1!B257)</f>
        <v>ISHAN KALEON</v>
      </c>
      <c r="D257" s="7" t="str">
        <f>IF(Sheet1!F257="F","FEMALE","MALE")</f>
        <v>MALE</v>
      </c>
      <c r="E257" s="6" t="str">
        <f>UPPER(Sheet1!G257)</f>
        <v>AREN KALEON</v>
      </c>
      <c r="F257" s="6" t="str">
        <f>UPPER(Sheet1!H257)</f>
        <v>NINA KALEON</v>
      </c>
      <c r="G257" s="5" t="str">
        <f>TEXT(Sheet1!C257,"dd/mm/yyyy") &amp; "," &amp; Sheet1!D257</f>
        <v>15/10/2025,MOUNT WAVERLEY</v>
      </c>
      <c r="H257" s="39" t="str">
        <f>UPPER(Sheet1!J257 &amp; "," &amp; Sheet1!K257 &amp; "," &amp; Sheet1!L257)</f>
        <v>137 BIRCHWOOD LANE,EMERALD ROAD,PIN:600100 MOUNT WAVERLEY</v>
      </c>
      <c r="I257" s="8">
        <f>Sheet1!I257</f>
        <v>46061</v>
      </c>
      <c r="J257" s="5" t="str">
        <f>Sheet1!M257 &amp; "," &amp; TEXT(Sheet1!N257,"dd/mm/yy")</f>
        <v>MHA/IND/00256,05/07/25</v>
      </c>
      <c r="K257" s="5" t="s">
        <v>5752</v>
      </c>
      <c r="L257" s="31" t="s">
        <v>14</v>
      </c>
      <c r="M257" s="31" t="s">
        <v>15</v>
      </c>
      <c r="N257" s="31" t="s">
        <v>16</v>
      </c>
    </row>
    <row r="258" spans="1:14" x14ac:dyDescent="0.25">
      <c r="A258" s="4" t="str">
        <f>Sheet1!A258 &amp; "/" &amp; "2025"</f>
        <v>257/2025</v>
      </c>
      <c r="B258" s="5" t="str">
        <f>Sheet1!E258</f>
        <v>IND/MEL/00257</v>
      </c>
      <c r="C258" s="6" t="str">
        <f>UPPER(Sheet1!B258)</f>
        <v>KIRAN MYRTHOS</v>
      </c>
      <c r="D258" s="7" t="str">
        <f>IF(Sheet1!F258="F","FEMALE","MALE")</f>
        <v>MALE</v>
      </c>
      <c r="E258" s="6" t="str">
        <f>UPPER(Sheet1!G258)</f>
        <v>ARJUN MYRTHOS</v>
      </c>
      <c r="F258" s="6" t="str">
        <f>UPPER(Sheet1!H258)</f>
        <v>MIRA MYRTHOS</v>
      </c>
      <c r="G258" s="5" t="str">
        <f>TEXT(Sheet1!C258,"dd/mm/yyyy") &amp; "," &amp; Sheet1!D258</f>
        <v>20/03/2025,DEVONPORT</v>
      </c>
      <c r="H258" s="39" t="str">
        <f>UPPER(Sheet1!J258 &amp; "," &amp; Sheet1!K258 &amp; "," &amp; Sheet1!L258)</f>
        <v>125 BIRCHWOOD LANE,EMERALD ROAD,PIN:206474 DEVONPORT</v>
      </c>
      <c r="I258" s="8">
        <f>Sheet1!I258</f>
        <v>45837</v>
      </c>
      <c r="J258" s="5" t="str">
        <f>Sheet1!M258 &amp; "," &amp; TEXT(Sheet1!N258,"dd/mm/yy")</f>
        <v>MHA/IND/00257,24/07/25</v>
      </c>
      <c r="K258" s="5" t="s">
        <v>5752</v>
      </c>
      <c r="L258" s="31" t="s">
        <v>14</v>
      </c>
      <c r="M258" s="31" t="s">
        <v>15</v>
      </c>
      <c r="N258" s="31" t="s">
        <v>16</v>
      </c>
    </row>
    <row r="259" spans="1:14" x14ac:dyDescent="0.25">
      <c r="A259" s="4" t="str">
        <f>Sheet1!A259 &amp; "/" &amp; "2025"</f>
        <v>258/2025</v>
      </c>
      <c r="B259" s="5" t="str">
        <f>Sheet1!E259</f>
        <v>IND/MEL/00258</v>
      </c>
      <c r="C259" s="6" t="str">
        <f>UPPER(Sheet1!B259)</f>
        <v>ISHAN MYRTHOS</v>
      </c>
      <c r="D259" s="7" t="str">
        <f>IF(Sheet1!F259="F","FEMALE","MALE")</f>
        <v>MALE</v>
      </c>
      <c r="E259" s="6" t="str">
        <f>UPPER(Sheet1!G259)</f>
        <v>AREN MYRTHOS</v>
      </c>
      <c r="F259" s="6" t="str">
        <f>UPPER(Sheet1!H259)</f>
        <v>ANYA MYRTHOS</v>
      </c>
      <c r="G259" s="5" t="str">
        <f>TEXT(Sheet1!C259,"dd/mm/yyyy") &amp; "," &amp; Sheet1!D259</f>
        <v>20/06/2025,BENDIGO</v>
      </c>
      <c r="H259" s="39" t="str">
        <f>UPPER(Sheet1!J259 &amp; "," &amp; Sheet1!K259 &amp; "," &amp; Sheet1!L259)</f>
        <v>153 BIRCHWOOD LANE,EMERALD ROAD,PIN:734089 BENDIGO</v>
      </c>
      <c r="I259" s="8">
        <f>Sheet1!I259</f>
        <v>45844</v>
      </c>
      <c r="J259" s="5" t="str">
        <f>Sheet1!M259 &amp; "," &amp; TEXT(Sheet1!N259,"dd/mm/yy")</f>
        <v>MHA/IND/00258,06/07/25</v>
      </c>
      <c r="K259" s="5" t="s">
        <v>5752</v>
      </c>
      <c r="L259" s="31" t="s">
        <v>14</v>
      </c>
      <c r="M259" s="31" t="s">
        <v>15</v>
      </c>
      <c r="N259" s="31" t="s">
        <v>16</v>
      </c>
    </row>
    <row r="260" spans="1:14" x14ac:dyDescent="0.25">
      <c r="A260" s="4" t="str">
        <f>Sheet1!A260 &amp; "/" &amp; "2025"</f>
        <v>259/2025</v>
      </c>
      <c r="B260" s="5" t="str">
        <f>Sheet1!E260</f>
        <v>IND/MEL/00259</v>
      </c>
      <c r="C260" s="6" t="str">
        <f>UPPER(Sheet1!B260)</f>
        <v>AREN SINDALE</v>
      </c>
      <c r="D260" s="7" t="str">
        <f>IF(Sheet1!F260="F","FEMALE","MALE")</f>
        <v>MALE</v>
      </c>
      <c r="E260" s="6" t="str">
        <f>UPPER(Sheet1!G260)</f>
        <v>KIRAN SINDALE</v>
      </c>
      <c r="F260" s="6" t="str">
        <f>UPPER(Sheet1!H260)</f>
        <v>TARA SINDALE</v>
      </c>
      <c r="G260" s="5" t="str">
        <f>TEXT(Sheet1!C260,"dd/mm/yyyy") &amp; "," &amp; Sheet1!D260</f>
        <v>30/06/2025,SHEPPARTON</v>
      </c>
      <c r="H260" s="39" t="str">
        <f>UPPER(Sheet1!J260 &amp; "," &amp; Sheet1!K260 &amp; "," &amp; Sheet1!L260)</f>
        <v>62 BIRCHWOOD LANE,EMERALD ROAD,PIN:334715 SHEPPARTON</v>
      </c>
      <c r="I260" s="8">
        <f>Sheet1!I260</f>
        <v>45918</v>
      </c>
      <c r="J260" s="5" t="str">
        <f>Sheet1!M260 &amp; "," &amp; TEXT(Sheet1!N260,"dd/mm/yy")</f>
        <v>MHA/IND/00259,21/08/25</v>
      </c>
      <c r="K260" s="5" t="s">
        <v>5752</v>
      </c>
      <c r="L260" s="31" t="s">
        <v>14</v>
      </c>
      <c r="M260" s="31" t="s">
        <v>15</v>
      </c>
      <c r="N260" s="31" t="s">
        <v>16</v>
      </c>
    </row>
    <row r="261" spans="1:14" x14ac:dyDescent="0.25">
      <c r="A261" s="4" t="str">
        <f>Sheet1!A261 &amp; "/" &amp; "2025"</f>
        <v>260/2025</v>
      </c>
      <c r="B261" s="5" t="str">
        <f>Sheet1!E261</f>
        <v>IND/MEL/00260</v>
      </c>
      <c r="C261" s="6" t="str">
        <f>UPPER(Sheet1!B261)</f>
        <v>ARJUN SHARMA</v>
      </c>
      <c r="D261" s="7" t="str">
        <f>IF(Sheet1!F261="F","FEMALE","MALE")</f>
        <v>MALE</v>
      </c>
      <c r="E261" s="6" t="str">
        <f>UPPER(Sheet1!G261)</f>
        <v>DEV SHARMA</v>
      </c>
      <c r="F261" s="6" t="str">
        <f>UPPER(Sheet1!H261)</f>
        <v>RIYA SHARMA</v>
      </c>
      <c r="G261" s="5" t="str">
        <f>TEXT(Sheet1!C261,"dd/mm/yyyy") &amp; "," &amp; Sheet1!D261</f>
        <v>31/08/2025,WODONGA</v>
      </c>
      <c r="H261" s="39" t="str">
        <f>UPPER(Sheet1!J261 &amp; "," &amp; Sheet1!K261 &amp; "," &amp; Sheet1!L261)</f>
        <v>93 BIRCHWOOD LANE,EMERALD ROAD,PIN:490957 WODONGA</v>
      </c>
      <c r="I261" s="8">
        <f>Sheet1!I261</f>
        <v>45984</v>
      </c>
      <c r="J261" s="5" t="str">
        <f>Sheet1!M261 &amp; "," &amp; TEXT(Sheet1!N261,"dd/mm/yy")</f>
        <v>MHA/IND/00260,08/07/25</v>
      </c>
      <c r="K261" s="5" t="s">
        <v>5752</v>
      </c>
      <c r="L261" s="31" t="s">
        <v>14</v>
      </c>
      <c r="M261" s="31" t="s">
        <v>15</v>
      </c>
      <c r="N261" s="31" t="s">
        <v>16</v>
      </c>
    </row>
    <row r="262" spans="1:14" x14ac:dyDescent="0.25">
      <c r="A262" s="4" t="str">
        <f>Sheet1!A262 &amp; "/" &amp; "2025"</f>
        <v>261/2025</v>
      </c>
      <c r="B262" s="5" t="str">
        <f>Sheet1!E262</f>
        <v>IND/MEL/00261</v>
      </c>
      <c r="C262" s="6" t="str">
        <f>UPPER(Sheet1!B262)</f>
        <v>ALYA RAO</v>
      </c>
      <c r="D262" s="7" t="str">
        <f>IF(Sheet1!F262="F","FEMALE","MALE")</f>
        <v>FEMALE</v>
      </c>
      <c r="E262" s="6" t="str">
        <f>UPPER(Sheet1!G262)</f>
        <v>NEIL RAO</v>
      </c>
      <c r="F262" s="6" t="str">
        <f>UPPER(Sheet1!H262)</f>
        <v>MIRA RAO</v>
      </c>
      <c r="G262" s="5" t="str">
        <f>TEXT(Sheet1!C262,"dd/mm/yyyy") &amp; "," &amp; Sheet1!D262</f>
        <v>23/10/2025,PENRITH</v>
      </c>
      <c r="H262" s="39" t="str">
        <f>UPPER(Sheet1!J262 &amp; "," &amp; Sheet1!K262 &amp; "," &amp; Sheet1!L262)</f>
        <v>159 BIRCHWOOD LANE,EMERALD ROAD,PIN:895389 PENRITH</v>
      </c>
      <c r="I262" s="8">
        <f>Sheet1!I262</f>
        <v>45959</v>
      </c>
      <c r="J262" s="5" t="str">
        <f>Sheet1!M262 &amp; "," &amp; TEXT(Sheet1!N262,"dd/mm/yy")</f>
        <v>MHA/IND/00261,07/07/25</v>
      </c>
      <c r="K262" s="5" t="s">
        <v>5752</v>
      </c>
      <c r="L262" s="31" t="s">
        <v>14</v>
      </c>
      <c r="M262" s="31" t="s">
        <v>15</v>
      </c>
      <c r="N262" s="31" t="s">
        <v>16</v>
      </c>
    </row>
    <row r="263" spans="1:14" x14ac:dyDescent="0.25">
      <c r="A263" s="4" t="str">
        <f>Sheet1!A263 &amp; "/" &amp; "2025"</f>
        <v>262/2025</v>
      </c>
      <c r="B263" s="5" t="str">
        <f>Sheet1!E263</f>
        <v>IND/MEL/00262</v>
      </c>
      <c r="C263" s="6" t="str">
        <f>UPPER(Sheet1!B263)</f>
        <v>DIYA KALEON</v>
      </c>
      <c r="D263" s="7" t="str">
        <f>IF(Sheet1!F263="F","FEMALE","MALE")</f>
        <v>FEMALE</v>
      </c>
      <c r="E263" s="6" t="str">
        <f>UPPER(Sheet1!G263)</f>
        <v>ISHAN KALEON</v>
      </c>
      <c r="F263" s="6" t="str">
        <f>UPPER(Sheet1!H263)</f>
        <v>ALYA KALEON</v>
      </c>
      <c r="G263" s="5" t="str">
        <f>TEXT(Sheet1!C263,"dd/mm/yyyy") &amp; "," &amp; Sheet1!D263</f>
        <v>27/04/2025,WODONGA</v>
      </c>
      <c r="H263" s="39" t="str">
        <f>UPPER(Sheet1!J263 &amp; "," &amp; Sheet1!K263 &amp; "," &amp; Sheet1!L263)</f>
        <v>21 BIRCHWOOD LANE,EMERALD ROAD,PIN:899035 WODONGA</v>
      </c>
      <c r="I263" s="8">
        <f>Sheet1!I263</f>
        <v>45805</v>
      </c>
      <c r="J263" s="5" t="str">
        <f>Sheet1!M263 &amp; "," &amp; TEXT(Sheet1!N263,"dd/mm/yy")</f>
        <v>MHA/IND/00262,29/08/25</v>
      </c>
      <c r="K263" s="5" t="s">
        <v>5752</v>
      </c>
      <c r="L263" s="31" t="s">
        <v>14</v>
      </c>
      <c r="M263" s="31" t="s">
        <v>15</v>
      </c>
      <c r="N263" s="31" t="s">
        <v>16</v>
      </c>
    </row>
    <row r="264" spans="1:14" x14ac:dyDescent="0.25">
      <c r="A264" s="4" t="str">
        <f>Sheet1!A264 &amp; "/" &amp; "2025"</f>
        <v>263/2025</v>
      </c>
      <c r="B264" s="5" t="str">
        <f>Sheet1!E264</f>
        <v>IND/MEL/00263</v>
      </c>
      <c r="C264" s="6" t="str">
        <f>UPPER(Sheet1!B264)</f>
        <v>ANYA RAO</v>
      </c>
      <c r="D264" s="7" t="str">
        <f>IF(Sheet1!F264="F","FEMALE","MALE")</f>
        <v>FEMALE</v>
      </c>
      <c r="E264" s="6" t="str">
        <f>UPPER(Sheet1!G264)</f>
        <v>NEIL RAO</v>
      </c>
      <c r="F264" s="6" t="str">
        <f>UPPER(Sheet1!H264)</f>
        <v>DIYA RAO</v>
      </c>
      <c r="G264" s="5" t="str">
        <f>TEXT(Sheet1!C264,"dd/mm/yyyy") &amp; "," &amp; Sheet1!D264</f>
        <v>06/10/2025,IPSWICH</v>
      </c>
      <c r="H264" s="39" t="str">
        <f>UPPER(Sheet1!J264 &amp; "," &amp; Sheet1!K264 &amp; "," &amp; Sheet1!L264)</f>
        <v>125 BIRCHWOOD LANE,EMERALD ROAD,PIN:344922 IPSWICH</v>
      </c>
      <c r="I264" s="8">
        <f>Sheet1!I264</f>
        <v>45992</v>
      </c>
      <c r="J264" s="5" t="str">
        <f>Sheet1!M264 &amp; "," &amp; TEXT(Sheet1!N264,"dd/mm/yy")</f>
        <v>MHA/IND/00263,08/08/25</v>
      </c>
      <c r="K264" s="5" t="s">
        <v>5752</v>
      </c>
      <c r="L264" s="31" t="s">
        <v>14</v>
      </c>
      <c r="M264" s="31" t="s">
        <v>15</v>
      </c>
      <c r="N264" s="31" t="s">
        <v>16</v>
      </c>
    </row>
    <row r="265" spans="1:14" x14ac:dyDescent="0.25">
      <c r="A265" s="4" t="str">
        <f>Sheet1!A265 &amp; "/" &amp; "2025"</f>
        <v>264/2025</v>
      </c>
      <c r="B265" s="5" t="str">
        <f>Sheet1!E265</f>
        <v>IND/MEL/00264</v>
      </c>
      <c r="C265" s="6" t="str">
        <f>UPPER(Sheet1!B265)</f>
        <v>NINA KALEON</v>
      </c>
      <c r="D265" s="7" t="str">
        <f>IF(Sheet1!F265="F","FEMALE","MALE")</f>
        <v>FEMALE</v>
      </c>
      <c r="E265" s="6" t="str">
        <f>UPPER(Sheet1!G265)</f>
        <v>ARJUN KALEON</v>
      </c>
      <c r="F265" s="6" t="str">
        <f>UPPER(Sheet1!H265)</f>
        <v>ANYA KALEON</v>
      </c>
      <c r="G265" s="5" t="str">
        <f>TEXT(Sheet1!C265,"dd/mm/yyyy") &amp; "," &amp; Sheet1!D265</f>
        <v>27/03/2025,BERWICK</v>
      </c>
      <c r="H265" s="39" t="str">
        <f>UPPER(Sheet1!J265 &amp; "," &amp; Sheet1!K265 &amp; "," &amp; Sheet1!L265)</f>
        <v>68 BIRCHWOOD LANE,EMERALD ROAD,PIN:360661 BERWICK</v>
      </c>
      <c r="I265" s="8">
        <f>Sheet1!I265</f>
        <v>45754</v>
      </c>
      <c r="J265" s="5" t="str">
        <f>Sheet1!M265 &amp; "," &amp; TEXT(Sheet1!N265,"dd/mm/yy")</f>
        <v>MHA/IND/00264,03/08/25</v>
      </c>
      <c r="K265" s="5" t="s">
        <v>5752</v>
      </c>
      <c r="L265" s="31" t="s">
        <v>14</v>
      </c>
      <c r="M265" s="31" t="s">
        <v>15</v>
      </c>
      <c r="N265" s="31" t="s">
        <v>16</v>
      </c>
    </row>
    <row r="266" spans="1:14" x14ac:dyDescent="0.25">
      <c r="A266" s="4" t="str">
        <f>Sheet1!A266 &amp; "/" &amp; "2025"</f>
        <v>265/2025</v>
      </c>
      <c r="B266" s="5" t="str">
        <f>Sheet1!E266</f>
        <v>IND/MEL/00265</v>
      </c>
      <c r="C266" s="6" t="str">
        <f>UPPER(Sheet1!B266)</f>
        <v>ANYA MYRTHOS</v>
      </c>
      <c r="D266" s="7" t="str">
        <f>IF(Sheet1!F266="F","FEMALE","MALE")</f>
        <v>FEMALE</v>
      </c>
      <c r="E266" s="6" t="str">
        <f>UPPER(Sheet1!G266)</f>
        <v>ARJUN MYRTHOS</v>
      </c>
      <c r="F266" s="6" t="str">
        <f>UPPER(Sheet1!H266)</f>
        <v>NINA MYRTHOS</v>
      </c>
      <c r="G266" s="5" t="str">
        <f>TEXT(Sheet1!C266,"dd/mm/yyyy") &amp; "," &amp; Sheet1!D266</f>
        <v>20/10/2025,CANBERRA</v>
      </c>
      <c r="H266" s="39" t="str">
        <f>UPPER(Sheet1!J266 &amp; "," &amp; Sheet1!K266 &amp; "," &amp; Sheet1!L266)</f>
        <v>196 BIRCHWOOD LANE,EMERALD ROAD,PIN:308984 CANBERRA</v>
      </c>
      <c r="I266" s="8">
        <f>Sheet1!I266</f>
        <v>45969</v>
      </c>
      <c r="J266" s="5" t="str">
        <f>Sheet1!M266 &amp; "," &amp; TEXT(Sheet1!N266,"dd/mm/yy")</f>
        <v>MHA/IND/00265,02/07/25</v>
      </c>
      <c r="K266" s="5" t="s">
        <v>5752</v>
      </c>
      <c r="L266" s="31" t="s">
        <v>14</v>
      </c>
      <c r="M266" s="31" t="s">
        <v>15</v>
      </c>
      <c r="N266" s="31" t="s">
        <v>16</v>
      </c>
    </row>
    <row r="267" spans="1:14" x14ac:dyDescent="0.25">
      <c r="A267" s="4" t="str">
        <f>Sheet1!A267 &amp; "/" &amp; "2025"</f>
        <v>266/2025</v>
      </c>
      <c r="B267" s="5" t="str">
        <f>Sheet1!E267</f>
        <v>IND/MEL/00266</v>
      </c>
      <c r="C267" s="6" t="str">
        <f>UPPER(Sheet1!B267)</f>
        <v>ANYA KALEON</v>
      </c>
      <c r="D267" s="7" t="str">
        <f>IF(Sheet1!F267="F","FEMALE","MALE")</f>
        <v>FEMALE</v>
      </c>
      <c r="E267" s="6" t="str">
        <f>UPPER(Sheet1!G267)</f>
        <v>AREN KALEON</v>
      </c>
      <c r="F267" s="6" t="str">
        <f>UPPER(Sheet1!H267)</f>
        <v>ALYA KALEON</v>
      </c>
      <c r="G267" s="5" t="str">
        <f>TEXT(Sheet1!C267,"dd/mm/yyyy") &amp; "," &amp; Sheet1!D267</f>
        <v>02/01/2025,CLAYTON</v>
      </c>
      <c r="H267" s="39" t="str">
        <f>UPPER(Sheet1!J267 &amp; "," &amp; Sheet1!K267 &amp; "," &amp; Sheet1!L267)</f>
        <v>37 BIRCHWOOD LANE,EMERALD ROAD,PIN:907143 CLAYTON</v>
      </c>
      <c r="I267" s="8">
        <f>Sheet1!I267</f>
        <v>45686</v>
      </c>
      <c r="J267" s="5" t="str">
        <f>Sheet1!M267 &amp; "," &amp; TEXT(Sheet1!N267,"dd/mm/yy")</f>
        <v>MHA/IND/00266,20/07/25</v>
      </c>
      <c r="K267" s="5" t="s">
        <v>5752</v>
      </c>
      <c r="L267" s="31" t="s">
        <v>14</v>
      </c>
      <c r="M267" s="31" t="s">
        <v>15</v>
      </c>
      <c r="N267" s="31" t="s">
        <v>16</v>
      </c>
    </row>
    <row r="268" spans="1:14" x14ac:dyDescent="0.25">
      <c r="A268" s="4" t="str">
        <f>Sheet1!A268 &amp; "/" &amp; "2025"</f>
        <v>267/2025</v>
      </c>
      <c r="B268" s="5" t="str">
        <f>Sheet1!E268</f>
        <v>IND/MEL/00267</v>
      </c>
      <c r="C268" s="6" t="str">
        <f>UPPER(Sheet1!B268)</f>
        <v>RIYA MYRTHOS</v>
      </c>
      <c r="D268" s="7" t="str">
        <f>IF(Sheet1!F268="F","FEMALE","MALE")</f>
        <v>FEMALE</v>
      </c>
      <c r="E268" s="6" t="str">
        <f>UPPER(Sheet1!G268)</f>
        <v>AREN MYRTHOS</v>
      </c>
      <c r="F268" s="6" t="str">
        <f>UPPER(Sheet1!H268)</f>
        <v>SARA MYRTHOS</v>
      </c>
      <c r="G268" s="5" t="str">
        <f>TEXT(Sheet1!C268,"dd/mm/yyyy") &amp; "," &amp; Sheet1!D268</f>
        <v>03/07/2025,BRISBANE</v>
      </c>
      <c r="H268" s="39" t="str">
        <f>UPPER(Sheet1!J268 &amp; "," &amp; Sheet1!K268 &amp; "," &amp; Sheet1!L268)</f>
        <v>78 BIRCHWOOD LANE,EMERALD ROAD,PIN:350260 BRISBANE</v>
      </c>
      <c r="I268" s="8">
        <f>Sheet1!I268</f>
        <v>45924</v>
      </c>
      <c r="J268" s="5" t="str">
        <f>Sheet1!M268 &amp; "," &amp; TEXT(Sheet1!N268,"dd/mm/yy")</f>
        <v>MHA/IND/00267,21/07/25</v>
      </c>
      <c r="K268" s="5" t="s">
        <v>5752</v>
      </c>
      <c r="L268" s="31" t="s">
        <v>14</v>
      </c>
      <c r="M268" s="31" t="s">
        <v>15</v>
      </c>
      <c r="N268" s="31" t="s">
        <v>16</v>
      </c>
    </row>
    <row r="269" spans="1:14" x14ac:dyDescent="0.25">
      <c r="A269" s="4" t="str">
        <f>Sheet1!A269 &amp; "/" &amp; "2025"</f>
        <v>268/2025</v>
      </c>
      <c r="B269" s="5" t="str">
        <f>Sheet1!E269</f>
        <v>IND/MEL/00268</v>
      </c>
      <c r="C269" s="6" t="str">
        <f>UPPER(Sheet1!B269)</f>
        <v>NEIL KALEON</v>
      </c>
      <c r="D269" s="7" t="str">
        <f>IF(Sheet1!F269="F","FEMALE","MALE")</f>
        <v>MALE</v>
      </c>
      <c r="E269" s="6" t="str">
        <f>UPPER(Sheet1!G269)</f>
        <v>KIRAN KALEON</v>
      </c>
      <c r="F269" s="6" t="str">
        <f>UPPER(Sheet1!H269)</f>
        <v>DIYA KALEON</v>
      </c>
      <c r="G269" s="5" t="str">
        <f>TEXT(Sheet1!C269,"dd/mm/yyyy") &amp; "," &amp; Sheet1!D269</f>
        <v>27/06/2025,KINGSWOOD</v>
      </c>
      <c r="H269" s="39" t="str">
        <f>UPPER(Sheet1!J269 &amp; "," &amp; Sheet1!K269 &amp; "," &amp; Sheet1!L269)</f>
        <v>112 BIRCHWOOD LANE,EMERALD ROAD,PIN:337234 KINGSWOOD</v>
      </c>
      <c r="I269" s="8">
        <f>Sheet1!I269</f>
        <v>45893</v>
      </c>
      <c r="J269" s="5" t="str">
        <f>Sheet1!M269 &amp; "," &amp; TEXT(Sheet1!N269,"dd/mm/yy")</f>
        <v>MHA/IND/00268,08/07/25</v>
      </c>
      <c r="K269" s="5" t="s">
        <v>5752</v>
      </c>
      <c r="L269" s="31" t="s">
        <v>14</v>
      </c>
      <c r="M269" s="31" t="s">
        <v>15</v>
      </c>
      <c r="N269" s="31" t="s">
        <v>16</v>
      </c>
    </row>
    <row r="270" spans="1:14" x14ac:dyDescent="0.25">
      <c r="A270" s="4" t="str">
        <f>Sheet1!A270 &amp; "/" &amp; "2025"</f>
        <v>269/2025</v>
      </c>
      <c r="B270" s="5" t="str">
        <f>Sheet1!E270</f>
        <v>IND/MEL/00269</v>
      </c>
      <c r="C270" s="6" t="str">
        <f>UPPER(Sheet1!B270)</f>
        <v>KABIR SHARMA</v>
      </c>
      <c r="D270" s="7" t="str">
        <f>IF(Sheet1!F270="F","FEMALE","MALE")</f>
        <v>MALE</v>
      </c>
      <c r="E270" s="6" t="str">
        <f>UPPER(Sheet1!G270)</f>
        <v>ARJUN SHARMA</v>
      </c>
      <c r="F270" s="6" t="str">
        <f>UPPER(Sheet1!H270)</f>
        <v>MIRA SHARMA</v>
      </c>
      <c r="G270" s="5" t="str">
        <f>TEXT(Sheet1!C270,"dd/mm/yyyy") &amp; "," &amp; Sheet1!D270</f>
        <v>26/09/2025,CAMPBELLTOWN</v>
      </c>
      <c r="H270" s="39" t="str">
        <f>UPPER(Sheet1!J270 &amp; "," &amp; Sheet1!K270 &amp; "," &amp; Sheet1!L270)</f>
        <v>84 BIRCHWOOD LANE,EMERALD ROAD,PIN:403707 CAMPBELLTOWN</v>
      </c>
      <c r="I270" s="8">
        <f>Sheet1!I270</f>
        <v>45969</v>
      </c>
      <c r="J270" s="5" t="str">
        <f>Sheet1!M270 &amp; "," &amp; TEXT(Sheet1!N270,"dd/mm/yy")</f>
        <v>MHA/IND/00269,27/08/25</v>
      </c>
      <c r="K270" s="5" t="s">
        <v>5752</v>
      </c>
      <c r="L270" s="31" t="s">
        <v>14</v>
      </c>
      <c r="M270" s="31" t="s">
        <v>15</v>
      </c>
      <c r="N270" s="31" t="s">
        <v>16</v>
      </c>
    </row>
    <row r="271" spans="1:14" x14ac:dyDescent="0.25">
      <c r="A271" s="4" t="str">
        <f>Sheet1!A271 &amp; "/" &amp; "2025"</f>
        <v>270/2025</v>
      </c>
      <c r="B271" s="5" t="str">
        <f>Sheet1!E271</f>
        <v>IND/MEL/00270</v>
      </c>
      <c r="C271" s="6" t="str">
        <f>UPPER(Sheet1!B271)</f>
        <v>ANYA RISHKAN</v>
      </c>
      <c r="D271" s="7" t="str">
        <f>IF(Sheet1!F271="F","FEMALE","MALE")</f>
        <v>FEMALE</v>
      </c>
      <c r="E271" s="6" t="str">
        <f>UPPER(Sheet1!G271)</f>
        <v>ARJUN RISHKAN</v>
      </c>
      <c r="F271" s="6" t="str">
        <f>UPPER(Sheet1!H271)</f>
        <v>MIRA RISHKAN</v>
      </c>
      <c r="G271" s="5" t="str">
        <f>TEXT(Sheet1!C271,"dd/mm/yyyy") &amp; "," &amp; Sheet1!D271</f>
        <v>06/01/2025,BERWICK</v>
      </c>
      <c r="H271" s="39" t="str">
        <f>UPPER(Sheet1!J271 &amp; "," &amp; Sheet1!K271 &amp; "," &amp; Sheet1!L271)</f>
        <v>61 BIRCHWOOD LANE,EMERALD ROAD,PIN:379882 BERWICK</v>
      </c>
      <c r="I271" s="8">
        <f>Sheet1!I271</f>
        <v>45730</v>
      </c>
      <c r="J271" s="5" t="str">
        <f>Sheet1!M271 &amp; "," &amp; TEXT(Sheet1!N271,"dd/mm/yy")</f>
        <v>MHA/IND/00270,10/07/25</v>
      </c>
      <c r="K271" s="5" t="s">
        <v>5752</v>
      </c>
      <c r="L271" s="31" t="s">
        <v>14</v>
      </c>
      <c r="M271" s="31" t="s">
        <v>15</v>
      </c>
      <c r="N271" s="31" t="s">
        <v>16</v>
      </c>
    </row>
    <row r="272" spans="1:14" x14ac:dyDescent="0.25">
      <c r="A272" s="4" t="str">
        <f>Sheet1!A272 &amp; "/" &amp; "2025"</f>
        <v>271/2025</v>
      </c>
      <c r="B272" s="5" t="str">
        <f>Sheet1!E272</f>
        <v>IND/MEL/00271</v>
      </c>
      <c r="C272" s="6" t="str">
        <f>UPPER(Sheet1!B272)</f>
        <v>ISHAN RAO</v>
      </c>
      <c r="D272" s="7" t="str">
        <f>IF(Sheet1!F272="F","FEMALE","MALE")</f>
        <v>MALE</v>
      </c>
      <c r="E272" s="6" t="str">
        <f>UPPER(Sheet1!G272)</f>
        <v>ARJUN RAO</v>
      </c>
      <c r="F272" s="6" t="str">
        <f>UPPER(Sheet1!H272)</f>
        <v>MIRA RAO</v>
      </c>
      <c r="G272" s="5" t="str">
        <f>TEXT(Sheet1!C272,"dd/mm/yyyy") &amp; "," &amp; Sheet1!D272</f>
        <v>18/02/2025,PERTH</v>
      </c>
      <c r="H272" s="39" t="str">
        <f>UPPER(Sheet1!J272 &amp; "," &amp; Sheet1!K272 &amp; "," &amp; Sheet1!L272)</f>
        <v>15 BIRCHWOOD LANE,EMERALD ROAD,PIN:909065 PERTH</v>
      </c>
      <c r="I272" s="8">
        <f>Sheet1!I272</f>
        <v>45815</v>
      </c>
      <c r="J272" s="5" t="str">
        <f>Sheet1!M272 &amp; "," &amp; TEXT(Sheet1!N272,"dd/mm/yy")</f>
        <v>MHA/IND/00271,15/08/25</v>
      </c>
      <c r="K272" s="5" t="s">
        <v>5752</v>
      </c>
      <c r="L272" s="31" t="s">
        <v>14</v>
      </c>
      <c r="M272" s="31" t="s">
        <v>15</v>
      </c>
      <c r="N272" s="31" t="s">
        <v>16</v>
      </c>
    </row>
    <row r="273" spans="1:14" x14ac:dyDescent="0.25">
      <c r="A273" s="4" t="str">
        <f>Sheet1!A273 &amp; "/" &amp; "2025"</f>
        <v>272/2025</v>
      </c>
      <c r="B273" s="5" t="str">
        <f>Sheet1!E273</f>
        <v>IND/MEL/00272</v>
      </c>
      <c r="C273" s="6" t="str">
        <f>UPPER(Sheet1!B273)</f>
        <v>DIYA SHARMA</v>
      </c>
      <c r="D273" s="7" t="str">
        <f>IF(Sheet1!F273="F","FEMALE","MALE")</f>
        <v>FEMALE</v>
      </c>
      <c r="E273" s="6" t="str">
        <f>UPPER(Sheet1!G273)</f>
        <v>ROHIT SHARMA</v>
      </c>
      <c r="F273" s="6" t="str">
        <f>UPPER(Sheet1!H273)</f>
        <v>ANYA SHARMA</v>
      </c>
      <c r="G273" s="5" t="str">
        <f>TEXT(Sheet1!C273,"dd/mm/yyyy") &amp; "," &amp; Sheet1!D273</f>
        <v>16/07/2025,TRARALGON</v>
      </c>
      <c r="H273" s="39" t="str">
        <f>UPPER(Sheet1!J273 &amp; "," &amp; Sheet1!K273 &amp; "," &amp; Sheet1!L273)</f>
        <v>105 BIRCHWOOD LANE,EMERALD ROAD,PIN:749689 TRARALGON</v>
      </c>
      <c r="I273" s="8">
        <f>Sheet1!I273</f>
        <v>45971</v>
      </c>
      <c r="J273" s="5" t="str">
        <f>Sheet1!M273 &amp; "," &amp; TEXT(Sheet1!N273,"dd/mm/yy")</f>
        <v>MHA/IND/00272,03/08/25</v>
      </c>
      <c r="K273" s="5" t="s">
        <v>5752</v>
      </c>
      <c r="L273" s="31" t="s">
        <v>14</v>
      </c>
      <c r="M273" s="31" t="s">
        <v>15</v>
      </c>
      <c r="N273" s="31" t="s">
        <v>16</v>
      </c>
    </row>
    <row r="274" spans="1:14" x14ac:dyDescent="0.25">
      <c r="A274" s="4" t="str">
        <f>Sheet1!A274 &amp; "/" &amp; "2025"</f>
        <v>273/2025</v>
      </c>
      <c r="B274" s="5" t="str">
        <f>Sheet1!E274</f>
        <v>IND/MEL/00273</v>
      </c>
      <c r="C274" s="6" t="str">
        <f>UPPER(Sheet1!B274)</f>
        <v>SARA KALEON</v>
      </c>
      <c r="D274" s="7" t="str">
        <f>IF(Sheet1!F274="F","FEMALE","MALE")</f>
        <v>FEMALE</v>
      </c>
      <c r="E274" s="6" t="str">
        <f>UPPER(Sheet1!G274)</f>
        <v>ISHAN KALEON</v>
      </c>
      <c r="F274" s="6" t="str">
        <f>UPPER(Sheet1!H274)</f>
        <v>NINA KALEON</v>
      </c>
      <c r="G274" s="5" t="str">
        <f>TEXT(Sheet1!C274,"dd/mm/yyyy") &amp; "," &amp; Sheet1!D274</f>
        <v>16/10/2025,BRISBANE</v>
      </c>
      <c r="H274" s="39" t="str">
        <f>UPPER(Sheet1!J274 &amp; "," &amp; Sheet1!K274 &amp; "," &amp; Sheet1!L274)</f>
        <v>151 BIRCHWOOD LANE,EMERALD ROAD,PIN:690803 BRISBANE</v>
      </c>
      <c r="I274" s="8">
        <f>Sheet1!I274</f>
        <v>46009</v>
      </c>
      <c r="J274" s="5" t="str">
        <f>Sheet1!M274 &amp; "," &amp; TEXT(Sheet1!N274,"dd/mm/yy")</f>
        <v>MHA/IND/00273,03/07/25</v>
      </c>
      <c r="K274" s="5" t="s">
        <v>5752</v>
      </c>
      <c r="L274" s="31" t="s">
        <v>14</v>
      </c>
      <c r="M274" s="31" t="s">
        <v>15</v>
      </c>
      <c r="N274" s="31" t="s">
        <v>16</v>
      </c>
    </row>
    <row r="275" spans="1:14" x14ac:dyDescent="0.25">
      <c r="A275" s="4" t="str">
        <f>Sheet1!A275 &amp; "/" &amp; "2025"</f>
        <v>274/2025</v>
      </c>
      <c r="B275" s="5" t="str">
        <f>Sheet1!E275</f>
        <v>IND/MEL/00274</v>
      </c>
      <c r="C275" s="6" t="str">
        <f>UPPER(Sheet1!B275)</f>
        <v>KABIR RAO</v>
      </c>
      <c r="D275" s="7" t="str">
        <f>IF(Sheet1!F275="F","FEMALE","MALE")</f>
        <v>MALE</v>
      </c>
      <c r="E275" s="6" t="str">
        <f>UPPER(Sheet1!G275)</f>
        <v>NEIL RAO</v>
      </c>
      <c r="F275" s="6" t="str">
        <f>UPPER(Sheet1!H275)</f>
        <v>RIYA RAO</v>
      </c>
      <c r="G275" s="5" t="str">
        <f>TEXT(Sheet1!C275,"dd/mm/yyyy") &amp; "," &amp; Sheet1!D275</f>
        <v>10/10/2025,GEELONG</v>
      </c>
      <c r="H275" s="39" t="str">
        <f>UPPER(Sheet1!J275 &amp; "," &amp; Sheet1!K275 &amp; "," &amp; Sheet1!L275)</f>
        <v>28 BIRCHWOOD LANE,EMERALD ROAD,PIN:862049 GEELONG</v>
      </c>
      <c r="I275" s="8">
        <f>Sheet1!I275</f>
        <v>46053</v>
      </c>
      <c r="J275" s="5" t="str">
        <f>Sheet1!M275 &amp; "," &amp; TEXT(Sheet1!N275,"dd/mm/yy")</f>
        <v>MHA/IND/00274,07/07/25</v>
      </c>
      <c r="K275" s="5" t="s">
        <v>5752</v>
      </c>
      <c r="L275" s="31" t="s">
        <v>14</v>
      </c>
      <c r="M275" s="31" t="s">
        <v>15</v>
      </c>
      <c r="N275" s="31" t="s">
        <v>16</v>
      </c>
    </row>
    <row r="276" spans="1:14" x14ac:dyDescent="0.25">
      <c r="A276" s="4" t="str">
        <f>Sheet1!A276 &amp; "/" &amp; "2025"</f>
        <v>275/2025</v>
      </c>
      <c r="B276" s="5" t="str">
        <f>Sheet1!E276</f>
        <v>IND/MEL/00275</v>
      </c>
      <c r="C276" s="6" t="str">
        <f>UPPER(Sheet1!B276)</f>
        <v>NEIL SHARMA</v>
      </c>
      <c r="D276" s="7" t="str">
        <f>IF(Sheet1!F276="F","FEMALE","MALE")</f>
        <v>MALE</v>
      </c>
      <c r="E276" s="6" t="str">
        <f>UPPER(Sheet1!G276)</f>
        <v>AREN SHARMA</v>
      </c>
      <c r="F276" s="6" t="str">
        <f>UPPER(Sheet1!H276)</f>
        <v>TARA SHARMA</v>
      </c>
      <c r="G276" s="5" t="str">
        <f>TEXT(Sheet1!C276,"dd/mm/yyyy") &amp; "," &amp; Sheet1!D276</f>
        <v>10/02/2025,WONTHAGGI</v>
      </c>
      <c r="H276" s="39" t="str">
        <f>UPPER(Sheet1!J276 &amp; "," &amp; Sheet1!K276 &amp; "," &amp; Sheet1!L276)</f>
        <v>49 BIRCHWOOD LANE,EMERALD ROAD,PIN:481640 WONTHAGGI</v>
      </c>
      <c r="I276" s="8">
        <f>Sheet1!I276</f>
        <v>45746</v>
      </c>
      <c r="J276" s="5" t="str">
        <f>Sheet1!M276 &amp; "," &amp; TEXT(Sheet1!N276,"dd/mm/yy")</f>
        <v>MHA/IND/00275,07/08/25</v>
      </c>
      <c r="K276" s="5" t="s">
        <v>5752</v>
      </c>
      <c r="L276" s="31" t="s">
        <v>14</v>
      </c>
      <c r="M276" s="31" t="s">
        <v>15</v>
      </c>
      <c r="N276" s="31" t="s">
        <v>16</v>
      </c>
    </row>
    <row r="277" spans="1:14" x14ac:dyDescent="0.25">
      <c r="A277" s="4" t="str">
        <f>Sheet1!A277 &amp; "/" &amp; "2025"</f>
        <v>276/2025</v>
      </c>
      <c r="B277" s="5" t="str">
        <f>Sheet1!E277</f>
        <v>IND/MEL/00276</v>
      </c>
      <c r="C277" s="6" t="str">
        <f>UPPER(Sheet1!B277)</f>
        <v>NINA RAO</v>
      </c>
      <c r="D277" s="7" t="str">
        <f>IF(Sheet1!F277="F","FEMALE","MALE")</f>
        <v>FEMALE</v>
      </c>
      <c r="E277" s="6" t="str">
        <f>UPPER(Sheet1!G277)</f>
        <v>NEIL RAO</v>
      </c>
      <c r="F277" s="6" t="str">
        <f>UPPER(Sheet1!H277)</f>
        <v>ANYA RAO</v>
      </c>
      <c r="G277" s="5" t="str">
        <f>TEXT(Sheet1!C277,"dd/mm/yyyy") &amp; "," &amp; Sheet1!D277</f>
        <v>09/05/2025,BELCONNEN</v>
      </c>
      <c r="H277" s="39" t="str">
        <f>UPPER(Sheet1!J277 &amp; "," &amp; Sheet1!K277 &amp; "," &amp; Sheet1!L277)</f>
        <v>139 BIRCHWOOD LANE,EMERALD ROAD,PIN:562907 BELCONNEN</v>
      </c>
      <c r="I277" s="8">
        <f>Sheet1!I277</f>
        <v>45815</v>
      </c>
      <c r="J277" s="5" t="str">
        <f>Sheet1!M277 &amp; "," &amp; TEXT(Sheet1!N277,"dd/mm/yy")</f>
        <v>MHA/IND/00276,21/08/25</v>
      </c>
      <c r="K277" s="5" t="s">
        <v>5752</v>
      </c>
      <c r="L277" s="31" t="s">
        <v>14</v>
      </c>
      <c r="M277" s="31" t="s">
        <v>15</v>
      </c>
      <c r="N277" s="31" t="s">
        <v>16</v>
      </c>
    </row>
    <row r="278" spans="1:14" x14ac:dyDescent="0.25">
      <c r="A278" s="4" t="str">
        <f>Sheet1!A278 &amp; "/" &amp; "2025"</f>
        <v>277/2025</v>
      </c>
      <c r="B278" s="5" t="str">
        <f>Sheet1!E278</f>
        <v>IND/MEL/00277</v>
      </c>
      <c r="C278" s="6" t="str">
        <f>UPPER(Sheet1!B278)</f>
        <v>ANYA VALZARI</v>
      </c>
      <c r="D278" s="7" t="str">
        <f>IF(Sheet1!F278="F","FEMALE","MALE")</f>
        <v>FEMALE</v>
      </c>
      <c r="E278" s="6" t="str">
        <f>UPPER(Sheet1!G278)</f>
        <v>DEV VALZARI</v>
      </c>
      <c r="F278" s="6" t="str">
        <f>UPPER(Sheet1!H278)</f>
        <v>TARA VALZARI</v>
      </c>
      <c r="G278" s="5" t="str">
        <f>TEXT(Sheet1!C278,"dd/mm/yyyy") &amp; "," &amp; Sheet1!D278</f>
        <v>20/06/2025,ST ALBANS</v>
      </c>
      <c r="H278" s="39" t="str">
        <f>UPPER(Sheet1!J278 &amp; "," &amp; Sheet1!K278 &amp; "," &amp; Sheet1!L278)</f>
        <v>121 BIRCHWOOD LANE,EMERALD ROAD,PIN:447933 ST ALBANS</v>
      </c>
      <c r="I278" s="8">
        <f>Sheet1!I278</f>
        <v>45852</v>
      </c>
      <c r="J278" s="5" t="str">
        <f>Sheet1!M278 &amp; "," &amp; TEXT(Sheet1!N278,"dd/mm/yy")</f>
        <v>MHA/IND/00277,29/08/25</v>
      </c>
      <c r="K278" s="5" t="s">
        <v>5752</v>
      </c>
      <c r="L278" s="31" t="s">
        <v>14</v>
      </c>
      <c r="M278" s="31" t="s">
        <v>15</v>
      </c>
      <c r="N278" s="31" t="s">
        <v>16</v>
      </c>
    </row>
    <row r="279" spans="1:14" x14ac:dyDescent="0.25">
      <c r="A279" s="4" t="str">
        <f>Sheet1!A279 &amp; "/" &amp; "2025"</f>
        <v>278/2025</v>
      </c>
      <c r="B279" s="5" t="str">
        <f>Sheet1!E279</f>
        <v>IND/MEL/00278</v>
      </c>
      <c r="C279" s="6" t="str">
        <f>UPPER(Sheet1!B279)</f>
        <v>NINA RISHKAN</v>
      </c>
      <c r="D279" s="7" t="str">
        <f>IF(Sheet1!F279="F","FEMALE","MALE")</f>
        <v>FEMALE</v>
      </c>
      <c r="E279" s="6" t="str">
        <f>UPPER(Sheet1!G279)</f>
        <v>ROHIT RISHKAN</v>
      </c>
      <c r="F279" s="6" t="str">
        <f>UPPER(Sheet1!H279)</f>
        <v>DIYA RISHKAN</v>
      </c>
      <c r="G279" s="5" t="str">
        <f>TEXT(Sheet1!C279,"dd/mm/yyyy") &amp; "," &amp; Sheet1!D279</f>
        <v>11/02/2025,TOWNSVILLE</v>
      </c>
      <c r="H279" s="39" t="str">
        <f>UPPER(Sheet1!J279 &amp; "," &amp; Sheet1!K279 &amp; "," &amp; Sheet1!L279)</f>
        <v>13 BIRCHWOOD LANE,EMERALD ROAD,PIN:803740 TOWNSVILLE</v>
      </c>
      <c r="I279" s="8">
        <f>Sheet1!I279</f>
        <v>45809</v>
      </c>
      <c r="J279" s="5" t="str">
        <f>Sheet1!M279 &amp; "," &amp; TEXT(Sheet1!N279,"dd/mm/yy")</f>
        <v>MHA/IND/00278,28/07/25</v>
      </c>
      <c r="K279" s="5" t="s">
        <v>5752</v>
      </c>
      <c r="L279" s="31" t="s">
        <v>14</v>
      </c>
      <c r="M279" s="31" t="s">
        <v>15</v>
      </c>
      <c r="N279" s="31" t="s">
        <v>16</v>
      </c>
    </row>
    <row r="280" spans="1:14" x14ac:dyDescent="0.25">
      <c r="A280" s="4" t="str">
        <f>Sheet1!A280 &amp; "/" &amp; "2025"</f>
        <v>279/2025</v>
      </c>
      <c r="B280" s="5" t="str">
        <f>Sheet1!E280</f>
        <v>IND/MEL/00279</v>
      </c>
      <c r="C280" s="6" t="str">
        <f>UPPER(Sheet1!B280)</f>
        <v>MIRA KALEON</v>
      </c>
      <c r="D280" s="7" t="str">
        <f>IF(Sheet1!F280="F","FEMALE","MALE")</f>
        <v>FEMALE</v>
      </c>
      <c r="E280" s="6" t="str">
        <f>UPPER(Sheet1!G280)</f>
        <v>KABIR KALEON</v>
      </c>
      <c r="F280" s="6" t="str">
        <f>UPPER(Sheet1!H280)</f>
        <v>RIYA KALEON</v>
      </c>
      <c r="G280" s="5" t="str">
        <f>TEXT(Sheet1!C280,"dd/mm/yyyy") &amp; "," &amp; Sheet1!D280</f>
        <v>15/02/2025,WOLLONGONG</v>
      </c>
      <c r="H280" s="39" t="str">
        <f>UPPER(Sheet1!J280 &amp; "," &amp; Sheet1!K280 &amp; "," &amp; Sheet1!L280)</f>
        <v>31 BIRCHWOOD LANE,EMERALD ROAD,PIN:595547 WOLLONGONG</v>
      </c>
      <c r="I280" s="8">
        <f>Sheet1!I280</f>
        <v>45820</v>
      </c>
      <c r="J280" s="5" t="str">
        <f>Sheet1!M280 &amp; "," &amp; TEXT(Sheet1!N280,"dd/mm/yy")</f>
        <v>MHA/IND/00279,28/08/25</v>
      </c>
      <c r="K280" s="5" t="s">
        <v>5752</v>
      </c>
      <c r="L280" s="31" t="s">
        <v>14</v>
      </c>
      <c r="M280" s="31" t="s">
        <v>15</v>
      </c>
      <c r="N280" s="31" t="s">
        <v>16</v>
      </c>
    </row>
    <row r="281" spans="1:14" x14ac:dyDescent="0.25">
      <c r="A281" s="4" t="str">
        <f>Sheet1!A281 &amp; "/" &amp; "2025"</f>
        <v>280/2025</v>
      </c>
      <c r="B281" s="5" t="str">
        <f>Sheet1!E281</f>
        <v>IND/MEL/00280</v>
      </c>
      <c r="C281" s="6" t="str">
        <f>UPPER(Sheet1!B281)</f>
        <v>ROHIT MYRTHOS</v>
      </c>
      <c r="D281" s="7" t="str">
        <f>IF(Sheet1!F281="F","FEMALE","MALE")</f>
        <v>MALE</v>
      </c>
      <c r="E281" s="6" t="str">
        <f>UPPER(Sheet1!G281)</f>
        <v>ROHIT MYRTHOS</v>
      </c>
      <c r="F281" s="6" t="str">
        <f>UPPER(Sheet1!H281)</f>
        <v>ALYA MYRTHOS</v>
      </c>
      <c r="G281" s="5" t="str">
        <f>TEXT(Sheet1!C281,"dd/mm/yyyy") &amp; "," &amp; Sheet1!D281</f>
        <v>21/03/2025,CAMPBELLTOWN</v>
      </c>
      <c r="H281" s="39" t="str">
        <f>UPPER(Sheet1!J281 &amp; "," &amp; Sheet1!K281 &amp; "," &amp; Sheet1!L281)</f>
        <v>59 BIRCHWOOD LANE,EMERALD ROAD,PIN:475285 CAMPBELLTOWN</v>
      </c>
      <c r="I281" s="8">
        <f>Sheet1!I281</f>
        <v>45800</v>
      </c>
      <c r="J281" s="5" t="str">
        <f>Sheet1!M281 &amp; "," &amp; TEXT(Sheet1!N281,"dd/mm/yy")</f>
        <v>MHA/IND/00280,16/08/25</v>
      </c>
      <c r="K281" s="5" t="s">
        <v>5752</v>
      </c>
      <c r="L281" s="31" t="s">
        <v>14</v>
      </c>
      <c r="M281" s="31" t="s">
        <v>15</v>
      </c>
      <c r="N281" s="31" t="s">
        <v>16</v>
      </c>
    </row>
    <row r="282" spans="1:14" x14ac:dyDescent="0.25">
      <c r="A282" s="4" t="str">
        <f>Sheet1!A282 &amp; "/" &amp; "2025"</f>
        <v>281/2025</v>
      </c>
      <c r="B282" s="5" t="str">
        <f>Sheet1!E282</f>
        <v>IND/MEL/00281</v>
      </c>
      <c r="C282" s="6" t="str">
        <f>UPPER(Sheet1!B282)</f>
        <v>ISHAN SHARMA</v>
      </c>
      <c r="D282" s="7" t="str">
        <f>IF(Sheet1!F282="F","FEMALE","MALE")</f>
        <v>MALE</v>
      </c>
      <c r="E282" s="6" t="str">
        <f>UPPER(Sheet1!G282)</f>
        <v>DEV SHARMA</v>
      </c>
      <c r="F282" s="6" t="str">
        <f>UPPER(Sheet1!H282)</f>
        <v>RIYA SHARMA</v>
      </c>
      <c r="G282" s="5" t="str">
        <f>TEXT(Sheet1!C282,"dd/mm/yyyy") &amp; "," &amp; Sheet1!D282</f>
        <v>25/10/2025,LENAH VALLEY</v>
      </c>
      <c r="H282" s="39" t="str">
        <f>UPPER(Sheet1!J282 &amp; "," &amp; Sheet1!K282 &amp; "," &amp; Sheet1!L282)</f>
        <v>55 BIRCHWOOD LANE,EMERALD ROAD,PIN:883192 LENAH VALLEY</v>
      </c>
      <c r="I282" s="8">
        <f>Sheet1!I282</f>
        <v>45983</v>
      </c>
      <c r="J282" s="5" t="str">
        <f>Sheet1!M282 &amp; "," &amp; TEXT(Sheet1!N282,"dd/mm/yy")</f>
        <v>MHA/IND/00281,30/07/25</v>
      </c>
      <c r="K282" s="5" t="s">
        <v>5752</v>
      </c>
      <c r="L282" s="31" t="s">
        <v>14</v>
      </c>
      <c r="M282" s="31" t="s">
        <v>15</v>
      </c>
      <c r="N282" s="31" t="s">
        <v>16</v>
      </c>
    </row>
    <row r="283" spans="1:14" x14ac:dyDescent="0.25">
      <c r="A283" s="4" t="str">
        <f>Sheet1!A283 &amp; "/" &amp; "2025"</f>
        <v>282/2025</v>
      </c>
      <c r="B283" s="5" t="str">
        <f>Sheet1!E283</f>
        <v>IND/MEL/00282</v>
      </c>
      <c r="C283" s="6" t="str">
        <f>UPPER(Sheet1!B283)</f>
        <v>DEV VALZARI</v>
      </c>
      <c r="D283" s="7" t="str">
        <f>IF(Sheet1!F283="F","FEMALE","MALE")</f>
        <v>MALE</v>
      </c>
      <c r="E283" s="6" t="str">
        <f>UPPER(Sheet1!G283)</f>
        <v>KABIR VALZARI</v>
      </c>
      <c r="F283" s="6" t="str">
        <f>UPPER(Sheet1!H283)</f>
        <v>ANYA VALZARI</v>
      </c>
      <c r="G283" s="5" t="str">
        <f>TEXT(Sheet1!C283,"dd/mm/yyyy") &amp; "," &amp; Sheet1!D283</f>
        <v>18/06/2025,PARRAMATTA</v>
      </c>
      <c r="H283" s="39" t="str">
        <f>UPPER(Sheet1!J283 &amp; "," &amp; Sheet1!K283 &amp; "," &amp; Sheet1!L283)</f>
        <v>18 BIRCHWOOD LANE,EMERALD ROAD,PIN:623840 PARRAMATTA</v>
      </c>
      <c r="I283" s="8">
        <f>Sheet1!I283</f>
        <v>45840</v>
      </c>
      <c r="J283" s="5" t="str">
        <f>Sheet1!M283 &amp; "," &amp; TEXT(Sheet1!N283,"dd/mm/yy")</f>
        <v>MHA/IND/00282,20/07/25</v>
      </c>
      <c r="K283" s="5" t="s">
        <v>5752</v>
      </c>
      <c r="L283" s="31" t="s">
        <v>14</v>
      </c>
      <c r="M283" s="31" t="s">
        <v>15</v>
      </c>
      <c r="N283" s="31" t="s">
        <v>16</v>
      </c>
    </row>
    <row r="284" spans="1:14" x14ac:dyDescent="0.25">
      <c r="A284" s="4" t="str">
        <f>Sheet1!A284 &amp; "/" &amp; "2025"</f>
        <v>283/2025</v>
      </c>
      <c r="B284" s="5" t="str">
        <f>Sheet1!E284</f>
        <v>IND/MEL/00283</v>
      </c>
      <c r="C284" s="6" t="str">
        <f>UPPER(Sheet1!B284)</f>
        <v>ANYA RAO</v>
      </c>
      <c r="D284" s="7" t="str">
        <f>IF(Sheet1!F284="F","FEMALE","MALE")</f>
        <v>FEMALE</v>
      </c>
      <c r="E284" s="6" t="str">
        <f>UPPER(Sheet1!G284)</f>
        <v>ROHIT RAO</v>
      </c>
      <c r="F284" s="6" t="str">
        <f>UPPER(Sheet1!H284)</f>
        <v>ALYA RAO</v>
      </c>
      <c r="G284" s="5" t="str">
        <f>TEXT(Sheet1!C284,"dd/mm/yyyy") &amp; "," &amp; Sheet1!D284</f>
        <v>05/05/2025,GEELONG</v>
      </c>
      <c r="H284" s="39" t="str">
        <f>UPPER(Sheet1!J284 &amp; "," &amp; Sheet1!K284 &amp; "," &amp; Sheet1!L284)</f>
        <v>112 BIRCHWOOD LANE,EMERALD ROAD,PIN:153426 GEELONG</v>
      </c>
      <c r="I284" s="8">
        <f>Sheet1!I284</f>
        <v>45787</v>
      </c>
      <c r="J284" s="5" t="str">
        <f>Sheet1!M284 &amp; "," &amp; TEXT(Sheet1!N284,"dd/mm/yy")</f>
        <v>MHA/IND/00283,14/07/25</v>
      </c>
      <c r="K284" s="5" t="s">
        <v>5752</v>
      </c>
      <c r="L284" s="31" t="s">
        <v>14</v>
      </c>
      <c r="M284" s="31" t="s">
        <v>15</v>
      </c>
      <c r="N284" s="31" t="s">
        <v>16</v>
      </c>
    </row>
    <row r="285" spans="1:14" x14ac:dyDescent="0.25">
      <c r="A285" s="4" t="str">
        <f>Sheet1!A285 &amp; "/" &amp; "2025"</f>
        <v>284/2025</v>
      </c>
      <c r="B285" s="5" t="str">
        <f>Sheet1!E285</f>
        <v>IND/MEL/00284</v>
      </c>
      <c r="C285" s="6" t="str">
        <f>UPPER(Sheet1!B285)</f>
        <v>ROHIT VALZARI</v>
      </c>
      <c r="D285" s="7" t="str">
        <f>IF(Sheet1!F285="F","FEMALE","MALE")</f>
        <v>MALE</v>
      </c>
      <c r="E285" s="6" t="str">
        <f>UPPER(Sheet1!G285)</f>
        <v>AREN VALZARI</v>
      </c>
      <c r="F285" s="6" t="str">
        <f>UPPER(Sheet1!H285)</f>
        <v>ANYA VALZARI</v>
      </c>
      <c r="G285" s="5" t="str">
        <f>TEXT(Sheet1!C285,"dd/mm/yyyy") &amp; "," &amp; Sheet1!D285</f>
        <v>07/04/2025,PALMERSTON</v>
      </c>
      <c r="H285" s="39" t="str">
        <f>UPPER(Sheet1!J285 &amp; "," &amp; Sheet1!K285 &amp; "," &amp; Sheet1!L285)</f>
        <v>20 BIRCHWOOD LANE,EMERALD ROAD,PIN:548726 PALMERSTON</v>
      </c>
      <c r="I285" s="8">
        <f>Sheet1!I285</f>
        <v>45765</v>
      </c>
      <c r="J285" s="5" t="str">
        <f>Sheet1!M285 &amp; "," &amp; TEXT(Sheet1!N285,"dd/mm/yy")</f>
        <v>MHA/IND/00284,17/07/25</v>
      </c>
      <c r="K285" s="5" t="s">
        <v>5752</v>
      </c>
      <c r="L285" s="31" t="s">
        <v>14</v>
      </c>
      <c r="M285" s="31" t="s">
        <v>15</v>
      </c>
      <c r="N285" s="31" t="s">
        <v>16</v>
      </c>
    </row>
    <row r="286" spans="1:14" x14ac:dyDescent="0.25">
      <c r="A286" s="4" t="str">
        <f>Sheet1!A286 &amp; "/" &amp; "2025"</f>
        <v>285/2025</v>
      </c>
      <c r="B286" s="5" t="str">
        <f>Sheet1!E286</f>
        <v>IND/MEL/00285</v>
      </c>
      <c r="C286" s="6" t="str">
        <f>UPPER(Sheet1!B286)</f>
        <v>ARJUN KALEON</v>
      </c>
      <c r="D286" s="7" t="str">
        <f>IF(Sheet1!F286="F","FEMALE","MALE")</f>
        <v>MALE</v>
      </c>
      <c r="E286" s="6" t="str">
        <f>UPPER(Sheet1!G286)</f>
        <v>KABIR KALEON</v>
      </c>
      <c r="F286" s="6" t="str">
        <f>UPPER(Sheet1!H286)</f>
        <v>RIYA KALEON</v>
      </c>
      <c r="G286" s="5" t="str">
        <f>TEXT(Sheet1!C286,"dd/mm/yyyy") &amp; "," &amp; Sheet1!D286</f>
        <v>21/10/2025,LENAH VALLEY</v>
      </c>
      <c r="H286" s="39" t="str">
        <f>UPPER(Sheet1!J286 &amp; "," &amp; Sheet1!K286 &amp; "," &amp; Sheet1!L286)</f>
        <v>163 BIRCHWOOD LANE,EMERALD ROAD,PIN:398774 LENAH VALLEY</v>
      </c>
      <c r="I286" s="8">
        <f>Sheet1!I286</f>
        <v>46031</v>
      </c>
      <c r="J286" s="5" t="str">
        <f>Sheet1!M286 &amp; "," &amp; TEXT(Sheet1!N286,"dd/mm/yy")</f>
        <v>MHA/IND/00285,11/08/25</v>
      </c>
      <c r="K286" s="5" t="s">
        <v>5752</v>
      </c>
      <c r="L286" s="31" t="s">
        <v>14</v>
      </c>
      <c r="M286" s="31" t="s">
        <v>15</v>
      </c>
      <c r="N286" s="31" t="s">
        <v>16</v>
      </c>
    </row>
    <row r="287" spans="1:14" x14ac:dyDescent="0.25">
      <c r="A287" s="4" t="str">
        <f>Sheet1!A287 &amp; "/" &amp; "2025"</f>
        <v>286/2025</v>
      </c>
      <c r="B287" s="5" t="str">
        <f>Sheet1!E287</f>
        <v>IND/MEL/00286</v>
      </c>
      <c r="C287" s="6" t="str">
        <f>UPPER(Sheet1!B287)</f>
        <v>AREN MYRTHOS</v>
      </c>
      <c r="D287" s="7" t="str">
        <f>IF(Sheet1!F287="F","FEMALE","MALE")</f>
        <v>MALE</v>
      </c>
      <c r="E287" s="6" t="str">
        <f>UPPER(Sheet1!G287)</f>
        <v>KABIR MYRTHOS</v>
      </c>
      <c r="F287" s="6" t="str">
        <f>UPPER(Sheet1!H287)</f>
        <v>NINA MYRTHOS</v>
      </c>
      <c r="G287" s="5" t="str">
        <f>TEXT(Sheet1!C287,"dd/mm/yyyy") &amp; "," &amp; Sheet1!D287</f>
        <v>27/05/2025,MIDLAND</v>
      </c>
      <c r="H287" s="39" t="str">
        <f>UPPER(Sheet1!J287 &amp; "," &amp; Sheet1!K287 &amp; "," &amp; Sheet1!L287)</f>
        <v>179 BIRCHWOOD LANE,EMERALD ROAD,PIN:688803 MIDLAND</v>
      </c>
      <c r="I287" s="8">
        <f>Sheet1!I287</f>
        <v>45918</v>
      </c>
      <c r="J287" s="5" t="str">
        <f>Sheet1!M287 &amp; "," &amp; TEXT(Sheet1!N287,"dd/mm/yy")</f>
        <v>MHA/IND/00286,21/07/25</v>
      </c>
      <c r="K287" s="5" t="s">
        <v>5752</v>
      </c>
      <c r="L287" s="31" t="s">
        <v>14</v>
      </c>
      <c r="M287" s="31" t="s">
        <v>15</v>
      </c>
      <c r="N287" s="31" t="s">
        <v>16</v>
      </c>
    </row>
    <row r="288" spans="1:14" x14ac:dyDescent="0.25">
      <c r="A288" s="4" t="str">
        <f>Sheet1!A288 &amp; "/" &amp; "2025"</f>
        <v>287/2025</v>
      </c>
      <c r="B288" s="5" t="str">
        <f>Sheet1!E288</f>
        <v>IND/MEL/00287</v>
      </c>
      <c r="C288" s="6" t="str">
        <f>UPPER(Sheet1!B288)</f>
        <v>MIRA SINDALE</v>
      </c>
      <c r="D288" s="7" t="str">
        <f>IF(Sheet1!F288="F","FEMALE","MALE")</f>
        <v>FEMALE</v>
      </c>
      <c r="E288" s="6" t="str">
        <f>UPPER(Sheet1!G288)</f>
        <v>ISHAN SINDALE</v>
      </c>
      <c r="F288" s="6" t="str">
        <f>UPPER(Sheet1!H288)</f>
        <v>ANYA SINDALE</v>
      </c>
      <c r="G288" s="5" t="str">
        <f>TEXT(Sheet1!C288,"dd/mm/yyyy") &amp; "," &amp; Sheet1!D288</f>
        <v>08/09/2025,ROCKHAMPTON</v>
      </c>
      <c r="H288" s="39" t="str">
        <f>UPPER(Sheet1!J288 &amp; "," &amp; Sheet1!K288 &amp; "," &amp; Sheet1!L288)</f>
        <v>11 BIRCHWOOD LANE,EMERALD ROAD,PIN:572879 ROCKHAMPTON</v>
      </c>
      <c r="I288" s="8">
        <f>Sheet1!I288</f>
        <v>45915</v>
      </c>
      <c r="J288" s="5" t="str">
        <f>Sheet1!M288 &amp; "," &amp; TEXT(Sheet1!N288,"dd/mm/yy")</f>
        <v>MHA/IND/00287,04/07/25</v>
      </c>
      <c r="K288" s="5" t="s">
        <v>5752</v>
      </c>
      <c r="L288" s="31" t="s">
        <v>14</v>
      </c>
      <c r="M288" s="31" t="s">
        <v>15</v>
      </c>
      <c r="N288" s="31" t="s">
        <v>16</v>
      </c>
    </row>
    <row r="289" spans="1:14" x14ac:dyDescent="0.25">
      <c r="A289" s="4" t="str">
        <f>Sheet1!A289 &amp; "/" &amp; "2025"</f>
        <v>288/2025</v>
      </c>
      <c r="B289" s="5" t="str">
        <f>Sheet1!E289</f>
        <v>IND/MEL/00288</v>
      </c>
      <c r="C289" s="6" t="str">
        <f>UPPER(Sheet1!B289)</f>
        <v>ALYA VALZARI</v>
      </c>
      <c r="D289" s="7" t="str">
        <f>IF(Sheet1!F289="F","FEMALE","MALE")</f>
        <v>FEMALE</v>
      </c>
      <c r="E289" s="6" t="str">
        <f>UPPER(Sheet1!G289)</f>
        <v>DEV VALZARI</v>
      </c>
      <c r="F289" s="6" t="str">
        <f>UPPER(Sheet1!H289)</f>
        <v>ALYA VALZARI</v>
      </c>
      <c r="G289" s="5" t="str">
        <f>TEXT(Sheet1!C289,"dd/mm/yyyy") &amp; "," &amp; Sheet1!D289</f>
        <v>04/02/2025,MANDURAH</v>
      </c>
      <c r="H289" s="39" t="str">
        <f>UPPER(Sheet1!J289 &amp; "," &amp; Sheet1!K289 &amp; "," &amp; Sheet1!L289)</f>
        <v>69 BIRCHWOOD LANE,EMERALD ROAD,PIN:775685 MANDURAH</v>
      </c>
      <c r="I289" s="8">
        <f>Sheet1!I289</f>
        <v>45717</v>
      </c>
      <c r="J289" s="5" t="str">
        <f>Sheet1!M289 &amp; "," &amp; TEXT(Sheet1!N289,"dd/mm/yy")</f>
        <v>MHA/IND/00288,17/08/25</v>
      </c>
      <c r="K289" s="5" t="s">
        <v>5752</v>
      </c>
      <c r="L289" s="31" t="s">
        <v>14</v>
      </c>
      <c r="M289" s="31" t="s">
        <v>15</v>
      </c>
      <c r="N289" s="31" t="s">
        <v>16</v>
      </c>
    </row>
    <row r="290" spans="1:14" x14ac:dyDescent="0.25">
      <c r="A290" s="4" t="str">
        <f>Sheet1!A290 &amp; "/" &amp; "2025"</f>
        <v>289/2025</v>
      </c>
      <c r="B290" s="5" t="str">
        <f>Sheet1!E290</f>
        <v>IND/MEL/00289</v>
      </c>
      <c r="C290" s="6" t="str">
        <f>UPPER(Sheet1!B290)</f>
        <v>ARJUN RISHKAN</v>
      </c>
      <c r="D290" s="7" t="str">
        <f>IF(Sheet1!F290="F","FEMALE","MALE")</f>
        <v>MALE</v>
      </c>
      <c r="E290" s="6" t="str">
        <f>UPPER(Sheet1!G290)</f>
        <v>ARJUN RISHKAN</v>
      </c>
      <c r="F290" s="6" t="str">
        <f>UPPER(Sheet1!H290)</f>
        <v>RIYA RISHKAN</v>
      </c>
      <c r="G290" s="5" t="str">
        <f>TEXT(Sheet1!C290,"dd/mm/yyyy") &amp; "," &amp; Sheet1!D290</f>
        <v>07/02/2025,DALBY</v>
      </c>
      <c r="H290" s="39" t="str">
        <f>UPPER(Sheet1!J290 &amp; "," &amp; Sheet1!K290 &amp; "," &amp; Sheet1!L290)</f>
        <v>16 BIRCHWOOD LANE,EMERALD ROAD,PIN:294333 DALBY</v>
      </c>
      <c r="I290" s="8">
        <f>Sheet1!I290</f>
        <v>45747</v>
      </c>
      <c r="J290" s="5" t="str">
        <f>Sheet1!M290 &amp; "," &amp; TEXT(Sheet1!N290,"dd/mm/yy")</f>
        <v>MHA/IND/00289,23/08/25</v>
      </c>
      <c r="K290" s="5" t="s">
        <v>5752</v>
      </c>
      <c r="L290" s="31" t="s">
        <v>14</v>
      </c>
      <c r="M290" s="31" t="s">
        <v>15</v>
      </c>
      <c r="N290" s="31" t="s">
        <v>16</v>
      </c>
    </row>
    <row r="291" spans="1:14" x14ac:dyDescent="0.25">
      <c r="A291" s="4" t="str">
        <f>Sheet1!A291 &amp; "/" &amp; "2025"</f>
        <v>290/2025</v>
      </c>
      <c r="B291" s="5" t="str">
        <f>Sheet1!E291</f>
        <v>IND/MEL/00290</v>
      </c>
      <c r="C291" s="6" t="str">
        <f>UPPER(Sheet1!B291)</f>
        <v>ANYA RAO</v>
      </c>
      <c r="D291" s="7" t="str">
        <f>IF(Sheet1!F291="F","FEMALE","MALE")</f>
        <v>FEMALE</v>
      </c>
      <c r="E291" s="6" t="str">
        <f>UPPER(Sheet1!G291)</f>
        <v>ISHAN RAO</v>
      </c>
      <c r="F291" s="6" t="str">
        <f>UPPER(Sheet1!H291)</f>
        <v>RIYA RAO</v>
      </c>
      <c r="G291" s="5" t="str">
        <f>TEXT(Sheet1!C291,"dd/mm/yyyy") &amp; "," &amp; Sheet1!D291</f>
        <v>25/06/2025,PARKVILLE</v>
      </c>
      <c r="H291" s="39" t="str">
        <f>UPPER(Sheet1!J291 &amp; "," &amp; Sheet1!K291 &amp; "," &amp; Sheet1!L291)</f>
        <v>89 BIRCHWOOD LANE,EMERALD ROAD,PIN:778480 PARKVILLE</v>
      </c>
      <c r="I291" s="8">
        <f>Sheet1!I291</f>
        <v>45856</v>
      </c>
      <c r="J291" s="5" t="str">
        <f>Sheet1!M291 &amp; "," &amp; TEXT(Sheet1!N291,"dd/mm/yy")</f>
        <v>MHA/IND/00290,24/08/25</v>
      </c>
      <c r="K291" s="5" t="s">
        <v>5752</v>
      </c>
      <c r="L291" s="31" t="s">
        <v>14</v>
      </c>
      <c r="M291" s="31" t="s">
        <v>15</v>
      </c>
      <c r="N291" s="31" t="s">
        <v>16</v>
      </c>
    </row>
    <row r="292" spans="1:14" x14ac:dyDescent="0.25">
      <c r="A292" s="4" t="str">
        <f>Sheet1!A292 &amp; "/" &amp; "2025"</f>
        <v>291/2025</v>
      </c>
      <c r="B292" s="5" t="str">
        <f>Sheet1!E292</f>
        <v>IND/MEL/00291</v>
      </c>
      <c r="C292" s="6" t="str">
        <f>UPPER(Sheet1!B292)</f>
        <v>TARA RISHKAN</v>
      </c>
      <c r="D292" s="7" t="str">
        <f>IF(Sheet1!F292="F","FEMALE","MALE")</f>
        <v>FEMALE</v>
      </c>
      <c r="E292" s="6" t="str">
        <f>UPPER(Sheet1!G292)</f>
        <v>KABIR RISHKAN</v>
      </c>
      <c r="F292" s="6" t="str">
        <f>UPPER(Sheet1!H292)</f>
        <v>SARA RISHKAN</v>
      </c>
      <c r="G292" s="5" t="str">
        <f>TEXT(Sheet1!C292,"dd/mm/yyyy") &amp; "," &amp; Sheet1!D292</f>
        <v>04/06/2025,ADELAIDE</v>
      </c>
      <c r="H292" s="39" t="str">
        <f>UPPER(Sheet1!J292 &amp; "," &amp; Sheet1!K292 &amp; "," &amp; Sheet1!L292)</f>
        <v>77 BIRCHWOOD LANE,EMERALD ROAD,PIN:952963 ADELAIDE</v>
      </c>
      <c r="I292" s="8">
        <f>Sheet1!I292</f>
        <v>45931</v>
      </c>
      <c r="J292" s="5" t="str">
        <f>Sheet1!M292 &amp; "," &amp; TEXT(Sheet1!N292,"dd/mm/yy")</f>
        <v>MHA/IND/00291,08/08/25</v>
      </c>
      <c r="K292" s="5" t="s">
        <v>5752</v>
      </c>
      <c r="L292" s="31" t="s">
        <v>14</v>
      </c>
      <c r="M292" s="31" t="s">
        <v>15</v>
      </c>
      <c r="N292" s="31" t="s">
        <v>16</v>
      </c>
    </row>
    <row r="293" spans="1:14" x14ac:dyDescent="0.25">
      <c r="A293" s="4" t="str">
        <f>Sheet1!A293 &amp; "/" &amp; "2025"</f>
        <v>292/2025</v>
      </c>
      <c r="B293" s="5" t="str">
        <f>Sheet1!E293</f>
        <v>IND/MEL/00292</v>
      </c>
      <c r="C293" s="6" t="str">
        <f>UPPER(Sheet1!B293)</f>
        <v>ISHAN RAO</v>
      </c>
      <c r="D293" s="7" t="str">
        <f>IF(Sheet1!F293="F","FEMALE","MALE")</f>
        <v>MALE</v>
      </c>
      <c r="E293" s="6" t="str">
        <f>UPPER(Sheet1!G293)</f>
        <v>ARJUN RAO</v>
      </c>
      <c r="F293" s="6" t="str">
        <f>UPPER(Sheet1!H293)</f>
        <v>NINA RAO</v>
      </c>
      <c r="G293" s="5" t="str">
        <f>TEXT(Sheet1!C293,"dd/mm/yyyy") &amp; "," &amp; Sheet1!D293</f>
        <v>25/06/2025,LOGAN</v>
      </c>
      <c r="H293" s="39" t="str">
        <f>UPPER(Sheet1!J293 &amp; "," &amp; Sheet1!K293 &amp; "," &amp; Sheet1!L293)</f>
        <v>190 BIRCHWOOD LANE,EMERALD ROAD,PIN:921501 LOGAN</v>
      </c>
      <c r="I293" s="8">
        <f>Sheet1!I293</f>
        <v>45935</v>
      </c>
      <c r="J293" s="5" t="str">
        <f>Sheet1!M293 &amp; "," &amp; TEXT(Sheet1!N293,"dd/mm/yy")</f>
        <v>MHA/IND/00292,10/07/25</v>
      </c>
      <c r="K293" s="5" t="s">
        <v>5752</v>
      </c>
      <c r="L293" s="31" t="s">
        <v>14</v>
      </c>
      <c r="M293" s="31" t="s">
        <v>15</v>
      </c>
      <c r="N293" s="31" t="s">
        <v>16</v>
      </c>
    </row>
    <row r="294" spans="1:14" x14ac:dyDescent="0.25">
      <c r="A294" s="4" t="str">
        <f>Sheet1!A294 &amp; "/" &amp; "2025"</f>
        <v>293/2025</v>
      </c>
      <c r="B294" s="5" t="str">
        <f>Sheet1!E294</f>
        <v>IND/MEL/00293</v>
      </c>
      <c r="C294" s="6" t="str">
        <f>UPPER(Sheet1!B294)</f>
        <v>NEIL RISHKAN</v>
      </c>
      <c r="D294" s="7" t="str">
        <f>IF(Sheet1!F294="F","FEMALE","MALE")</f>
        <v>MALE</v>
      </c>
      <c r="E294" s="6" t="str">
        <f>UPPER(Sheet1!G294)</f>
        <v>NEIL RISHKAN</v>
      </c>
      <c r="F294" s="6" t="str">
        <f>UPPER(Sheet1!H294)</f>
        <v>TARA RISHKAN</v>
      </c>
      <c r="G294" s="5" t="str">
        <f>TEXT(Sheet1!C294,"dd/mm/yyyy") &amp; "," &amp; Sheet1!D294</f>
        <v>26/06/2025,FRANKSTON</v>
      </c>
      <c r="H294" s="39" t="str">
        <f>UPPER(Sheet1!J294 &amp; "," &amp; Sheet1!K294 &amp; "," &amp; Sheet1!L294)</f>
        <v>135 BIRCHWOOD LANE,EMERALD ROAD,PIN:461997 FRANKSTON</v>
      </c>
      <c r="I294" s="8">
        <f>Sheet1!I294</f>
        <v>45866</v>
      </c>
      <c r="J294" s="5" t="str">
        <f>Sheet1!M294 &amp; "," &amp; TEXT(Sheet1!N294,"dd/mm/yy")</f>
        <v>MHA/IND/00293,12/08/25</v>
      </c>
      <c r="K294" s="5" t="s">
        <v>5752</v>
      </c>
      <c r="L294" s="31" t="s">
        <v>14</v>
      </c>
      <c r="M294" s="31" t="s">
        <v>15</v>
      </c>
      <c r="N294" s="31" t="s">
        <v>16</v>
      </c>
    </row>
    <row r="295" spans="1:14" x14ac:dyDescent="0.25">
      <c r="A295" s="4" t="str">
        <f>Sheet1!A295 &amp; "/" &amp; "2025"</f>
        <v>294/2025</v>
      </c>
      <c r="B295" s="5" t="str">
        <f>Sheet1!E295</f>
        <v>IND/MEL/00294</v>
      </c>
      <c r="C295" s="6" t="str">
        <f>UPPER(Sheet1!B295)</f>
        <v>KIRAN MYRTHOS</v>
      </c>
      <c r="D295" s="7" t="str">
        <f>IF(Sheet1!F295="F","FEMALE","MALE")</f>
        <v>MALE</v>
      </c>
      <c r="E295" s="6" t="str">
        <f>UPPER(Sheet1!G295)</f>
        <v>ARJUN MYRTHOS</v>
      </c>
      <c r="F295" s="6" t="str">
        <f>UPPER(Sheet1!H295)</f>
        <v>SARA MYRTHOS</v>
      </c>
      <c r="G295" s="5" t="str">
        <f>TEXT(Sheet1!C295,"dd/mm/yyyy") &amp; "," &amp; Sheet1!D295</f>
        <v>10/05/2025,ST ALBANS</v>
      </c>
      <c r="H295" s="39" t="str">
        <f>UPPER(Sheet1!J295 &amp; "," &amp; Sheet1!K295 &amp; "," &amp; Sheet1!L295)</f>
        <v>118 BIRCHWOOD LANE,EMERALD ROAD,PIN:541304 ST ALBANS</v>
      </c>
      <c r="I295" s="8">
        <f>Sheet1!I295</f>
        <v>45833</v>
      </c>
      <c r="J295" s="5" t="str">
        <f>Sheet1!M295 &amp; "," &amp; TEXT(Sheet1!N295,"dd/mm/yy")</f>
        <v>MHA/IND/00294,09/08/25</v>
      </c>
      <c r="K295" s="5" t="s">
        <v>5752</v>
      </c>
      <c r="L295" s="31" t="s">
        <v>14</v>
      </c>
      <c r="M295" s="31" t="s">
        <v>15</v>
      </c>
      <c r="N295" s="31" t="s">
        <v>16</v>
      </c>
    </row>
    <row r="296" spans="1:14" x14ac:dyDescent="0.25">
      <c r="A296" s="4" t="str">
        <f>Sheet1!A296 &amp; "/" &amp; "2025"</f>
        <v>295/2025</v>
      </c>
      <c r="B296" s="5" t="str">
        <f>Sheet1!E296</f>
        <v>IND/MEL/00295</v>
      </c>
      <c r="C296" s="6" t="str">
        <f>UPPER(Sheet1!B296)</f>
        <v>DEV RISHKAN</v>
      </c>
      <c r="D296" s="7" t="str">
        <f>IF(Sheet1!F296="F","FEMALE","MALE")</f>
        <v>MALE</v>
      </c>
      <c r="E296" s="6" t="str">
        <f>UPPER(Sheet1!G296)</f>
        <v>ARJUN RISHKAN</v>
      </c>
      <c r="F296" s="6" t="str">
        <f>UPPER(Sheet1!H296)</f>
        <v>SARA RISHKAN</v>
      </c>
      <c r="G296" s="5" t="str">
        <f>TEXT(Sheet1!C296,"dd/mm/yyyy") &amp; "," &amp; Sheet1!D296</f>
        <v>10/01/2025,MANDURAH</v>
      </c>
      <c r="H296" s="39" t="str">
        <f>UPPER(Sheet1!J296 &amp; "," &amp; Sheet1!K296 &amp; "," &amp; Sheet1!L296)</f>
        <v>10 BIRCHWOOD LANE,EMERALD ROAD,PIN:613365 MANDURAH</v>
      </c>
      <c r="I296" s="8">
        <f>Sheet1!I296</f>
        <v>45721</v>
      </c>
      <c r="J296" s="5" t="str">
        <f>Sheet1!M296 &amp; "," &amp; TEXT(Sheet1!N296,"dd/mm/yy")</f>
        <v>MHA/IND/00295,08/08/25</v>
      </c>
      <c r="K296" s="5" t="s">
        <v>5752</v>
      </c>
      <c r="L296" s="31" t="s">
        <v>14</v>
      </c>
      <c r="M296" s="31" t="s">
        <v>15</v>
      </c>
      <c r="N296" s="31" t="s">
        <v>16</v>
      </c>
    </row>
    <row r="297" spans="1:14" x14ac:dyDescent="0.25">
      <c r="A297" s="4" t="str">
        <f>Sheet1!A297 &amp; "/" &amp; "2025"</f>
        <v>296/2025</v>
      </c>
      <c r="B297" s="5" t="str">
        <f>Sheet1!E297</f>
        <v>IND/MEL/00296</v>
      </c>
      <c r="C297" s="6" t="str">
        <f>UPPER(Sheet1!B297)</f>
        <v>SARA VALZARI</v>
      </c>
      <c r="D297" s="7" t="str">
        <f>IF(Sheet1!F297="F","FEMALE","MALE")</f>
        <v>FEMALE</v>
      </c>
      <c r="E297" s="6" t="str">
        <f>UPPER(Sheet1!G297)</f>
        <v>ARJUN VALZARI</v>
      </c>
      <c r="F297" s="6" t="str">
        <f>UPPER(Sheet1!H297)</f>
        <v>DIYA VALZARI</v>
      </c>
      <c r="G297" s="5" t="str">
        <f>TEXT(Sheet1!C297,"dd/mm/yyyy") &amp; "," &amp; Sheet1!D297</f>
        <v>26/10/2025,BEDFORD PARK</v>
      </c>
      <c r="H297" s="39" t="str">
        <f>UPPER(Sheet1!J297 &amp; "," &amp; Sheet1!K297 &amp; "," &amp; Sheet1!L297)</f>
        <v>184 BIRCHWOOD LANE,EMERALD ROAD,PIN:462170 BEDFORD PARK</v>
      </c>
      <c r="I297" s="8">
        <f>Sheet1!I297</f>
        <v>45962</v>
      </c>
      <c r="J297" s="5" t="str">
        <f>Sheet1!M297 &amp; "," &amp; TEXT(Sheet1!N297,"dd/mm/yy")</f>
        <v>MHA/IND/00296,26/07/25</v>
      </c>
      <c r="K297" s="5" t="s">
        <v>5752</v>
      </c>
      <c r="L297" s="31" t="s">
        <v>14</v>
      </c>
      <c r="M297" s="31" t="s">
        <v>15</v>
      </c>
      <c r="N297" s="31" t="s">
        <v>16</v>
      </c>
    </row>
    <row r="298" spans="1:14" x14ac:dyDescent="0.25">
      <c r="A298" s="4" t="str">
        <f>Sheet1!A298 &amp; "/" &amp; "2025"</f>
        <v>297/2025</v>
      </c>
      <c r="B298" s="5" t="str">
        <f>Sheet1!E298</f>
        <v>IND/MEL/00297</v>
      </c>
      <c r="C298" s="6" t="str">
        <f>UPPER(Sheet1!B298)</f>
        <v>ROHIT MYRTHOS</v>
      </c>
      <c r="D298" s="7" t="str">
        <f>IF(Sheet1!F298="F","FEMALE","MALE")</f>
        <v>MALE</v>
      </c>
      <c r="E298" s="6" t="str">
        <f>UPPER(Sheet1!G298)</f>
        <v>ARJUN MYRTHOS</v>
      </c>
      <c r="F298" s="6" t="str">
        <f>UPPER(Sheet1!H298)</f>
        <v>NINA MYRTHOS</v>
      </c>
      <c r="G298" s="5" t="str">
        <f>TEXT(Sheet1!C298,"dd/mm/yyyy") &amp; "," &amp; Sheet1!D298</f>
        <v>01/09/2025,WERRIBEE</v>
      </c>
      <c r="H298" s="39" t="str">
        <f>UPPER(Sheet1!J298 &amp; "," &amp; Sheet1!K298 &amp; "," &amp; Sheet1!L298)</f>
        <v>35 BIRCHWOOD LANE,EMERALD ROAD,PIN:345085 WERRIBEE</v>
      </c>
      <c r="I298" s="8">
        <f>Sheet1!I298</f>
        <v>45941</v>
      </c>
      <c r="J298" s="5" t="str">
        <f>Sheet1!M298 &amp; "," &amp; TEXT(Sheet1!N298,"dd/mm/yy")</f>
        <v>MHA/IND/00297,19/07/25</v>
      </c>
      <c r="K298" s="5" t="s">
        <v>5752</v>
      </c>
      <c r="L298" s="31" t="s">
        <v>14</v>
      </c>
      <c r="M298" s="31" t="s">
        <v>15</v>
      </c>
      <c r="N298" s="31" t="s">
        <v>16</v>
      </c>
    </row>
    <row r="299" spans="1:14" x14ac:dyDescent="0.25">
      <c r="A299" s="4" t="str">
        <f>Sheet1!A299 &amp; "/" &amp; "2025"</f>
        <v>298/2025</v>
      </c>
      <c r="B299" s="5" t="str">
        <f>Sheet1!E299</f>
        <v>IND/MEL/00298</v>
      </c>
      <c r="C299" s="6" t="str">
        <f>UPPER(Sheet1!B299)</f>
        <v>KABIR RAO</v>
      </c>
      <c r="D299" s="7" t="str">
        <f>IF(Sheet1!F299="F","FEMALE","MALE")</f>
        <v>MALE</v>
      </c>
      <c r="E299" s="6" t="str">
        <f>UPPER(Sheet1!G299)</f>
        <v>NEIL RAO</v>
      </c>
      <c r="F299" s="6" t="str">
        <f>UPPER(Sheet1!H299)</f>
        <v>SARA RAO</v>
      </c>
      <c r="G299" s="5" t="str">
        <f>TEXT(Sheet1!C299,"dd/mm/yyyy") &amp; "," &amp; Sheet1!D299</f>
        <v>22/07/2025,BUNDABERG</v>
      </c>
      <c r="H299" s="39" t="str">
        <f>UPPER(Sheet1!J299 &amp; "," &amp; Sheet1!K299 &amp; "," &amp; Sheet1!L299)</f>
        <v>131 BIRCHWOOD LANE,EMERALD ROAD,PIN:834366 BUNDABERG</v>
      </c>
      <c r="I299" s="8">
        <f>Sheet1!I299</f>
        <v>45905</v>
      </c>
      <c r="J299" s="5" t="str">
        <f>Sheet1!M299 &amp; "," &amp; TEXT(Sheet1!N299,"dd/mm/yy")</f>
        <v>MHA/IND/00298,06/07/25</v>
      </c>
      <c r="K299" s="5" t="s">
        <v>5752</v>
      </c>
      <c r="L299" s="31" t="s">
        <v>14</v>
      </c>
      <c r="M299" s="31" t="s">
        <v>15</v>
      </c>
      <c r="N299" s="31" t="s">
        <v>16</v>
      </c>
    </row>
    <row r="300" spans="1:14" x14ac:dyDescent="0.25">
      <c r="A300" s="4" t="str">
        <f>Sheet1!A300 &amp; "/" &amp; "2025"</f>
        <v>299/2025</v>
      </c>
      <c r="B300" s="5" t="str">
        <f>Sheet1!E300</f>
        <v>IND/MEL/00299</v>
      </c>
      <c r="C300" s="6" t="str">
        <f>UPPER(Sheet1!B300)</f>
        <v>DIYA RAO</v>
      </c>
      <c r="D300" s="7" t="str">
        <f>IF(Sheet1!F300="F","FEMALE","MALE")</f>
        <v>FEMALE</v>
      </c>
      <c r="E300" s="6" t="str">
        <f>UPPER(Sheet1!G300)</f>
        <v>NEIL RAO</v>
      </c>
      <c r="F300" s="6" t="str">
        <f>UPPER(Sheet1!H300)</f>
        <v>RIYA RAO</v>
      </c>
      <c r="G300" s="5" t="str">
        <f>TEXT(Sheet1!C300,"dd/mm/yyyy") &amp; "," &amp; Sheet1!D300</f>
        <v>20/06/2025,PERTH</v>
      </c>
      <c r="H300" s="39" t="str">
        <f>UPPER(Sheet1!J300 &amp; "," &amp; Sheet1!K300 &amp; "," &amp; Sheet1!L300)</f>
        <v>32 BIRCHWOOD LANE,EMERALD ROAD,PIN:127602 PERTH</v>
      </c>
      <c r="I300" s="8">
        <f>Sheet1!I300</f>
        <v>45872</v>
      </c>
      <c r="J300" s="5" t="str">
        <f>Sheet1!M300 &amp; "," &amp; TEXT(Sheet1!N300,"dd/mm/yy")</f>
        <v>MHA/IND/00299,26/07/25</v>
      </c>
      <c r="K300" s="5" t="s">
        <v>5752</v>
      </c>
      <c r="L300" s="31" t="s">
        <v>14</v>
      </c>
      <c r="M300" s="31" t="s">
        <v>15</v>
      </c>
      <c r="N300" s="31" t="s">
        <v>16</v>
      </c>
    </row>
    <row r="301" spans="1:14" x14ac:dyDescent="0.25">
      <c r="A301" s="4" t="str">
        <f>Sheet1!A301 &amp; "/" &amp; "2025"</f>
        <v>300/2025</v>
      </c>
      <c r="B301" s="5" t="str">
        <f>Sheet1!E301</f>
        <v>IND/MEL/00300</v>
      </c>
      <c r="C301" s="6" t="str">
        <f>UPPER(Sheet1!B301)</f>
        <v>KIRAN MYRTHOS</v>
      </c>
      <c r="D301" s="7" t="str">
        <f>IF(Sheet1!F301="F","FEMALE","MALE")</f>
        <v>MALE</v>
      </c>
      <c r="E301" s="6" t="str">
        <f>UPPER(Sheet1!G301)</f>
        <v>ISHAN MYRTHOS</v>
      </c>
      <c r="F301" s="6" t="str">
        <f>UPPER(Sheet1!H301)</f>
        <v>ANYA MYRTHOS</v>
      </c>
      <c r="G301" s="5" t="str">
        <f>TEXT(Sheet1!C301,"dd/mm/yyyy") &amp; "," &amp; Sheet1!D301</f>
        <v>28/04/2025,NEWCASTLE</v>
      </c>
      <c r="H301" s="39" t="str">
        <f>UPPER(Sheet1!J301 &amp; "," &amp; Sheet1!K301 &amp; "," &amp; Sheet1!L301)</f>
        <v>139 BIRCHWOOD LANE,EMERALD ROAD,PIN:884260 NEWCASTLE</v>
      </c>
      <c r="I301" s="8">
        <f>Sheet1!I301</f>
        <v>45873</v>
      </c>
      <c r="J301" s="5" t="str">
        <f>Sheet1!M301 &amp; "," &amp; TEXT(Sheet1!N301,"dd/mm/yy")</f>
        <v>MHA/IND/00300,02/07/25</v>
      </c>
      <c r="K301" s="5" t="s">
        <v>5752</v>
      </c>
      <c r="L301" s="31" t="s">
        <v>14</v>
      </c>
      <c r="M301" s="31" t="s">
        <v>15</v>
      </c>
      <c r="N301" s="31" t="s">
        <v>16</v>
      </c>
    </row>
    <row r="302" spans="1:14" x14ac:dyDescent="0.25">
      <c r="A302" s="4" t="str">
        <f>Sheet1!A302 &amp; "/" &amp; "2025"</f>
        <v>301/2025</v>
      </c>
      <c r="B302" s="5" t="str">
        <f>Sheet1!E302</f>
        <v>IND/MEL/00301</v>
      </c>
      <c r="C302" s="6" t="str">
        <f>UPPER(Sheet1!B302)</f>
        <v>NEIL SINDALE</v>
      </c>
      <c r="D302" s="7" t="str">
        <f>IF(Sheet1!F302="F","FEMALE","MALE")</f>
        <v>MALE</v>
      </c>
      <c r="E302" s="6" t="str">
        <f>UPPER(Sheet1!G302)</f>
        <v>KABIR SINDALE</v>
      </c>
      <c r="F302" s="6" t="str">
        <f>UPPER(Sheet1!H302)</f>
        <v>SARA SINDALE</v>
      </c>
      <c r="G302" s="5" t="str">
        <f>TEXT(Sheet1!C302,"dd/mm/yyyy") &amp; "," &amp; Sheet1!D302</f>
        <v>17/03/2025,PARKVILLE</v>
      </c>
      <c r="H302" s="39" t="str">
        <f>UPPER(Sheet1!J302 &amp; "," &amp; Sheet1!K302 &amp; "," &amp; Sheet1!L302)</f>
        <v>164 BIRCHWOOD LANE,EMERALD ROAD,PIN:603548 PARKVILLE</v>
      </c>
      <c r="I302" s="8">
        <f>Sheet1!I302</f>
        <v>45786</v>
      </c>
      <c r="J302" s="5" t="str">
        <f>Sheet1!M302 &amp; "," &amp; TEXT(Sheet1!N302,"dd/mm/yy")</f>
        <v>MHA/IND/00301,30/07/25</v>
      </c>
      <c r="K302" s="5" t="s">
        <v>5752</v>
      </c>
      <c r="L302" s="31" t="s">
        <v>14</v>
      </c>
      <c r="M302" s="31" t="s">
        <v>15</v>
      </c>
      <c r="N302" s="31" t="s">
        <v>16</v>
      </c>
    </row>
    <row r="303" spans="1:14" x14ac:dyDescent="0.25">
      <c r="A303" s="4" t="str">
        <f>Sheet1!A303 &amp; "/" &amp; "2025"</f>
        <v>302/2025</v>
      </c>
      <c r="B303" s="5" t="str">
        <f>Sheet1!E303</f>
        <v>IND/MEL/00302</v>
      </c>
      <c r="C303" s="6" t="str">
        <f>UPPER(Sheet1!B303)</f>
        <v>ANYA RISHKAN</v>
      </c>
      <c r="D303" s="7" t="str">
        <f>IF(Sheet1!F303="F","FEMALE","MALE")</f>
        <v>FEMALE</v>
      </c>
      <c r="E303" s="6" t="str">
        <f>UPPER(Sheet1!G303)</f>
        <v>ARJUN RISHKAN</v>
      </c>
      <c r="F303" s="6" t="str">
        <f>UPPER(Sheet1!H303)</f>
        <v>RIYA RISHKAN</v>
      </c>
      <c r="G303" s="5" t="str">
        <f>TEXT(Sheet1!C303,"dd/mm/yyyy") &amp; "," &amp; Sheet1!D303</f>
        <v>05/06/2025,CLAYTON</v>
      </c>
      <c r="H303" s="39" t="str">
        <f>UPPER(Sheet1!J303 &amp; "," &amp; Sheet1!K303 &amp; "," &amp; Sheet1!L303)</f>
        <v>115 BIRCHWOOD LANE,EMERALD ROAD,PIN:420167 CLAYTON</v>
      </c>
      <c r="I303" s="8">
        <f>Sheet1!I303</f>
        <v>45881</v>
      </c>
      <c r="J303" s="5" t="str">
        <f>Sheet1!M303 &amp; "," &amp; TEXT(Sheet1!N303,"dd/mm/yy")</f>
        <v>MHA/IND/00302,11/07/25</v>
      </c>
      <c r="K303" s="5" t="s">
        <v>5752</v>
      </c>
      <c r="L303" s="31" t="s">
        <v>14</v>
      </c>
      <c r="M303" s="31" t="s">
        <v>15</v>
      </c>
      <c r="N303" s="31" t="s">
        <v>16</v>
      </c>
    </row>
    <row r="304" spans="1:14" x14ac:dyDescent="0.25">
      <c r="A304" s="4" t="str">
        <f>Sheet1!A304 &amp; "/" &amp; "2025"</f>
        <v>303/2025</v>
      </c>
      <c r="B304" s="5" t="str">
        <f>Sheet1!E304</f>
        <v>IND/MEL/00303</v>
      </c>
      <c r="C304" s="6" t="str">
        <f>UPPER(Sheet1!B304)</f>
        <v>ISHAN MYRTHOS</v>
      </c>
      <c r="D304" s="7" t="str">
        <f>IF(Sheet1!F304="F","FEMALE","MALE")</f>
        <v>MALE</v>
      </c>
      <c r="E304" s="6" t="str">
        <f>UPPER(Sheet1!G304)</f>
        <v>ROHIT MYRTHOS</v>
      </c>
      <c r="F304" s="6" t="str">
        <f>UPPER(Sheet1!H304)</f>
        <v>SARA MYRTHOS</v>
      </c>
      <c r="G304" s="5" t="str">
        <f>TEXT(Sheet1!C304,"dd/mm/yyyy") &amp; "," &amp; Sheet1!D304</f>
        <v>15/08/2025,SYDNEY</v>
      </c>
      <c r="H304" s="39" t="str">
        <f>UPPER(Sheet1!J304 &amp; "," &amp; Sheet1!K304 &amp; "," &amp; Sheet1!L304)</f>
        <v>87 BIRCHWOOD LANE,EMERALD ROAD,PIN:467770 SYDNEY</v>
      </c>
      <c r="I304" s="8">
        <f>Sheet1!I304</f>
        <v>45929</v>
      </c>
      <c r="J304" s="5" t="str">
        <f>Sheet1!M304 &amp; "," &amp; TEXT(Sheet1!N304,"dd/mm/yy")</f>
        <v>MHA/IND/00303,17/07/25</v>
      </c>
      <c r="K304" s="5" t="s">
        <v>5752</v>
      </c>
      <c r="L304" s="31" t="s">
        <v>14</v>
      </c>
      <c r="M304" s="31" t="s">
        <v>15</v>
      </c>
      <c r="N304" s="31" t="s">
        <v>16</v>
      </c>
    </row>
    <row r="305" spans="1:14" x14ac:dyDescent="0.25">
      <c r="A305" s="4" t="str">
        <f>Sheet1!A305 &amp; "/" &amp; "2025"</f>
        <v>304/2025</v>
      </c>
      <c r="B305" s="5" t="str">
        <f>Sheet1!E305</f>
        <v>IND/MEL/00304</v>
      </c>
      <c r="C305" s="6" t="str">
        <f>UPPER(Sheet1!B305)</f>
        <v>ROHIT KALEON</v>
      </c>
      <c r="D305" s="7" t="str">
        <f>IF(Sheet1!F305="F","FEMALE","MALE")</f>
        <v>MALE</v>
      </c>
      <c r="E305" s="6" t="str">
        <f>UPPER(Sheet1!G305)</f>
        <v>ARJUN KALEON</v>
      </c>
      <c r="F305" s="6" t="str">
        <f>UPPER(Sheet1!H305)</f>
        <v>NINA KALEON</v>
      </c>
      <c r="G305" s="5" t="str">
        <f>TEXT(Sheet1!C305,"dd/mm/yyyy") &amp; "," &amp; Sheet1!D305</f>
        <v>22/09/2025,SHEPPARTON</v>
      </c>
      <c r="H305" s="39" t="str">
        <f>UPPER(Sheet1!J305 &amp; "," &amp; Sheet1!K305 &amp; "," &amp; Sheet1!L305)</f>
        <v>77 BIRCHWOOD LANE,EMERALD ROAD,PIN:757926 SHEPPARTON</v>
      </c>
      <c r="I305" s="8">
        <f>Sheet1!I305</f>
        <v>46024</v>
      </c>
      <c r="J305" s="5" t="str">
        <f>Sheet1!M305 &amp; "," &amp; TEXT(Sheet1!N305,"dd/mm/yy")</f>
        <v>MHA/IND/00304,10/08/25</v>
      </c>
      <c r="K305" s="5" t="s">
        <v>5752</v>
      </c>
      <c r="L305" s="31" t="s">
        <v>14</v>
      </c>
      <c r="M305" s="31" t="s">
        <v>15</v>
      </c>
      <c r="N305" s="31" t="s">
        <v>16</v>
      </c>
    </row>
    <row r="306" spans="1:14" x14ac:dyDescent="0.25">
      <c r="A306" s="4" t="str">
        <f>Sheet1!A306 &amp; "/" &amp; "2025"</f>
        <v>305/2025</v>
      </c>
      <c r="B306" s="5" t="str">
        <f>Sheet1!E306</f>
        <v>IND/MEL/00305</v>
      </c>
      <c r="C306" s="6" t="str">
        <f>UPPER(Sheet1!B306)</f>
        <v>NEIL KALEON</v>
      </c>
      <c r="D306" s="7" t="str">
        <f>IF(Sheet1!F306="F","FEMALE","MALE")</f>
        <v>MALE</v>
      </c>
      <c r="E306" s="6" t="str">
        <f>UPPER(Sheet1!G306)</f>
        <v>ROHIT KALEON</v>
      </c>
      <c r="F306" s="6" t="str">
        <f>UPPER(Sheet1!H306)</f>
        <v>DIYA KALEON</v>
      </c>
      <c r="G306" s="5" t="str">
        <f>TEXT(Sheet1!C306,"dd/mm/yyyy") &amp; "," &amp; Sheet1!D306</f>
        <v>21/04/2025,WERRIBEE</v>
      </c>
      <c r="H306" s="39" t="str">
        <f>UPPER(Sheet1!J306 &amp; "," &amp; Sheet1!K306 &amp; "," &amp; Sheet1!L306)</f>
        <v>59 BIRCHWOOD LANE,EMERALD ROAD,PIN:445229 WERRIBEE</v>
      </c>
      <c r="I306" s="8">
        <f>Sheet1!I306</f>
        <v>45776</v>
      </c>
      <c r="J306" s="5" t="str">
        <f>Sheet1!M306 &amp; "," &amp; TEXT(Sheet1!N306,"dd/mm/yy")</f>
        <v>MHA/IND/00305,28/08/25</v>
      </c>
      <c r="K306" s="5" t="s">
        <v>5752</v>
      </c>
      <c r="L306" s="31" t="s">
        <v>14</v>
      </c>
      <c r="M306" s="31" t="s">
        <v>15</v>
      </c>
      <c r="N306" s="31" t="s">
        <v>16</v>
      </c>
    </row>
    <row r="307" spans="1:14" x14ac:dyDescent="0.25">
      <c r="A307" s="4" t="str">
        <f>Sheet1!A307 &amp; "/" &amp; "2025"</f>
        <v>306/2025</v>
      </c>
      <c r="B307" s="5" t="str">
        <f>Sheet1!E307</f>
        <v>IND/MEL/00306</v>
      </c>
      <c r="C307" s="6" t="str">
        <f>UPPER(Sheet1!B307)</f>
        <v>MIRA KALEON</v>
      </c>
      <c r="D307" s="7" t="str">
        <f>IF(Sheet1!F307="F","FEMALE","MALE")</f>
        <v>FEMALE</v>
      </c>
      <c r="E307" s="6" t="str">
        <f>UPPER(Sheet1!G307)</f>
        <v>ARJUN KALEON</v>
      </c>
      <c r="F307" s="6" t="str">
        <f>UPPER(Sheet1!H307)</f>
        <v>DIYA KALEON</v>
      </c>
      <c r="G307" s="5" t="str">
        <f>TEXT(Sheet1!C307,"dd/mm/yyyy") &amp; "," &amp; Sheet1!D307</f>
        <v>27/10/2025,MOUNT WAVERLEY</v>
      </c>
      <c r="H307" s="39" t="str">
        <f>UPPER(Sheet1!J307 &amp; "," &amp; Sheet1!K307 &amp; "," &amp; Sheet1!L307)</f>
        <v>97 BIRCHWOOD LANE,EMERALD ROAD,PIN:563405 MOUNT WAVERLEY</v>
      </c>
      <c r="I307" s="8">
        <f>Sheet1!I307</f>
        <v>45976</v>
      </c>
      <c r="J307" s="5" t="str">
        <f>Sheet1!M307 &amp; "," &amp; TEXT(Sheet1!N307,"dd/mm/yy")</f>
        <v>MHA/IND/00306,01/07/25</v>
      </c>
      <c r="K307" s="5" t="s">
        <v>5752</v>
      </c>
      <c r="L307" s="31" t="s">
        <v>14</v>
      </c>
      <c r="M307" s="31" t="s">
        <v>15</v>
      </c>
      <c r="N307" s="31" t="s">
        <v>16</v>
      </c>
    </row>
    <row r="308" spans="1:14" x14ac:dyDescent="0.25">
      <c r="A308" s="4" t="str">
        <f>Sheet1!A308 &amp; "/" &amp; "2025"</f>
        <v>307/2025</v>
      </c>
      <c r="B308" s="5" t="str">
        <f>Sheet1!E308</f>
        <v>IND/MEL/00307</v>
      </c>
      <c r="C308" s="6" t="str">
        <f>UPPER(Sheet1!B308)</f>
        <v>DIYA KALEON</v>
      </c>
      <c r="D308" s="7" t="str">
        <f>IF(Sheet1!F308="F","FEMALE","MALE")</f>
        <v>FEMALE</v>
      </c>
      <c r="E308" s="6" t="str">
        <f>UPPER(Sheet1!G308)</f>
        <v>DEV KALEON</v>
      </c>
      <c r="F308" s="6" t="str">
        <f>UPPER(Sheet1!H308)</f>
        <v>ANYA KALEON</v>
      </c>
      <c r="G308" s="5" t="str">
        <f>TEXT(Sheet1!C308,"dd/mm/yyyy") &amp; "," &amp; Sheet1!D308</f>
        <v>11/07/2025,BRISBANE</v>
      </c>
      <c r="H308" s="39" t="str">
        <f>UPPER(Sheet1!J308 &amp; "," &amp; Sheet1!K308 &amp; "," &amp; Sheet1!L308)</f>
        <v>27 BIRCHWOOD LANE,EMERALD ROAD,PIN:220650 BRISBANE</v>
      </c>
      <c r="I308" s="8">
        <f>Sheet1!I308</f>
        <v>45956</v>
      </c>
      <c r="J308" s="5" t="str">
        <f>Sheet1!M308 &amp; "," &amp; TEXT(Sheet1!N308,"dd/mm/yy")</f>
        <v>MHA/IND/00307,24/08/25</v>
      </c>
      <c r="K308" s="5" t="s">
        <v>5752</v>
      </c>
      <c r="L308" s="31" t="s">
        <v>14</v>
      </c>
      <c r="M308" s="31" t="s">
        <v>15</v>
      </c>
      <c r="N308" s="31" t="s">
        <v>16</v>
      </c>
    </row>
    <row r="309" spans="1:14" x14ac:dyDescent="0.25">
      <c r="A309" s="4" t="str">
        <f>Sheet1!A309 &amp; "/" &amp; "2025"</f>
        <v>308/2025</v>
      </c>
      <c r="B309" s="5" t="str">
        <f>Sheet1!E309</f>
        <v>IND/MEL/00308</v>
      </c>
      <c r="C309" s="6" t="str">
        <f>UPPER(Sheet1!B309)</f>
        <v>KABIR MYRTHOS</v>
      </c>
      <c r="D309" s="7" t="str">
        <f>IF(Sheet1!F309="F","FEMALE","MALE")</f>
        <v>MALE</v>
      </c>
      <c r="E309" s="6" t="str">
        <f>UPPER(Sheet1!G309)</f>
        <v>KIRAN MYRTHOS</v>
      </c>
      <c r="F309" s="6" t="str">
        <f>UPPER(Sheet1!H309)</f>
        <v>SARA MYRTHOS</v>
      </c>
      <c r="G309" s="5" t="str">
        <f>TEXT(Sheet1!C309,"dd/mm/yyyy") &amp; "," &amp; Sheet1!D309</f>
        <v>16/02/2025,MILDURA</v>
      </c>
      <c r="H309" s="39" t="str">
        <f>UPPER(Sheet1!J309 &amp; "," &amp; Sheet1!K309 &amp; "," &amp; Sheet1!L309)</f>
        <v>198 BIRCHWOOD LANE,EMERALD ROAD,PIN:462004 MILDURA</v>
      </c>
      <c r="I309" s="8">
        <f>Sheet1!I309</f>
        <v>45773</v>
      </c>
      <c r="J309" s="5" t="str">
        <f>Sheet1!M309 &amp; "," &amp; TEXT(Sheet1!N309,"dd/mm/yy")</f>
        <v>MHA/IND/00308,12/08/25</v>
      </c>
      <c r="K309" s="5" t="s">
        <v>5752</v>
      </c>
      <c r="L309" s="31" t="s">
        <v>14</v>
      </c>
      <c r="M309" s="31" t="s">
        <v>15</v>
      </c>
      <c r="N309" s="31" t="s">
        <v>16</v>
      </c>
    </row>
    <row r="310" spans="1:14" x14ac:dyDescent="0.25">
      <c r="A310" s="4" t="str">
        <f>Sheet1!A310 &amp; "/" &amp; "2025"</f>
        <v>309/2025</v>
      </c>
      <c r="B310" s="5" t="str">
        <f>Sheet1!E310</f>
        <v>IND/MEL/00309</v>
      </c>
      <c r="C310" s="6" t="str">
        <f>UPPER(Sheet1!B310)</f>
        <v>ROHIT RISHKAN</v>
      </c>
      <c r="D310" s="7" t="str">
        <f>IF(Sheet1!F310="F","FEMALE","MALE")</f>
        <v>MALE</v>
      </c>
      <c r="E310" s="6" t="str">
        <f>UPPER(Sheet1!G310)</f>
        <v>ARJUN RISHKAN</v>
      </c>
      <c r="F310" s="6" t="str">
        <f>UPPER(Sheet1!H310)</f>
        <v>ANYA RISHKAN</v>
      </c>
      <c r="G310" s="5" t="str">
        <f>TEXT(Sheet1!C310,"dd/mm/yyyy") &amp; "," &amp; Sheet1!D310</f>
        <v>14/02/2025,KINGSWOOD</v>
      </c>
      <c r="H310" s="39" t="str">
        <f>UPPER(Sheet1!J310 &amp; "," &amp; Sheet1!K310 &amp; "," &amp; Sheet1!L310)</f>
        <v>83 BIRCHWOOD LANE,EMERALD ROAD,PIN:270087 KINGSWOOD</v>
      </c>
      <c r="I310" s="8">
        <f>Sheet1!I310</f>
        <v>45741</v>
      </c>
      <c r="J310" s="5" t="str">
        <f>Sheet1!M310 &amp; "," &amp; TEXT(Sheet1!N310,"dd/mm/yy")</f>
        <v>MHA/IND/00309,24/07/25</v>
      </c>
      <c r="K310" s="5" t="s">
        <v>5752</v>
      </c>
      <c r="L310" s="31" t="s">
        <v>14</v>
      </c>
      <c r="M310" s="31" t="s">
        <v>15</v>
      </c>
      <c r="N310" s="31" t="s">
        <v>16</v>
      </c>
    </row>
    <row r="311" spans="1:14" x14ac:dyDescent="0.25">
      <c r="A311" s="4" t="str">
        <f>Sheet1!A311 &amp; "/" &amp; "2025"</f>
        <v>310/2025</v>
      </c>
      <c r="B311" s="5" t="str">
        <f>Sheet1!E311</f>
        <v>IND/MEL/00310</v>
      </c>
      <c r="C311" s="6" t="str">
        <f>UPPER(Sheet1!B311)</f>
        <v>ROHIT MYRTHOS</v>
      </c>
      <c r="D311" s="7" t="str">
        <f>IF(Sheet1!F311="F","FEMALE","MALE")</f>
        <v>MALE</v>
      </c>
      <c r="E311" s="6" t="str">
        <f>UPPER(Sheet1!G311)</f>
        <v>NEIL MYRTHOS</v>
      </c>
      <c r="F311" s="6" t="str">
        <f>UPPER(Sheet1!H311)</f>
        <v>RIYA MYRTHOS</v>
      </c>
      <c r="G311" s="5" t="str">
        <f>TEXT(Sheet1!C311,"dd/mm/yyyy") &amp; "," &amp; Sheet1!D311</f>
        <v>17/09/2025,TUGGERANONG</v>
      </c>
      <c r="H311" s="39" t="str">
        <f>UPPER(Sheet1!J311 &amp; "," &amp; Sheet1!K311 &amp; "," &amp; Sheet1!L311)</f>
        <v>97 BIRCHWOOD LANE,EMERALD ROAD,PIN:639992 TUGGERANONG</v>
      </c>
      <c r="I311" s="8">
        <f>Sheet1!I311</f>
        <v>45969</v>
      </c>
      <c r="J311" s="5" t="str">
        <f>Sheet1!M311 &amp; "," &amp; TEXT(Sheet1!N311,"dd/mm/yy")</f>
        <v>MHA/IND/00310,17/08/25</v>
      </c>
      <c r="K311" s="5" t="s">
        <v>5752</v>
      </c>
      <c r="L311" s="31" t="s">
        <v>14</v>
      </c>
      <c r="M311" s="31" t="s">
        <v>15</v>
      </c>
      <c r="N311" s="31" t="s">
        <v>16</v>
      </c>
    </row>
    <row r="312" spans="1:14" x14ac:dyDescent="0.25">
      <c r="A312" s="4" t="str">
        <f>Sheet1!A312 &amp; "/" &amp; "2025"</f>
        <v>311/2025</v>
      </c>
      <c r="B312" s="5" t="str">
        <f>Sheet1!E312</f>
        <v>IND/MEL/00311</v>
      </c>
      <c r="C312" s="6" t="str">
        <f>UPPER(Sheet1!B312)</f>
        <v>ALYA RAO</v>
      </c>
      <c r="D312" s="7" t="str">
        <f>IF(Sheet1!F312="F","FEMALE","MALE")</f>
        <v>FEMALE</v>
      </c>
      <c r="E312" s="6" t="str">
        <f>UPPER(Sheet1!G312)</f>
        <v>ROHIT RAO</v>
      </c>
      <c r="F312" s="6" t="str">
        <f>UPPER(Sheet1!H312)</f>
        <v>ALYA RAO</v>
      </c>
      <c r="G312" s="5" t="str">
        <f>TEXT(Sheet1!C312,"dd/mm/yyyy") &amp; "," &amp; Sheet1!D312</f>
        <v>14/01/2025,HEIDELBERG</v>
      </c>
      <c r="H312" s="39" t="str">
        <f>UPPER(Sheet1!J312 &amp; "," &amp; Sheet1!K312 &amp; "," &amp; Sheet1!L312)</f>
        <v>140 BIRCHWOOD LANE,EMERALD ROAD,PIN:499471 HEIDELBERG</v>
      </c>
      <c r="I312" s="8">
        <f>Sheet1!I312</f>
        <v>45780</v>
      </c>
      <c r="J312" s="5" t="str">
        <f>Sheet1!M312 &amp; "," &amp; TEXT(Sheet1!N312,"dd/mm/yy")</f>
        <v>MHA/IND/00311,28/07/25</v>
      </c>
      <c r="K312" s="5" t="s">
        <v>5752</v>
      </c>
      <c r="L312" s="31" t="s">
        <v>14</v>
      </c>
      <c r="M312" s="31" t="s">
        <v>15</v>
      </c>
      <c r="N312" s="31" t="s">
        <v>16</v>
      </c>
    </row>
    <row r="313" spans="1:14" x14ac:dyDescent="0.25">
      <c r="A313" s="4" t="str">
        <f>Sheet1!A313 &amp; "/" &amp; "2025"</f>
        <v>312/2025</v>
      </c>
      <c r="B313" s="5" t="str">
        <f>Sheet1!E313</f>
        <v>IND/MEL/00312</v>
      </c>
      <c r="C313" s="6" t="str">
        <f>UPPER(Sheet1!B313)</f>
        <v>NEIL RISHKAN</v>
      </c>
      <c r="D313" s="7" t="str">
        <f>IF(Sheet1!F313="F","FEMALE","MALE")</f>
        <v>MALE</v>
      </c>
      <c r="E313" s="6" t="str">
        <f>UPPER(Sheet1!G313)</f>
        <v>NEIL RISHKAN</v>
      </c>
      <c r="F313" s="6" t="str">
        <f>UPPER(Sheet1!H313)</f>
        <v>NINA RISHKAN</v>
      </c>
      <c r="G313" s="5" t="str">
        <f>TEXT(Sheet1!C313,"dd/mm/yyyy") &amp; "," &amp; Sheet1!D313</f>
        <v>23/05/2025,BALLARAT CENTRAL</v>
      </c>
      <c r="H313" s="39" t="str">
        <f>UPPER(Sheet1!J313 &amp; "," &amp; Sheet1!K313 &amp; "," &amp; Sheet1!L313)</f>
        <v>80 BIRCHWOOD LANE,EMERALD ROAD,PIN:295625 BALLARAT CENTRAL</v>
      </c>
      <c r="I313" s="8">
        <f>Sheet1!I313</f>
        <v>45822</v>
      </c>
      <c r="J313" s="5" t="str">
        <f>Sheet1!M313 &amp; "," &amp; TEXT(Sheet1!N313,"dd/mm/yy")</f>
        <v>MHA/IND/00312,13/07/25</v>
      </c>
      <c r="K313" s="5" t="s">
        <v>5752</v>
      </c>
      <c r="L313" s="31" t="s">
        <v>14</v>
      </c>
      <c r="M313" s="31" t="s">
        <v>15</v>
      </c>
      <c r="N313" s="31" t="s">
        <v>16</v>
      </c>
    </row>
    <row r="314" spans="1:14" x14ac:dyDescent="0.25">
      <c r="A314" s="4" t="str">
        <f>Sheet1!A314 &amp; "/" &amp; "2025"</f>
        <v>313/2025</v>
      </c>
      <c r="B314" s="5" t="str">
        <f>Sheet1!E314</f>
        <v>IND/MEL/00313</v>
      </c>
      <c r="C314" s="6" t="str">
        <f>UPPER(Sheet1!B314)</f>
        <v>RIYA SHARMA</v>
      </c>
      <c r="D314" s="7" t="str">
        <f>IF(Sheet1!F314="F","FEMALE","MALE")</f>
        <v>FEMALE</v>
      </c>
      <c r="E314" s="6" t="str">
        <f>UPPER(Sheet1!G314)</f>
        <v>KABIR SHARMA</v>
      </c>
      <c r="F314" s="6" t="str">
        <f>UPPER(Sheet1!H314)</f>
        <v>ALYA SHARMA</v>
      </c>
      <c r="G314" s="5" t="str">
        <f>TEXT(Sheet1!C314,"dd/mm/yyyy") &amp; "," &amp; Sheet1!D314</f>
        <v>02/10/2025,BUNDABERG</v>
      </c>
      <c r="H314" s="39" t="str">
        <f>UPPER(Sheet1!J314 &amp; "," &amp; Sheet1!K314 &amp; "," &amp; Sheet1!L314)</f>
        <v>164 BIRCHWOOD LANE,EMERALD ROAD,PIN:842372 BUNDABERG</v>
      </c>
      <c r="I314" s="8">
        <f>Sheet1!I314</f>
        <v>45950</v>
      </c>
      <c r="J314" s="5" t="str">
        <f>Sheet1!M314 &amp; "," &amp; TEXT(Sheet1!N314,"dd/mm/yy")</f>
        <v>MHA/IND/00313,16/08/25</v>
      </c>
      <c r="K314" s="5" t="s">
        <v>5752</v>
      </c>
      <c r="L314" s="31" t="s">
        <v>14</v>
      </c>
      <c r="M314" s="31" t="s">
        <v>15</v>
      </c>
      <c r="N314" s="31" t="s">
        <v>16</v>
      </c>
    </row>
    <row r="315" spans="1:14" x14ac:dyDescent="0.25">
      <c r="A315" s="4" t="str">
        <f>Sheet1!A315 &amp; "/" &amp; "2025"</f>
        <v>314/2025</v>
      </c>
      <c r="B315" s="5" t="str">
        <f>Sheet1!E315</f>
        <v>IND/MEL/00314</v>
      </c>
      <c r="C315" s="6" t="str">
        <f>UPPER(Sheet1!B315)</f>
        <v>ALYA SHARMA</v>
      </c>
      <c r="D315" s="7" t="str">
        <f>IF(Sheet1!F315="F","FEMALE","MALE")</f>
        <v>FEMALE</v>
      </c>
      <c r="E315" s="6" t="str">
        <f>UPPER(Sheet1!G315)</f>
        <v>KABIR SHARMA</v>
      </c>
      <c r="F315" s="6" t="str">
        <f>UPPER(Sheet1!H315)</f>
        <v>ALYA SHARMA</v>
      </c>
      <c r="G315" s="5" t="str">
        <f>TEXT(Sheet1!C315,"dd/mm/yyyy") &amp; "," &amp; Sheet1!D315</f>
        <v>28/04/2025,LAUNCESTON</v>
      </c>
      <c r="H315" s="39" t="str">
        <f>UPPER(Sheet1!J315 &amp; "," &amp; Sheet1!K315 &amp; "," &amp; Sheet1!L315)</f>
        <v>15 BIRCHWOOD LANE,EMERALD ROAD,PIN:931268 LAUNCESTON</v>
      </c>
      <c r="I315" s="8">
        <f>Sheet1!I315</f>
        <v>45864</v>
      </c>
      <c r="J315" s="5" t="str">
        <f>Sheet1!M315 &amp; "," &amp; TEXT(Sheet1!N315,"dd/mm/yy")</f>
        <v>MHA/IND/00314,28/08/25</v>
      </c>
      <c r="K315" s="5" t="s">
        <v>5752</v>
      </c>
      <c r="L315" s="31" t="s">
        <v>14</v>
      </c>
      <c r="M315" s="31" t="s">
        <v>15</v>
      </c>
      <c r="N315" s="31" t="s">
        <v>16</v>
      </c>
    </row>
    <row r="316" spans="1:14" x14ac:dyDescent="0.25">
      <c r="A316" s="4" t="str">
        <f>Sheet1!A316 &amp; "/" &amp; "2025"</f>
        <v>315/2025</v>
      </c>
      <c r="B316" s="5" t="str">
        <f>Sheet1!E316</f>
        <v>IND/MEL/00315</v>
      </c>
      <c r="C316" s="6" t="str">
        <f>UPPER(Sheet1!B316)</f>
        <v>SARA KALEON</v>
      </c>
      <c r="D316" s="7" t="str">
        <f>IF(Sheet1!F316="F","FEMALE","MALE")</f>
        <v>FEMALE</v>
      </c>
      <c r="E316" s="6" t="str">
        <f>UPPER(Sheet1!G316)</f>
        <v>KABIR KALEON</v>
      </c>
      <c r="F316" s="6" t="str">
        <f>UPPER(Sheet1!H316)</f>
        <v>MIRA KALEON</v>
      </c>
      <c r="G316" s="5" t="str">
        <f>TEXT(Sheet1!C316,"dd/mm/yyyy") &amp; "," &amp; Sheet1!D316</f>
        <v>12/10/2025,BUNDOORA</v>
      </c>
      <c r="H316" s="39" t="str">
        <f>UPPER(Sheet1!J316 &amp; "," &amp; Sheet1!K316 &amp; "," &amp; Sheet1!L316)</f>
        <v>100 BIRCHWOOD LANE,EMERALD ROAD,PIN:115514 BUNDOORA</v>
      </c>
      <c r="I316" s="8">
        <f>Sheet1!I316</f>
        <v>45975</v>
      </c>
      <c r="J316" s="5" t="str">
        <f>Sheet1!M316 &amp; "," &amp; TEXT(Sheet1!N316,"dd/mm/yy")</f>
        <v>MHA/IND/00315,20/07/25</v>
      </c>
      <c r="K316" s="5" t="s">
        <v>5752</v>
      </c>
      <c r="L316" s="31" t="s">
        <v>14</v>
      </c>
      <c r="M316" s="31" t="s">
        <v>15</v>
      </c>
      <c r="N316" s="31" t="s">
        <v>16</v>
      </c>
    </row>
    <row r="317" spans="1:14" x14ac:dyDescent="0.25">
      <c r="A317" s="4" t="str">
        <f>Sheet1!A317 &amp; "/" &amp; "2025"</f>
        <v>316/2025</v>
      </c>
      <c r="B317" s="5" t="str">
        <f>Sheet1!E317</f>
        <v>IND/MEL/00316</v>
      </c>
      <c r="C317" s="6" t="str">
        <f>UPPER(Sheet1!B317)</f>
        <v>ARJUN VALZARI</v>
      </c>
      <c r="D317" s="7" t="str">
        <f>IF(Sheet1!F317="F","FEMALE","MALE")</f>
        <v>MALE</v>
      </c>
      <c r="E317" s="6" t="str">
        <f>UPPER(Sheet1!G317)</f>
        <v>ARJUN VALZARI</v>
      </c>
      <c r="F317" s="6" t="str">
        <f>UPPER(Sheet1!H317)</f>
        <v>ALYA VALZARI</v>
      </c>
      <c r="G317" s="5" t="str">
        <f>TEXT(Sheet1!C317,"dd/mm/yyyy") &amp; "," &amp; Sheet1!D317</f>
        <v>07/01/2025,ST ALBANS</v>
      </c>
      <c r="H317" s="39" t="str">
        <f>UPPER(Sheet1!J317 &amp; "," &amp; Sheet1!K317 &amp; "," &amp; Sheet1!L317)</f>
        <v>140 BIRCHWOOD LANE,EMERALD ROAD,PIN:979619 ST ALBANS</v>
      </c>
      <c r="I317" s="8">
        <f>Sheet1!I317</f>
        <v>45725</v>
      </c>
      <c r="J317" s="5" t="str">
        <f>Sheet1!M317 &amp; "," &amp; TEXT(Sheet1!N317,"dd/mm/yy")</f>
        <v>MHA/IND/00316,21/07/25</v>
      </c>
      <c r="K317" s="5" t="s">
        <v>5752</v>
      </c>
      <c r="L317" s="31" t="s">
        <v>14</v>
      </c>
      <c r="M317" s="31" t="s">
        <v>15</v>
      </c>
      <c r="N317" s="31" t="s">
        <v>16</v>
      </c>
    </row>
    <row r="318" spans="1:14" x14ac:dyDescent="0.25">
      <c r="A318" s="4" t="str">
        <f>Sheet1!A318 &amp; "/" &amp; "2025"</f>
        <v>317/2025</v>
      </c>
      <c r="B318" s="5" t="str">
        <f>Sheet1!E318</f>
        <v>IND/MEL/00317</v>
      </c>
      <c r="C318" s="6" t="str">
        <f>UPPER(Sheet1!B318)</f>
        <v>NEIL VALZARI</v>
      </c>
      <c r="D318" s="7" t="str">
        <f>IF(Sheet1!F318="F","FEMALE","MALE")</f>
        <v>MALE</v>
      </c>
      <c r="E318" s="6" t="str">
        <f>UPPER(Sheet1!G318)</f>
        <v>ISHAN VALZARI</v>
      </c>
      <c r="F318" s="6" t="str">
        <f>UPPER(Sheet1!H318)</f>
        <v>SARA VALZARI</v>
      </c>
      <c r="G318" s="5" t="str">
        <f>TEXT(Sheet1!C318,"dd/mm/yyyy") &amp; "," &amp; Sheet1!D318</f>
        <v>25/08/2025,BLACKTOWN</v>
      </c>
      <c r="H318" s="39" t="str">
        <f>UPPER(Sheet1!J318 &amp; "," &amp; Sheet1!K318 &amp; "," &amp; Sheet1!L318)</f>
        <v>59 BIRCHWOOD LANE,EMERALD ROAD,PIN:338900 BLACKTOWN</v>
      </c>
      <c r="I318" s="8">
        <f>Sheet1!I318</f>
        <v>45951</v>
      </c>
      <c r="J318" s="5" t="str">
        <f>Sheet1!M318 &amp; "," &amp; TEXT(Sheet1!N318,"dd/mm/yy")</f>
        <v>MHA/IND/00317,26/08/25</v>
      </c>
      <c r="K318" s="5" t="s">
        <v>5752</v>
      </c>
      <c r="L318" s="31" t="s">
        <v>14</v>
      </c>
      <c r="M318" s="31" t="s">
        <v>15</v>
      </c>
      <c r="N318" s="31" t="s">
        <v>16</v>
      </c>
    </row>
    <row r="319" spans="1:14" x14ac:dyDescent="0.25">
      <c r="A319" s="4" t="str">
        <f>Sheet1!A319 &amp; "/" &amp; "2025"</f>
        <v>318/2025</v>
      </c>
      <c r="B319" s="5" t="str">
        <f>Sheet1!E319</f>
        <v>IND/MEL/00318</v>
      </c>
      <c r="C319" s="6" t="str">
        <f>UPPER(Sheet1!B319)</f>
        <v>ANYA RISHKAN</v>
      </c>
      <c r="D319" s="7" t="str">
        <f>IF(Sheet1!F319="F","FEMALE","MALE")</f>
        <v>FEMALE</v>
      </c>
      <c r="E319" s="6" t="str">
        <f>UPPER(Sheet1!G319)</f>
        <v>ROHIT RISHKAN</v>
      </c>
      <c r="F319" s="6" t="str">
        <f>UPPER(Sheet1!H319)</f>
        <v>MIRA RISHKAN</v>
      </c>
      <c r="G319" s="5" t="str">
        <f>TEXT(Sheet1!C319,"dd/mm/yyyy") &amp; "," &amp; Sheet1!D319</f>
        <v>22/08/2025,DARWIN</v>
      </c>
      <c r="H319" s="39" t="str">
        <f>UPPER(Sheet1!J319 &amp; "," &amp; Sheet1!K319 &amp; "," &amp; Sheet1!L319)</f>
        <v>125 BIRCHWOOD LANE,EMERALD ROAD,PIN:311709 DARWIN</v>
      </c>
      <c r="I319" s="8">
        <f>Sheet1!I319</f>
        <v>45934</v>
      </c>
      <c r="J319" s="5" t="str">
        <f>Sheet1!M319 &amp; "," &amp; TEXT(Sheet1!N319,"dd/mm/yy")</f>
        <v>MHA/IND/00318,15/08/25</v>
      </c>
      <c r="K319" s="5" t="s">
        <v>5752</v>
      </c>
      <c r="L319" s="31" t="s">
        <v>14</v>
      </c>
      <c r="M319" s="31" t="s">
        <v>15</v>
      </c>
      <c r="N319" s="31" t="s">
        <v>16</v>
      </c>
    </row>
    <row r="320" spans="1:14" x14ac:dyDescent="0.25">
      <c r="A320" s="4" t="str">
        <f>Sheet1!A320 &amp; "/" &amp; "2025"</f>
        <v>319/2025</v>
      </c>
      <c r="B320" s="5" t="str">
        <f>Sheet1!E320</f>
        <v>IND/MEL/00319</v>
      </c>
      <c r="C320" s="6" t="str">
        <f>UPPER(Sheet1!B320)</f>
        <v>RIYA VALZARI</v>
      </c>
      <c r="D320" s="7" t="str">
        <f>IF(Sheet1!F320="F","FEMALE","MALE")</f>
        <v>FEMALE</v>
      </c>
      <c r="E320" s="6" t="str">
        <f>UPPER(Sheet1!G320)</f>
        <v>KIRAN VALZARI</v>
      </c>
      <c r="F320" s="6" t="str">
        <f>UPPER(Sheet1!H320)</f>
        <v>RIYA VALZARI</v>
      </c>
      <c r="G320" s="5" t="str">
        <f>TEXT(Sheet1!C320,"dd/mm/yyyy") &amp; "," &amp; Sheet1!D320</f>
        <v>24/01/2025,TOWNSVILLE</v>
      </c>
      <c r="H320" s="39" t="str">
        <f>UPPER(Sheet1!J320 &amp; "," &amp; Sheet1!K320 &amp; "," &amp; Sheet1!L320)</f>
        <v>66 BIRCHWOOD LANE,EMERALD ROAD,PIN:614427 TOWNSVILLE</v>
      </c>
      <c r="I320" s="8">
        <f>Sheet1!I320</f>
        <v>45731</v>
      </c>
      <c r="J320" s="5" t="str">
        <f>Sheet1!M320 &amp; "," &amp; TEXT(Sheet1!N320,"dd/mm/yy")</f>
        <v>MHA/IND/00319,19/07/25</v>
      </c>
      <c r="K320" s="5" t="s">
        <v>5752</v>
      </c>
      <c r="L320" s="31" t="s">
        <v>14</v>
      </c>
      <c r="M320" s="31" t="s">
        <v>15</v>
      </c>
      <c r="N320" s="31" t="s">
        <v>16</v>
      </c>
    </row>
    <row r="321" spans="1:14" x14ac:dyDescent="0.25">
      <c r="A321" s="4" t="str">
        <f>Sheet1!A321 &amp; "/" &amp; "2025"</f>
        <v>320/2025</v>
      </c>
      <c r="B321" s="5" t="str">
        <f>Sheet1!E321</f>
        <v>IND/MEL/00320</v>
      </c>
      <c r="C321" s="6" t="str">
        <f>UPPER(Sheet1!B321)</f>
        <v>NINA MYRTHOS</v>
      </c>
      <c r="D321" s="7" t="str">
        <f>IF(Sheet1!F321="F","FEMALE","MALE")</f>
        <v>FEMALE</v>
      </c>
      <c r="E321" s="6" t="str">
        <f>UPPER(Sheet1!G321)</f>
        <v>NEIL MYRTHOS</v>
      </c>
      <c r="F321" s="6" t="str">
        <f>UPPER(Sheet1!H321)</f>
        <v>MIRA MYRTHOS</v>
      </c>
      <c r="G321" s="5" t="str">
        <f>TEXT(Sheet1!C321,"dd/mm/yyyy") &amp; "," &amp; Sheet1!D321</f>
        <v>15/05/2025,MANDURAH</v>
      </c>
      <c r="H321" s="39" t="str">
        <f>UPPER(Sheet1!J321 &amp; "," &amp; Sheet1!K321 &amp; "," &amp; Sheet1!L321)</f>
        <v>141 BIRCHWOOD LANE,EMERALD ROAD,PIN:221704 MANDURAH</v>
      </c>
      <c r="I321" s="8">
        <f>Sheet1!I321</f>
        <v>45804</v>
      </c>
      <c r="J321" s="5" t="str">
        <f>Sheet1!M321 &amp; "," &amp; TEXT(Sheet1!N321,"dd/mm/yy")</f>
        <v>MHA/IND/00320,18/07/25</v>
      </c>
      <c r="K321" s="5" t="s">
        <v>5752</v>
      </c>
      <c r="L321" s="31" t="s">
        <v>14</v>
      </c>
      <c r="M321" s="31" t="s">
        <v>15</v>
      </c>
      <c r="N321" s="31" t="s">
        <v>16</v>
      </c>
    </row>
    <row r="322" spans="1:14" x14ac:dyDescent="0.25">
      <c r="A322" s="4" t="str">
        <f>Sheet1!A322 &amp; "/" &amp; "2025"</f>
        <v>321/2025</v>
      </c>
      <c r="B322" s="5" t="str">
        <f>Sheet1!E322</f>
        <v>IND/MEL/00321</v>
      </c>
      <c r="C322" s="6" t="str">
        <f>UPPER(Sheet1!B322)</f>
        <v>KABIR KALEON</v>
      </c>
      <c r="D322" s="7" t="str">
        <f>IF(Sheet1!F322="F","FEMALE","MALE")</f>
        <v>MALE</v>
      </c>
      <c r="E322" s="6" t="str">
        <f>UPPER(Sheet1!G322)</f>
        <v>KABIR KALEON</v>
      </c>
      <c r="F322" s="6" t="str">
        <f>UPPER(Sheet1!H322)</f>
        <v>TARA KALEON</v>
      </c>
      <c r="G322" s="5" t="str">
        <f>TEXT(Sheet1!C322,"dd/mm/yyyy") &amp; "," &amp; Sheet1!D322</f>
        <v>04/03/2025,CLAYTON</v>
      </c>
      <c r="H322" s="39" t="str">
        <f>UPPER(Sheet1!J322 &amp; "," &amp; Sheet1!K322 &amp; "," &amp; Sheet1!L322)</f>
        <v>185 BIRCHWOOD LANE,EMERALD ROAD,PIN:746995 CLAYTON</v>
      </c>
      <c r="I322" s="8">
        <f>Sheet1!I322</f>
        <v>45828</v>
      </c>
      <c r="J322" s="5" t="str">
        <f>Sheet1!M322 &amp; "," &amp; TEXT(Sheet1!N322,"dd/mm/yy")</f>
        <v>MHA/IND/00321,01/08/25</v>
      </c>
      <c r="K322" s="5" t="s">
        <v>5752</v>
      </c>
      <c r="L322" s="31" t="s">
        <v>14</v>
      </c>
      <c r="M322" s="31" t="s">
        <v>15</v>
      </c>
      <c r="N322" s="31" t="s">
        <v>16</v>
      </c>
    </row>
    <row r="323" spans="1:14" x14ac:dyDescent="0.25">
      <c r="A323" s="4" t="str">
        <f>Sheet1!A323 &amp; "/" &amp; "2025"</f>
        <v>322/2025</v>
      </c>
      <c r="B323" s="5" t="str">
        <f>Sheet1!E323</f>
        <v>IND/MEL/00322</v>
      </c>
      <c r="C323" s="6" t="str">
        <f>UPPER(Sheet1!B323)</f>
        <v>MIRA MYRTHOS</v>
      </c>
      <c r="D323" s="7" t="str">
        <f>IF(Sheet1!F323="F","FEMALE","MALE")</f>
        <v>FEMALE</v>
      </c>
      <c r="E323" s="6" t="str">
        <f>UPPER(Sheet1!G323)</f>
        <v>KIRAN MYRTHOS</v>
      </c>
      <c r="F323" s="6" t="str">
        <f>UPPER(Sheet1!H323)</f>
        <v>SARA MYRTHOS</v>
      </c>
      <c r="G323" s="5" t="str">
        <f>TEXT(Sheet1!C323,"dd/mm/yyyy") &amp; "," &amp; Sheet1!D323</f>
        <v>02/09/2025,WAGGA WAGGA</v>
      </c>
      <c r="H323" s="39" t="str">
        <f>UPPER(Sheet1!J323 &amp; "," &amp; Sheet1!K323 &amp; "," &amp; Sheet1!L323)</f>
        <v>91 BIRCHWOOD LANE,EMERALD ROAD,PIN:224333 WAGGA WAGGA</v>
      </c>
      <c r="I323" s="8">
        <f>Sheet1!I323</f>
        <v>45948</v>
      </c>
      <c r="J323" s="5" t="str">
        <f>Sheet1!M323 &amp; "," &amp; TEXT(Sheet1!N323,"dd/mm/yy")</f>
        <v>MHA/IND/00322,16/08/25</v>
      </c>
      <c r="K323" s="5" t="s">
        <v>5752</v>
      </c>
      <c r="L323" s="31" t="s">
        <v>14</v>
      </c>
      <c r="M323" s="31" t="s">
        <v>15</v>
      </c>
      <c r="N323" s="31" t="s">
        <v>16</v>
      </c>
    </row>
    <row r="324" spans="1:14" x14ac:dyDescent="0.25">
      <c r="A324" s="4" t="str">
        <f>Sheet1!A324 &amp; "/" &amp; "2025"</f>
        <v>323/2025</v>
      </c>
      <c r="B324" s="5" t="str">
        <f>Sheet1!E324</f>
        <v>IND/MEL/00323</v>
      </c>
      <c r="C324" s="6" t="str">
        <f>UPPER(Sheet1!B324)</f>
        <v>KIRAN SHARMA</v>
      </c>
      <c r="D324" s="7" t="str">
        <f>IF(Sheet1!F324="F","FEMALE","MALE")</f>
        <v>MALE</v>
      </c>
      <c r="E324" s="6" t="str">
        <f>UPPER(Sheet1!G324)</f>
        <v>ROHIT SHARMA</v>
      </c>
      <c r="F324" s="6" t="str">
        <f>UPPER(Sheet1!H324)</f>
        <v>ANYA SHARMA</v>
      </c>
      <c r="G324" s="5" t="str">
        <f>TEXT(Sheet1!C324,"dd/mm/yyyy") &amp; "," &amp; Sheet1!D324</f>
        <v>25/04/2025,BOX HILL</v>
      </c>
      <c r="H324" s="39" t="str">
        <f>UPPER(Sheet1!J324 &amp; "," &amp; Sheet1!K324 &amp; "," &amp; Sheet1!L324)</f>
        <v>177 BIRCHWOOD LANE,EMERALD ROAD,PIN:240679 BOX HILL</v>
      </c>
      <c r="I324" s="8">
        <f>Sheet1!I324</f>
        <v>45866</v>
      </c>
      <c r="J324" s="5" t="str">
        <f>Sheet1!M324 &amp; "," &amp; TEXT(Sheet1!N324,"dd/mm/yy")</f>
        <v>MHA/IND/00323,02/08/25</v>
      </c>
      <c r="K324" s="5" t="s">
        <v>5752</v>
      </c>
      <c r="L324" s="31" t="s">
        <v>14</v>
      </c>
      <c r="M324" s="31" t="s">
        <v>15</v>
      </c>
      <c r="N324" s="31" t="s">
        <v>16</v>
      </c>
    </row>
    <row r="325" spans="1:14" x14ac:dyDescent="0.25">
      <c r="A325" s="4" t="str">
        <f>Sheet1!A325 &amp; "/" &amp; "2025"</f>
        <v>324/2025</v>
      </c>
      <c r="B325" s="5" t="str">
        <f>Sheet1!E325</f>
        <v>IND/MEL/00324</v>
      </c>
      <c r="C325" s="6" t="str">
        <f>UPPER(Sheet1!B325)</f>
        <v>KIRAN KALEON</v>
      </c>
      <c r="D325" s="7" t="str">
        <f>IF(Sheet1!F325="F","FEMALE","MALE")</f>
        <v>MALE</v>
      </c>
      <c r="E325" s="6" t="str">
        <f>UPPER(Sheet1!G325)</f>
        <v>NEIL KALEON</v>
      </c>
      <c r="F325" s="6" t="str">
        <f>UPPER(Sheet1!H325)</f>
        <v>ALYA KALEON</v>
      </c>
      <c r="G325" s="5" t="str">
        <f>TEXT(Sheet1!C325,"dd/mm/yyyy") &amp; "," &amp; Sheet1!D325</f>
        <v>08/08/2025,ARMADALE</v>
      </c>
      <c r="H325" s="39" t="str">
        <f>UPPER(Sheet1!J325 &amp; "," &amp; Sheet1!K325 &amp; "," &amp; Sheet1!L325)</f>
        <v>129 BIRCHWOOD LANE,EMERALD ROAD,PIN:586924 ARMADALE</v>
      </c>
      <c r="I325" s="8">
        <f>Sheet1!I325</f>
        <v>45911</v>
      </c>
      <c r="J325" s="5" t="str">
        <f>Sheet1!M325 &amp; "," &amp; TEXT(Sheet1!N325,"dd/mm/yy")</f>
        <v>MHA/IND/00324,23/07/25</v>
      </c>
      <c r="K325" s="5" t="s">
        <v>5752</v>
      </c>
      <c r="L325" s="31" t="s">
        <v>14</v>
      </c>
      <c r="M325" s="31" t="s">
        <v>15</v>
      </c>
      <c r="N325" s="31" t="s">
        <v>16</v>
      </c>
    </row>
    <row r="326" spans="1:14" x14ac:dyDescent="0.25">
      <c r="A326" s="4" t="str">
        <f>Sheet1!A326 &amp; "/" &amp; "2025"</f>
        <v>325/2025</v>
      </c>
      <c r="B326" s="5" t="str">
        <f>Sheet1!E326</f>
        <v>IND/MEL/00325</v>
      </c>
      <c r="C326" s="6" t="str">
        <f>UPPER(Sheet1!B326)</f>
        <v>TARA SINDALE</v>
      </c>
      <c r="D326" s="7" t="str">
        <f>IF(Sheet1!F326="F","FEMALE","MALE")</f>
        <v>FEMALE</v>
      </c>
      <c r="E326" s="6" t="str">
        <f>UPPER(Sheet1!G326)</f>
        <v>KIRAN SINDALE</v>
      </c>
      <c r="F326" s="6" t="str">
        <f>UPPER(Sheet1!H326)</f>
        <v>RIYA SINDALE</v>
      </c>
      <c r="G326" s="5" t="str">
        <f>TEXT(Sheet1!C326,"dd/mm/yyyy") &amp; "," &amp; Sheet1!D326</f>
        <v>03/03/2025,BUNDABERG</v>
      </c>
      <c r="H326" s="39" t="str">
        <f>UPPER(Sheet1!J326 &amp; "," &amp; Sheet1!K326 &amp; "," &amp; Sheet1!L326)</f>
        <v>16 BIRCHWOOD LANE,EMERALD ROAD,PIN:282096 BUNDABERG</v>
      </c>
      <c r="I326" s="8">
        <f>Sheet1!I326</f>
        <v>45770</v>
      </c>
      <c r="J326" s="5" t="str">
        <f>Sheet1!M326 &amp; "," &amp; TEXT(Sheet1!N326,"dd/mm/yy")</f>
        <v>MHA/IND/00325,04/08/25</v>
      </c>
      <c r="K326" s="5" t="s">
        <v>5752</v>
      </c>
      <c r="L326" s="31" t="s">
        <v>14</v>
      </c>
      <c r="M326" s="31" t="s">
        <v>15</v>
      </c>
      <c r="N326" s="31" t="s">
        <v>16</v>
      </c>
    </row>
    <row r="327" spans="1:14" x14ac:dyDescent="0.25">
      <c r="A327" s="4" t="str">
        <f>Sheet1!A327 &amp; "/" &amp; "2025"</f>
        <v>326/2025</v>
      </c>
      <c r="B327" s="5" t="str">
        <f>Sheet1!E327</f>
        <v>IND/MEL/00326</v>
      </c>
      <c r="C327" s="6" t="str">
        <f>UPPER(Sheet1!B327)</f>
        <v>DEV RAO</v>
      </c>
      <c r="D327" s="7" t="str">
        <f>IF(Sheet1!F327="F","FEMALE","MALE")</f>
        <v>MALE</v>
      </c>
      <c r="E327" s="6" t="str">
        <f>UPPER(Sheet1!G327)</f>
        <v>ARJUN RAO</v>
      </c>
      <c r="F327" s="6" t="str">
        <f>UPPER(Sheet1!H327)</f>
        <v>SARA RAO</v>
      </c>
      <c r="G327" s="5" t="str">
        <f>TEXT(Sheet1!C327,"dd/mm/yyyy") &amp; "," &amp; Sheet1!D327</f>
        <v>28/03/2025,CANBERRA</v>
      </c>
      <c r="H327" s="39" t="str">
        <f>UPPER(Sheet1!J327 &amp; "," &amp; Sheet1!K327 &amp; "," &amp; Sheet1!L327)</f>
        <v>41 BIRCHWOOD LANE,EMERALD ROAD,PIN:342753 CANBERRA</v>
      </c>
      <c r="I327" s="8">
        <f>Sheet1!I327</f>
        <v>45788</v>
      </c>
      <c r="J327" s="5" t="str">
        <f>Sheet1!M327 &amp; "," &amp; TEXT(Sheet1!N327,"dd/mm/yy")</f>
        <v>MHA/IND/00326,15/07/25</v>
      </c>
      <c r="K327" s="5" t="s">
        <v>5752</v>
      </c>
      <c r="L327" s="31" t="s">
        <v>14</v>
      </c>
      <c r="M327" s="31" t="s">
        <v>15</v>
      </c>
      <c r="N327" s="31" t="s">
        <v>16</v>
      </c>
    </row>
    <row r="328" spans="1:14" x14ac:dyDescent="0.25">
      <c r="A328" s="4" t="str">
        <f>Sheet1!A328 &amp; "/" &amp; "2025"</f>
        <v>327/2025</v>
      </c>
      <c r="B328" s="5" t="str">
        <f>Sheet1!E328</f>
        <v>IND/MEL/00327</v>
      </c>
      <c r="C328" s="6" t="str">
        <f>UPPER(Sheet1!B328)</f>
        <v>ISHAN RISHKAN</v>
      </c>
      <c r="D328" s="7" t="str">
        <f>IF(Sheet1!F328="F","FEMALE","MALE")</f>
        <v>MALE</v>
      </c>
      <c r="E328" s="6" t="str">
        <f>UPPER(Sheet1!G328)</f>
        <v>ARJUN RISHKAN</v>
      </c>
      <c r="F328" s="6" t="str">
        <f>UPPER(Sheet1!H328)</f>
        <v>SARA RISHKAN</v>
      </c>
      <c r="G328" s="5" t="str">
        <f>TEXT(Sheet1!C328,"dd/mm/yyyy") &amp; "," &amp; Sheet1!D328</f>
        <v>17/06/2025,DALBY</v>
      </c>
      <c r="H328" s="39" t="str">
        <f>UPPER(Sheet1!J328 &amp; "," &amp; Sheet1!K328 &amp; "," &amp; Sheet1!L328)</f>
        <v>153 BIRCHWOOD LANE,EMERALD ROAD,PIN:321233 DALBY</v>
      </c>
      <c r="I328" s="8">
        <f>Sheet1!I328</f>
        <v>45852</v>
      </c>
      <c r="J328" s="5" t="str">
        <f>Sheet1!M328 &amp; "," &amp; TEXT(Sheet1!N328,"dd/mm/yy")</f>
        <v>MHA/IND/00327,27/07/25</v>
      </c>
      <c r="K328" s="5" t="s">
        <v>5752</v>
      </c>
      <c r="L328" s="31" t="s">
        <v>14</v>
      </c>
      <c r="M328" s="31" t="s">
        <v>15</v>
      </c>
      <c r="N328" s="31" t="s">
        <v>16</v>
      </c>
    </row>
    <row r="329" spans="1:14" x14ac:dyDescent="0.25">
      <c r="A329" s="4" t="str">
        <f>Sheet1!A329 &amp; "/" &amp; "2025"</f>
        <v>328/2025</v>
      </c>
      <c r="B329" s="5" t="str">
        <f>Sheet1!E329</f>
        <v>IND/MEL/00328</v>
      </c>
      <c r="C329" s="6" t="str">
        <f>UPPER(Sheet1!B329)</f>
        <v>KABIR SINDALE</v>
      </c>
      <c r="D329" s="7" t="str">
        <f>IF(Sheet1!F329="F","FEMALE","MALE")</f>
        <v>MALE</v>
      </c>
      <c r="E329" s="6" t="str">
        <f>UPPER(Sheet1!G329)</f>
        <v>DEV SINDALE</v>
      </c>
      <c r="F329" s="6" t="str">
        <f>UPPER(Sheet1!H329)</f>
        <v>MIRA SINDALE</v>
      </c>
      <c r="G329" s="5" t="str">
        <f>TEXT(Sheet1!C329,"dd/mm/yyyy") &amp; "," &amp; Sheet1!D329</f>
        <v>17/09/2025,FREMANTLE</v>
      </c>
      <c r="H329" s="39" t="str">
        <f>UPPER(Sheet1!J329 &amp; "," &amp; Sheet1!K329 &amp; "," &amp; Sheet1!L329)</f>
        <v>85 BIRCHWOOD LANE,EMERALD ROAD,PIN:895271 FREMANTLE</v>
      </c>
      <c r="I329" s="8">
        <f>Sheet1!I329</f>
        <v>46021</v>
      </c>
      <c r="J329" s="5" t="str">
        <f>Sheet1!M329 &amp; "," &amp; TEXT(Sheet1!N329,"dd/mm/yy")</f>
        <v>MHA/IND/00328,02/07/25</v>
      </c>
      <c r="K329" s="5" t="s">
        <v>5752</v>
      </c>
      <c r="L329" s="31" t="s">
        <v>14</v>
      </c>
      <c r="M329" s="31" t="s">
        <v>15</v>
      </c>
      <c r="N329" s="31" t="s">
        <v>16</v>
      </c>
    </row>
    <row r="330" spans="1:14" x14ac:dyDescent="0.25">
      <c r="A330" s="4" t="str">
        <f>Sheet1!A330 &amp; "/" &amp; "2025"</f>
        <v>329/2025</v>
      </c>
      <c r="B330" s="5" t="str">
        <f>Sheet1!E330</f>
        <v>IND/MEL/00329</v>
      </c>
      <c r="C330" s="6" t="str">
        <f>UPPER(Sheet1!B330)</f>
        <v>KABIR SINDALE</v>
      </c>
      <c r="D330" s="7" t="str">
        <f>IF(Sheet1!F330="F","FEMALE","MALE")</f>
        <v>MALE</v>
      </c>
      <c r="E330" s="6" t="str">
        <f>UPPER(Sheet1!G330)</f>
        <v>ROHIT SINDALE</v>
      </c>
      <c r="F330" s="6" t="str">
        <f>UPPER(Sheet1!H330)</f>
        <v>RIYA SINDALE</v>
      </c>
      <c r="G330" s="5" t="str">
        <f>TEXT(Sheet1!C330,"dd/mm/yyyy") &amp; "," &amp; Sheet1!D330</f>
        <v>03/08/2025,MILDURA</v>
      </c>
      <c r="H330" s="39" t="str">
        <f>UPPER(Sheet1!J330 &amp; "," &amp; Sheet1!K330 &amp; "," &amp; Sheet1!L330)</f>
        <v>79 BIRCHWOOD LANE,EMERALD ROAD,PIN:922144 MILDURA</v>
      </c>
      <c r="I330" s="8">
        <f>Sheet1!I330</f>
        <v>45939</v>
      </c>
      <c r="J330" s="5" t="str">
        <f>Sheet1!M330 &amp; "," &amp; TEXT(Sheet1!N330,"dd/mm/yy")</f>
        <v>MHA/IND/00329,09/08/25</v>
      </c>
      <c r="K330" s="5" t="s">
        <v>5752</v>
      </c>
      <c r="L330" s="31" t="s">
        <v>14</v>
      </c>
      <c r="M330" s="31" t="s">
        <v>15</v>
      </c>
      <c r="N330" s="31" t="s">
        <v>16</v>
      </c>
    </row>
    <row r="331" spans="1:14" x14ac:dyDescent="0.25">
      <c r="A331" s="4" t="str">
        <f>Sheet1!A331 &amp; "/" &amp; "2025"</f>
        <v>330/2025</v>
      </c>
      <c r="B331" s="5" t="str">
        <f>Sheet1!E331</f>
        <v>IND/MEL/00330</v>
      </c>
      <c r="C331" s="6" t="str">
        <f>UPPER(Sheet1!B331)</f>
        <v>AREN RAO</v>
      </c>
      <c r="D331" s="7" t="str">
        <f>IF(Sheet1!F331="F","FEMALE","MALE")</f>
        <v>MALE</v>
      </c>
      <c r="E331" s="6" t="str">
        <f>UPPER(Sheet1!G331)</f>
        <v>ROHIT RAO</v>
      </c>
      <c r="F331" s="6" t="str">
        <f>UPPER(Sheet1!H331)</f>
        <v>ALYA RAO</v>
      </c>
      <c r="G331" s="5" t="str">
        <f>TEXT(Sheet1!C331,"dd/mm/yyyy") &amp; "," &amp; Sheet1!D331</f>
        <v>21/01/2025,BENDIGO</v>
      </c>
      <c r="H331" s="39" t="str">
        <f>UPPER(Sheet1!J331 &amp; "," &amp; Sheet1!K331 &amp; "," &amp; Sheet1!L331)</f>
        <v>196 BIRCHWOOD LANE,EMERALD ROAD,PIN:670585 BENDIGO</v>
      </c>
      <c r="I331" s="8">
        <f>Sheet1!I331</f>
        <v>45741</v>
      </c>
      <c r="J331" s="5" t="str">
        <f>Sheet1!M331 &amp; "," &amp; TEXT(Sheet1!N331,"dd/mm/yy")</f>
        <v>MHA/IND/00330,07/07/25</v>
      </c>
      <c r="K331" s="5" t="s">
        <v>5752</v>
      </c>
      <c r="L331" s="31" t="s">
        <v>14</v>
      </c>
      <c r="M331" s="31" t="s">
        <v>15</v>
      </c>
      <c r="N331" s="31" t="s">
        <v>16</v>
      </c>
    </row>
    <row r="332" spans="1:14" x14ac:dyDescent="0.25">
      <c r="A332" s="4" t="str">
        <f>Sheet1!A332 &amp; "/" &amp; "2025"</f>
        <v>331/2025</v>
      </c>
      <c r="B332" s="5" t="str">
        <f>Sheet1!E332</f>
        <v>IND/MEL/00331</v>
      </c>
      <c r="C332" s="6" t="str">
        <f>UPPER(Sheet1!B332)</f>
        <v>ANYA KALEON</v>
      </c>
      <c r="D332" s="7" t="str">
        <f>IF(Sheet1!F332="F","FEMALE","MALE")</f>
        <v>FEMALE</v>
      </c>
      <c r="E332" s="6" t="str">
        <f>UPPER(Sheet1!G332)</f>
        <v>ARJUN KALEON</v>
      </c>
      <c r="F332" s="6" t="str">
        <f>UPPER(Sheet1!H332)</f>
        <v>DIYA KALEON</v>
      </c>
      <c r="G332" s="5" t="str">
        <f>TEXT(Sheet1!C332,"dd/mm/yyyy") &amp; "," &amp; Sheet1!D332</f>
        <v>02/08/2025,ELIZABETH VALE</v>
      </c>
      <c r="H332" s="39" t="str">
        <f>UPPER(Sheet1!J332 &amp; "," &amp; Sheet1!K332 &amp; "," &amp; Sheet1!L332)</f>
        <v>21 BIRCHWOOD LANE,EMERALD ROAD,PIN:270043 ELIZABETH VALE</v>
      </c>
      <c r="I332" s="8">
        <f>Sheet1!I332</f>
        <v>45877</v>
      </c>
      <c r="J332" s="5" t="str">
        <f>Sheet1!M332 &amp; "," &amp; TEXT(Sheet1!N332,"dd/mm/yy")</f>
        <v>MHA/IND/00331,20/07/25</v>
      </c>
      <c r="K332" s="5" t="s">
        <v>5752</v>
      </c>
      <c r="L332" s="31" t="s">
        <v>14</v>
      </c>
      <c r="M332" s="31" t="s">
        <v>15</v>
      </c>
      <c r="N332" s="31" t="s">
        <v>16</v>
      </c>
    </row>
    <row r="333" spans="1:14" x14ac:dyDescent="0.25">
      <c r="A333" s="4" t="str">
        <f>Sheet1!A333 &amp; "/" &amp; "2025"</f>
        <v>332/2025</v>
      </c>
      <c r="B333" s="5" t="str">
        <f>Sheet1!E333</f>
        <v>IND/MEL/00332</v>
      </c>
      <c r="C333" s="6" t="str">
        <f>UPPER(Sheet1!B333)</f>
        <v>TARA SHARMA</v>
      </c>
      <c r="D333" s="7" t="str">
        <f>IF(Sheet1!F333="F","FEMALE","MALE")</f>
        <v>FEMALE</v>
      </c>
      <c r="E333" s="6" t="str">
        <f>UPPER(Sheet1!G333)</f>
        <v>ISHAN SHARMA</v>
      </c>
      <c r="F333" s="6" t="str">
        <f>UPPER(Sheet1!H333)</f>
        <v>ALYA SHARMA</v>
      </c>
      <c r="G333" s="5" t="str">
        <f>TEXT(Sheet1!C333,"dd/mm/yyyy") &amp; "," &amp; Sheet1!D333</f>
        <v>21/01/2025,ROCKHAMPTON</v>
      </c>
      <c r="H333" s="39" t="str">
        <f>UPPER(Sheet1!J333 &amp; "," &amp; Sheet1!K333 &amp; "," &amp; Sheet1!L333)</f>
        <v>18 BIRCHWOOD LANE,EMERALD ROAD,PIN:303591 ROCKHAMPTON</v>
      </c>
      <c r="I333" s="8">
        <f>Sheet1!I333</f>
        <v>45723</v>
      </c>
      <c r="J333" s="5" t="str">
        <f>Sheet1!M333 &amp; "," &amp; TEXT(Sheet1!N333,"dd/mm/yy")</f>
        <v>MHA/IND/00332,27/07/25</v>
      </c>
      <c r="K333" s="5" t="s">
        <v>5752</v>
      </c>
      <c r="L333" s="31" t="s">
        <v>14</v>
      </c>
      <c r="M333" s="31" t="s">
        <v>15</v>
      </c>
      <c r="N333" s="31" t="s">
        <v>16</v>
      </c>
    </row>
    <row r="334" spans="1:14" x14ac:dyDescent="0.25">
      <c r="A334" s="4" t="str">
        <f>Sheet1!A334 &amp; "/" &amp; "2025"</f>
        <v>333/2025</v>
      </c>
      <c r="B334" s="5" t="str">
        <f>Sheet1!E334</f>
        <v>IND/MEL/00333</v>
      </c>
      <c r="C334" s="6" t="str">
        <f>UPPER(Sheet1!B334)</f>
        <v>NINA RISHKAN</v>
      </c>
      <c r="D334" s="7" t="str">
        <f>IF(Sheet1!F334="F","FEMALE","MALE")</f>
        <v>FEMALE</v>
      </c>
      <c r="E334" s="6" t="str">
        <f>UPPER(Sheet1!G334)</f>
        <v>ROHIT RISHKAN</v>
      </c>
      <c r="F334" s="6" t="str">
        <f>UPPER(Sheet1!H334)</f>
        <v>DIYA RISHKAN</v>
      </c>
      <c r="G334" s="5" t="str">
        <f>TEXT(Sheet1!C334,"dd/mm/yyyy") &amp; "," &amp; Sheet1!D334</f>
        <v>12/04/2025,PENRITH</v>
      </c>
      <c r="H334" s="39" t="str">
        <f>UPPER(Sheet1!J334 &amp; "," &amp; Sheet1!K334 &amp; "," &amp; Sheet1!L334)</f>
        <v>15 BIRCHWOOD LANE,EMERALD ROAD,PIN:224030 PENRITH</v>
      </c>
      <c r="I334" s="8">
        <f>Sheet1!I334</f>
        <v>45784</v>
      </c>
      <c r="J334" s="5" t="str">
        <f>Sheet1!M334 &amp; "," &amp; TEXT(Sheet1!N334,"dd/mm/yy")</f>
        <v>MHA/IND/00333,16/08/25</v>
      </c>
      <c r="K334" s="5" t="s">
        <v>5752</v>
      </c>
      <c r="L334" s="31" t="s">
        <v>14</v>
      </c>
      <c r="M334" s="31" t="s">
        <v>15</v>
      </c>
      <c r="N334" s="31" t="s">
        <v>16</v>
      </c>
    </row>
    <row r="335" spans="1:14" x14ac:dyDescent="0.25">
      <c r="A335" s="4" t="str">
        <f>Sheet1!A335 &amp; "/" &amp; "2025"</f>
        <v>334/2025</v>
      </c>
      <c r="B335" s="5" t="str">
        <f>Sheet1!E335</f>
        <v>IND/MEL/00334</v>
      </c>
      <c r="C335" s="6" t="str">
        <f>UPPER(Sheet1!B335)</f>
        <v>ISHAN SHARMA</v>
      </c>
      <c r="D335" s="7" t="str">
        <f>IF(Sheet1!F335="F","FEMALE","MALE")</f>
        <v>MALE</v>
      </c>
      <c r="E335" s="6" t="str">
        <f>UPPER(Sheet1!G335)</f>
        <v>KIRAN SHARMA</v>
      </c>
      <c r="F335" s="6" t="str">
        <f>UPPER(Sheet1!H335)</f>
        <v>ANYA SHARMA</v>
      </c>
      <c r="G335" s="5" t="str">
        <f>TEXT(Sheet1!C335,"dd/mm/yyyy") &amp; "," &amp; Sheet1!D335</f>
        <v>22/09/2025,SHEPPARTON</v>
      </c>
      <c r="H335" s="39" t="str">
        <f>UPPER(Sheet1!J335 &amp; "," &amp; Sheet1!K335 &amp; "," &amp; Sheet1!L335)</f>
        <v>80 BIRCHWOOD LANE,EMERALD ROAD,PIN:482859 SHEPPARTON</v>
      </c>
      <c r="I335" s="8">
        <f>Sheet1!I335</f>
        <v>46001</v>
      </c>
      <c r="J335" s="5" t="str">
        <f>Sheet1!M335 &amp; "," &amp; TEXT(Sheet1!N335,"dd/mm/yy")</f>
        <v>MHA/IND/00334,29/07/25</v>
      </c>
      <c r="K335" s="5" t="s">
        <v>5752</v>
      </c>
      <c r="L335" s="31" t="s">
        <v>14</v>
      </c>
      <c r="M335" s="31" t="s">
        <v>15</v>
      </c>
      <c r="N335" s="31" t="s">
        <v>16</v>
      </c>
    </row>
    <row r="336" spans="1:14" x14ac:dyDescent="0.25">
      <c r="A336" s="4" t="str">
        <f>Sheet1!A336 &amp; "/" &amp; "2025"</f>
        <v>335/2025</v>
      </c>
      <c r="B336" s="5" t="str">
        <f>Sheet1!E336</f>
        <v>IND/MEL/00335</v>
      </c>
      <c r="C336" s="6" t="str">
        <f>UPPER(Sheet1!B336)</f>
        <v>DIYA KALEON</v>
      </c>
      <c r="D336" s="7" t="str">
        <f>IF(Sheet1!F336="F","FEMALE","MALE")</f>
        <v>FEMALE</v>
      </c>
      <c r="E336" s="6" t="str">
        <f>UPPER(Sheet1!G336)</f>
        <v>ROHIT KALEON</v>
      </c>
      <c r="F336" s="6" t="str">
        <f>UPPER(Sheet1!H336)</f>
        <v>TARA KALEON</v>
      </c>
      <c r="G336" s="5" t="str">
        <f>TEXT(Sheet1!C336,"dd/mm/yyyy") &amp; "," &amp; Sheet1!D336</f>
        <v>21/10/2025,CANBERRA</v>
      </c>
      <c r="H336" s="39" t="str">
        <f>UPPER(Sheet1!J336 &amp; "," &amp; Sheet1!K336 &amp; "," &amp; Sheet1!L336)</f>
        <v>125 BIRCHWOOD LANE,EMERALD ROAD,PIN:924013 CANBERRA</v>
      </c>
      <c r="I336" s="8">
        <f>Sheet1!I336</f>
        <v>45996</v>
      </c>
      <c r="J336" s="5" t="str">
        <f>Sheet1!M336 &amp; "," &amp; TEXT(Sheet1!N336,"dd/mm/yy")</f>
        <v>MHA/IND/00335,26/08/25</v>
      </c>
      <c r="K336" s="5" t="s">
        <v>5752</v>
      </c>
      <c r="L336" s="31" t="s">
        <v>14</v>
      </c>
      <c r="M336" s="31" t="s">
        <v>15</v>
      </c>
      <c r="N336" s="31" t="s">
        <v>16</v>
      </c>
    </row>
    <row r="337" spans="1:14" x14ac:dyDescent="0.25">
      <c r="A337" s="4" t="str">
        <f>Sheet1!A337 &amp; "/" &amp; "2025"</f>
        <v>336/2025</v>
      </c>
      <c r="B337" s="5" t="str">
        <f>Sheet1!E337</f>
        <v>IND/MEL/00336</v>
      </c>
      <c r="C337" s="6" t="str">
        <f>UPPER(Sheet1!B337)</f>
        <v>SARA SINDALE</v>
      </c>
      <c r="D337" s="7" t="str">
        <f>IF(Sheet1!F337="F","FEMALE","MALE")</f>
        <v>FEMALE</v>
      </c>
      <c r="E337" s="6" t="str">
        <f>UPPER(Sheet1!G337)</f>
        <v>DEV SINDALE</v>
      </c>
      <c r="F337" s="6" t="str">
        <f>UPPER(Sheet1!H337)</f>
        <v>SARA SINDALE</v>
      </c>
      <c r="G337" s="5" t="str">
        <f>TEXT(Sheet1!C337,"dd/mm/yyyy") &amp; "," &amp; Sheet1!D337</f>
        <v>02/06/2025,KINGSWOOD</v>
      </c>
      <c r="H337" s="39" t="str">
        <f>UPPER(Sheet1!J337 &amp; "," &amp; Sheet1!K337 &amp; "," &amp; Sheet1!L337)</f>
        <v>41 BIRCHWOOD LANE,EMERALD ROAD,PIN:781777 KINGSWOOD</v>
      </c>
      <c r="I337" s="8">
        <f>Sheet1!I337</f>
        <v>45883</v>
      </c>
      <c r="J337" s="5" t="str">
        <f>Sheet1!M337 &amp; "," &amp; TEXT(Sheet1!N337,"dd/mm/yy")</f>
        <v>MHA/IND/00336,09/07/25</v>
      </c>
      <c r="K337" s="5" t="s">
        <v>5752</v>
      </c>
      <c r="L337" s="31" t="s">
        <v>14</v>
      </c>
      <c r="M337" s="31" t="s">
        <v>15</v>
      </c>
      <c r="N337" s="31" t="s">
        <v>16</v>
      </c>
    </row>
    <row r="338" spans="1:14" x14ac:dyDescent="0.25">
      <c r="A338" s="4" t="str">
        <f>Sheet1!A338 &amp; "/" &amp; "2025"</f>
        <v>337/2025</v>
      </c>
      <c r="B338" s="5" t="str">
        <f>Sheet1!E338</f>
        <v>IND/MEL/00337</v>
      </c>
      <c r="C338" s="6" t="str">
        <f>UPPER(Sheet1!B338)</f>
        <v>ANYA RISHKAN</v>
      </c>
      <c r="D338" s="7" t="str">
        <f>IF(Sheet1!F338="F","FEMALE","MALE")</f>
        <v>FEMALE</v>
      </c>
      <c r="E338" s="6" t="str">
        <f>UPPER(Sheet1!G338)</f>
        <v>ISHAN RISHKAN</v>
      </c>
      <c r="F338" s="6" t="str">
        <f>UPPER(Sheet1!H338)</f>
        <v>NINA RISHKAN</v>
      </c>
      <c r="G338" s="5" t="str">
        <f>TEXT(Sheet1!C338,"dd/mm/yyyy") &amp; "," &amp; Sheet1!D338</f>
        <v>26/05/2025,LOGAN</v>
      </c>
      <c r="H338" s="39" t="str">
        <f>UPPER(Sheet1!J338 &amp; "," &amp; Sheet1!K338 &amp; "," &amp; Sheet1!L338)</f>
        <v>185 BIRCHWOOD LANE,EMERALD ROAD,PIN:787279 LOGAN</v>
      </c>
      <c r="I338" s="8">
        <f>Sheet1!I338</f>
        <v>45810</v>
      </c>
      <c r="J338" s="5" t="str">
        <f>Sheet1!M338 &amp; "," &amp; TEXT(Sheet1!N338,"dd/mm/yy")</f>
        <v>MHA/IND/00337,27/08/25</v>
      </c>
      <c r="K338" s="5" t="s">
        <v>5752</v>
      </c>
      <c r="L338" s="31" t="s">
        <v>14</v>
      </c>
      <c r="M338" s="31" t="s">
        <v>15</v>
      </c>
      <c r="N338" s="31" t="s">
        <v>16</v>
      </c>
    </row>
    <row r="339" spans="1:14" x14ac:dyDescent="0.25">
      <c r="A339" s="4" t="str">
        <f>Sheet1!A339 &amp; "/" &amp; "2025"</f>
        <v>338/2025</v>
      </c>
      <c r="B339" s="5" t="str">
        <f>Sheet1!E339</f>
        <v>IND/MEL/00338</v>
      </c>
      <c r="C339" s="6" t="str">
        <f>UPPER(Sheet1!B339)</f>
        <v>ISHAN VALZARI</v>
      </c>
      <c r="D339" s="7" t="str">
        <f>IF(Sheet1!F339="F","FEMALE","MALE")</f>
        <v>MALE</v>
      </c>
      <c r="E339" s="6" t="str">
        <f>UPPER(Sheet1!G339)</f>
        <v>ROHIT VALZARI</v>
      </c>
      <c r="F339" s="6" t="str">
        <f>UPPER(Sheet1!H339)</f>
        <v>ANYA VALZARI</v>
      </c>
      <c r="G339" s="5" t="str">
        <f>TEXT(Sheet1!C339,"dd/mm/yyyy") &amp; "," &amp; Sheet1!D339</f>
        <v>29/03/2025,WOLLONGONG</v>
      </c>
      <c r="H339" s="39" t="str">
        <f>UPPER(Sheet1!J339 &amp; "," &amp; Sheet1!K339 &amp; "," &amp; Sheet1!L339)</f>
        <v>164 BIRCHWOOD LANE,EMERALD ROAD,PIN:587534 WOLLONGONG</v>
      </c>
      <c r="I339" s="8">
        <f>Sheet1!I339</f>
        <v>45765</v>
      </c>
      <c r="J339" s="5" t="str">
        <f>Sheet1!M339 &amp; "," &amp; TEXT(Sheet1!N339,"dd/mm/yy")</f>
        <v>MHA/IND/00338,20/07/25</v>
      </c>
      <c r="K339" s="5" t="s">
        <v>5752</v>
      </c>
      <c r="L339" s="31" t="s">
        <v>14</v>
      </c>
      <c r="M339" s="31" t="s">
        <v>15</v>
      </c>
      <c r="N339" s="31" t="s">
        <v>16</v>
      </c>
    </row>
    <row r="340" spans="1:14" x14ac:dyDescent="0.25">
      <c r="A340" s="4" t="str">
        <f>Sheet1!A340 &amp; "/" &amp; "2025"</f>
        <v>339/2025</v>
      </c>
      <c r="B340" s="5" t="str">
        <f>Sheet1!E340</f>
        <v>IND/MEL/00339</v>
      </c>
      <c r="C340" s="6" t="str">
        <f>UPPER(Sheet1!B340)</f>
        <v>ANYA SHARMA</v>
      </c>
      <c r="D340" s="7" t="str">
        <f>IF(Sheet1!F340="F","FEMALE","MALE")</f>
        <v>FEMALE</v>
      </c>
      <c r="E340" s="6" t="str">
        <f>UPPER(Sheet1!G340)</f>
        <v>ISHAN SHARMA</v>
      </c>
      <c r="F340" s="6" t="str">
        <f>UPPER(Sheet1!H340)</f>
        <v>MIRA SHARMA</v>
      </c>
      <c r="G340" s="5" t="str">
        <f>TEXT(Sheet1!C340,"dd/mm/yyyy") &amp; "," &amp; Sheet1!D340</f>
        <v>22/02/2025,LENAH VALLEY</v>
      </c>
      <c r="H340" s="39" t="str">
        <f>UPPER(Sheet1!J340 &amp; "," &amp; Sheet1!K340 &amp; "," &amp; Sheet1!L340)</f>
        <v>173 BIRCHWOOD LANE,EMERALD ROAD,PIN:603275 LENAH VALLEY</v>
      </c>
      <c r="I340" s="8">
        <f>Sheet1!I340</f>
        <v>45826</v>
      </c>
      <c r="J340" s="5" t="str">
        <f>Sheet1!M340 &amp; "," &amp; TEXT(Sheet1!N340,"dd/mm/yy")</f>
        <v>MHA/IND/00339,31/07/25</v>
      </c>
      <c r="K340" s="5" t="s">
        <v>5752</v>
      </c>
      <c r="L340" s="31" t="s">
        <v>14</v>
      </c>
      <c r="M340" s="31" t="s">
        <v>15</v>
      </c>
      <c r="N340" s="31" t="s">
        <v>16</v>
      </c>
    </row>
    <row r="341" spans="1:14" x14ac:dyDescent="0.25">
      <c r="A341" s="4" t="str">
        <f>Sheet1!A341 &amp; "/" &amp; "2025"</f>
        <v>340/2025</v>
      </c>
      <c r="B341" s="5" t="str">
        <f>Sheet1!E341</f>
        <v>IND/MEL/00340</v>
      </c>
      <c r="C341" s="6" t="str">
        <f>UPPER(Sheet1!B341)</f>
        <v>AREN SHARMA</v>
      </c>
      <c r="D341" s="7" t="str">
        <f>IF(Sheet1!F341="F","FEMALE","MALE")</f>
        <v>MALE</v>
      </c>
      <c r="E341" s="6" t="str">
        <f>UPPER(Sheet1!G341)</f>
        <v>ISHAN SHARMA</v>
      </c>
      <c r="F341" s="6" t="str">
        <f>UPPER(Sheet1!H341)</f>
        <v>SARA SHARMA</v>
      </c>
      <c r="G341" s="5" t="str">
        <f>TEXT(Sheet1!C341,"dd/mm/yyyy") &amp; "," &amp; Sheet1!D341</f>
        <v>24/09/2025,ST ALBANS</v>
      </c>
      <c r="H341" s="39" t="str">
        <f>UPPER(Sheet1!J341 &amp; "," &amp; Sheet1!K341 &amp; "," &amp; Sheet1!L341)</f>
        <v>185 BIRCHWOOD LANE,EMERALD ROAD,PIN:267223 ST ALBANS</v>
      </c>
      <c r="I341" s="8">
        <f>Sheet1!I341</f>
        <v>45978</v>
      </c>
      <c r="J341" s="5" t="str">
        <f>Sheet1!M341 &amp; "," &amp; TEXT(Sheet1!N341,"dd/mm/yy")</f>
        <v>MHA/IND/00340,15/07/25</v>
      </c>
      <c r="K341" s="5" t="s">
        <v>5752</v>
      </c>
      <c r="L341" s="31" t="s">
        <v>14</v>
      </c>
      <c r="M341" s="31" t="s">
        <v>15</v>
      </c>
      <c r="N341" s="31" t="s">
        <v>16</v>
      </c>
    </row>
    <row r="342" spans="1:14" x14ac:dyDescent="0.25">
      <c r="A342" s="4" t="str">
        <f>Sheet1!A342 &amp; "/" &amp; "2025"</f>
        <v>341/2025</v>
      </c>
      <c r="B342" s="5" t="str">
        <f>Sheet1!E342</f>
        <v>IND/MEL/00341</v>
      </c>
      <c r="C342" s="6" t="str">
        <f>UPPER(Sheet1!B342)</f>
        <v>KIRAN RAO</v>
      </c>
      <c r="D342" s="7" t="str">
        <f>IF(Sheet1!F342="F","FEMALE","MALE")</f>
        <v>MALE</v>
      </c>
      <c r="E342" s="6" t="str">
        <f>UPPER(Sheet1!G342)</f>
        <v>ARJUN RAO</v>
      </c>
      <c r="F342" s="6" t="str">
        <f>UPPER(Sheet1!H342)</f>
        <v>NINA RAO</v>
      </c>
      <c r="G342" s="5" t="str">
        <f>TEXT(Sheet1!C342,"dd/mm/yyyy") &amp; "," &amp; Sheet1!D342</f>
        <v>15/08/2025,MOUNT BARKER</v>
      </c>
      <c r="H342" s="39" t="str">
        <f>UPPER(Sheet1!J342 &amp; "," &amp; Sheet1!K342 &amp; "," &amp; Sheet1!L342)</f>
        <v>34 BIRCHWOOD LANE,EMERALD ROAD,PIN:714417 MOUNT BARKER</v>
      </c>
      <c r="I342" s="8">
        <f>Sheet1!I342</f>
        <v>45993</v>
      </c>
      <c r="J342" s="5" t="str">
        <f>Sheet1!M342 &amp; "," &amp; TEXT(Sheet1!N342,"dd/mm/yy")</f>
        <v>MHA/IND/00341,24/08/25</v>
      </c>
      <c r="K342" s="5" t="s">
        <v>5752</v>
      </c>
      <c r="L342" s="31" t="s">
        <v>14</v>
      </c>
      <c r="M342" s="31" t="s">
        <v>15</v>
      </c>
      <c r="N342" s="31" t="s">
        <v>16</v>
      </c>
    </row>
    <row r="343" spans="1:14" x14ac:dyDescent="0.25">
      <c r="A343" s="4" t="str">
        <f>Sheet1!A343 &amp; "/" &amp; "2025"</f>
        <v>342/2025</v>
      </c>
      <c r="B343" s="5" t="str">
        <f>Sheet1!E343</f>
        <v>IND/MEL/00342</v>
      </c>
      <c r="C343" s="6" t="str">
        <f>UPPER(Sheet1!B343)</f>
        <v>DIYA MYRTHOS</v>
      </c>
      <c r="D343" s="7" t="str">
        <f>IF(Sheet1!F343="F","FEMALE","MALE")</f>
        <v>FEMALE</v>
      </c>
      <c r="E343" s="6" t="str">
        <f>UPPER(Sheet1!G343)</f>
        <v>DEV MYRTHOS</v>
      </c>
      <c r="F343" s="6" t="str">
        <f>UPPER(Sheet1!H343)</f>
        <v>ANYA MYRTHOS</v>
      </c>
      <c r="G343" s="5" t="str">
        <f>TEXT(Sheet1!C343,"dd/mm/yyyy") &amp; "," &amp; Sheet1!D343</f>
        <v>11/07/2025,WAGGA WAGGA</v>
      </c>
      <c r="H343" s="39" t="str">
        <f>UPPER(Sheet1!J343 &amp; "," &amp; Sheet1!K343 &amp; "," &amp; Sheet1!L343)</f>
        <v>180 BIRCHWOOD LANE,EMERALD ROAD,PIN:547163 WAGGA WAGGA</v>
      </c>
      <c r="I343" s="8">
        <f>Sheet1!I343</f>
        <v>45947</v>
      </c>
      <c r="J343" s="5" t="str">
        <f>Sheet1!M343 &amp; "," &amp; TEXT(Sheet1!N343,"dd/mm/yy")</f>
        <v>MHA/IND/00342,30/07/25</v>
      </c>
      <c r="K343" s="5" t="s">
        <v>5752</v>
      </c>
      <c r="L343" s="31" t="s">
        <v>14</v>
      </c>
      <c r="M343" s="31" t="s">
        <v>15</v>
      </c>
      <c r="N343" s="31" t="s">
        <v>16</v>
      </c>
    </row>
    <row r="344" spans="1:14" x14ac:dyDescent="0.25">
      <c r="A344" s="4" t="str">
        <f>Sheet1!A344 &amp; "/" &amp; "2025"</f>
        <v>343/2025</v>
      </c>
      <c r="B344" s="5" t="str">
        <f>Sheet1!E344</f>
        <v>IND/MEL/00343</v>
      </c>
      <c r="C344" s="6" t="str">
        <f>UPPER(Sheet1!B344)</f>
        <v>RIYA KALEON</v>
      </c>
      <c r="D344" s="7" t="str">
        <f>IF(Sheet1!F344="F","FEMALE","MALE")</f>
        <v>FEMALE</v>
      </c>
      <c r="E344" s="6" t="str">
        <f>UPPER(Sheet1!G344)</f>
        <v>KIRAN KALEON</v>
      </c>
      <c r="F344" s="6" t="str">
        <f>UPPER(Sheet1!H344)</f>
        <v>DIYA KALEON</v>
      </c>
      <c r="G344" s="5" t="str">
        <f>TEXT(Sheet1!C344,"dd/mm/yyyy") &amp; "," &amp; Sheet1!D344</f>
        <v>20/06/2025,MANDURAH</v>
      </c>
      <c r="H344" s="39" t="str">
        <f>UPPER(Sheet1!J344 &amp; "," &amp; Sheet1!K344 &amp; "," &amp; Sheet1!L344)</f>
        <v>175 BIRCHWOOD LANE,EMERALD ROAD,PIN:580720 MANDURAH</v>
      </c>
      <c r="I344" s="8">
        <f>Sheet1!I344</f>
        <v>45920</v>
      </c>
      <c r="J344" s="5" t="str">
        <f>Sheet1!M344 &amp; "," &amp; TEXT(Sheet1!N344,"dd/mm/yy")</f>
        <v>MHA/IND/00343,16/08/25</v>
      </c>
      <c r="K344" s="5" t="s">
        <v>5752</v>
      </c>
      <c r="L344" s="31" t="s">
        <v>14</v>
      </c>
      <c r="M344" s="31" t="s">
        <v>15</v>
      </c>
      <c r="N344" s="31" t="s">
        <v>16</v>
      </c>
    </row>
    <row r="345" spans="1:14" x14ac:dyDescent="0.25">
      <c r="A345" s="4" t="str">
        <f>Sheet1!A345 &amp; "/" &amp; "2025"</f>
        <v>344/2025</v>
      </c>
      <c r="B345" s="5" t="str">
        <f>Sheet1!E345</f>
        <v>IND/MEL/00344</v>
      </c>
      <c r="C345" s="6" t="str">
        <f>UPPER(Sheet1!B345)</f>
        <v>AREN VALZARI</v>
      </c>
      <c r="D345" s="7" t="str">
        <f>IF(Sheet1!F345="F","FEMALE","MALE")</f>
        <v>MALE</v>
      </c>
      <c r="E345" s="6" t="str">
        <f>UPPER(Sheet1!G345)</f>
        <v>KABIR VALZARI</v>
      </c>
      <c r="F345" s="6" t="str">
        <f>UPPER(Sheet1!H345)</f>
        <v>ANYA VALZARI</v>
      </c>
      <c r="G345" s="5" t="str">
        <f>TEXT(Sheet1!C345,"dd/mm/yyyy") &amp; "," &amp; Sheet1!D345</f>
        <v>08/07/2025,BERWICK</v>
      </c>
      <c r="H345" s="39" t="str">
        <f>UPPER(Sheet1!J345 &amp; "," &amp; Sheet1!K345 &amp; "," &amp; Sheet1!L345)</f>
        <v>172 BIRCHWOOD LANE,EMERALD ROAD,PIN:562388 BERWICK</v>
      </c>
      <c r="I345" s="8">
        <f>Sheet1!I345</f>
        <v>45910</v>
      </c>
      <c r="J345" s="5" t="str">
        <f>Sheet1!M345 &amp; "," &amp; TEXT(Sheet1!N345,"dd/mm/yy")</f>
        <v>MHA/IND/00344,09/08/25</v>
      </c>
      <c r="K345" s="5" t="s">
        <v>5752</v>
      </c>
      <c r="L345" s="31" t="s">
        <v>14</v>
      </c>
      <c r="M345" s="31" t="s">
        <v>15</v>
      </c>
      <c r="N345" s="31" t="s">
        <v>16</v>
      </c>
    </row>
    <row r="346" spans="1:14" x14ac:dyDescent="0.25">
      <c r="A346" s="4" t="str">
        <f>Sheet1!A346 &amp; "/" &amp; "2025"</f>
        <v>345/2025</v>
      </c>
      <c r="B346" s="5" t="str">
        <f>Sheet1!E346</f>
        <v>IND/MEL/00345</v>
      </c>
      <c r="C346" s="6" t="str">
        <f>UPPER(Sheet1!B346)</f>
        <v>SARA VALZARI</v>
      </c>
      <c r="D346" s="7" t="str">
        <f>IF(Sheet1!F346="F","FEMALE","MALE")</f>
        <v>FEMALE</v>
      </c>
      <c r="E346" s="6" t="str">
        <f>UPPER(Sheet1!G346)</f>
        <v>ARJUN VALZARI</v>
      </c>
      <c r="F346" s="6" t="str">
        <f>UPPER(Sheet1!H346)</f>
        <v>RIYA VALZARI</v>
      </c>
      <c r="G346" s="5" t="str">
        <f>TEXT(Sheet1!C346,"dd/mm/yyyy") &amp; "," &amp; Sheet1!D346</f>
        <v>03/07/2025,BERWICK</v>
      </c>
      <c r="H346" s="39" t="str">
        <f>UPPER(Sheet1!J346 &amp; "," &amp; Sheet1!K346 &amp; "," &amp; Sheet1!L346)</f>
        <v>82 BIRCHWOOD LANE,EMERALD ROAD,PIN:894635 BERWICK</v>
      </c>
      <c r="I346" s="8">
        <f>Sheet1!I346</f>
        <v>45873</v>
      </c>
      <c r="J346" s="5" t="str">
        <f>Sheet1!M346 &amp; "," &amp; TEXT(Sheet1!N346,"dd/mm/yy")</f>
        <v>MHA/IND/00345,16/07/25</v>
      </c>
      <c r="K346" s="5" t="s">
        <v>5752</v>
      </c>
      <c r="L346" s="31" t="s">
        <v>14</v>
      </c>
      <c r="M346" s="31" t="s">
        <v>15</v>
      </c>
      <c r="N346" s="31" t="s">
        <v>16</v>
      </c>
    </row>
    <row r="347" spans="1:14" x14ac:dyDescent="0.25">
      <c r="A347" s="4" t="str">
        <f>Sheet1!A347 &amp; "/" &amp; "2025"</f>
        <v>346/2025</v>
      </c>
      <c r="B347" s="5" t="str">
        <f>Sheet1!E347</f>
        <v>IND/MEL/00346</v>
      </c>
      <c r="C347" s="6" t="str">
        <f>UPPER(Sheet1!B347)</f>
        <v>KABIR MYRTHOS</v>
      </c>
      <c r="D347" s="7" t="str">
        <f>IF(Sheet1!F347="F","FEMALE","MALE")</f>
        <v>MALE</v>
      </c>
      <c r="E347" s="6" t="str">
        <f>UPPER(Sheet1!G347)</f>
        <v>DEV MYRTHOS</v>
      </c>
      <c r="F347" s="6" t="str">
        <f>UPPER(Sheet1!H347)</f>
        <v>RIYA MYRTHOS</v>
      </c>
      <c r="G347" s="5" t="str">
        <f>TEXT(Sheet1!C347,"dd/mm/yyyy") &amp; "," &amp; Sheet1!D347</f>
        <v>22/09/2025,LIVERPOOL</v>
      </c>
      <c r="H347" s="39" t="str">
        <f>UPPER(Sheet1!J347 &amp; "," &amp; Sheet1!K347 &amp; "," &amp; Sheet1!L347)</f>
        <v>164 BIRCHWOOD LANE,EMERALD ROAD,PIN:165275 LIVERPOOL</v>
      </c>
      <c r="I347" s="8">
        <f>Sheet1!I347</f>
        <v>45983</v>
      </c>
      <c r="J347" s="5" t="str">
        <f>Sheet1!M347 &amp; "," &amp; TEXT(Sheet1!N347,"dd/mm/yy")</f>
        <v>MHA/IND/00346,06/07/25</v>
      </c>
      <c r="K347" s="5" t="s">
        <v>5752</v>
      </c>
      <c r="L347" s="31" t="s">
        <v>14</v>
      </c>
      <c r="M347" s="31" t="s">
        <v>15</v>
      </c>
      <c r="N347" s="31" t="s">
        <v>16</v>
      </c>
    </row>
    <row r="348" spans="1:14" x14ac:dyDescent="0.25">
      <c r="A348" s="4" t="str">
        <f>Sheet1!A348 &amp; "/" &amp; "2025"</f>
        <v>347/2025</v>
      </c>
      <c r="B348" s="5" t="str">
        <f>Sheet1!E348</f>
        <v>IND/MEL/00347</v>
      </c>
      <c r="C348" s="6" t="str">
        <f>UPPER(Sheet1!B348)</f>
        <v>KIRAN SHARMA</v>
      </c>
      <c r="D348" s="7" t="str">
        <f>IF(Sheet1!F348="F","FEMALE","MALE")</f>
        <v>MALE</v>
      </c>
      <c r="E348" s="6" t="str">
        <f>UPPER(Sheet1!G348)</f>
        <v>AREN SHARMA</v>
      </c>
      <c r="F348" s="6" t="str">
        <f>UPPER(Sheet1!H348)</f>
        <v>DIYA SHARMA</v>
      </c>
      <c r="G348" s="5" t="str">
        <f>TEXT(Sheet1!C348,"dd/mm/yyyy") &amp; "," &amp; Sheet1!D348</f>
        <v>05/03/2025,NEWCASTLE</v>
      </c>
      <c r="H348" s="39" t="str">
        <f>UPPER(Sheet1!J348 &amp; "," &amp; Sheet1!K348 &amp; "," &amp; Sheet1!L348)</f>
        <v>151 BIRCHWOOD LANE,EMERALD ROAD,PIN:313133 NEWCASTLE</v>
      </c>
      <c r="I348" s="8">
        <f>Sheet1!I348</f>
        <v>45744</v>
      </c>
      <c r="J348" s="5" t="str">
        <f>Sheet1!M348 &amp; "," &amp; TEXT(Sheet1!N348,"dd/mm/yy")</f>
        <v>MHA/IND/00347,16/08/25</v>
      </c>
      <c r="K348" s="5" t="s">
        <v>5752</v>
      </c>
      <c r="L348" s="31" t="s">
        <v>14</v>
      </c>
      <c r="M348" s="31" t="s">
        <v>15</v>
      </c>
      <c r="N348" s="31" t="s">
        <v>16</v>
      </c>
    </row>
    <row r="349" spans="1:14" x14ac:dyDescent="0.25">
      <c r="A349" s="4" t="str">
        <f>Sheet1!A349 &amp; "/" &amp; "2025"</f>
        <v>348/2025</v>
      </c>
      <c r="B349" s="5" t="str">
        <f>Sheet1!E349</f>
        <v>IND/MEL/00348</v>
      </c>
      <c r="C349" s="6" t="str">
        <f>UPPER(Sheet1!B349)</f>
        <v>TARA SINDALE</v>
      </c>
      <c r="D349" s="7" t="str">
        <f>IF(Sheet1!F349="F","FEMALE","MALE")</f>
        <v>FEMALE</v>
      </c>
      <c r="E349" s="6" t="str">
        <f>UPPER(Sheet1!G349)</f>
        <v>AREN SINDALE</v>
      </c>
      <c r="F349" s="6" t="str">
        <f>UPPER(Sheet1!H349)</f>
        <v>RIYA SINDALE</v>
      </c>
      <c r="G349" s="5" t="str">
        <f>TEXT(Sheet1!C349,"dd/mm/yyyy") &amp; "," &amp; Sheet1!D349</f>
        <v>04/04/2025,LIVERPOOL</v>
      </c>
      <c r="H349" s="39" t="str">
        <f>UPPER(Sheet1!J349 &amp; "," &amp; Sheet1!K349 &amp; "," &amp; Sheet1!L349)</f>
        <v>29 BIRCHWOOD LANE,EMERALD ROAD,PIN:978049 LIVERPOOL</v>
      </c>
      <c r="I349" s="8">
        <f>Sheet1!I349</f>
        <v>45763</v>
      </c>
      <c r="J349" s="5" t="str">
        <f>Sheet1!M349 &amp; "," &amp; TEXT(Sheet1!N349,"dd/mm/yy")</f>
        <v>MHA/IND/00348,22/08/25</v>
      </c>
      <c r="K349" s="5" t="s">
        <v>5752</v>
      </c>
      <c r="L349" s="31" t="s">
        <v>14</v>
      </c>
      <c r="M349" s="31" t="s">
        <v>15</v>
      </c>
      <c r="N349" s="31" t="s">
        <v>16</v>
      </c>
    </row>
    <row r="350" spans="1:14" x14ac:dyDescent="0.25">
      <c r="A350" s="4" t="str">
        <f>Sheet1!A350 &amp; "/" &amp; "2025"</f>
        <v>349/2025</v>
      </c>
      <c r="B350" s="5" t="str">
        <f>Sheet1!E350</f>
        <v>IND/MEL/00349</v>
      </c>
      <c r="C350" s="6" t="str">
        <f>UPPER(Sheet1!B350)</f>
        <v>ARJUN KALEON</v>
      </c>
      <c r="D350" s="7" t="str">
        <f>IF(Sheet1!F350="F","FEMALE","MALE")</f>
        <v>MALE</v>
      </c>
      <c r="E350" s="6" t="str">
        <f>UPPER(Sheet1!G350)</f>
        <v>ARJUN KALEON</v>
      </c>
      <c r="F350" s="6" t="str">
        <f>UPPER(Sheet1!H350)</f>
        <v>ALYA KALEON</v>
      </c>
      <c r="G350" s="5" t="str">
        <f>TEXT(Sheet1!C350,"dd/mm/yyyy") &amp; "," &amp; Sheet1!D350</f>
        <v>25/07/2025,NEWCASTLE</v>
      </c>
      <c r="H350" s="39" t="str">
        <f>UPPER(Sheet1!J350 &amp; "," &amp; Sheet1!K350 &amp; "," &amp; Sheet1!L350)</f>
        <v>62 BIRCHWOOD LANE,EMERALD ROAD,PIN:759250 NEWCASTLE</v>
      </c>
      <c r="I350" s="8">
        <f>Sheet1!I350</f>
        <v>45879</v>
      </c>
      <c r="J350" s="5" t="str">
        <f>Sheet1!M350 &amp; "," &amp; TEXT(Sheet1!N350,"dd/mm/yy")</f>
        <v>MHA/IND/00349,09/07/25</v>
      </c>
      <c r="K350" s="5" t="s">
        <v>5752</v>
      </c>
      <c r="L350" s="31" t="s">
        <v>14</v>
      </c>
      <c r="M350" s="31" t="s">
        <v>15</v>
      </c>
      <c r="N350" s="31" t="s">
        <v>16</v>
      </c>
    </row>
    <row r="351" spans="1:14" x14ac:dyDescent="0.25">
      <c r="A351" s="4" t="str">
        <f>Sheet1!A351 &amp; "/" &amp; "2025"</f>
        <v>350/2025</v>
      </c>
      <c r="B351" s="5" t="str">
        <f>Sheet1!E351</f>
        <v>IND/MEL/00350</v>
      </c>
      <c r="C351" s="6" t="str">
        <f>UPPER(Sheet1!B351)</f>
        <v>DEV SHARMA</v>
      </c>
      <c r="D351" s="7" t="str">
        <f>IF(Sheet1!F351="F","FEMALE","MALE")</f>
        <v>MALE</v>
      </c>
      <c r="E351" s="6" t="str">
        <f>UPPER(Sheet1!G351)</f>
        <v>ROHIT SHARMA</v>
      </c>
      <c r="F351" s="6" t="str">
        <f>UPPER(Sheet1!H351)</f>
        <v>ALYA SHARMA</v>
      </c>
      <c r="G351" s="5" t="str">
        <f>TEXT(Sheet1!C351,"dd/mm/yyyy") &amp; "," &amp; Sheet1!D351</f>
        <v>21/01/2025,LIVERPOOL</v>
      </c>
      <c r="H351" s="39" t="str">
        <f>UPPER(Sheet1!J351 &amp; "," &amp; Sheet1!K351 &amp; "," &amp; Sheet1!L351)</f>
        <v>136 BIRCHWOOD LANE,EMERALD ROAD,PIN:265684 LIVERPOOL</v>
      </c>
      <c r="I351" s="8">
        <f>Sheet1!I351</f>
        <v>45709</v>
      </c>
      <c r="J351" s="5" t="str">
        <f>Sheet1!M351 &amp; "," &amp; TEXT(Sheet1!N351,"dd/mm/yy")</f>
        <v>MHA/IND/00350,15/08/25</v>
      </c>
      <c r="K351" s="5" t="s">
        <v>5752</v>
      </c>
      <c r="L351" s="31" t="s">
        <v>14</v>
      </c>
      <c r="M351" s="31" t="s">
        <v>15</v>
      </c>
      <c r="N351" s="31" t="s">
        <v>16</v>
      </c>
    </row>
    <row r="352" spans="1:14" x14ac:dyDescent="0.25">
      <c r="A352" s="4" t="str">
        <f>Sheet1!A352 &amp; "/" &amp; "2025"</f>
        <v>351/2025</v>
      </c>
      <c r="B352" s="5" t="str">
        <f>Sheet1!E352</f>
        <v>IND/MEL/00351</v>
      </c>
      <c r="C352" s="6" t="str">
        <f>UPPER(Sheet1!B352)</f>
        <v>KABIR KALEON</v>
      </c>
      <c r="D352" s="7" t="str">
        <f>IF(Sheet1!F352="F","FEMALE","MALE")</f>
        <v>MALE</v>
      </c>
      <c r="E352" s="6" t="str">
        <f>UPPER(Sheet1!G352)</f>
        <v>DEV KALEON</v>
      </c>
      <c r="F352" s="6" t="str">
        <f>UPPER(Sheet1!H352)</f>
        <v>TARA KALEON</v>
      </c>
      <c r="G352" s="5" t="str">
        <f>TEXT(Sheet1!C352,"dd/mm/yyyy") &amp; "," &amp; Sheet1!D352</f>
        <v>07/06/2025,BENDIGO</v>
      </c>
      <c r="H352" s="39" t="str">
        <f>UPPER(Sheet1!J352 &amp; "," &amp; Sheet1!K352 &amp; "," &amp; Sheet1!L352)</f>
        <v>70 BIRCHWOOD LANE,EMERALD ROAD,PIN:669525 BENDIGO</v>
      </c>
      <c r="I352" s="8">
        <f>Sheet1!I352</f>
        <v>45869</v>
      </c>
      <c r="J352" s="5" t="str">
        <f>Sheet1!M352 &amp; "," &amp; TEXT(Sheet1!N352,"dd/mm/yy")</f>
        <v>MHA/IND/00351,04/08/25</v>
      </c>
      <c r="K352" s="5" t="s">
        <v>5752</v>
      </c>
      <c r="L352" s="31" t="s">
        <v>14</v>
      </c>
      <c r="M352" s="31" t="s">
        <v>15</v>
      </c>
      <c r="N352" s="31" t="s">
        <v>16</v>
      </c>
    </row>
    <row r="353" spans="1:14" x14ac:dyDescent="0.25">
      <c r="A353" s="4" t="str">
        <f>Sheet1!A353 &amp; "/" &amp; "2025"</f>
        <v>352/2025</v>
      </c>
      <c r="B353" s="5" t="str">
        <f>Sheet1!E353</f>
        <v>IND/MEL/00352</v>
      </c>
      <c r="C353" s="6" t="str">
        <f>UPPER(Sheet1!B353)</f>
        <v>ALYA SINDALE</v>
      </c>
      <c r="D353" s="7" t="str">
        <f>IF(Sheet1!F353="F","FEMALE","MALE")</f>
        <v>FEMALE</v>
      </c>
      <c r="E353" s="6" t="str">
        <f>UPPER(Sheet1!G353)</f>
        <v>ROHIT SINDALE</v>
      </c>
      <c r="F353" s="6" t="str">
        <f>UPPER(Sheet1!H353)</f>
        <v>NINA SINDALE</v>
      </c>
      <c r="G353" s="5" t="str">
        <f>TEXT(Sheet1!C353,"dd/mm/yyyy") &amp; "," &amp; Sheet1!D353</f>
        <v>13/07/2025,WOLLONGONG</v>
      </c>
      <c r="H353" s="39" t="str">
        <f>UPPER(Sheet1!J353 &amp; "," &amp; Sheet1!K353 &amp; "," &amp; Sheet1!L353)</f>
        <v>71 BIRCHWOOD LANE,EMERALD ROAD,PIN:806096 WOLLONGONG</v>
      </c>
      <c r="I353" s="8">
        <f>Sheet1!I353</f>
        <v>45889</v>
      </c>
      <c r="J353" s="5" t="str">
        <f>Sheet1!M353 &amp; "," &amp; TEXT(Sheet1!N353,"dd/mm/yy")</f>
        <v>MHA/IND/00352,06/07/25</v>
      </c>
      <c r="K353" s="5" t="s">
        <v>5752</v>
      </c>
      <c r="L353" s="31" t="s">
        <v>14</v>
      </c>
      <c r="M353" s="31" t="s">
        <v>15</v>
      </c>
      <c r="N353" s="31" t="s">
        <v>16</v>
      </c>
    </row>
    <row r="354" spans="1:14" ht="30" customHeight="1" x14ac:dyDescent="0.25">
      <c r="A354" s="4" t="str">
        <f>Sheet1!A354 &amp; "/" &amp; "2025"</f>
        <v>353/2025</v>
      </c>
      <c r="B354" s="5" t="str">
        <f>Sheet1!E354</f>
        <v>IND/MEL/00353</v>
      </c>
      <c r="C354" s="6" t="str">
        <f>UPPER(Sheet1!B354)</f>
        <v>MIRA KALEON</v>
      </c>
      <c r="D354" s="7" t="str">
        <f>IF(Sheet1!F354="F","FEMALE","MALE")</f>
        <v>FEMALE</v>
      </c>
      <c r="E354" s="6" t="str">
        <f>UPPER(Sheet1!G354)</f>
        <v>KABIR KALEON</v>
      </c>
      <c r="F354" s="6" t="str">
        <f>UPPER(Sheet1!H354)</f>
        <v>ALYA KALEON</v>
      </c>
      <c r="G354" s="5" t="str">
        <f>TEXT(Sheet1!C354,"dd/mm/yyyy") &amp; "," &amp; Sheet1!D354</f>
        <v>17/06/2025,DALBY</v>
      </c>
      <c r="H354" s="39" t="str">
        <f>UPPER(Sheet1!J354 &amp; "," &amp; Sheet1!K354 &amp; "," &amp; Sheet1!L354)</f>
        <v>123 BIRCHWOOD LANE,EMERALD ROAD,PIN:836079 DALBY</v>
      </c>
      <c r="I354" s="8">
        <f>Sheet1!I354</f>
        <v>45844</v>
      </c>
      <c r="J354" s="5" t="str">
        <f>Sheet1!M354 &amp; "," &amp; TEXT(Sheet1!N354,"dd/mm/yy")</f>
        <v>MHA/IND/00353,18/08/25</v>
      </c>
      <c r="K354" s="5" t="s">
        <v>5752</v>
      </c>
      <c r="L354" s="31" t="s">
        <v>14</v>
      </c>
      <c r="M354" s="31" t="s">
        <v>15</v>
      </c>
      <c r="N354" s="31" t="s">
        <v>16</v>
      </c>
    </row>
    <row r="355" spans="1:14" x14ac:dyDescent="0.25">
      <c r="A355" s="4" t="str">
        <f>Sheet1!A355 &amp; "/" &amp; "2025"</f>
        <v>354/2025</v>
      </c>
      <c r="B355" s="5" t="str">
        <f>Sheet1!E355</f>
        <v>IND/MEL/00354</v>
      </c>
      <c r="C355" s="6" t="str">
        <f>UPPER(Sheet1!B355)</f>
        <v>ROHIT MYRTHOS</v>
      </c>
      <c r="D355" s="7" t="str">
        <f>IF(Sheet1!F355="F","FEMALE","MALE")</f>
        <v>MALE</v>
      </c>
      <c r="E355" s="6" t="str">
        <f>UPPER(Sheet1!G355)</f>
        <v>KABIR MYRTHOS</v>
      </c>
      <c r="F355" s="6" t="str">
        <f>UPPER(Sheet1!H355)</f>
        <v>MIRA MYRTHOS</v>
      </c>
      <c r="G355" s="5" t="str">
        <f>TEXT(Sheet1!C355,"dd/mm/yyyy") &amp; "," &amp; Sheet1!D355</f>
        <v>28/01/2025,CLAYTON</v>
      </c>
      <c r="H355" s="39" t="str">
        <f>UPPER(Sheet1!J355 &amp; "," &amp; Sheet1!K355 &amp; "," &amp; Sheet1!L355)</f>
        <v>106 BIRCHWOOD LANE,EMERALD ROAD,PIN:528267 CLAYTON</v>
      </c>
      <c r="I355" s="8">
        <f>Sheet1!I355</f>
        <v>45709</v>
      </c>
      <c r="J355" s="5" t="str">
        <f>Sheet1!M355 &amp; "," &amp; TEXT(Sheet1!N355,"dd/mm/yy")</f>
        <v>MHA/IND/00354,20/07/25</v>
      </c>
      <c r="K355" s="5" t="s">
        <v>5752</v>
      </c>
      <c r="L355" s="31" t="s">
        <v>14</v>
      </c>
      <c r="M355" s="31" t="s">
        <v>15</v>
      </c>
      <c r="N355" s="31" t="s">
        <v>16</v>
      </c>
    </row>
    <row r="356" spans="1:14" x14ac:dyDescent="0.25">
      <c r="A356" s="4" t="str">
        <f>Sheet1!A356 &amp; "/" &amp; "2025"</f>
        <v>355/2025</v>
      </c>
      <c r="B356" s="5" t="str">
        <f>Sheet1!E356</f>
        <v>IND/MEL/00355</v>
      </c>
      <c r="C356" s="6" t="str">
        <f>UPPER(Sheet1!B356)</f>
        <v>TARA SINDALE</v>
      </c>
      <c r="D356" s="7" t="str">
        <f>IF(Sheet1!F356="F","FEMALE","MALE")</f>
        <v>FEMALE</v>
      </c>
      <c r="E356" s="6" t="str">
        <f>UPPER(Sheet1!G356)</f>
        <v>DEV SINDALE</v>
      </c>
      <c r="F356" s="6" t="str">
        <f>UPPER(Sheet1!H356)</f>
        <v>NINA SINDALE</v>
      </c>
      <c r="G356" s="5" t="str">
        <f>TEXT(Sheet1!C356,"dd/mm/yyyy") &amp; "," &amp; Sheet1!D356</f>
        <v>03/07/2025,MANDURAH</v>
      </c>
      <c r="H356" s="39" t="str">
        <f>UPPER(Sheet1!J356 &amp; "," &amp; Sheet1!K356 &amp; "," &amp; Sheet1!L356)</f>
        <v>163 BIRCHWOOD LANE,EMERALD ROAD,PIN:587920 MANDURAH</v>
      </c>
      <c r="I356" s="8">
        <f>Sheet1!I356</f>
        <v>45884</v>
      </c>
      <c r="J356" s="5" t="str">
        <f>Sheet1!M356 &amp; "," &amp; TEXT(Sheet1!N356,"dd/mm/yy")</f>
        <v>MHA/IND/00355,22/07/25</v>
      </c>
      <c r="K356" s="5" t="s">
        <v>5752</v>
      </c>
      <c r="L356" s="31" t="s">
        <v>14</v>
      </c>
      <c r="M356" s="31" t="s">
        <v>15</v>
      </c>
      <c r="N356" s="31" t="s">
        <v>16</v>
      </c>
    </row>
    <row r="357" spans="1:14" x14ac:dyDescent="0.25">
      <c r="A357" s="4" t="str">
        <f>Sheet1!A357 &amp; "/" &amp; "2025"</f>
        <v>356/2025</v>
      </c>
      <c r="B357" s="5" t="str">
        <f>Sheet1!E357</f>
        <v>IND/MEL/00356</v>
      </c>
      <c r="C357" s="6" t="str">
        <f>UPPER(Sheet1!B357)</f>
        <v>ANYA RAO</v>
      </c>
      <c r="D357" s="7" t="str">
        <f>IF(Sheet1!F357="F","FEMALE","MALE")</f>
        <v>FEMALE</v>
      </c>
      <c r="E357" s="6" t="str">
        <f>UPPER(Sheet1!G357)</f>
        <v>KIRAN RAO</v>
      </c>
      <c r="F357" s="6" t="str">
        <f>UPPER(Sheet1!H357)</f>
        <v>TARA RAO</v>
      </c>
      <c r="G357" s="5" t="str">
        <f>TEXT(Sheet1!C357,"dd/mm/yyyy") &amp; "," &amp; Sheet1!D357</f>
        <v>07/06/2025,BUNDOORA</v>
      </c>
      <c r="H357" s="39" t="str">
        <f>UPPER(Sheet1!J357 &amp; "," &amp; Sheet1!K357 &amp; "," &amp; Sheet1!L357)</f>
        <v>166 BIRCHWOOD LANE,EMERALD ROAD,PIN:443245 BUNDOORA</v>
      </c>
      <c r="I357" s="8">
        <f>Sheet1!I357</f>
        <v>45833</v>
      </c>
      <c r="J357" s="5" t="str">
        <f>Sheet1!M357 &amp; "," &amp; TEXT(Sheet1!N357,"dd/mm/yy")</f>
        <v>MHA/IND/00356,01/08/25</v>
      </c>
      <c r="K357" s="5" t="s">
        <v>5752</v>
      </c>
      <c r="L357" s="31" t="s">
        <v>14</v>
      </c>
      <c r="M357" s="31" t="s">
        <v>15</v>
      </c>
      <c r="N357" s="31" t="s">
        <v>16</v>
      </c>
    </row>
    <row r="358" spans="1:14" x14ac:dyDescent="0.25">
      <c r="A358" s="4" t="str">
        <f>Sheet1!A358 &amp; "/" &amp; "2025"</f>
        <v>357/2025</v>
      </c>
      <c r="B358" s="5" t="str">
        <f>Sheet1!E358</f>
        <v>IND/MEL/00357</v>
      </c>
      <c r="C358" s="6" t="str">
        <f>UPPER(Sheet1!B358)</f>
        <v>TARA RISHKAN</v>
      </c>
      <c r="D358" s="7" t="str">
        <f>IF(Sheet1!F358="F","FEMALE","MALE")</f>
        <v>FEMALE</v>
      </c>
      <c r="E358" s="6" t="str">
        <f>UPPER(Sheet1!G358)</f>
        <v>ROHIT RISHKAN</v>
      </c>
      <c r="F358" s="6" t="str">
        <f>UPPER(Sheet1!H358)</f>
        <v>SARA RISHKAN</v>
      </c>
      <c r="G358" s="5" t="str">
        <f>TEXT(Sheet1!C358,"dd/mm/yyyy") &amp; "," &amp; Sheet1!D358</f>
        <v>26/05/2025,BRISBANE</v>
      </c>
      <c r="H358" s="39" t="str">
        <f>UPPER(Sheet1!J358 &amp; "," &amp; Sheet1!K358 &amp; "," &amp; Sheet1!L358)</f>
        <v>130 BIRCHWOOD LANE,EMERALD ROAD,PIN:854044 BRISBANE</v>
      </c>
      <c r="I358" s="8">
        <f>Sheet1!I358</f>
        <v>45882</v>
      </c>
      <c r="J358" s="5" t="str">
        <f>Sheet1!M358 &amp; "," &amp; TEXT(Sheet1!N358,"dd/mm/yy")</f>
        <v>MHA/IND/00357,28/07/25</v>
      </c>
      <c r="K358" s="5" t="s">
        <v>5752</v>
      </c>
      <c r="L358" s="31" t="s">
        <v>14</v>
      </c>
      <c r="M358" s="31" t="s">
        <v>15</v>
      </c>
      <c r="N358" s="31" t="s">
        <v>16</v>
      </c>
    </row>
    <row r="359" spans="1:14" x14ac:dyDescent="0.25">
      <c r="A359" s="4" t="str">
        <f>Sheet1!A359 &amp; "/" &amp; "2025"</f>
        <v>358/2025</v>
      </c>
      <c r="B359" s="5" t="str">
        <f>Sheet1!E359</f>
        <v>IND/MEL/00358</v>
      </c>
      <c r="C359" s="6" t="str">
        <f>UPPER(Sheet1!B359)</f>
        <v>KABIR SINDALE</v>
      </c>
      <c r="D359" s="7" t="str">
        <f>IF(Sheet1!F359="F","FEMALE","MALE")</f>
        <v>MALE</v>
      </c>
      <c r="E359" s="6" t="str">
        <f>UPPER(Sheet1!G359)</f>
        <v>NEIL SINDALE</v>
      </c>
      <c r="F359" s="6" t="str">
        <f>UPPER(Sheet1!H359)</f>
        <v>RIYA SINDALE</v>
      </c>
      <c r="G359" s="5" t="str">
        <f>TEXT(Sheet1!C359,"dd/mm/yyyy") &amp; "," &amp; Sheet1!D359</f>
        <v>13/03/2025,BERWICK</v>
      </c>
      <c r="H359" s="39" t="str">
        <f>UPPER(Sheet1!J359 &amp; "," &amp; Sheet1!K359 &amp; "," &amp; Sheet1!L359)</f>
        <v>90 BIRCHWOOD LANE,EMERALD ROAD,PIN:146112 BERWICK</v>
      </c>
      <c r="I359" s="8">
        <f>Sheet1!I359</f>
        <v>45792</v>
      </c>
      <c r="J359" s="5" t="str">
        <f>Sheet1!M359 &amp; "," &amp; TEXT(Sheet1!N359,"dd/mm/yy")</f>
        <v>MHA/IND/00358,20/07/25</v>
      </c>
      <c r="K359" s="5" t="s">
        <v>5752</v>
      </c>
      <c r="L359" s="31" t="s">
        <v>14</v>
      </c>
      <c r="M359" s="31" t="s">
        <v>15</v>
      </c>
      <c r="N359" s="31" t="s">
        <v>16</v>
      </c>
    </row>
    <row r="360" spans="1:14" x14ac:dyDescent="0.25">
      <c r="A360" s="4" t="str">
        <f>Sheet1!A360 &amp; "/" &amp; "2025"</f>
        <v>359/2025</v>
      </c>
      <c r="B360" s="5" t="str">
        <f>Sheet1!E360</f>
        <v>IND/MEL/00359</v>
      </c>
      <c r="C360" s="6" t="str">
        <f>UPPER(Sheet1!B360)</f>
        <v>MIRA SHARMA</v>
      </c>
      <c r="D360" s="7" t="str">
        <f>IF(Sheet1!F360="F","FEMALE","MALE")</f>
        <v>FEMALE</v>
      </c>
      <c r="E360" s="6" t="str">
        <f>UPPER(Sheet1!G360)</f>
        <v>KIRAN SHARMA</v>
      </c>
      <c r="F360" s="6" t="str">
        <f>UPPER(Sheet1!H360)</f>
        <v>DIYA SHARMA</v>
      </c>
      <c r="G360" s="5" t="str">
        <f>TEXT(Sheet1!C360,"dd/mm/yyyy") &amp; "," &amp; Sheet1!D360</f>
        <v>17/05/2025,GOSFORD</v>
      </c>
      <c r="H360" s="39" t="str">
        <f>UPPER(Sheet1!J360 &amp; "," &amp; Sheet1!K360 &amp; "," &amp; Sheet1!L360)</f>
        <v>187 BIRCHWOOD LANE,EMERALD ROAD,PIN:116116 GOSFORD</v>
      </c>
      <c r="I360" s="8">
        <f>Sheet1!I360</f>
        <v>45856</v>
      </c>
      <c r="J360" s="5" t="str">
        <f>Sheet1!M360 &amp; "," &amp; TEXT(Sheet1!N360,"dd/mm/yy")</f>
        <v>MHA/IND/00359,11/08/25</v>
      </c>
      <c r="K360" s="5" t="s">
        <v>5752</v>
      </c>
      <c r="L360" s="31" t="s">
        <v>14</v>
      </c>
      <c r="M360" s="31" t="s">
        <v>15</v>
      </c>
      <c r="N360" s="31" t="s">
        <v>16</v>
      </c>
    </row>
    <row r="361" spans="1:14" x14ac:dyDescent="0.25">
      <c r="A361" s="4" t="str">
        <f>Sheet1!A361 &amp; "/" &amp; "2025"</f>
        <v>360/2025</v>
      </c>
      <c r="B361" s="5" t="str">
        <f>Sheet1!E361</f>
        <v>IND/MEL/00360</v>
      </c>
      <c r="C361" s="6" t="str">
        <f>UPPER(Sheet1!B361)</f>
        <v>ANYA KALEON</v>
      </c>
      <c r="D361" s="7" t="str">
        <f>IF(Sheet1!F361="F","FEMALE","MALE")</f>
        <v>FEMALE</v>
      </c>
      <c r="E361" s="6" t="str">
        <f>UPPER(Sheet1!G361)</f>
        <v>ROHIT KALEON</v>
      </c>
      <c r="F361" s="6" t="str">
        <f>UPPER(Sheet1!H361)</f>
        <v>TARA KALEON</v>
      </c>
      <c r="G361" s="5" t="str">
        <f>TEXT(Sheet1!C361,"dd/mm/yyyy") &amp; "," &amp; Sheet1!D361</f>
        <v>12/10/2025,ARMADALE</v>
      </c>
      <c r="H361" s="39" t="str">
        <f>UPPER(Sheet1!J361 &amp; "," &amp; Sheet1!K361 &amp; "," &amp; Sheet1!L361)</f>
        <v>146 BIRCHWOOD LANE,EMERALD ROAD,PIN:698609 ARMADALE</v>
      </c>
      <c r="I361" s="8">
        <f>Sheet1!I361</f>
        <v>45968</v>
      </c>
      <c r="J361" s="5" t="str">
        <f>Sheet1!M361 &amp; "," &amp; TEXT(Sheet1!N361,"dd/mm/yy")</f>
        <v>MHA/IND/00360,09/08/25</v>
      </c>
      <c r="K361" s="5" t="s">
        <v>5752</v>
      </c>
      <c r="L361" s="31" t="s">
        <v>14</v>
      </c>
      <c r="M361" s="31" t="s">
        <v>15</v>
      </c>
      <c r="N361" s="31" t="s">
        <v>16</v>
      </c>
    </row>
    <row r="362" spans="1:14" x14ac:dyDescent="0.25">
      <c r="A362" s="4" t="str">
        <f>Sheet1!A362 &amp; "/" &amp; "2025"</f>
        <v>361/2025</v>
      </c>
      <c r="B362" s="5" t="str">
        <f>Sheet1!E362</f>
        <v>IND/MEL/00361</v>
      </c>
      <c r="C362" s="6" t="str">
        <f>UPPER(Sheet1!B362)</f>
        <v>ALYA KALEON</v>
      </c>
      <c r="D362" s="7" t="str">
        <f>IF(Sheet1!F362="F","FEMALE","MALE")</f>
        <v>FEMALE</v>
      </c>
      <c r="E362" s="6" t="str">
        <f>UPPER(Sheet1!G362)</f>
        <v>ISHAN KALEON</v>
      </c>
      <c r="F362" s="6" t="str">
        <f>UPPER(Sheet1!H362)</f>
        <v>NINA KALEON</v>
      </c>
      <c r="G362" s="5" t="str">
        <f>TEXT(Sheet1!C362,"dd/mm/yyyy") &amp; "," &amp; Sheet1!D362</f>
        <v>10/09/2025,PARKVILLE</v>
      </c>
      <c r="H362" s="39" t="str">
        <f>UPPER(Sheet1!J362 &amp; "," &amp; Sheet1!K362 &amp; "," &amp; Sheet1!L362)</f>
        <v>94 BIRCHWOOD LANE,EMERALD ROAD,PIN:243403 PARKVILLE</v>
      </c>
      <c r="I362" s="8">
        <f>Sheet1!I362</f>
        <v>45999</v>
      </c>
      <c r="J362" s="5" t="str">
        <f>Sheet1!M362 &amp; "," &amp; TEXT(Sheet1!N362,"dd/mm/yy")</f>
        <v>MHA/IND/00361,26/08/25</v>
      </c>
      <c r="K362" s="5" t="s">
        <v>5752</v>
      </c>
      <c r="L362" s="31" t="s">
        <v>14</v>
      </c>
      <c r="M362" s="31" t="s">
        <v>15</v>
      </c>
      <c r="N362" s="31" t="s">
        <v>16</v>
      </c>
    </row>
    <row r="363" spans="1:14" x14ac:dyDescent="0.25">
      <c r="A363" s="4" t="str">
        <f>Sheet1!A363 &amp; "/" &amp; "2025"</f>
        <v>362/2025</v>
      </c>
      <c r="B363" s="5" t="str">
        <f>Sheet1!E363</f>
        <v>IND/MEL/00362</v>
      </c>
      <c r="C363" s="6" t="str">
        <f>UPPER(Sheet1!B363)</f>
        <v>ANYA MYRTHOS</v>
      </c>
      <c r="D363" s="7" t="str">
        <f>IF(Sheet1!F363="F","FEMALE","MALE")</f>
        <v>FEMALE</v>
      </c>
      <c r="E363" s="6" t="str">
        <f>UPPER(Sheet1!G363)</f>
        <v>ROHIT MYRTHOS</v>
      </c>
      <c r="F363" s="6" t="str">
        <f>UPPER(Sheet1!H363)</f>
        <v>MIRA MYRTHOS</v>
      </c>
      <c r="G363" s="5" t="str">
        <f>TEXT(Sheet1!C363,"dd/mm/yyyy") &amp; "," &amp; Sheet1!D363</f>
        <v>12/09/2025,LIVERPOOL</v>
      </c>
      <c r="H363" s="39" t="str">
        <f>UPPER(Sheet1!J363 &amp; "," &amp; Sheet1!K363 &amp; "," &amp; Sheet1!L363)</f>
        <v>61 BIRCHWOOD LANE,EMERALD ROAD,PIN:333036 LIVERPOOL</v>
      </c>
      <c r="I363" s="8">
        <f>Sheet1!I363</f>
        <v>45979</v>
      </c>
      <c r="J363" s="5" t="str">
        <f>Sheet1!M363 &amp; "," &amp; TEXT(Sheet1!N363,"dd/mm/yy")</f>
        <v>MHA/IND/00362,25/08/25</v>
      </c>
      <c r="K363" s="5" t="s">
        <v>5752</v>
      </c>
      <c r="L363" s="31" t="s">
        <v>14</v>
      </c>
      <c r="M363" s="31" t="s">
        <v>15</v>
      </c>
      <c r="N363" s="31" t="s">
        <v>16</v>
      </c>
    </row>
    <row r="364" spans="1:14" x14ac:dyDescent="0.25">
      <c r="A364" s="4" t="str">
        <f>Sheet1!A364 &amp; "/" &amp; "2025"</f>
        <v>363/2025</v>
      </c>
      <c r="B364" s="5" t="str">
        <f>Sheet1!E364</f>
        <v>IND/MEL/00363</v>
      </c>
      <c r="C364" s="6" t="str">
        <f>UPPER(Sheet1!B364)</f>
        <v>ROHIT VALZARI</v>
      </c>
      <c r="D364" s="7" t="str">
        <f>IF(Sheet1!F364="F","FEMALE","MALE")</f>
        <v>MALE</v>
      </c>
      <c r="E364" s="6" t="str">
        <f>UPPER(Sheet1!G364)</f>
        <v>AREN VALZARI</v>
      </c>
      <c r="F364" s="6" t="str">
        <f>UPPER(Sheet1!H364)</f>
        <v>RIYA VALZARI</v>
      </c>
      <c r="G364" s="5" t="str">
        <f>TEXT(Sheet1!C364,"dd/mm/yyyy") &amp; "," &amp; Sheet1!D364</f>
        <v>27/03/2025,BEDFORD PARK</v>
      </c>
      <c r="H364" s="39" t="str">
        <f>UPPER(Sheet1!J364 &amp; "," &amp; Sheet1!K364 &amp; "," &amp; Sheet1!L364)</f>
        <v>69 BIRCHWOOD LANE,EMERALD ROAD,PIN:974106 BEDFORD PARK</v>
      </c>
      <c r="I364" s="8">
        <f>Sheet1!I364</f>
        <v>45808</v>
      </c>
      <c r="J364" s="5" t="str">
        <f>Sheet1!M364 &amp; "," &amp; TEXT(Sheet1!N364,"dd/mm/yy")</f>
        <v>MHA/IND/00363,08/07/25</v>
      </c>
      <c r="K364" s="5" t="s">
        <v>5752</v>
      </c>
      <c r="L364" s="31" t="s">
        <v>14</v>
      </c>
      <c r="M364" s="31" t="s">
        <v>15</v>
      </c>
      <c r="N364" s="31" t="s">
        <v>16</v>
      </c>
    </row>
    <row r="365" spans="1:14" x14ac:dyDescent="0.25">
      <c r="A365" s="4" t="str">
        <f>Sheet1!A365 &amp; "/" &amp; "2025"</f>
        <v>364/2025</v>
      </c>
      <c r="B365" s="5" t="str">
        <f>Sheet1!E365</f>
        <v>IND/MEL/00364</v>
      </c>
      <c r="C365" s="6" t="str">
        <f>UPPER(Sheet1!B365)</f>
        <v>KIRAN VALZARI</v>
      </c>
      <c r="D365" s="7" t="str">
        <f>IF(Sheet1!F365="F","FEMALE","MALE")</f>
        <v>MALE</v>
      </c>
      <c r="E365" s="6" t="str">
        <f>UPPER(Sheet1!G365)</f>
        <v>ROHIT VALZARI</v>
      </c>
      <c r="F365" s="6" t="str">
        <f>UPPER(Sheet1!H365)</f>
        <v>ALYA VALZARI</v>
      </c>
      <c r="G365" s="5" t="str">
        <f>TEXT(Sheet1!C365,"dd/mm/yyyy") &amp; "," &amp; Sheet1!D365</f>
        <v>02/04/2025,WODONGA</v>
      </c>
      <c r="H365" s="39" t="str">
        <f>UPPER(Sheet1!J365 &amp; "," &amp; Sheet1!K365 &amp; "," &amp; Sheet1!L365)</f>
        <v>130 BIRCHWOOD LANE,EMERALD ROAD,PIN:903256 WODONGA</v>
      </c>
      <c r="I365" s="8">
        <f>Sheet1!I365</f>
        <v>45786</v>
      </c>
      <c r="J365" s="5" t="str">
        <f>Sheet1!M365 &amp; "," &amp; TEXT(Sheet1!N365,"dd/mm/yy")</f>
        <v>MHA/IND/00364,24/07/25</v>
      </c>
      <c r="K365" s="5" t="s">
        <v>5752</v>
      </c>
      <c r="L365" s="31" t="s">
        <v>14</v>
      </c>
      <c r="M365" s="31" t="s">
        <v>15</v>
      </c>
      <c r="N365" s="31" t="s">
        <v>16</v>
      </c>
    </row>
    <row r="366" spans="1:14" x14ac:dyDescent="0.25">
      <c r="A366" s="4" t="str">
        <f>Sheet1!A366 &amp; "/" &amp; "2025"</f>
        <v>365/2025</v>
      </c>
      <c r="B366" s="5" t="str">
        <f>Sheet1!E366</f>
        <v>IND/MEL/00365</v>
      </c>
      <c r="C366" s="6" t="str">
        <f>UPPER(Sheet1!B366)</f>
        <v>DEV SINDALE</v>
      </c>
      <c r="D366" s="7" t="str">
        <f>IF(Sheet1!F366="F","FEMALE","MALE")</f>
        <v>MALE</v>
      </c>
      <c r="E366" s="6" t="str">
        <f>UPPER(Sheet1!G366)</f>
        <v>AREN SINDALE</v>
      </c>
      <c r="F366" s="6" t="str">
        <f>UPPER(Sheet1!H366)</f>
        <v>RIYA SINDALE</v>
      </c>
      <c r="G366" s="5" t="str">
        <f>TEXT(Sheet1!C366,"dd/mm/yyyy") &amp; "," &amp; Sheet1!D366</f>
        <v>23/05/2025,FRANKSTON</v>
      </c>
      <c r="H366" s="39" t="str">
        <f>UPPER(Sheet1!J366 &amp; "," &amp; Sheet1!K366 &amp; "," &amp; Sheet1!L366)</f>
        <v>161 BIRCHWOOD LANE,EMERALD ROAD,PIN:724180 FRANKSTON</v>
      </c>
      <c r="I366" s="8">
        <f>Sheet1!I366</f>
        <v>45873</v>
      </c>
      <c r="J366" s="5" t="str">
        <f>Sheet1!M366 &amp; "," &amp; TEXT(Sheet1!N366,"dd/mm/yy")</f>
        <v>MHA/IND/00365,09/08/25</v>
      </c>
      <c r="K366" s="5" t="s">
        <v>5752</v>
      </c>
      <c r="L366" s="31" t="s">
        <v>14</v>
      </c>
      <c r="M366" s="31" t="s">
        <v>15</v>
      </c>
      <c r="N366" s="31" t="s">
        <v>16</v>
      </c>
    </row>
    <row r="367" spans="1:14" ht="30" customHeight="1" x14ac:dyDescent="0.25">
      <c r="A367" s="4" t="str">
        <f>Sheet1!A367 &amp; "/" &amp; "2025"</f>
        <v>366/2025</v>
      </c>
      <c r="B367" s="5" t="str">
        <f>Sheet1!E367</f>
        <v>IND/MEL/00366</v>
      </c>
      <c r="C367" s="6" t="str">
        <f>UPPER(Sheet1!B367)</f>
        <v>KIRAN SHARMA</v>
      </c>
      <c r="D367" s="7" t="str">
        <f>IF(Sheet1!F367="F","FEMALE","MALE")</f>
        <v>MALE</v>
      </c>
      <c r="E367" s="6" t="str">
        <f>UPPER(Sheet1!G367)</f>
        <v>DEV SHARMA</v>
      </c>
      <c r="F367" s="6" t="str">
        <f>UPPER(Sheet1!H367)</f>
        <v>NINA SHARMA</v>
      </c>
      <c r="G367" s="5" t="str">
        <f>TEXT(Sheet1!C367,"dd/mm/yyyy") &amp; "," &amp; Sheet1!D367</f>
        <v>11/06/2025,TUGGERANONG</v>
      </c>
      <c r="H367" s="39" t="str">
        <f>UPPER(Sheet1!J367 &amp; "," &amp; Sheet1!K367 &amp; "," &amp; Sheet1!L367)</f>
        <v>29 BIRCHWOOD LANE,EMERALD ROAD,PIN:696956 TUGGERANONG</v>
      </c>
      <c r="I367" s="8">
        <f>Sheet1!I367</f>
        <v>45937</v>
      </c>
      <c r="J367" s="5" t="str">
        <f>Sheet1!M367 &amp; "," &amp; TEXT(Sheet1!N367,"dd/mm/yy")</f>
        <v>MHA/IND/00366,26/08/25</v>
      </c>
      <c r="K367" s="5" t="s">
        <v>5752</v>
      </c>
      <c r="L367" s="31" t="s">
        <v>14</v>
      </c>
      <c r="M367" s="31" t="s">
        <v>15</v>
      </c>
      <c r="N367" s="31" t="s">
        <v>16</v>
      </c>
    </row>
    <row r="368" spans="1:14" x14ac:dyDescent="0.25">
      <c r="A368" s="4" t="str">
        <f>Sheet1!A368 &amp; "/" &amp; "2025"</f>
        <v>367/2025</v>
      </c>
      <c r="B368" s="5" t="str">
        <f>Sheet1!E368</f>
        <v>IND/MEL/00367</v>
      </c>
      <c r="C368" s="6" t="str">
        <f>UPPER(Sheet1!B368)</f>
        <v>MIRA SHARMA</v>
      </c>
      <c r="D368" s="7" t="str">
        <f>IF(Sheet1!F368="F","FEMALE","MALE")</f>
        <v>FEMALE</v>
      </c>
      <c r="E368" s="6" t="str">
        <f>UPPER(Sheet1!G368)</f>
        <v>ROHIT SHARMA</v>
      </c>
      <c r="F368" s="6" t="str">
        <f>UPPER(Sheet1!H368)</f>
        <v>MIRA SHARMA</v>
      </c>
      <c r="G368" s="5" t="str">
        <f>TEXT(Sheet1!C368,"dd/mm/yyyy") &amp; "," &amp; Sheet1!D368</f>
        <v>01/05/2025,LAUNCESTON</v>
      </c>
      <c r="H368" s="39" t="str">
        <f>UPPER(Sheet1!J368 &amp; "," &amp; Sheet1!K368 &amp; "," &amp; Sheet1!L368)</f>
        <v>193 BIRCHWOOD LANE,EMERALD ROAD,PIN:866652 LAUNCESTON</v>
      </c>
      <c r="I368" s="8">
        <f>Sheet1!I368</f>
        <v>45790</v>
      </c>
      <c r="J368" s="5" t="str">
        <f>Sheet1!M368 &amp; "," &amp; TEXT(Sheet1!N368,"dd/mm/yy")</f>
        <v>MHA/IND/00367,06/07/25</v>
      </c>
      <c r="K368" s="5" t="s">
        <v>5752</v>
      </c>
      <c r="L368" s="31" t="s">
        <v>14</v>
      </c>
      <c r="M368" s="31" t="s">
        <v>15</v>
      </c>
      <c r="N368" s="31" t="s">
        <v>16</v>
      </c>
    </row>
    <row r="369" spans="1:14" x14ac:dyDescent="0.25">
      <c r="A369" s="4" t="str">
        <f>Sheet1!A369 &amp; "/" &amp; "2025"</f>
        <v>368/2025</v>
      </c>
      <c r="B369" s="5" t="str">
        <f>Sheet1!E369</f>
        <v>IND/MEL/00368</v>
      </c>
      <c r="C369" s="6" t="str">
        <f>UPPER(Sheet1!B369)</f>
        <v>SARA KALEON</v>
      </c>
      <c r="D369" s="7" t="str">
        <f>IF(Sheet1!F369="F","FEMALE","MALE")</f>
        <v>FEMALE</v>
      </c>
      <c r="E369" s="6" t="str">
        <f>UPPER(Sheet1!G369)</f>
        <v>ROHIT KALEON</v>
      </c>
      <c r="F369" s="6" t="str">
        <f>UPPER(Sheet1!H369)</f>
        <v>ANYA KALEON</v>
      </c>
      <c r="G369" s="5" t="str">
        <f>TEXT(Sheet1!C369,"dd/mm/yyyy") &amp; "," &amp; Sheet1!D369</f>
        <v>19/03/2025,NORTH ADELAIDE</v>
      </c>
      <c r="H369" s="39" t="str">
        <f>UPPER(Sheet1!J369 &amp; "," &amp; Sheet1!K369 &amp; "," &amp; Sheet1!L369)</f>
        <v>141 BIRCHWOOD LANE,EMERALD ROAD,PIN:277862 NORTH ADELAIDE</v>
      </c>
      <c r="I369" s="8">
        <f>Sheet1!I369</f>
        <v>45767</v>
      </c>
      <c r="J369" s="5" t="str">
        <f>Sheet1!M369 &amp; "," &amp; TEXT(Sheet1!N369,"dd/mm/yy")</f>
        <v>MHA/IND/00368,03/08/25</v>
      </c>
      <c r="K369" s="5" t="s">
        <v>5752</v>
      </c>
      <c r="L369" s="31" t="s">
        <v>14</v>
      </c>
      <c r="M369" s="31" t="s">
        <v>15</v>
      </c>
      <c r="N369" s="31" t="s">
        <v>16</v>
      </c>
    </row>
    <row r="370" spans="1:14" x14ac:dyDescent="0.25">
      <c r="A370" s="4" t="str">
        <f>Sheet1!A370 &amp; "/" &amp; "2025"</f>
        <v>369/2025</v>
      </c>
      <c r="B370" s="5" t="str">
        <f>Sheet1!E370</f>
        <v>IND/MEL/00369</v>
      </c>
      <c r="C370" s="6" t="str">
        <f>UPPER(Sheet1!B370)</f>
        <v>RIYA RISHKAN</v>
      </c>
      <c r="D370" s="7" t="str">
        <f>IF(Sheet1!F370="F","FEMALE","MALE")</f>
        <v>FEMALE</v>
      </c>
      <c r="E370" s="6" t="str">
        <f>UPPER(Sheet1!G370)</f>
        <v>NEIL RISHKAN</v>
      </c>
      <c r="F370" s="6" t="str">
        <f>UPPER(Sheet1!H370)</f>
        <v>ALYA RISHKAN</v>
      </c>
      <c r="G370" s="5" t="str">
        <f>TEXT(Sheet1!C370,"dd/mm/yyyy") &amp; "," &amp; Sheet1!D370</f>
        <v>27/07/2025,TUGGERANONG</v>
      </c>
      <c r="H370" s="39" t="str">
        <f>UPPER(Sheet1!J370 &amp; "," &amp; Sheet1!K370 &amp; "," &amp; Sheet1!L370)</f>
        <v>57 BIRCHWOOD LANE,EMERALD ROAD,PIN:771839 TUGGERANONG</v>
      </c>
      <c r="I370" s="8">
        <f>Sheet1!I370</f>
        <v>45873</v>
      </c>
      <c r="J370" s="5" t="str">
        <f>Sheet1!M370 &amp; "," &amp; TEXT(Sheet1!N370,"dd/mm/yy")</f>
        <v>MHA/IND/00369,14/07/25</v>
      </c>
      <c r="K370" s="5" t="s">
        <v>5752</v>
      </c>
      <c r="L370" s="31" t="s">
        <v>14</v>
      </c>
      <c r="M370" s="31" t="s">
        <v>15</v>
      </c>
      <c r="N370" s="31" t="s">
        <v>16</v>
      </c>
    </row>
    <row r="371" spans="1:14" x14ac:dyDescent="0.25">
      <c r="A371" s="4" t="str">
        <f>Sheet1!A371 &amp; "/" &amp; "2025"</f>
        <v>370/2025</v>
      </c>
      <c r="B371" s="5" t="str">
        <f>Sheet1!E371</f>
        <v>IND/MEL/00370</v>
      </c>
      <c r="C371" s="6" t="str">
        <f>UPPER(Sheet1!B371)</f>
        <v>ANYA SHARMA</v>
      </c>
      <c r="D371" s="7" t="str">
        <f>IF(Sheet1!F371="F","FEMALE","MALE")</f>
        <v>FEMALE</v>
      </c>
      <c r="E371" s="6" t="str">
        <f>UPPER(Sheet1!G371)</f>
        <v>DEV SHARMA</v>
      </c>
      <c r="F371" s="6" t="str">
        <f>UPPER(Sheet1!H371)</f>
        <v>ANYA SHARMA</v>
      </c>
      <c r="G371" s="5" t="str">
        <f>TEXT(Sheet1!C371,"dd/mm/yyyy") &amp; "," &amp; Sheet1!D371</f>
        <v>05/08/2025,LIVERPOOL</v>
      </c>
      <c r="H371" s="39" t="str">
        <f>UPPER(Sheet1!J371 &amp; "," &amp; Sheet1!K371 &amp; "," &amp; Sheet1!L371)</f>
        <v>65 BIRCHWOOD LANE,EMERALD ROAD,PIN:587081 LIVERPOOL</v>
      </c>
      <c r="I371" s="8">
        <f>Sheet1!I371</f>
        <v>45926</v>
      </c>
      <c r="J371" s="5" t="str">
        <f>Sheet1!M371 &amp; "," &amp; TEXT(Sheet1!N371,"dd/mm/yy")</f>
        <v>MHA/IND/00370,04/08/25</v>
      </c>
      <c r="K371" s="5" t="s">
        <v>5752</v>
      </c>
      <c r="L371" s="31" t="s">
        <v>14</v>
      </c>
      <c r="M371" s="31" t="s">
        <v>15</v>
      </c>
      <c r="N371" s="31" t="s">
        <v>16</v>
      </c>
    </row>
    <row r="372" spans="1:14" x14ac:dyDescent="0.25">
      <c r="A372" s="4" t="str">
        <f>Sheet1!A372 &amp; "/" &amp; "2025"</f>
        <v>371/2025</v>
      </c>
      <c r="B372" s="5" t="str">
        <f>Sheet1!E372</f>
        <v>IND/MEL/00371</v>
      </c>
      <c r="C372" s="6" t="str">
        <f>UPPER(Sheet1!B372)</f>
        <v>ANYA VALZARI</v>
      </c>
      <c r="D372" s="7" t="str">
        <f>IF(Sheet1!F372="F","FEMALE","MALE")</f>
        <v>FEMALE</v>
      </c>
      <c r="E372" s="6" t="str">
        <f>UPPER(Sheet1!G372)</f>
        <v>AREN VALZARI</v>
      </c>
      <c r="F372" s="6" t="str">
        <f>UPPER(Sheet1!H372)</f>
        <v>ANYA VALZARI</v>
      </c>
      <c r="G372" s="5" t="str">
        <f>TEXT(Sheet1!C372,"dd/mm/yyyy") &amp; "," &amp; Sheet1!D372</f>
        <v>13/01/2025,BALLARAT CENTRAL</v>
      </c>
      <c r="H372" s="39" t="str">
        <f>UPPER(Sheet1!J372 &amp; "," &amp; Sheet1!K372 &amp; "," &amp; Sheet1!L372)</f>
        <v>74 BIRCHWOOD LANE,EMERALD ROAD,PIN:832571 BALLARAT CENTRAL</v>
      </c>
      <c r="I372" s="8">
        <f>Sheet1!I372</f>
        <v>45679</v>
      </c>
      <c r="J372" s="5" t="str">
        <f>Sheet1!M372 &amp; "," &amp; TEXT(Sheet1!N372,"dd/mm/yy")</f>
        <v>MHA/IND/00371,06/07/25</v>
      </c>
      <c r="K372" s="5" t="s">
        <v>5752</v>
      </c>
      <c r="L372" s="31" t="s">
        <v>14</v>
      </c>
      <c r="M372" s="31" t="s">
        <v>15</v>
      </c>
      <c r="N372" s="31" t="s">
        <v>16</v>
      </c>
    </row>
    <row r="373" spans="1:14" x14ac:dyDescent="0.25">
      <c r="A373" s="4" t="str">
        <f>Sheet1!A373 &amp; "/" &amp; "2025"</f>
        <v>372/2025</v>
      </c>
      <c r="B373" s="5" t="str">
        <f>Sheet1!E373</f>
        <v>IND/MEL/00372</v>
      </c>
      <c r="C373" s="6" t="str">
        <f>UPPER(Sheet1!B373)</f>
        <v>ARJUN SINDALE</v>
      </c>
      <c r="D373" s="7" t="str">
        <f>IF(Sheet1!F373="F","FEMALE","MALE")</f>
        <v>MALE</v>
      </c>
      <c r="E373" s="6" t="str">
        <f>UPPER(Sheet1!G373)</f>
        <v>ISHAN SINDALE</v>
      </c>
      <c r="F373" s="6" t="str">
        <f>UPPER(Sheet1!H373)</f>
        <v>NINA SINDALE</v>
      </c>
      <c r="G373" s="5" t="str">
        <f>TEXT(Sheet1!C373,"dd/mm/yyyy") &amp; "," &amp; Sheet1!D373</f>
        <v>05/08/2025,FREMANTLE</v>
      </c>
      <c r="H373" s="39" t="str">
        <f>UPPER(Sheet1!J373 &amp; "," &amp; Sheet1!K373 &amp; "," &amp; Sheet1!L373)</f>
        <v>26 BIRCHWOOD LANE,EMERALD ROAD,PIN:919321 FREMANTLE</v>
      </c>
      <c r="I373" s="8">
        <f>Sheet1!I373</f>
        <v>45982</v>
      </c>
      <c r="J373" s="5" t="str">
        <f>Sheet1!M373 &amp; "," &amp; TEXT(Sheet1!N373,"dd/mm/yy")</f>
        <v>MHA/IND/00372,28/08/25</v>
      </c>
      <c r="K373" s="5" t="s">
        <v>5752</v>
      </c>
      <c r="L373" s="31" t="s">
        <v>14</v>
      </c>
      <c r="M373" s="31" t="s">
        <v>15</v>
      </c>
      <c r="N373" s="31" t="s">
        <v>16</v>
      </c>
    </row>
    <row r="374" spans="1:14" x14ac:dyDescent="0.25">
      <c r="A374" s="4" t="str">
        <f>Sheet1!A374 &amp; "/" &amp; "2025"</f>
        <v>373/2025</v>
      </c>
      <c r="B374" s="5" t="str">
        <f>Sheet1!E374</f>
        <v>IND/MEL/00373</v>
      </c>
      <c r="C374" s="6" t="str">
        <f>UPPER(Sheet1!B374)</f>
        <v>TARA KALEON</v>
      </c>
      <c r="D374" s="7" t="str">
        <f>IF(Sheet1!F374="F","FEMALE","MALE")</f>
        <v>FEMALE</v>
      </c>
      <c r="E374" s="6" t="str">
        <f>UPPER(Sheet1!G374)</f>
        <v>ROHIT KALEON</v>
      </c>
      <c r="F374" s="6" t="str">
        <f>UPPER(Sheet1!H374)</f>
        <v>TARA KALEON</v>
      </c>
      <c r="G374" s="5" t="str">
        <f>TEXT(Sheet1!C374,"dd/mm/yyyy") &amp; "," &amp; Sheet1!D374</f>
        <v>06/05/2025,IPSWICH</v>
      </c>
      <c r="H374" s="39" t="str">
        <f>UPPER(Sheet1!J374 &amp; "," &amp; Sheet1!K374 &amp; "," &amp; Sheet1!L374)</f>
        <v>109 BIRCHWOOD LANE,EMERALD ROAD,PIN:713260 IPSWICH</v>
      </c>
      <c r="I374" s="8">
        <f>Sheet1!I374</f>
        <v>45863</v>
      </c>
      <c r="J374" s="5" t="str">
        <f>Sheet1!M374 &amp; "," &amp; TEXT(Sheet1!N374,"dd/mm/yy")</f>
        <v>MHA/IND/00373,24/07/25</v>
      </c>
      <c r="K374" s="5" t="s">
        <v>5752</v>
      </c>
      <c r="L374" s="31" t="s">
        <v>14</v>
      </c>
      <c r="M374" s="31" t="s">
        <v>15</v>
      </c>
      <c r="N374" s="31" t="s">
        <v>16</v>
      </c>
    </row>
    <row r="375" spans="1:14" x14ac:dyDescent="0.25">
      <c r="A375" s="4" t="str">
        <f>Sheet1!A375 &amp; "/" &amp; "2025"</f>
        <v>374/2025</v>
      </c>
      <c r="B375" s="5" t="str">
        <f>Sheet1!E375</f>
        <v>IND/MEL/00374</v>
      </c>
      <c r="C375" s="6" t="str">
        <f>UPPER(Sheet1!B375)</f>
        <v>KIRAN SHARMA</v>
      </c>
      <c r="D375" s="7" t="str">
        <f>IF(Sheet1!F375="F","FEMALE","MALE")</f>
        <v>MALE</v>
      </c>
      <c r="E375" s="6" t="str">
        <f>UPPER(Sheet1!G375)</f>
        <v>ISHAN SHARMA</v>
      </c>
      <c r="F375" s="6" t="str">
        <f>UPPER(Sheet1!H375)</f>
        <v>RIYA SHARMA</v>
      </c>
      <c r="G375" s="5" t="str">
        <f>TEXT(Sheet1!C375,"dd/mm/yyyy") &amp; "," &amp; Sheet1!D375</f>
        <v>15/10/2025,MILDURA</v>
      </c>
      <c r="H375" s="39" t="str">
        <f>UPPER(Sheet1!J375 &amp; "," &amp; Sheet1!K375 &amp; "," &amp; Sheet1!L375)</f>
        <v>21 BIRCHWOOD LANE,EMERALD ROAD,PIN:384008 MILDURA</v>
      </c>
      <c r="I375" s="8">
        <f>Sheet1!I375</f>
        <v>45955</v>
      </c>
      <c r="J375" s="5" t="str">
        <f>Sheet1!M375 &amp; "," &amp; TEXT(Sheet1!N375,"dd/mm/yy")</f>
        <v>MHA/IND/00374,12/07/25</v>
      </c>
      <c r="K375" s="5" t="s">
        <v>5752</v>
      </c>
      <c r="L375" s="31" t="s">
        <v>14</v>
      </c>
      <c r="M375" s="31" t="s">
        <v>15</v>
      </c>
      <c r="N375" s="31" t="s">
        <v>16</v>
      </c>
    </row>
    <row r="376" spans="1:14" x14ac:dyDescent="0.25">
      <c r="A376" s="4" t="str">
        <f>Sheet1!A376 &amp; "/" &amp; "2025"</f>
        <v>375/2025</v>
      </c>
      <c r="B376" s="5" t="str">
        <f>Sheet1!E376</f>
        <v>IND/MEL/00375</v>
      </c>
      <c r="C376" s="6" t="str">
        <f>UPPER(Sheet1!B376)</f>
        <v>ANYA RAO</v>
      </c>
      <c r="D376" s="7" t="str">
        <f>IF(Sheet1!F376="F","FEMALE","MALE")</f>
        <v>FEMALE</v>
      </c>
      <c r="E376" s="6" t="str">
        <f>UPPER(Sheet1!G376)</f>
        <v>NEIL RAO</v>
      </c>
      <c r="F376" s="6" t="str">
        <f>UPPER(Sheet1!H376)</f>
        <v>TARA RAO</v>
      </c>
      <c r="G376" s="5" t="str">
        <f>TEXT(Sheet1!C376,"dd/mm/yyyy") &amp; "," &amp; Sheet1!D376</f>
        <v>22/01/2025,ST ALBANS</v>
      </c>
      <c r="H376" s="39" t="str">
        <f>UPPER(Sheet1!J376 &amp; "," &amp; Sheet1!K376 &amp; "," &amp; Sheet1!L376)</f>
        <v>198 BIRCHWOOD LANE,EMERALD ROAD,PIN:435572 ST ALBANS</v>
      </c>
      <c r="I376" s="8">
        <f>Sheet1!I376</f>
        <v>45704</v>
      </c>
      <c r="J376" s="5" t="str">
        <f>Sheet1!M376 &amp; "," &amp; TEXT(Sheet1!N376,"dd/mm/yy")</f>
        <v>MHA/IND/00375,19/08/25</v>
      </c>
      <c r="K376" s="5" t="s">
        <v>5752</v>
      </c>
      <c r="L376" s="31" t="s">
        <v>14</v>
      </c>
      <c r="M376" s="31" t="s">
        <v>15</v>
      </c>
      <c r="N376" s="31" t="s">
        <v>16</v>
      </c>
    </row>
    <row r="377" spans="1:14" x14ac:dyDescent="0.25">
      <c r="A377" s="4" t="str">
        <f>Sheet1!A377 &amp; "/" &amp; "2025"</f>
        <v>376/2025</v>
      </c>
      <c r="B377" s="5" t="str">
        <f>Sheet1!E377</f>
        <v>IND/MEL/00376</v>
      </c>
      <c r="C377" s="6" t="str">
        <f>UPPER(Sheet1!B377)</f>
        <v>DIYA MYRTHOS</v>
      </c>
      <c r="D377" s="7" t="str">
        <f>IF(Sheet1!F377="F","FEMALE","MALE")</f>
        <v>FEMALE</v>
      </c>
      <c r="E377" s="6" t="str">
        <f>UPPER(Sheet1!G377)</f>
        <v>ROHIT MYRTHOS</v>
      </c>
      <c r="F377" s="6" t="str">
        <f>UPPER(Sheet1!H377)</f>
        <v>ALYA MYRTHOS</v>
      </c>
      <c r="G377" s="5" t="str">
        <f>TEXT(Sheet1!C377,"dd/mm/yyyy") &amp; "," &amp; Sheet1!D377</f>
        <v>28/09/2025,BENDIGO</v>
      </c>
      <c r="H377" s="39" t="str">
        <f>UPPER(Sheet1!J377 &amp; "," &amp; Sheet1!K377 &amp; "," &amp; Sheet1!L377)</f>
        <v>157 BIRCHWOOD LANE,EMERALD ROAD,PIN:557614 BENDIGO</v>
      </c>
      <c r="I377" s="8">
        <f>Sheet1!I377</f>
        <v>45960</v>
      </c>
      <c r="J377" s="5" t="str">
        <f>Sheet1!M377 &amp; "," &amp; TEXT(Sheet1!N377,"dd/mm/yy")</f>
        <v>MHA/IND/00376,12/08/25</v>
      </c>
      <c r="K377" s="5" t="s">
        <v>5752</v>
      </c>
      <c r="L377" s="31" t="s">
        <v>14</v>
      </c>
      <c r="M377" s="31" t="s">
        <v>15</v>
      </c>
      <c r="N377" s="31" t="s">
        <v>16</v>
      </c>
    </row>
    <row r="378" spans="1:14" x14ac:dyDescent="0.25">
      <c r="A378" s="4" t="str">
        <f>Sheet1!A378 &amp; "/" &amp; "2025"</f>
        <v>377/2025</v>
      </c>
      <c r="B378" s="5" t="str">
        <f>Sheet1!E378</f>
        <v>IND/MEL/00377</v>
      </c>
      <c r="C378" s="6" t="str">
        <f>UPPER(Sheet1!B378)</f>
        <v>DIYA RISHKAN</v>
      </c>
      <c r="D378" s="7" t="str">
        <f>IF(Sheet1!F378="F","FEMALE","MALE")</f>
        <v>FEMALE</v>
      </c>
      <c r="E378" s="6" t="str">
        <f>UPPER(Sheet1!G378)</f>
        <v>KABIR RISHKAN</v>
      </c>
      <c r="F378" s="6" t="str">
        <f>UPPER(Sheet1!H378)</f>
        <v>NINA RISHKAN</v>
      </c>
      <c r="G378" s="5" t="str">
        <f>TEXT(Sheet1!C378,"dd/mm/yyyy") &amp; "," &amp; Sheet1!D378</f>
        <v>17/10/2025,WOLLONGONG</v>
      </c>
      <c r="H378" s="39" t="str">
        <f>UPPER(Sheet1!J378 &amp; "," &amp; Sheet1!K378 &amp; "," &amp; Sheet1!L378)</f>
        <v>77 BIRCHWOOD LANE,EMERALD ROAD,PIN:990720 WOLLONGONG</v>
      </c>
      <c r="I378" s="8">
        <f>Sheet1!I378</f>
        <v>46053</v>
      </c>
      <c r="J378" s="5" t="str">
        <f>Sheet1!M378 &amp; "," &amp; TEXT(Sheet1!N378,"dd/mm/yy")</f>
        <v>MHA/IND/00377,01/08/25</v>
      </c>
      <c r="K378" s="5" t="s">
        <v>5752</v>
      </c>
      <c r="L378" s="31" t="s">
        <v>14</v>
      </c>
      <c r="M378" s="31" t="s">
        <v>15</v>
      </c>
      <c r="N378" s="31" t="s">
        <v>16</v>
      </c>
    </row>
    <row r="379" spans="1:14" x14ac:dyDescent="0.25">
      <c r="A379" s="4" t="str">
        <f>Sheet1!A379 &amp; "/" &amp; "2025"</f>
        <v>378/2025</v>
      </c>
      <c r="B379" s="5" t="str">
        <f>Sheet1!E379</f>
        <v>IND/MEL/00378</v>
      </c>
      <c r="C379" s="6" t="str">
        <f>UPPER(Sheet1!B379)</f>
        <v>ANYA VALZARI</v>
      </c>
      <c r="D379" s="7" t="str">
        <f>IF(Sheet1!F379="F","FEMALE","MALE")</f>
        <v>FEMALE</v>
      </c>
      <c r="E379" s="6" t="str">
        <f>UPPER(Sheet1!G379)</f>
        <v>NEIL VALZARI</v>
      </c>
      <c r="F379" s="6" t="str">
        <f>UPPER(Sheet1!H379)</f>
        <v>DIYA VALZARI</v>
      </c>
      <c r="G379" s="5" t="str">
        <f>TEXT(Sheet1!C379,"dd/mm/yyyy") &amp; "," &amp; Sheet1!D379</f>
        <v>18/04/2025,WERRIBEE</v>
      </c>
      <c r="H379" s="39" t="str">
        <f>UPPER(Sheet1!J379 &amp; "," &amp; Sheet1!K379 &amp; "," &amp; Sheet1!L379)</f>
        <v>59 BIRCHWOOD LANE,EMERALD ROAD,PIN:686666 WERRIBEE</v>
      </c>
      <c r="I379" s="8">
        <f>Sheet1!I379</f>
        <v>45824</v>
      </c>
      <c r="J379" s="5" t="str">
        <f>Sheet1!M379 &amp; "," &amp; TEXT(Sheet1!N379,"dd/mm/yy")</f>
        <v>MHA/IND/00378,10/08/25</v>
      </c>
      <c r="K379" s="5" t="s">
        <v>5752</v>
      </c>
      <c r="L379" s="31" t="s">
        <v>14</v>
      </c>
      <c r="M379" s="31" t="s">
        <v>15</v>
      </c>
      <c r="N379" s="31" t="s">
        <v>16</v>
      </c>
    </row>
    <row r="380" spans="1:14" x14ac:dyDescent="0.25">
      <c r="A380" s="4" t="str">
        <f>Sheet1!A380 &amp; "/" &amp; "2025"</f>
        <v>379/2025</v>
      </c>
      <c r="B380" s="5" t="str">
        <f>Sheet1!E380</f>
        <v>IND/MEL/00379</v>
      </c>
      <c r="C380" s="6" t="str">
        <f>UPPER(Sheet1!B380)</f>
        <v>DEV MYRTHOS</v>
      </c>
      <c r="D380" s="7" t="str">
        <f>IF(Sheet1!F380="F","FEMALE","MALE")</f>
        <v>MALE</v>
      </c>
      <c r="E380" s="6" t="str">
        <f>UPPER(Sheet1!G380)</f>
        <v>KABIR MYRTHOS</v>
      </c>
      <c r="F380" s="6" t="str">
        <f>UPPER(Sheet1!H380)</f>
        <v>MIRA MYRTHOS</v>
      </c>
      <c r="G380" s="5" t="str">
        <f>TEXT(Sheet1!C380,"dd/mm/yyyy") &amp; "," &amp; Sheet1!D380</f>
        <v>18/08/2025,MIDLAND</v>
      </c>
      <c r="H380" s="39" t="str">
        <f>UPPER(Sheet1!J380 &amp; "," &amp; Sheet1!K380 &amp; "," &amp; Sheet1!L380)</f>
        <v>68 BIRCHWOOD LANE,EMERALD ROAD,PIN:921614 MIDLAND</v>
      </c>
      <c r="I380" s="8">
        <f>Sheet1!I380</f>
        <v>45936</v>
      </c>
      <c r="J380" s="5" t="str">
        <f>Sheet1!M380 &amp; "," &amp; TEXT(Sheet1!N380,"dd/mm/yy")</f>
        <v>MHA/IND/00379,06/07/25</v>
      </c>
      <c r="K380" s="5" t="s">
        <v>5752</v>
      </c>
      <c r="L380" s="31" t="s">
        <v>14</v>
      </c>
      <c r="M380" s="31" t="s">
        <v>15</v>
      </c>
      <c r="N380" s="31" t="s">
        <v>16</v>
      </c>
    </row>
    <row r="381" spans="1:14" x14ac:dyDescent="0.25">
      <c r="A381" s="4" t="str">
        <f>Sheet1!A381 &amp; "/" &amp; "2025"</f>
        <v>380/2025</v>
      </c>
      <c r="B381" s="5" t="str">
        <f>Sheet1!E381</f>
        <v>IND/MEL/00380</v>
      </c>
      <c r="C381" s="6" t="str">
        <f>UPPER(Sheet1!B381)</f>
        <v>NINA MYRTHOS</v>
      </c>
      <c r="D381" s="7" t="str">
        <f>IF(Sheet1!F381="F","FEMALE","MALE")</f>
        <v>FEMALE</v>
      </c>
      <c r="E381" s="6" t="str">
        <f>UPPER(Sheet1!G381)</f>
        <v>ISHAN MYRTHOS</v>
      </c>
      <c r="F381" s="6" t="str">
        <f>UPPER(Sheet1!H381)</f>
        <v>ALYA MYRTHOS</v>
      </c>
      <c r="G381" s="5" t="str">
        <f>TEXT(Sheet1!C381,"dd/mm/yyyy") &amp; "," &amp; Sheet1!D381</f>
        <v>29/01/2025,BUNDOORA</v>
      </c>
      <c r="H381" s="39" t="str">
        <f>UPPER(Sheet1!J381 &amp; "," &amp; Sheet1!K381 &amp; "," &amp; Sheet1!L381)</f>
        <v>191 BIRCHWOOD LANE,EMERALD ROAD,PIN:383372 BUNDOORA</v>
      </c>
      <c r="I381" s="8">
        <f>Sheet1!I381</f>
        <v>45704</v>
      </c>
      <c r="J381" s="5" t="str">
        <f>Sheet1!M381 &amp; "," &amp; TEXT(Sheet1!N381,"dd/mm/yy")</f>
        <v>MHA/IND/00380,29/08/25</v>
      </c>
      <c r="K381" s="5" t="s">
        <v>5752</v>
      </c>
      <c r="L381" s="31" t="s">
        <v>14</v>
      </c>
      <c r="M381" s="31" t="s">
        <v>15</v>
      </c>
      <c r="N381" s="31" t="s">
        <v>16</v>
      </c>
    </row>
    <row r="382" spans="1:14" x14ac:dyDescent="0.25">
      <c r="A382" s="4" t="str">
        <f>Sheet1!A382 &amp; "/" &amp; "2025"</f>
        <v>381/2025</v>
      </c>
      <c r="B382" s="5" t="str">
        <f>Sheet1!E382</f>
        <v>IND/MEL/00381</v>
      </c>
      <c r="C382" s="6" t="str">
        <f>UPPER(Sheet1!B382)</f>
        <v>ARJUN SINDALE</v>
      </c>
      <c r="D382" s="7" t="str">
        <f>IF(Sheet1!F382="F","FEMALE","MALE")</f>
        <v>MALE</v>
      </c>
      <c r="E382" s="6" t="str">
        <f>UPPER(Sheet1!G382)</f>
        <v>AREN SINDALE</v>
      </c>
      <c r="F382" s="6" t="str">
        <f>UPPER(Sheet1!H382)</f>
        <v>ALYA SINDALE</v>
      </c>
      <c r="G382" s="5" t="str">
        <f>TEXT(Sheet1!C382,"dd/mm/yyyy") &amp; "," &amp; Sheet1!D382</f>
        <v>21/04/2025,ADELAIDE</v>
      </c>
      <c r="H382" s="39" t="str">
        <f>UPPER(Sheet1!J382 &amp; "," &amp; Sheet1!K382 &amp; "," &amp; Sheet1!L382)</f>
        <v>28 BIRCHWOOD LANE,EMERALD ROAD,PIN:703922 ADELAIDE</v>
      </c>
      <c r="I382" s="8">
        <f>Sheet1!I382</f>
        <v>45805</v>
      </c>
      <c r="J382" s="5" t="str">
        <f>Sheet1!M382 &amp; "," &amp; TEXT(Sheet1!N382,"dd/mm/yy")</f>
        <v>MHA/IND/00381,15/07/25</v>
      </c>
      <c r="K382" s="5" t="s">
        <v>5752</v>
      </c>
      <c r="L382" s="31" t="s">
        <v>14</v>
      </c>
      <c r="M382" s="31" t="s">
        <v>15</v>
      </c>
      <c r="N382" s="31" t="s">
        <v>16</v>
      </c>
    </row>
    <row r="383" spans="1:14" x14ac:dyDescent="0.25">
      <c r="A383" s="4" t="str">
        <f>Sheet1!A383 &amp; "/" &amp; "2025"</f>
        <v>382/2025</v>
      </c>
      <c r="B383" s="5" t="str">
        <f>Sheet1!E383</f>
        <v>IND/MEL/00382</v>
      </c>
      <c r="C383" s="6" t="str">
        <f>UPPER(Sheet1!B383)</f>
        <v>DIYA SHARMA</v>
      </c>
      <c r="D383" s="7" t="str">
        <f>IF(Sheet1!F383="F","FEMALE","MALE")</f>
        <v>FEMALE</v>
      </c>
      <c r="E383" s="6" t="str">
        <f>UPPER(Sheet1!G383)</f>
        <v>ARJUN SHARMA</v>
      </c>
      <c r="F383" s="6" t="str">
        <f>UPPER(Sheet1!H383)</f>
        <v>ALYA SHARMA</v>
      </c>
      <c r="G383" s="5" t="str">
        <f>TEXT(Sheet1!C383,"dd/mm/yyyy") &amp; "," &amp; Sheet1!D383</f>
        <v>13/02/2025,TOOWOOMBA</v>
      </c>
      <c r="H383" s="39" t="str">
        <f>UPPER(Sheet1!J383 &amp; "," &amp; Sheet1!K383 &amp; "," &amp; Sheet1!L383)</f>
        <v>185 BIRCHWOOD LANE,EMERALD ROAD,PIN:926264 TOOWOOMBA</v>
      </c>
      <c r="I383" s="8">
        <f>Sheet1!I383</f>
        <v>45738</v>
      </c>
      <c r="J383" s="5" t="str">
        <f>Sheet1!M383 &amp; "," &amp; TEXT(Sheet1!N383,"dd/mm/yy")</f>
        <v>MHA/IND/00382,03/07/25</v>
      </c>
      <c r="K383" s="5" t="s">
        <v>5752</v>
      </c>
      <c r="L383" s="31" t="s">
        <v>14</v>
      </c>
      <c r="M383" s="31" t="s">
        <v>15</v>
      </c>
      <c r="N383" s="31" t="s">
        <v>16</v>
      </c>
    </row>
    <row r="384" spans="1:14" x14ac:dyDescent="0.25">
      <c r="A384" s="4" t="str">
        <f>Sheet1!A384 &amp; "/" &amp; "2025"</f>
        <v>383/2025</v>
      </c>
      <c r="B384" s="5" t="str">
        <f>Sheet1!E384</f>
        <v>IND/MEL/00383</v>
      </c>
      <c r="C384" s="6" t="str">
        <f>UPPER(Sheet1!B384)</f>
        <v>ISHAN SINDALE</v>
      </c>
      <c r="D384" s="7" t="str">
        <f>IF(Sheet1!F384="F","FEMALE","MALE")</f>
        <v>MALE</v>
      </c>
      <c r="E384" s="6" t="str">
        <f>UPPER(Sheet1!G384)</f>
        <v>ARJUN SINDALE</v>
      </c>
      <c r="F384" s="6" t="str">
        <f>UPPER(Sheet1!H384)</f>
        <v>SARA SINDALE</v>
      </c>
      <c r="G384" s="5" t="str">
        <f>TEXT(Sheet1!C384,"dd/mm/yyyy") &amp; "," &amp; Sheet1!D384</f>
        <v>21/02/2025,PERTH</v>
      </c>
      <c r="H384" s="39" t="str">
        <f>UPPER(Sheet1!J384 &amp; "," &amp; Sheet1!K384 &amp; "," &amp; Sheet1!L384)</f>
        <v>166 BIRCHWOOD LANE,EMERALD ROAD,PIN:836568 PERTH</v>
      </c>
      <c r="I384" s="8">
        <f>Sheet1!I384</f>
        <v>45797</v>
      </c>
      <c r="J384" s="5" t="str">
        <f>Sheet1!M384 &amp; "," &amp; TEXT(Sheet1!N384,"dd/mm/yy")</f>
        <v>MHA/IND/00383,13/07/25</v>
      </c>
      <c r="K384" s="5" t="s">
        <v>5752</v>
      </c>
      <c r="L384" s="31" t="s">
        <v>14</v>
      </c>
      <c r="M384" s="31" t="s">
        <v>15</v>
      </c>
      <c r="N384" s="31" t="s">
        <v>16</v>
      </c>
    </row>
    <row r="385" spans="1:14" x14ac:dyDescent="0.25">
      <c r="A385" s="4" t="str">
        <f>Sheet1!A385 &amp; "/" &amp; "2025"</f>
        <v>384/2025</v>
      </c>
      <c r="B385" s="5" t="str">
        <f>Sheet1!E385</f>
        <v>IND/MEL/00384</v>
      </c>
      <c r="C385" s="6" t="str">
        <f>UPPER(Sheet1!B385)</f>
        <v>ALYA RAO</v>
      </c>
      <c r="D385" s="7" t="str">
        <f>IF(Sheet1!F385="F","FEMALE","MALE")</f>
        <v>FEMALE</v>
      </c>
      <c r="E385" s="6" t="str">
        <f>UPPER(Sheet1!G385)</f>
        <v>ISHAN RAO</v>
      </c>
      <c r="F385" s="6" t="str">
        <f>UPPER(Sheet1!H385)</f>
        <v>DIYA RAO</v>
      </c>
      <c r="G385" s="5" t="str">
        <f>TEXT(Sheet1!C385,"dd/mm/yyyy") &amp; "," &amp; Sheet1!D385</f>
        <v>03/06/2025,NEWCASTLE</v>
      </c>
      <c r="H385" s="39" t="str">
        <f>UPPER(Sheet1!J385 &amp; "," &amp; Sheet1!K385 &amp; "," &amp; Sheet1!L385)</f>
        <v>190 BIRCHWOOD LANE,EMERALD ROAD,PIN:596001 NEWCASTLE</v>
      </c>
      <c r="I385" s="8">
        <f>Sheet1!I385</f>
        <v>45898</v>
      </c>
      <c r="J385" s="5" t="str">
        <f>Sheet1!M385 &amp; "," &amp; TEXT(Sheet1!N385,"dd/mm/yy")</f>
        <v>MHA/IND/00384,11/07/25</v>
      </c>
      <c r="K385" s="5" t="s">
        <v>5752</v>
      </c>
      <c r="L385" s="31" t="s">
        <v>14</v>
      </c>
      <c r="M385" s="31" t="s">
        <v>15</v>
      </c>
      <c r="N385" s="31" t="s">
        <v>16</v>
      </c>
    </row>
    <row r="386" spans="1:14" x14ac:dyDescent="0.25">
      <c r="A386" s="4" t="str">
        <f>Sheet1!A386 &amp; "/" &amp; "2025"</f>
        <v>385/2025</v>
      </c>
      <c r="B386" s="5" t="str">
        <f>Sheet1!E386</f>
        <v>IND/MEL/00385</v>
      </c>
      <c r="C386" s="6" t="str">
        <f>UPPER(Sheet1!B386)</f>
        <v>ISHAN SINDALE</v>
      </c>
      <c r="D386" s="7" t="str">
        <f>IF(Sheet1!F386="F","FEMALE","MALE")</f>
        <v>MALE</v>
      </c>
      <c r="E386" s="6" t="str">
        <f>UPPER(Sheet1!G386)</f>
        <v>KABIR SINDALE</v>
      </c>
      <c r="F386" s="6" t="str">
        <f>UPPER(Sheet1!H386)</f>
        <v>TARA SINDALE</v>
      </c>
      <c r="G386" s="5" t="str">
        <f>TEXT(Sheet1!C386,"dd/mm/yyyy") &amp; "," &amp; Sheet1!D386</f>
        <v>11/02/2025,SHEPPARTON</v>
      </c>
      <c r="H386" s="39" t="str">
        <f>UPPER(Sheet1!J386 &amp; "," &amp; Sheet1!K386 &amp; "," &amp; Sheet1!L386)</f>
        <v>189 BIRCHWOOD LANE,EMERALD ROAD,PIN:454480 SHEPPARTON</v>
      </c>
      <c r="I386" s="8">
        <f>Sheet1!I386</f>
        <v>45721</v>
      </c>
      <c r="J386" s="5" t="str">
        <f>Sheet1!M386 &amp; "," &amp; TEXT(Sheet1!N386,"dd/mm/yy")</f>
        <v>MHA/IND/00385,14/08/25</v>
      </c>
      <c r="K386" s="5" t="s">
        <v>5752</v>
      </c>
      <c r="L386" s="31" t="s">
        <v>14</v>
      </c>
      <c r="M386" s="31" t="s">
        <v>15</v>
      </c>
      <c r="N386" s="31" t="s">
        <v>16</v>
      </c>
    </row>
    <row r="387" spans="1:14" x14ac:dyDescent="0.25">
      <c r="A387" s="4" t="str">
        <f>Sheet1!A387 &amp; "/" &amp; "2025"</f>
        <v>386/2025</v>
      </c>
      <c r="B387" s="5" t="str">
        <f>Sheet1!E387</f>
        <v>IND/MEL/00386</v>
      </c>
      <c r="C387" s="6" t="str">
        <f>UPPER(Sheet1!B387)</f>
        <v>ISHAN KALEON</v>
      </c>
      <c r="D387" s="7" t="str">
        <f>IF(Sheet1!F387="F","FEMALE","MALE")</f>
        <v>MALE</v>
      </c>
      <c r="E387" s="6" t="str">
        <f>UPPER(Sheet1!G387)</f>
        <v>AREN KALEON</v>
      </c>
      <c r="F387" s="6" t="str">
        <f>UPPER(Sheet1!H387)</f>
        <v>NINA KALEON</v>
      </c>
      <c r="G387" s="5" t="str">
        <f>TEXT(Sheet1!C387,"dd/mm/yyyy") &amp; "," &amp; Sheet1!D387</f>
        <v>15/10/2025,MOUNT WAVERLEY</v>
      </c>
      <c r="H387" s="39" t="str">
        <f>UPPER(Sheet1!J387 &amp; "," &amp; Sheet1!K387 &amp; "," &amp; Sheet1!L387)</f>
        <v>137 BIRCHWOOD LANE,EMERALD ROAD,PIN:600100 MOUNT WAVERLEY</v>
      </c>
      <c r="I387" s="8">
        <f>Sheet1!I387</f>
        <v>46061</v>
      </c>
      <c r="J387" s="5" t="str">
        <f>Sheet1!M387 &amp; "," &amp; TEXT(Sheet1!N387,"dd/mm/yy")</f>
        <v>MHA/IND/00386,05/07/25</v>
      </c>
      <c r="K387" s="5" t="s">
        <v>5752</v>
      </c>
      <c r="L387" s="31" t="s">
        <v>14</v>
      </c>
      <c r="M387" s="31" t="s">
        <v>15</v>
      </c>
      <c r="N387" s="31" t="s">
        <v>16</v>
      </c>
    </row>
    <row r="388" spans="1:14" x14ac:dyDescent="0.25">
      <c r="A388" s="4" t="str">
        <f>Sheet1!A388 &amp; "/" &amp; "2025"</f>
        <v>387/2025</v>
      </c>
      <c r="B388" s="5" t="str">
        <f>Sheet1!E388</f>
        <v>IND/MEL/00387</v>
      </c>
      <c r="C388" s="6" t="str">
        <f>UPPER(Sheet1!B388)</f>
        <v>KIRAN MYRTHOS</v>
      </c>
      <c r="D388" s="7" t="str">
        <f>IF(Sheet1!F388="F","FEMALE","MALE")</f>
        <v>MALE</v>
      </c>
      <c r="E388" s="6" t="str">
        <f>UPPER(Sheet1!G388)</f>
        <v>ARJUN MYRTHOS</v>
      </c>
      <c r="F388" s="6" t="str">
        <f>UPPER(Sheet1!H388)</f>
        <v>MIRA MYRTHOS</v>
      </c>
      <c r="G388" s="5" t="str">
        <f>TEXT(Sheet1!C388,"dd/mm/yyyy") &amp; "," &amp; Sheet1!D388</f>
        <v>20/03/2025,DEVONPORT</v>
      </c>
      <c r="H388" s="39" t="str">
        <f>UPPER(Sheet1!J388 &amp; "," &amp; Sheet1!K388 &amp; "," &amp; Sheet1!L388)</f>
        <v>125 BIRCHWOOD LANE,EMERALD ROAD,PIN:206474 DEVONPORT</v>
      </c>
      <c r="I388" s="8">
        <f>Sheet1!I388</f>
        <v>45837</v>
      </c>
      <c r="J388" s="5" t="str">
        <f>Sheet1!M388 &amp; "," &amp; TEXT(Sheet1!N388,"dd/mm/yy")</f>
        <v>MHA/IND/00387,24/07/25</v>
      </c>
      <c r="K388" s="5" t="s">
        <v>5752</v>
      </c>
      <c r="L388" s="31" t="s">
        <v>14</v>
      </c>
      <c r="M388" s="31" t="s">
        <v>15</v>
      </c>
      <c r="N388" s="31" t="s">
        <v>16</v>
      </c>
    </row>
    <row r="389" spans="1:14" x14ac:dyDescent="0.25">
      <c r="A389" s="4" t="str">
        <f>Sheet1!A389 &amp; "/" &amp; "2025"</f>
        <v>388/2025</v>
      </c>
      <c r="B389" s="5" t="str">
        <f>Sheet1!E389</f>
        <v>IND/MEL/00388</v>
      </c>
      <c r="C389" s="6" t="str">
        <f>UPPER(Sheet1!B389)</f>
        <v>ISHAN MYRTHOS</v>
      </c>
      <c r="D389" s="7" t="str">
        <f>IF(Sheet1!F389="F","FEMALE","MALE")</f>
        <v>MALE</v>
      </c>
      <c r="E389" s="6" t="str">
        <f>UPPER(Sheet1!G389)</f>
        <v>AREN MYRTHOS</v>
      </c>
      <c r="F389" s="6" t="str">
        <f>UPPER(Sheet1!H389)</f>
        <v>ANYA MYRTHOS</v>
      </c>
      <c r="G389" s="5" t="str">
        <f>TEXT(Sheet1!C389,"dd/mm/yyyy") &amp; "," &amp; Sheet1!D389</f>
        <v>20/06/2025,BENDIGO</v>
      </c>
      <c r="H389" s="39" t="str">
        <f>UPPER(Sheet1!J389 &amp; "," &amp; Sheet1!K389 &amp; "," &amp; Sheet1!L389)</f>
        <v>153 BIRCHWOOD LANE,EMERALD ROAD,PIN:734089 BENDIGO</v>
      </c>
      <c r="I389" s="8">
        <f>Sheet1!I389</f>
        <v>45844</v>
      </c>
      <c r="J389" s="5" t="str">
        <f>Sheet1!M389 &amp; "," &amp; TEXT(Sheet1!N389,"dd/mm/yy")</f>
        <v>MHA/IND/00388,06/07/25</v>
      </c>
      <c r="K389" s="5" t="s">
        <v>5752</v>
      </c>
      <c r="L389" s="31" t="s">
        <v>14</v>
      </c>
      <c r="M389" s="31" t="s">
        <v>15</v>
      </c>
      <c r="N389" s="31" t="s">
        <v>16</v>
      </c>
    </row>
    <row r="390" spans="1:14" x14ac:dyDescent="0.25">
      <c r="A390" s="4" t="str">
        <f>Sheet1!A390 &amp; "/" &amp; "2025"</f>
        <v>389/2025</v>
      </c>
      <c r="B390" s="5" t="str">
        <f>Sheet1!E390</f>
        <v>IND/MEL/00389</v>
      </c>
      <c r="C390" s="6" t="str">
        <f>UPPER(Sheet1!B390)</f>
        <v>AREN SINDALE</v>
      </c>
      <c r="D390" s="7" t="str">
        <f>IF(Sheet1!F390="F","FEMALE","MALE")</f>
        <v>MALE</v>
      </c>
      <c r="E390" s="6" t="str">
        <f>UPPER(Sheet1!G390)</f>
        <v>KIRAN SINDALE</v>
      </c>
      <c r="F390" s="6" t="str">
        <f>UPPER(Sheet1!H390)</f>
        <v>TARA SINDALE</v>
      </c>
      <c r="G390" s="5" t="str">
        <f>TEXT(Sheet1!C390,"dd/mm/yyyy") &amp; "," &amp; Sheet1!D390</f>
        <v>30/06/2025,SHEPPARTON</v>
      </c>
      <c r="H390" s="39" t="str">
        <f>UPPER(Sheet1!J390 &amp; "," &amp; Sheet1!K390 &amp; "," &amp; Sheet1!L390)</f>
        <v>62 BIRCHWOOD LANE,EMERALD ROAD,PIN:334715 SHEPPARTON</v>
      </c>
      <c r="I390" s="8">
        <f>Sheet1!I390</f>
        <v>45918</v>
      </c>
      <c r="J390" s="5" t="str">
        <f>Sheet1!M390 &amp; "," &amp; TEXT(Sheet1!N390,"dd/mm/yy")</f>
        <v>MHA/IND/00389,21/08/25</v>
      </c>
      <c r="K390" s="5" t="s">
        <v>5752</v>
      </c>
      <c r="L390" s="31" t="s">
        <v>14</v>
      </c>
      <c r="M390" s="31" t="s">
        <v>15</v>
      </c>
      <c r="N390" s="31" t="s">
        <v>16</v>
      </c>
    </row>
    <row r="391" spans="1:14" x14ac:dyDescent="0.25">
      <c r="A391" s="4" t="str">
        <f>Sheet1!A391 &amp; "/" &amp; "2025"</f>
        <v>390/2025</v>
      </c>
      <c r="B391" s="5" t="str">
        <f>Sheet1!E391</f>
        <v>IND/MEL/00390</v>
      </c>
      <c r="C391" s="6" t="str">
        <f>UPPER(Sheet1!B391)</f>
        <v>ARJUN SHARMA</v>
      </c>
      <c r="D391" s="7" t="str">
        <f>IF(Sheet1!F391="F","FEMALE","MALE")</f>
        <v>MALE</v>
      </c>
      <c r="E391" s="6" t="str">
        <f>UPPER(Sheet1!G391)</f>
        <v>DEV SHARMA</v>
      </c>
      <c r="F391" s="6" t="str">
        <f>UPPER(Sheet1!H391)</f>
        <v>RIYA SHARMA</v>
      </c>
      <c r="G391" s="5" t="str">
        <f>TEXT(Sheet1!C391,"dd/mm/yyyy") &amp; "," &amp; Sheet1!D391</f>
        <v>31/08/2025,WODONGA</v>
      </c>
      <c r="H391" s="39" t="str">
        <f>UPPER(Sheet1!J391 &amp; "," &amp; Sheet1!K391 &amp; "," &amp; Sheet1!L391)</f>
        <v>93 BIRCHWOOD LANE,EMERALD ROAD,PIN:490957 WODONGA</v>
      </c>
      <c r="I391" s="8">
        <f>Sheet1!I391</f>
        <v>45984</v>
      </c>
      <c r="J391" s="5" t="str">
        <f>Sheet1!M391 &amp; "," &amp; TEXT(Sheet1!N391,"dd/mm/yy")</f>
        <v>MHA/IND/00390,08/07/25</v>
      </c>
      <c r="K391" s="5" t="s">
        <v>5752</v>
      </c>
      <c r="L391" s="31" t="s">
        <v>14</v>
      </c>
      <c r="M391" s="31" t="s">
        <v>15</v>
      </c>
      <c r="N391" s="31" t="s">
        <v>16</v>
      </c>
    </row>
    <row r="392" spans="1:14" x14ac:dyDescent="0.25">
      <c r="A392" s="4" t="str">
        <f>Sheet1!A392 &amp; "/" &amp; "2025"</f>
        <v>391/2025</v>
      </c>
      <c r="B392" s="5" t="str">
        <f>Sheet1!E392</f>
        <v>IND/MEL/00391</v>
      </c>
      <c r="C392" s="6" t="str">
        <f>UPPER(Sheet1!B392)</f>
        <v>ALYA RAO</v>
      </c>
      <c r="D392" s="7" t="str">
        <f>IF(Sheet1!F392="F","FEMALE","MALE")</f>
        <v>FEMALE</v>
      </c>
      <c r="E392" s="6" t="str">
        <f>UPPER(Sheet1!G392)</f>
        <v>NEIL RAO</v>
      </c>
      <c r="F392" s="6" t="str">
        <f>UPPER(Sheet1!H392)</f>
        <v>MIRA RAO</v>
      </c>
      <c r="G392" s="5" t="str">
        <f>TEXT(Sheet1!C392,"dd/mm/yyyy") &amp; "," &amp; Sheet1!D392</f>
        <v>23/10/2025,PENRITH</v>
      </c>
      <c r="H392" s="39" t="str">
        <f>UPPER(Sheet1!J392 &amp; "," &amp; Sheet1!K392 &amp; "," &amp; Sheet1!L392)</f>
        <v>159 BIRCHWOOD LANE,EMERALD ROAD,PIN:895389 PENRITH</v>
      </c>
      <c r="I392" s="8">
        <f>Sheet1!I392</f>
        <v>45959</v>
      </c>
      <c r="J392" s="5" t="str">
        <f>Sheet1!M392 &amp; "," &amp; TEXT(Sheet1!N392,"dd/mm/yy")</f>
        <v>MHA/IND/00391,07/07/25</v>
      </c>
      <c r="K392" s="5" t="s">
        <v>5752</v>
      </c>
      <c r="L392" s="31" t="s">
        <v>14</v>
      </c>
      <c r="M392" s="31" t="s">
        <v>15</v>
      </c>
      <c r="N392" s="31" t="s">
        <v>16</v>
      </c>
    </row>
    <row r="393" spans="1:14" x14ac:dyDescent="0.25">
      <c r="A393" s="4" t="str">
        <f>Sheet1!A393 &amp; "/" &amp; "2025"</f>
        <v>392/2025</v>
      </c>
      <c r="B393" s="5" t="str">
        <f>Sheet1!E393</f>
        <v>IND/MEL/00392</v>
      </c>
      <c r="C393" s="6" t="str">
        <f>UPPER(Sheet1!B393)</f>
        <v>DIYA KALEON</v>
      </c>
      <c r="D393" s="7" t="str">
        <f>IF(Sheet1!F393="F","FEMALE","MALE")</f>
        <v>FEMALE</v>
      </c>
      <c r="E393" s="6" t="str">
        <f>UPPER(Sheet1!G393)</f>
        <v>ISHAN KALEON</v>
      </c>
      <c r="F393" s="6" t="str">
        <f>UPPER(Sheet1!H393)</f>
        <v>ALYA KALEON</v>
      </c>
      <c r="G393" s="5" t="str">
        <f>TEXT(Sheet1!C393,"dd/mm/yyyy") &amp; "," &amp; Sheet1!D393</f>
        <v>27/04/2025,WODONGA</v>
      </c>
      <c r="H393" s="39" t="str">
        <f>UPPER(Sheet1!J393 &amp; "," &amp; Sheet1!K393 &amp; "," &amp; Sheet1!L393)</f>
        <v>21 BIRCHWOOD LANE,EMERALD ROAD,PIN:899035 WODONGA</v>
      </c>
      <c r="I393" s="8">
        <f>Sheet1!I393</f>
        <v>45805</v>
      </c>
      <c r="J393" s="5" t="str">
        <f>Sheet1!M393 &amp; "," &amp; TEXT(Sheet1!N393,"dd/mm/yy")</f>
        <v>MHA/IND/00392,29/08/25</v>
      </c>
      <c r="K393" s="5" t="s">
        <v>5752</v>
      </c>
      <c r="L393" s="31" t="s">
        <v>14</v>
      </c>
      <c r="M393" s="31" t="s">
        <v>15</v>
      </c>
      <c r="N393" s="31" t="s">
        <v>16</v>
      </c>
    </row>
    <row r="394" spans="1:14" x14ac:dyDescent="0.25">
      <c r="A394" s="4" t="str">
        <f>Sheet1!A394 &amp; "/" &amp; "2025"</f>
        <v>393/2025</v>
      </c>
      <c r="B394" s="5" t="str">
        <f>Sheet1!E394</f>
        <v>IND/MEL/00393</v>
      </c>
      <c r="C394" s="6" t="str">
        <f>UPPER(Sheet1!B394)</f>
        <v>ANYA RAO</v>
      </c>
      <c r="D394" s="7" t="str">
        <f>IF(Sheet1!F394="F","FEMALE","MALE")</f>
        <v>FEMALE</v>
      </c>
      <c r="E394" s="6" t="str">
        <f>UPPER(Sheet1!G394)</f>
        <v>NEIL RAO</v>
      </c>
      <c r="F394" s="6" t="str">
        <f>UPPER(Sheet1!H394)</f>
        <v>DIYA RAO</v>
      </c>
      <c r="G394" s="5" t="str">
        <f>TEXT(Sheet1!C394,"dd/mm/yyyy") &amp; "," &amp; Sheet1!D394</f>
        <v>06/10/2025,IPSWICH</v>
      </c>
      <c r="H394" s="39" t="str">
        <f>UPPER(Sheet1!J394 &amp; "," &amp; Sheet1!K394 &amp; "," &amp; Sheet1!L394)</f>
        <v>125 BIRCHWOOD LANE,EMERALD ROAD,PIN:344922 IPSWICH</v>
      </c>
      <c r="I394" s="8">
        <f>Sheet1!I394</f>
        <v>45992</v>
      </c>
      <c r="J394" s="5" t="str">
        <f>Sheet1!M394 &amp; "," &amp; TEXT(Sheet1!N394,"dd/mm/yy")</f>
        <v>MHA/IND/00393,08/08/25</v>
      </c>
      <c r="K394" s="5" t="s">
        <v>5752</v>
      </c>
      <c r="L394" s="31" t="s">
        <v>14</v>
      </c>
      <c r="M394" s="31" t="s">
        <v>15</v>
      </c>
      <c r="N394" s="31" t="s">
        <v>16</v>
      </c>
    </row>
    <row r="395" spans="1:14" x14ac:dyDescent="0.25">
      <c r="A395" s="4" t="str">
        <f>Sheet1!A395 &amp; "/" &amp; "2025"</f>
        <v>394/2025</v>
      </c>
      <c r="B395" s="5" t="str">
        <f>Sheet1!E395</f>
        <v>IND/MEL/00394</v>
      </c>
      <c r="C395" s="6" t="str">
        <f>UPPER(Sheet1!B395)</f>
        <v>NINA KALEON</v>
      </c>
      <c r="D395" s="7" t="str">
        <f>IF(Sheet1!F395="F","FEMALE","MALE")</f>
        <v>FEMALE</v>
      </c>
      <c r="E395" s="6" t="str">
        <f>UPPER(Sheet1!G395)</f>
        <v>ARJUN KALEON</v>
      </c>
      <c r="F395" s="6" t="str">
        <f>UPPER(Sheet1!H395)</f>
        <v>ANYA KALEON</v>
      </c>
      <c r="G395" s="5" t="str">
        <f>TEXT(Sheet1!C395,"dd/mm/yyyy") &amp; "," &amp; Sheet1!D395</f>
        <v>27/03/2025,BERWICK</v>
      </c>
      <c r="H395" s="39" t="str">
        <f>UPPER(Sheet1!J395 &amp; "," &amp; Sheet1!K395 &amp; "," &amp; Sheet1!L395)</f>
        <v>68 BIRCHWOOD LANE,EMERALD ROAD,PIN:360661 BERWICK</v>
      </c>
      <c r="I395" s="8">
        <f>Sheet1!I395</f>
        <v>45754</v>
      </c>
      <c r="J395" s="5" t="str">
        <f>Sheet1!M395 &amp; "," &amp; TEXT(Sheet1!N395,"dd/mm/yy")</f>
        <v>MHA/IND/00394,03/08/25</v>
      </c>
      <c r="K395" s="5" t="s">
        <v>5752</v>
      </c>
      <c r="L395" s="31" t="s">
        <v>14</v>
      </c>
      <c r="M395" s="31" t="s">
        <v>15</v>
      </c>
      <c r="N395" s="31" t="s">
        <v>16</v>
      </c>
    </row>
    <row r="396" spans="1:14" x14ac:dyDescent="0.25">
      <c r="A396" s="4" t="str">
        <f>Sheet1!A396 &amp; "/" &amp; "2025"</f>
        <v>395/2025</v>
      </c>
      <c r="B396" s="5" t="str">
        <f>Sheet1!E396</f>
        <v>IND/MEL/00395</v>
      </c>
      <c r="C396" s="6" t="str">
        <f>UPPER(Sheet1!B396)</f>
        <v>ANYA MYRTHOS</v>
      </c>
      <c r="D396" s="7" t="str">
        <f>IF(Sheet1!F396="F","FEMALE","MALE")</f>
        <v>FEMALE</v>
      </c>
      <c r="E396" s="6" t="str">
        <f>UPPER(Sheet1!G396)</f>
        <v>ARJUN MYRTHOS</v>
      </c>
      <c r="F396" s="6" t="str">
        <f>UPPER(Sheet1!H396)</f>
        <v>NINA MYRTHOS</v>
      </c>
      <c r="G396" s="5" t="str">
        <f>TEXT(Sheet1!C396,"dd/mm/yyyy") &amp; "," &amp; Sheet1!D396</f>
        <v>20/10/2025,CANBERRA</v>
      </c>
      <c r="H396" s="39" t="str">
        <f>UPPER(Sheet1!J396 &amp; "," &amp; Sheet1!K396 &amp; "," &amp; Sheet1!L396)</f>
        <v>196 BIRCHWOOD LANE,EMERALD ROAD,PIN:308984 CANBERRA</v>
      </c>
      <c r="I396" s="8">
        <f>Sheet1!I396</f>
        <v>45969</v>
      </c>
      <c r="J396" s="5" t="str">
        <f>Sheet1!M396 &amp; "," &amp; TEXT(Sheet1!N396,"dd/mm/yy")</f>
        <v>MHA/IND/00395,02/07/25</v>
      </c>
      <c r="K396" s="5" t="s">
        <v>5752</v>
      </c>
      <c r="L396" s="31" t="s">
        <v>14</v>
      </c>
      <c r="M396" s="31" t="s">
        <v>15</v>
      </c>
      <c r="N396" s="31" t="s">
        <v>16</v>
      </c>
    </row>
    <row r="397" spans="1:14" x14ac:dyDescent="0.25">
      <c r="A397" s="4" t="str">
        <f>Sheet1!A397 &amp; "/" &amp; "2025"</f>
        <v>396/2025</v>
      </c>
      <c r="B397" s="5" t="str">
        <f>Sheet1!E397</f>
        <v>IND/MEL/00396</v>
      </c>
      <c r="C397" s="6" t="str">
        <f>UPPER(Sheet1!B397)</f>
        <v>ANYA KALEON</v>
      </c>
      <c r="D397" s="7" t="str">
        <f>IF(Sheet1!F397="F","FEMALE","MALE")</f>
        <v>FEMALE</v>
      </c>
      <c r="E397" s="6" t="str">
        <f>UPPER(Sheet1!G397)</f>
        <v>AREN KALEON</v>
      </c>
      <c r="F397" s="6" t="str">
        <f>UPPER(Sheet1!H397)</f>
        <v>ALYA KALEON</v>
      </c>
      <c r="G397" s="5" t="str">
        <f>TEXT(Sheet1!C397,"dd/mm/yyyy") &amp; "," &amp; Sheet1!D397</f>
        <v>02/01/2025,CLAYTON</v>
      </c>
      <c r="H397" s="39" t="str">
        <f>UPPER(Sheet1!J397 &amp; "," &amp; Sheet1!K397 &amp; "," &amp; Sheet1!L397)</f>
        <v>37 BIRCHWOOD LANE,EMERALD ROAD,PIN:907143 CLAYTON</v>
      </c>
      <c r="I397" s="8">
        <f>Sheet1!I397</f>
        <v>45686</v>
      </c>
      <c r="J397" s="5" t="str">
        <f>Sheet1!M397 &amp; "," &amp; TEXT(Sheet1!N397,"dd/mm/yy")</f>
        <v>MHA/IND/00396,20/07/25</v>
      </c>
      <c r="K397" s="5" t="s">
        <v>5752</v>
      </c>
      <c r="L397" s="31" t="s">
        <v>14</v>
      </c>
      <c r="M397" s="31" t="s">
        <v>15</v>
      </c>
      <c r="N397" s="31" t="s">
        <v>16</v>
      </c>
    </row>
    <row r="398" spans="1:14" x14ac:dyDescent="0.25">
      <c r="A398" s="4" t="str">
        <f>Sheet1!A398 &amp; "/" &amp; "2025"</f>
        <v>397/2025</v>
      </c>
      <c r="B398" s="5" t="str">
        <f>Sheet1!E398</f>
        <v>IND/MEL/00397</v>
      </c>
      <c r="C398" s="6" t="str">
        <f>UPPER(Sheet1!B398)</f>
        <v>RIYA MYRTHOS</v>
      </c>
      <c r="D398" s="7" t="str">
        <f>IF(Sheet1!F398="F","FEMALE","MALE")</f>
        <v>FEMALE</v>
      </c>
      <c r="E398" s="6" t="str">
        <f>UPPER(Sheet1!G398)</f>
        <v>AREN MYRTHOS</v>
      </c>
      <c r="F398" s="6" t="str">
        <f>UPPER(Sheet1!H398)</f>
        <v>SARA MYRTHOS</v>
      </c>
      <c r="G398" s="5" t="str">
        <f>TEXT(Sheet1!C398,"dd/mm/yyyy") &amp; "," &amp; Sheet1!D398</f>
        <v>03/07/2025,BRISBANE</v>
      </c>
      <c r="H398" s="39" t="str">
        <f>UPPER(Sheet1!J398 &amp; "," &amp; Sheet1!K398 &amp; "," &amp; Sheet1!L398)</f>
        <v>78 BIRCHWOOD LANE,EMERALD ROAD,PIN:350260 BRISBANE</v>
      </c>
      <c r="I398" s="8">
        <f>Sheet1!I398</f>
        <v>45924</v>
      </c>
      <c r="J398" s="5" t="str">
        <f>Sheet1!M398 &amp; "," &amp; TEXT(Sheet1!N398,"dd/mm/yy")</f>
        <v>MHA/IND/00397,21/07/25</v>
      </c>
      <c r="K398" s="5" t="s">
        <v>5752</v>
      </c>
      <c r="L398" s="31" t="s">
        <v>14</v>
      </c>
      <c r="M398" s="31" t="s">
        <v>15</v>
      </c>
      <c r="N398" s="31" t="s">
        <v>16</v>
      </c>
    </row>
    <row r="399" spans="1:14" x14ac:dyDescent="0.25">
      <c r="A399" s="4" t="str">
        <f>Sheet1!A399 &amp; "/" &amp; "2025"</f>
        <v>398/2025</v>
      </c>
      <c r="B399" s="5" t="str">
        <f>Sheet1!E399</f>
        <v>IND/MEL/00398</v>
      </c>
      <c r="C399" s="6" t="str">
        <f>UPPER(Sheet1!B399)</f>
        <v>NEIL KALEON</v>
      </c>
      <c r="D399" s="7" t="str">
        <f>IF(Sheet1!F399="F","FEMALE","MALE")</f>
        <v>MALE</v>
      </c>
      <c r="E399" s="6" t="str">
        <f>UPPER(Sheet1!G399)</f>
        <v>KIRAN KALEON</v>
      </c>
      <c r="F399" s="6" t="str">
        <f>UPPER(Sheet1!H399)</f>
        <v>DIYA KALEON</v>
      </c>
      <c r="G399" s="5" t="str">
        <f>TEXT(Sheet1!C399,"dd/mm/yyyy") &amp; "," &amp; Sheet1!D399</f>
        <v>27/06/2025,KINGSWOOD</v>
      </c>
      <c r="H399" s="39" t="str">
        <f>UPPER(Sheet1!J399 &amp; "," &amp; Sheet1!K399 &amp; "," &amp; Sheet1!L399)</f>
        <v>112 BIRCHWOOD LANE,EMERALD ROAD,PIN:337234 KINGSWOOD</v>
      </c>
      <c r="I399" s="8">
        <f>Sheet1!I399</f>
        <v>45893</v>
      </c>
      <c r="J399" s="5" t="str">
        <f>Sheet1!M399 &amp; "," &amp; TEXT(Sheet1!N399,"dd/mm/yy")</f>
        <v>MHA/IND/00398,08/07/25</v>
      </c>
      <c r="K399" s="5" t="s">
        <v>5752</v>
      </c>
      <c r="L399" s="31" t="s">
        <v>14</v>
      </c>
      <c r="M399" s="31" t="s">
        <v>15</v>
      </c>
      <c r="N399" s="31" t="s">
        <v>16</v>
      </c>
    </row>
    <row r="400" spans="1:14" x14ac:dyDescent="0.25">
      <c r="A400" s="4" t="str">
        <f>Sheet1!A400 &amp; "/" &amp; "2025"</f>
        <v>399/2025</v>
      </c>
      <c r="B400" s="5" t="str">
        <f>Sheet1!E400</f>
        <v>IND/MEL/00399</v>
      </c>
      <c r="C400" s="6" t="str">
        <f>UPPER(Sheet1!B400)</f>
        <v>KABIR SHARMA</v>
      </c>
      <c r="D400" s="7" t="str">
        <f>IF(Sheet1!F400="F","FEMALE","MALE")</f>
        <v>MALE</v>
      </c>
      <c r="E400" s="6" t="str">
        <f>UPPER(Sheet1!G400)</f>
        <v>ARJUN SHARMA</v>
      </c>
      <c r="F400" s="6" t="str">
        <f>UPPER(Sheet1!H400)</f>
        <v>MIRA SHARMA</v>
      </c>
      <c r="G400" s="5" t="str">
        <f>TEXT(Sheet1!C400,"dd/mm/yyyy") &amp; "," &amp; Sheet1!D400</f>
        <v>26/09/2025,CAMPBELLTOWN</v>
      </c>
      <c r="H400" s="39" t="str">
        <f>UPPER(Sheet1!J400 &amp; "," &amp; Sheet1!K400 &amp; "," &amp; Sheet1!L400)</f>
        <v>84 BIRCHWOOD LANE,EMERALD ROAD,PIN:403707 CAMPBELLTOWN</v>
      </c>
      <c r="I400" s="8">
        <f>Sheet1!I400</f>
        <v>45969</v>
      </c>
      <c r="J400" s="5" t="str">
        <f>Sheet1!M400 &amp; "," &amp; TEXT(Sheet1!N400,"dd/mm/yy")</f>
        <v>MHA/IND/00399,27/08/25</v>
      </c>
      <c r="K400" s="5" t="s">
        <v>5752</v>
      </c>
      <c r="L400" s="31" t="s">
        <v>14</v>
      </c>
      <c r="M400" s="31" t="s">
        <v>15</v>
      </c>
      <c r="N400" s="31" t="s">
        <v>16</v>
      </c>
    </row>
    <row r="401" spans="1:14" x14ac:dyDescent="0.25">
      <c r="A401" s="4" t="str">
        <f>Sheet1!A401 &amp; "/" &amp; "2025"</f>
        <v>400/2025</v>
      </c>
      <c r="B401" s="5" t="str">
        <f>Sheet1!E401</f>
        <v>IND/MEL/00400</v>
      </c>
      <c r="C401" s="6" t="str">
        <f>UPPER(Sheet1!B401)</f>
        <v>ANYA RISHKAN</v>
      </c>
      <c r="D401" s="7" t="str">
        <f>IF(Sheet1!F401="F","FEMALE","MALE")</f>
        <v>FEMALE</v>
      </c>
      <c r="E401" s="6" t="str">
        <f>UPPER(Sheet1!G401)</f>
        <v>ARJUN RISHKAN</v>
      </c>
      <c r="F401" s="6" t="str">
        <f>UPPER(Sheet1!H401)</f>
        <v>MIRA RISHKAN</v>
      </c>
      <c r="G401" s="5" t="str">
        <f>TEXT(Sheet1!C401,"dd/mm/yyyy") &amp; "," &amp; Sheet1!D401</f>
        <v>06/01/2025,BERWICK</v>
      </c>
      <c r="H401" s="39" t="str">
        <f>UPPER(Sheet1!J401 &amp; "," &amp; Sheet1!K401 &amp; "," &amp; Sheet1!L401)</f>
        <v>61 BIRCHWOOD LANE,EMERALD ROAD,PIN:379882 BERWICK</v>
      </c>
      <c r="I401" s="8">
        <f>Sheet1!I401</f>
        <v>45730</v>
      </c>
      <c r="J401" s="5" t="str">
        <f>Sheet1!M401 &amp; "," &amp; TEXT(Sheet1!N401,"dd/mm/yy")</f>
        <v>MHA/IND/00400,10/07/25</v>
      </c>
      <c r="K401" s="5" t="s">
        <v>5752</v>
      </c>
      <c r="L401" s="31" t="s">
        <v>14</v>
      </c>
      <c r="M401" s="31" t="s">
        <v>15</v>
      </c>
      <c r="N401" s="31" t="s">
        <v>16</v>
      </c>
    </row>
    <row r="402" spans="1:14" x14ac:dyDescent="0.25">
      <c r="A402" s="4" t="str">
        <f>Sheet1!A402 &amp; "/" &amp; "2025"</f>
        <v>401/2025</v>
      </c>
      <c r="B402" s="5" t="str">
        <f>Sheet1!E402</f>
        <v>IND/MEL/00401</v>
      </c>
      <c r="C402" s="6" t="str">
        <f>UPPER(Sheet1!B402)</f>
        <v>ISHAN RAO</v>
      </c>
      <c r="D402" s="7" t="str">
        <f>IF(Sheet1!F402="F","FEMALE","MALE")</f>
        <v>MALE</v>
      </c>
      <c r="E402" s="6" t="str">
        <f>UPPER(Sheet1!G402)</f>
        <v>ARJUN RAO</v>
      </c>
      <c r="F402" s="6" t="str">
        <f>UPPER(Sheet1!H402)</f>
        <v>MIRA RAO</v>
      </c>
      <c r="G402" s="5" t="str">
        <f>TEXT(Sheet1!C402,"dd/mm/yyyy") &amp; "," &amp; Sheet1!D402</f>
        <v>18/02/2025,PERTH</v>
      </c>
      <c r="H402" s="39" t="str">
        <f>UPPER(Sheet1!J402 &amp; "," &amp; Sheet1!K402 &amp; "," &amp; Sheet1!L402)</f>
        <v>15 BIRCHWOOD LANE,EMERALD ROAD,PIN:909065 PERTH</v>
      </c>
      <c r="I402" s="8">
        <f>Sheet1!I402</f>
        <v>45815</v>
      </c>
      <c r="J402" s="5" t="str">
        <f>Sheet1!M402 &amp; "," &amp; TEXT(Sheet1!N402,"dd/mm/yy")</f>
        <v>MHA/IND/00401,15/08/25</v>
      </c>
      <c r="K402" s="5" t="s">
        <v>5752</v>
      </c>
      <c r="L402" s="31" t="s">
        <v>14</v>
      </c>
      <c r="M402" s="31" t="s">
        <v>15</v>
      </c>
      <c r="N402" s="31" t="s">
        <v>16</v>
      </c>
    </row>
    <row r="403" spans="1:14" x14ac:dyDescent="0.25">
      <c r="A403" s="4" t="str">
        <f>Sheet1!A403 &amp; "/" &amp; "2025"</f>
        <v>402/2025</v>
      </c>
      <c r="B403" s="5" t="str">
        <f>Sheet1!E403</f>
        <v>IND/MEL/00402</v>
      </c>
      <c r="C403" s="6" t="str">
        <f>UPPER(Sheet1!B403)</f>
        <v>DIYA SHARMA</v>
      </c>
      <c r="D403" s="7" t="str">
        <f>IF(Sheet1!F403="F","FEMALE","MALE")</f>
        <v>FEMALE</v>
      </c>
      <c r="E403" s="6" t="str">
        <f>UPPER(Sheet1!G403)</f>
        <v>ROHIT SHARMA</v>
      </c>
      <c r="F403" s="6" t="str">
        <f>UPPER(Sheet1!H403)</f>
        <v>ANYA SHARMA</v>
      </c>
      <c r="G403" s="5" t="str">
        <f>TEXT(Sheet1!C403,"dd/mm/yyyy") &amp; "," &amp; Sheet1!D403</f>
        <v>16/07/2025,TRARALGON</v>
      </c>
      <c r="H403" s="39" t="str">
        <f>UPPER(Sheet1!J403 &amp; "," &amp; Sheet1!K403 &amp; "," &amp; Sheet1!L403)</f>
        <v>105 BIRCHWOOD LANE,EMERALD ROAD,PIN:749689 TRARALGON</v>
      </c>
      <c r="I403" s="8">
        <f>Sheet1!I403</f>
        <v>45971</v>
      </c>
      <c r="J403" s="5" t="str">
        <f>Sheet1!M403 &amp; "," &amp; TEXT(Sheet1!N403,"dd/mm/yy")</f>
        <v>MHA/IND/00402,03/08/25</v>
      </c>
      <c r="K403" s="5" t="s">
        <v>5752</v>
      </c>
      <c r="L403" s="31" t="s">
        <v>14</v>
      </c>
      <c r="M403" s="31" t="s">
        <v>15</v>
      </c>
      <c r="N403" s="31" t="s">
        <v>16</v>
      </c>
    </row>
    <row r="404" spans="1:14" x14ac:dyDescent="0.25">
      <c r="A404" s="4" t="str">
        <f>Sheet1!A404 &amp; "/" &amp; "2025"</f>
        <v>403/2025</v>
      </c>
      <c r="B404" s="5" t="str">
        <f>Sheet1!E404</f>
        <v>IND/MEL/00403</v>
      </c>
      <c r="C404" s="6" t="str">
        <f>UPPER(Sheet1!B404)</f>
        <v>SARA KALEON</v>
      </c>
      <c r="D404" s="7" t="str">
        <f>IF(Sheet1!F404="F","FEMALE","MALE")</f>
        <v>FEMALE</v>
      </c>
      <c r="E404" s="6" t="str">
        <f>UPPER(Sheet1!G404)</f>
        <v>ISHAN KALEON</v>
      </c>
      <c r="F404" s="6" t="str">
        <f>UPPER(Sheet1!H404)</f>
        <v>NINA KALEON</v>
      </c>
      <c r="G404" s="5" t="str">
        <f>TEXT(Sheet1!C404,"dd/mm/yyyy") &amp; "," &amp; Sheet1!D404</f>
        <v>16/10/2025,BRISBANE</v>
      </c>
      <c r="H404" s="39" t="str">
        <f>UPPER(Sheet1!J404 &amp; "," &amp; Sheet1!K404 &amp; "," &amp; Sheet1!L404)</f>
        <v>151 BIRCHWOOD LANE,EMERALD ROAD,PIN:690803 BRISBANE</v>
      </c>
      <c r="I404" s="8">
        <f>Sheet1!I404</f>
        <v>46009</v>
      </c>
      <c r="J404" s="5" t="str">
        <f>Sheet1!M404 &amp; "," &amp; TEXT(Sheet1!N404,"dd/mm/yy")</f>
        <v>MHA/IND/00403,03/07/25</v>
      </c>
      <c r="K404" s="5" t="s">
        <v>5752</v>
      </c>
      <c r="L404" s="31" t="s">
        <v>14</v>
      </c>
      <c r="M404" s="31" t="s">
        <v>15</v>
      </c>
      <c r="N404" s="31" t="s">
        <v>16</v>
      </c>
    </row>
    <row r="405" spans="1:14" x14ac:dyDescent="0.25">
      <c r="A405" s="4" t="str">
        <f>Sheet1!A405 &amp; "/" &amp; "2025"</f>
        <v>404/2025</v>
      </c>
      <c r="B405" s="5" t="str">
        <f>Sheet1!E405</f>
        <v>IND/MEL/00404</v>
      </c>
      <c r="C405" s="6" t="str">
        <f>UPPER(Sheet1!B405)</f>
        <v>KABIR RAO</v>
      </c>
      <c r="D405" s="7" t="str">
        <f>IF(Sheet1!F405="F","FEMALE","MALE")</f>
        <v>MALE</v>
      </c>
      <c r="E405" s="6" t="str">
        <f>UPPER(Sheet1!G405)</f>
        <v>NEIL RAO</v>
      </c>
      <c r="F405" s="6" t="str">
        <f>UPPER(Sheet1!H405)</f>
        <v>RIYA RAO</v>
      </c>
      <c r="G405" s="5" t="str">
        <f>TEXT(Sheet1!C405,"dd/mm/yyyy") &amp; "," &amp; Sheet1!D405</f>
        <v>10/10/2025,GEELONG</v>
      </c>
      <c r="H405" s="39" t="str">
        <f>UPPER(Sheet1!J405 &amp; "," &amp; Sheet1!K405 &amp; "," &amp; Sheet1!L405)</f>
        <v>28 BIRCHWOOD LANE,EMERALD ROAD,PIN:862049 GEELONG</v>
      </c>
      <c r="I405" s="8">
        <f>Sheet1!I405</f>
        <v>46053</v>
      </c>
      <c r="J405" s="5" t="str">
        <f>Sheet1!M405 &amp; "," &amp; TEXT(Sheet1!N405,"dd/mm/yy")</f>
        <v>MHA/IND/00404,07/07/25</v>
      </c>
      <c r="K405" s="5" t="s">
        <v>5752</v>
      </c>
      <c r="L405" s="31" t="s">
        <v>14</v>
      </c>
      <c r="M405" s="31" t="s">
        <v>15</v>
      </c>
      <c r="N405" s="31" t="s">
        <v>16</v>
      </c>
    </row>
    <row r="406" spans="1:14" x14ac:dyDescent="0.25">
      <c r="A406" s="4" t="str">
        <f>Sheet1!A406 &amp; "/" &amp; "2025"</f>
        <v>405/2025</v>
      </c>
      <c r="B406" s="5" t="str">
        <f>Sheet1!E406</f>
        <v>IND/MEL/00405</v>
      </c>
      <c r="C406" s="6" t="str">
        <f>UPPER(Sheet1!B406)</f>
        <v>NEIL SHARMA</v>
      </c>
      <c r="D406" s="7" t="str">
        <f>IF(Sheet1!F406="F","FEMALE","MALE")</f>
        <v>MALE</v>
      </c>
      <c r="E406" s="6" t="str">
        <f>UPPER(Sheet1!G406)</f>
        <v>AREN SHARMA</v>
      </c>
      <c r="F406" s="6" t="str">
        <f>UPPER(Sheet1!H406)</f>
        <v>TARA SHARMA</v>
      </c>
      <c r="G406" s="5" t="str">
        <f>TEXT(Sheet1!C406,"dd/mm/yyyy") &amp; "," &amp; Sheet1!D406</f>
        <v>10/02/2025,WONTHAGGI</v>
      </c>
      <c r="H406" s="39" t="str">
        <f>UPPER(Sheet1!J406 &amp; "," &amp; Sheet1!K406 &amp; "," &amp; Sheet1!L406)</f>
        <v>49 BIRCHWOOD LANE,EMERALD ROAD,PIN:481640 WONTHAGGI</v>
      </c>
      <c r="I406" s="8">
        <f>Sheet1!I406</f>
        <v>45746</v>
      </c>
      <c r="J406" s="5" t="str">
        <f>Sheet1!M406 &amp; "," &amp; TEXT(Sheet1!N406,"dd/mm/yy")</f>
        <v>MHA/IND/00405,07/08/25</v>
      </c>
      <c r="K406" s="5" t="s">
        <v>5752</v>
      </c>
      <c r="L406" s="31" t="s">
        <v>14</v>
      </c>
      <c r="M406" s="31" t="s">
        <v>15</v>
      </c>
      <c r="N406" s="31" t="s">
        <v>16</v>
      </c>
    </row>
    <row r="407" spans="1:14" x14ac:dyDescent="0.25">
      <c r="A407" s="4" t="str">
        <f>Sheet1!A407 &amp; "/" &amp; "2025"</f>
        <v>406/2025</v>
      </c>
      <c r="B407" s="5" t="str">
        <f>Sheet1!E407</f>
        <v>IND/MEL/00406</v>
      </c>
      <c r="C407" s="6" t="str">
        <f>UPPER(Sheet1!B407)</f>
        <v>NINA RAO</v>
      </c>
      <c r="D407" s="7" t="str">
        <f>IF(Sheet1!F407="F","FEMALE","MALE")</f>
        <v>FEMALE</v>
      </c>
      <c r="E407" s="6" t="str">
        <f>UPPER(Sheet1!G407)</f>
        <v>NEIL RAO</v>
      </c>
      <c r="F407" s="6" t="str">
        <f>UPPER(Sheet1!H407)</f>
        <v>ANYA RAO</v>
      </c>
      <c r="G407" s="5" t="str">
        <f>TEXT(Sheet1!C407,"dd/mm/yyyy") &amp; "," &amp; Sheet1!D407</f>
        <v>09/05/2025,BELCONNEN</v>
      </c>
      <c r="H407" s="39" t="str">
        <f>UPPER(Sheet1!J407 &amp; "," &amp; Sheet1!K407 &amp; "," &amp; Sheet1!L407)</f>
        <v>139 BIRCHWOOD LANE,EMERALD ROAD,PIN:562907 BELCONNEN</v>
      </c>
      <c r="I407" s="8">
        <f>Sheet1!I407</f>
        <v>45815</v>
      </c>
      <c r="J407" s="5" t="str">
        <f>Sheet1!M407 &amp; "," &amp; TEXT(Sheet1!N407,"dd/mm/yy")</f>
        <v>MHA/IND/00406,21/08/25</v>
      </c>
      <c r="K407" s="5" t="s">
        <v>5752</v>
      </c>
      <c r="L407" s="31" t="s">
        <v>14</v>
      </c>
      <c r="M407" s="31" t="s">
        <v>15</v>
      </c>
      <c r="N407" s="31" t="s">
        <v>16</v>
      </c>
    </row>
    <row r="408" spans="1:14" x14ac:dyDescent="0.25">
      <c r="A408" s="4" t="str">
        <f>Sheet1!A408 &amp; "/" &amp; "2025"</f>
        <v>407/2025</v>
      </c>
      <c r="B408" s="5" t="str">
        <f>Sheet1!E408</f>
        <v>IND/MEL/00407</v>
      </c>
      <c r="C408" s="6" t="str">
        <f>UPPER(Sheet1!B408)</f>
        <v>ANYA VALZARI</v>
      </c>
      <c r="D408" s="7" t="str">
        <f>IF(Sheet1!F408="F","FEMALE","MALE")</f>
        <v>FEMALE</v>
      </c>
      <c r="E408" s="6" t="str">
        <f>UPPER(Sheet1!G408)</f>
        <v>DEV VALZARI</v>
      </c>
      <c r="F408" s="6" t="str">
        <f>UPPER(Sheet1!H408)</f>
        <v>TARA VALZARI</v>
      </c>
      <c r="G408" s="5" t="str">
        <f>TEXT(Sheet1!C408,"dd/mm/yyyy") &amp; "," &amp; Sheet1!D408</f>
        <v>20/06/2025,ST ALBANS</v>
      </c>
      <c r="H408" s="39" t="str">
        <f>UPPER(Sheet1!J408 &amp; "," &amp; Sheet1!K408 &amp; "," &amp; Sheet1!L408)</f>
        <v>121 BIRCHWOOD LANE,EMERALD ROAD,PIN:447933 ST ALBANS</v>
      </c>
      <c r="I408" s="8">
        <f>Sheet1!I408</f>
        <v>45852</v>
      </c>
      <c r="J408" s="5" t="str">
        <f>Sheet1!M408 &amp; "," &amp; TEXT(Sheet1!N408,"dd/mm/yy")</f>
        <v>MHA/IND/00407,29/08/25</v>
      </c>
      <c r="K408" s="5" t="s">
        <v>5752</v>
      </c>
      <c r="L408" s="31" t="s">
        <v>14</v>
      </c>
      <c r="M408" s="31" t="s">
        <v>15</v>
      </c>
      <c r="N408" s="31" t="s">
        <v>16</v>
      </c>
    </row>
    <row r="409" spans="1:14" x14ac:dyDescent="0.25">
      <c r="A409" s="4" t="str">
        <f>Sheet1!A409 &amp; "/" &amp; "2025"</f>
        <v>408/2025</v>
      </c>
      <c r="B409" s="5" t="str">
        <f>Sheet1!E409</f>
        <v>IND/MEL/00408</v>
      </c>
      <c r="C409" s="6" t="str">
        <f>UPPER(Sheet1!B409)</f>
        <v>NINA RISHKAN</v>
      </c>
      <c r="D409" s="7" t="str">
        <f>IF(Sheet1!F409="F","FEMALE","MALE")</f>
        <v>FEMALE</v>
      </c>
      <c r="E409" s="6" t="str">
        <f>UPPER(Sheet1!G409)</f>
        <v>ROHIT RISHKAN</v>
      </c>
      <c r="F409" s="6" t="str">
        <f>UPPER(Sheet1!H409)</f>
        <v>DIYA RISHKAN</v>
      </c>
      <c r="G409" s="5" t="str">
        <f>TEXT(Sheet1!C409,"dd/mm/yyyy") &amp; "," &amp; Sheet1!D409</f>
        <v>11/02/2025,TOWNSVILLE</v>
      </c>
      <c r="H409" s="39" t="str">
        <f>UPPER(Sheet1!J409 &amp; "," &amp; Sheet1!K409 &amp; "," &amp; Sheet1!L409)</f>
        <v>13 BIRCHWOOD LANE,EMERALD ROAD,PIN:803740 TOWNSVILLE</v>
      </c>
      <c r="I409" s="8">
        <f>Sheet1!I409</f>
        <v>45809</v>
      </c>
      <c r="J409" s="5" t="str">
        <f>Sheet1!M409 &amp; "," &amp; TEXT(Sheet1!N409,"dd/mm/yy")</f>
        <v>MHA/IND/00408,28/07/25</v>
      </c>
      <c r="K409" s="5" t="s">
        <v>5752</v>
      </c>
      <c r="L409" s="31" t="s">
        <v>14</v>
      </c>
      <c r="M409" s="31" t="s">
        <v>15</v>
      </c>
      <c r="N409" s="31" t="s">
        <v>16</v>
      </c>
    </row>
    <row r="410" spans="1:14" x14ac:dyDescent="0.25">
      <c r="A410" s="4" t="str">
        <f>Sheet1!A410 &amp; "/" &amp; "2025"</f>
        <v>409/2025</v>
      </c>
      <c r="B410" s="5" t="str">
        <f>Sheet1!E410</f>
        <v>IND/MEL/00409</v>
      </c>
      <c r="C410" s="6" t="str">
        <f>UPPER(Sheet1!B410)</f>
        <v>MIRA KALEON</v>
      </c>
      <c r="D410" s="7" t="str">
        <f>IF(Sheet1!F410="F","FEMALE","MALE")</f>
        <v>FEMALE</v>
      </c>
      <c r="E410" s="6" t="str">
        <f>UPPER(Sheet1!G410)</f>
        <v>KABIR KALEON</v>
      </c>
      <c r="F410" s="6" t="str">
        <f>UPPER(Sheet1!H410)</f>
        <v>RIYA KALEON</v>
      </c>
      <c r="G410" s="5" t="str">
        <f>TEXT(Sheet1!C410,"dd/mm/yyyy") &amp; "," &amp; Sheet1!D410</f>
        <v>15/02/2025,WOLLONGONG</v>
      </c>
      <c r="H410" s="39" t="str">
        <f>UPPER(Sheet1!J410 &amp; "," &amp; Sheet1!K410 &amp; "," &amp; Sheet1!L410)</f>
        <v>31 BIRCHWOOD LANE,EMERALD ROAD,PIN:595547 WOLLONGONG</v>
      </c>
      <c r="I410" s="8">
        <f>Sheet1!I410</f>
        <v>45820</v>
      </c>
      <c r="J410" s="5" t="str">
        <f>Sheet1!M410 &amp; "," &amp; TEXT(Sheet1!N410,"dd/mm/yy")</f>
        <v>MHA/IND/00409,28/08/25</v>
      </c>
      <c r="K410" s="5" t="s">
        <v>5752</v>
      </c>
      <c r="L410" s="31" t="s">
        <v>14</v>
      </c>
      <c r="M410" s="31" t="s">
        <v>15</v>
      </c>
      <c r="N410" s="31" t="s">
        <v>16</v>
      </c>
    </row>
    <row r="411" spans="1:14" x14ac:dyDescent="0.25">
      <c r="A411" s="4" t="str">
        <f>Sheet1!A411 &amp; "/" &amp; "2025"</f>
        <v>410/2025</v>
      </c>
      <c r="B411" s="5" t="str">
        <f>Sheet1!E411</f>
        <v>IND/MEL/00410</v>
      </c>
      <c r="C411" s="6" t="str">
        <f>UPPER(Sheet1!B411)</f>
        <v>ROHIT MYRTHOS</v>
      </c>
      <c r="D411" s="7" t="str">
        <f>IF(Sheet1!F411="F","FEMALE","MALE")</f>
        <v>MALE</v>
      </c>
      <c r="E411" s="6" t="str">
        <f>UPPER(Sheet1!G411)</f>
        <v>ROHIT MYRTHOS</v>
      </c>
      <c r="F411" s="6" t="str">
        <f>UPPER(Sheet1!H411)</f>
        <v>ALYA MYRTHOS</v>
      </c>
      <c r="G411" s="5" t="str">
        <f>TEXT(Sheet1!C411,"dd/mm/yyyy") &amp; "," &amp; Sheet1!D411</f>
        <v>21/03/2025,CAMPBELLTOWN</v>
      </c>
      <c r="H411" s="39" t="str">
        <f>UPPER(Sheet1!J411 &amp; "," &amp; Sheet1!K411 &amp; "," &amp; Sheet1!L411)</f>
        <v>59 BIRCHWOOD LANE,EMERALD ROAD,PIN:475285 CAMPBELLTOWN</v>
      </c>
      <c r="I411" s="8">
        <f>Sheet1!I411</f>
        <v>45800</v>
      </c>
      <c r="J411" s="5" t="str">
        <f>Sheet1!M411 &amp; "," &amp; TEXT(Sheet1!N411,"dd/mm/yy")</f>
        <v>MHA/IND/00410,16/08/25</v>
      </c>
      <c r="K411" s="5" t="s">
        <v>5752</v>
      </c>
      <c r="L411" s="31" t="s">
        <v>14</v>
      </c>
      <c r="M411" s="31" t="s">
        <v>15</v>
      </c>
      <c r="N411" s="31" t="s">
        <v>16</v>
      </c>
    </row>
    <row r="412" spans="1:14" x14ac:dyDescent="0.25">
      <c r="A412" s="4" t="str">
        <f>Sheet1!A412 &amp; "/" &amp; "2025"</f>
        <v>411/2025</v>
      </c>
      <c r="B412" s="5" t="str">
        <f>Sheet1!E412</f>
        <v>IND/MEL/00411</v>
      </c>
      <c r="C412" s="6" t="str">
        <f>UPPER(Sheet1!B412)</f>
        <v>ISHAN SHARMA</v>
      </c>
      <c r="D412" s="7" t="str">
        <f>IF(Sheet1!F412="F","FEMALE","MALE")</f>
        <v>MALE</v>
      </c>
      <c r="E412" s="6" t="str">
        <f>UPPER(Sheet1!G412)</f>
        <v>DEV SHARMA</v>
      </c>
      <c r="F412" s="6" t="str">
        <f>UPPER(Sheet1!H412)</f>
        <v>RIYA SHARMA</v>
      </c>
      <c r="G412" s="5" t="str">
        <f>TEXT(Sheet1!C412,"dd/mm/yyyy") &amp; "," &amp; Sheet1!D412</f>
        <v>25/10/2025,LENAH VALLEY</v>
      </c>
      <c r="H412" s="39" t="str">
        <f>UPPER(Sheet1!J412 &amp; "," &amp; Sheet1!K412 &amp; "," &amp; Sheet1!L412)</f>
        <v>55 BIRCHWOOD LANE,EMERALD ROAD,PIN:883192 LENAH VALLEY</v>
      </c>
      <c r="I412" s="8">
        <f>Sheet1!I412</f>
        <v>45983</v>
      </c>
      <c r="J412" s="5" t="str">
        <f>Sheet1!M412 &amp; "," &amp; TEXT(Sheet1!N412,"dd/mm/yy")</f>
        <v>MHA/IND/00411,30/07/25</v>
      </c>
      <c r="K412" s="5" t="s">
        <v>5752</v>
      </c>
      <c r="L412" s="31" t="s">
        <v>14</v>
      </c>
      <c r="M412" s="31" t="s">
        <v>15</v>
      </c>
      <c r="N412" s="31" t="s">
        <v>16</v>
      </c>
    </row>
    <row r="413" spans="1:14" x14ac:dyDescent="0.25">
      <c r="A413" s="4" t="str">
        <f>Sheet1!A413 &amp; "/" &amp; "2025"</f>
        <v>412/2025</v>
      </c>
      <c r="B413" s="5" t="str">
        <f>Sheet1!E413</f>
        <v>IND/MEL/00412</v>
      </c>
      <c r="C413" s="6" t="str">
        <f>UPPER(Sheet1!B413)</f>
        <v>DEV VALZARI</v>
      </c>
      <c r="D413" s="7" t="str">
        <f>IF(Sheet1!F413="F","FEMALE","MALE")</f>
        <v>MALE</v>
      </c>
      <c r="E413" s="6" t="str">
        <f>UPPER(Sheet1!G413)</f>
        <v>KABIR VALZARI</v>
      </c>
      <c r="F413" s="6" t="str">
        <f>UPPER(Sheet1!H413)</f>
        <v>ANYA VALZARI</v>
      </c>
      <c r="G413" s="5" t="str">
        <f>TEXT(Sheet1!C413,"dd/mm/yyyy") &amp; "," &amp; Sheet1!D413</f>
        <v>18/06/2025,PARRAMATTA</v>
      </c>
      <c r="H413" s="39" t="str">
        <f>UPPER(Sheet1!J413 &amp; "," &amp; Sheet1!K413 &amp; "," &amp; Sheet1!L413)</f>
        <v>18 BIRCHWOOD LANE,EMERALD ROAD,PIN:623840 PARRAMATTA</v>
      </c>
      <c r="I413" s="8">
        <f>Sheet1!I413</f>
        <v>45840</v>
      </c>
      <c r="J413" s="5" t="str">
        <f>Sheet1!M413 &amp; "," &amp; TEXT(Sheet1!N413,"dd/mm/yy")</f>
        <v>MHA/IND/00412,20/07/25</v>
      </c>
      <c r="K413" s="5" t="s">
        <v>5752</v>
      </c>
      <c r="L413" s="31" t="s">
        <v>14</v>
      </c>
      <c r="M413" s="31" t="s">
        <v>15</v>
      </c>
      <c r="N413" s="31" t="s">
        <v>16</v>
      </c>
    </row>
    <row r="414" spans="1:14" x14ac:dyDescent="0.25">
      <c r="A414" s="4" t="str">
        <f>Sheet1!A414 &amp; "/" &amp; "2025"</f>
        <v>413/2025</v>
      </c>
      <c r="B414" s="5" t="str">
        <f>Sheet1!E414</f>
        <v>IND/MEL/00413</v>
      </c>
      <c r="C414" s="6" t="str">
        <f>UPPER(Sheet1!B414)</f>
        <v>ANYA RAO</v>
      </c>
      <c r="D414" s="7" t="str">
        <f>IF(Sheet1!F414="F","FEMALE","MALE")</f>
        <v>FEMALE</v>
      </c>
      <c r="E414" s="6" t="str">
        <f>UPPER(Sheet1!G414)</f>
        <v>ROHIT RAO</v>
      </c>
      <c r="F414" s="6" t="str">
        <f>UPPER(Sheet1!H414)</f>
        <v>ALYA RAO</v>
      </c>
      <c r="G414" s="5" t="str">
        <f>TEXT(Sheet1!C414,"dd/mm/yyyy") &amp; "," &amp; Sheet1!D414</f>
        <v>05/05/2025,GEELONG</v>
      </c>
      <c r="H414" s="39" t="str">
        <f>UPPER(Sheet1!J414 &amp; "," &amp; Sheet1!K414 &amp; "," &amp; Sheet1!L414)</f>
        <v>112 BIRCHWOOD LANE,EMERALD ROAD,PIN:153426 GEELONG</v>
      </c>
      <c r="I414" s="8">
        <f>Sheet1!I414</f>
        <v>45787</v>
      </c>
      <c r="J414" s="5" t="str">
        <f>Sheet1!M414 &amp; "," &amp; TEXT(Sheet1!N414,"dd/mm/yy")</f>
        <v>MHA/IND/00413,14/07/25</v>
      </c>
      <c r="K414" s="5" t="s">
        <v>5752</v>
      </c>
      <c r="L414" s="31" t="s">
        <v>14</v>
      </c>
      <c r="M414" s="31" t="s">
        <v>15</v>
      </c>
      <c r="N414" s="31" t="s">
        <v>16</v>
      </c>
    </row>
    <row r="415" spans="1:14" x14ac:dyDescent="0.25">
      <c r="A415" s="4" t="str">
        <f>Sheet1!A415 &amp; "/" &amp; "2025"</f>
        <v>414/2025</v>
      </c>
      <c r="B415" s="5" t="str">
        <f>Sheet1!E415</f>
        <v>IND/MEL/00414</v>
      </c>
      <c r="C415" s="6" t="str">
        <f>UPPER(Sheet1!B415)</f>
        <v>ROHIT VALZARI</v>
      </c>
      <c r="D415" s="7" t="str">
        <f>IF(Sheet1!F415="F","FEMALE","MALE")</f>
        <v>MALE</v>
      </c>
      <c r="E415" s="6" t="str">
        <f>UPPER(Sheet1!G415)</f>
        <v>AREN VALZARI</v>
      </c>
      <c r="F415" s="6" t="str">
        <f>UPPER(Sheet1!H415)</f>
        <v>ANYA VALZARI</v>
      </c>
      <c r="G415" s="5" t="str">
        <f>TEXT(Sheet1!C415,"dd/mm/yyyy") &amp; "," &amp; Sheet1!D415</f>
        <v>07/04/2025,PALMERSTON</v>
      </c>
      <c r="H415" s="39" t="str">
        <f>UPPER(Sheet1!J415 &amp; "," &amp; Sheet1!K415 &amp; "," &amp; Sheet1!L415)</f>
        <v>20 BIRCHWOOD LANE,EMERALD ROAD,PIN:548726 PALMERSTON</v>
      </c>
      <c r="I415" s="8">
        <f>Sheet1!I415</f>
        <v>45765</v>
      </c>
      <c r="J415" s="5" t="str">
        <f>Sheet1!M415 &amp; "," &amp; TEXT(Sheet1!N415,"dd/mm/yy")</f>
        <v>MHA/IND/00414,17/07/25</v>
      </c>
      <c r="K415" s="5" t="s">
        <v>5752</v>
      </c>
      <c r="L415" s="31" t="s">
        <v>14</v>
      </c>
      <c r="M415" s="31" t="s">
        <v>15</v>
      </c>
      <c r="N415" s="31" t="s">
        <v>16</v>
      </c>
    </row>
    <row r="416" spans="1:14" x14ac:dyDescent="0.25">
      <c r="A416" s="4" t="str">
        <f>Sheet1!A416 &amp; "/" &amp; "2025"</f>
        <v>415/2025</v>
      </c>
      <c r="B416" s="5" t="str">
        <f>Sheet1!E416</f>
        <v>IND/MEL/00415</v>
      </c>
      <c r="C416" s="6" t="str">
        <f>UPPER(Sheet1!B416)</f>
        <v>ARJUN KALEON</v>
      </c>
      <c r="D416" s="7" t="str">
        <f>IF(Sheet1!F416="F","FEMALE","MALE")</f>
        <v>MALE</v>
      </c>
      <c r="E416" s="6" t="str">
        <f>UPPER(Sheet1!G416)</f>
        <v>KABIR KALEON</v>
      </c>
      <c r="F416" s="6" t="str">
        <f>UPPER(Sheet1!H416)</f>
        <v>RIYA KALEON</v>
      </c>
      <c r="G416" s="5" t="str">
        <f>TEXT(Sheet1!C416,"dd/mm/yyyy") &amp; "," &amp; Sheet1!D416</f>
        <v>21/10/2025,LENAH VALLEY</v>
      </c>
      <c r="H416" s="39" t="str">
        <f>UPPER(Sheet1!J416 &amp; "," &amp; Sheet1!K416 &amp; "," &amp; Sheet1!L416)</f>
        <v>163 BIRCHWOOD LANE,EMERALD ROAD,PIN:398774 LENAH VALLEY</v>
      </c>
      <c r="I416" s="8">
        <f>Sheet1!I416</f>
        <v>46031</v>
      </c>
      <c r="J416" s="5" t="str">
        <f>Sheet1!M416 &amp; "," &amp; TEXT(Sheet1!N416,"dd/mm/yy")</f>
        <v>MHA/IND/00415,11/08/25</v>
      </c>
      <c r="K416" s="5" t="s">
        <v>5752</v>
      </c>
      <c r="L416" s="31" t="s">
        <v>14</v>
      </c>
      <c r="M416" s="31" t="s">
        <v>15</v>
      </c>
      <c r="N416" s="31" t="s">
        <v>16</v>
      </c>
    </row>
    <row r="417" spans="1:14" x14ac:dyDescent="0.25">
      <c r="A417" s="4" t="str">
        <f>Sheet1!A417 &amp; "/" &amp; "2025"</f>
        <v>416/2025</v>
      </c>
      <c r="B417" s="5" t="str">
        <f>Sheet1!E417</f>
        <v>IND/MEL/00416</v>
      </c>
      <c r="C417" s="6" t="str">
        <f>UPPER(Sheet1!B417)</f>
        <v>AREN MYRTHOS</v>
      </c>
      <c r="D417" s="7" t="str">
        <f>IF(Sheet1!F417="F","FEMALE","MALE")</f>
        <v>MALE</v>
      </c>
      <c r="E417" s="6" t="str">
        <f>UPPER(Sheet1!G417)</f>
        <v>KABIR MYRTHOS</v>
      </c>
      <c r="F417" s="6" t="str">
        <f>UPPER(Sheet1!H417)</f>
        <v>NINA MYRTHOS</v>
      </c>
      <c r="G417" s="5" t="str">
        <f>TEXT(Sheet1!C417,"dd/mm/yyyy") &amp; "," &amp; Sheet1!D417</f>
        <v>27/05/2025,MIDLAND</v>
      </c>
      <c r="H417" s="39" t="str">
        <f>UPPER(Sheet1!J417 &amp; "," &amp; Sheet1!K417 &amp; "," &amp; Sheet1!L417)</f>
        <v>179 BIRCHWOOD LANE,EMERALD ROAD,PIN:688803 MIDLAND</v>
      </c>
      <c r="I417" s="8">
        <f>Sheet1!I417</f>
        <v>45918</v>
      </c>
      <c r="J417" s="5" t="str">
        <f>Sheet1!M417 &amp; "," &amp; TEXT(Sheet1!N417,"dd/mm/yy")</f>
        <v>MHA/IND/00416,21/07/25</v>
      </c>
      <c r="K417" s="5" t="s">
        <v>5752</v>
      </c>
      <c r="L417" s="31" t="s">
        <v>14</v>
      </c>
      <c r="M417" s="31" t="s">
        <v>15</v>
      </c>
      <c r="N417" s="31" t="s">
        <v>16</v>
      </c>
    </row>
    <row r="418" spans="1:14" x14ac:dyDescent="0.25">
      <c r="A418" s="4" t="str">
        <f>Sheet1!A418 &amp; "/" &amp; "2025"</f>
        <v>417/2025</v>
      </c>
      <c r="B418" s="5" t="str">
        <f>Sheet1!E418</f>
        <v>IND/MEL/00417</v>
      </c>
      <c r="C418" s="6" t="str">
        <f>UPPER(Sheet1!B418)</f>
        <v>MIRA SINDALE</v>
      </c>
      <c r="D418" s="7" t="str">
        <f>IF(Sheet1!F418="F","FEMALE","MALE")</f>
        <v>FEMALE</v>
      </c>
      <c r="E418" s="6" t="str">
        <f>UPPER(Sheet1!G418)</f>
        <v>ISHAN SINDALE</v>
      </c>
      <c r="F418" s="6" t="str">
        <f>UPPER(Sheet1!H418)</f>
        <v>ANYA SINDALE</v>
      </c>
      <c r="G418" s="5" t="str">
        <f>TEXT(Sheet1!C418,"dd/mm/yyyy") &amp; "," &amp; Sheet1!D418</f>
        <v>08/09/2025,ROCKHAMPTON</v>
      </c>
      <c r="H418" s="39" t="str">
        <f>UPPER(Sheet1!J418 &amp; "," &amp; Sheet1!K418 &amp; "," &amp; Sheet1!L418)</f>
        <v>11 BIRCHWOOD LANE,EMERALD ROAD,PIN:572879 ROCKHAMPTON</v>
      </c>
      <c r="I418" s="8">
        <f>Sheet1!I418</f>
        <v>45915</v>
      </c>
      <c r="J418" s="5" t="str">
        <f>Sheet1!M418 &amp; "," &amp; TEXT(Sheet1!N418,"dd/mm/yy")</f>
        <v>MHA/IND/00417,04/07/25</v>
      </c>
      <c r="K418" s="5" t="s">
        <v>5752</v>
      </c>
      <c r="L418" s="31" t="s">
        <v>14</v>
      </c>
      <c r="M418" s="31" t="s">
        <v>15</v>
      </c>
      <c r="N418" s="31" t="s">
        <v>16</v>
      </c>
    </row>
    <row r="419" spans="1:14" x14ac:dyDescent="0.25">
      <c r="A419" s="4" t="str">
        <f>Sheet1!A419 &amp; "/" &amp; "2025"</f>
        <v>418/2025</v>
      </c>
      <c r="B419" s="5" t="str">
        <f>Sheet1!E419</f>
        <v>IND/MEL/00418</v>
      </c>
      <c r="C419" s="6" t="str">
        <f>UPPER(Sheet1!B419)</f>
        <v>ALYA VALZARI</v>
      </c>
      <c r="D419" s="7" t="str">
        <f>IF(Sheet1!F419="F","FEMALE","MALE")</f>
        <v>FEMALE</v>
      </c>
      <c r="E419" s="6" t="str">
        <f>UPPER(Sheet1!G419)</f>
        <v>DEV VALZARI</v>
      </c>
      <c r="F419" s="6" t="str">
        <f>UPPER(Sheet1!H419)</f>
        <v>ALYA VALZARI</v>
      </c>
      <c r="G419" s="5" t="str">
        <f>TEXT(Sheet1!C419,"dd/mm/yyyy") &amp; "," &amp; Sheet1!D419</f>
        <v>04/02/2025,MANDURAH</v>
      </c>
      <c r="H419" s="39" t="str">
        <f>UPPER(Sheet1!J419 &amp; "," &amp; Sheet1!K419 &amp; "," &amp; Sheet1!L419)</f>
        <v>69 BIRCHWOOD LANE,EMERALD ROAD,PIN:775685 MANDURAH</v>
      </c>
      <c r="I419" s="8">
        <f>Sheet1!I419</f>
        <v>45717</v>
      </c>
      <c r="J419" s="5" t="str">
        <f>Sheet1!M419 &amp; "," &amp; TEXT(Sheet1!N419,"dd/mm/yy")</f>
        <v>MHA/IND/00418,17/08/25</v>
      </c>
      <c r="K419" s="5" t="s">
        <v>5752</v>
      </c>
      <c r="L419" s="31" t="s">
        <v>14</v>
      </c>
      <c r="M419" s="31" t="s">
        <v>15</v>
      </c>
      <c r="N419" s="31" t="s">
        <v>16</v>
      </c>
    </row>
    <row r="420" spans="1:14" x14ac:dyDescent="0.25">
      <c r="A420" s="4" t="str">
        <f>Sheet1!A420 &amp; "/" &amp; "2025"</f>
        <v>419/2025</v>
      </c>
      <c r="B420" s="5" t="str">
        <f>Sheet1!E420</f>
        <v>IND/MEL/00419</v>
      </c>
      <c r="C420" s="6" t="str">
        <f>UPPER(Sheet1!B420)</f>
        <v>ARJUN RISHKAN</v>
      </c>
      <c r="D420" s="7" t="str">
        <f>IF(Sheet1!F420="F","FEMALE","MALE")</f>
        <v>MALE</v>
      </c>
      <c r="E420" s="6" t="str">
        <f>UPPER(Sheet1!G420)</f>
        <v>ARJUN RISHKAN</v>
      </c>
      <c r="F420" s="6" t="str">
        <f>UPPER(Sheet1!H420)</f>
        <v>RIYA RISHKAN</v>
      </c>
      <c r="G420" s="5" t="str">
        <f>TEXT(Sheet1!C420,"dd/mm/yyyy") &amp; "," &amp; Sheet1!D420</f>
        <v>07/02/2025,DALBY</v>
      </c>
      <c r="H420" s="39" t="str">
        <f>UPPER(Sheet1!J420 &amp; "," &amp; Sheet1!K420 &amp; "," &amp; Sheet1!L420)</f>
        <v>16 BIRCHWOOD LANE,EMERALD ROAD,PIN:294333 DALBY</v>
      </c>
      <c r="I420" s="8">
        <f>Sheet1!I420</f>
        <v>45747</v>
      </c>
      <c r="J420" s="5" t="str">
        <f>Sheet1!M420 &amp; "," &amp; TEXT(Sheet1!N420,"dd/mm/yy")</f>
        <v>MHA/IND/00419,23/08/25</v>
      </c>
      <c r="K420" s="5" t="s">
        <v>5752</v>
      </c>
      <c r="L420" s="31" t="s">
        <v>14</v>
      </c>
      <c r="M420" s="31" t="s">
        <v>15</v>
      </c>
      <c r="N420" s="31" t="s">
        <v>16</v>
      </c>
    </row>
    <row r="421" spans="1:14" x14ac:dyDescent="0.25">
      <c r="A421" s="4" t="str">
        <f>Sheet1!A421 &amp; "/" &amp; "2025"</f>
        <v>420/2025</v>
      </c>
      <c r="B421" s="5" t="str">
        <f>Sheet1!E421</f>
        <v>IND/MEL/00420</v>
      </c>
      <c r="C421" s="6" t="str">
        <f>UPPER(Sheet1!B421)</f>
        <v>ANYA RAO</v>
      </c>
      <c r="D421" s="7" t="str">
        <f>IF(Sheet1!F421="F","FEMALE","MALE")</f>
        <v>FEMALE</v>
      </c>
      <c r="E421" s="6" t="str">
        <f>UPPER(Sheet1!G421)</f>
        <v>ISHAN RAO</v>
      </c>
      <c r="F421" s="6" t="str">
        <f>UPPER(Sheet1!H421)</f>
        <v>RIYA RAO</v>
      </c>
      <c r="G421" s="5" t="str">
        <f>TEXT(Sheet1!C421,"dd/mm/yyyy") &amp; "," &amp; Sheet1!D421</f>
        <v>25/06/2025,PARKVILLE</v>
      </c>
      <c r="H421" s="39" t="str">
        <f>UPPER(Sheet1!J421 &amp; "," &amp; Sheet1!K421 &amp; "," &amp; Sheet1!L421)</f>
        <v>89 BIRCHWOOD LANE,EMERALD ROAD,PIN:778480 PARKVILLE</v>
      </c>
      <c r="I421" s="8">
        <f>Sheet1!I421</f>
        <v>45856</v>
      </c>
      <c r="J421" s="5" t="str">
        <f>Sheet1!M421 &amp; "," &amp; TEXT(Sheet1!N421,"dd/mm/yy")</f>
        <v>MHA/IND/00420,24/08/25</v>
      </c>
      <c r="K421" s="5" t="s">
        <v>5752</v>
      </c>
      <c r="L421" s="31" t="s">
        <v>14</v>
      </c>
      <c r="M421" s="31" t="s">
        <v>15</v>
      </c>
      <c r="N421" s="31" t="s">
        <v>16</v>
      </c>
    </row>
    <row r="422" spans="1:14" x14ac:dyDescent="0.25">
      <c r="A422" s="4" t="str">
        <f>Sheet1!A422 &amp; "/" &amp; "2025"</f>
        <v>421/2025</v>
      </c>
      <c r="B422" s="5" t="str">
        <f>Sheet1!E422</f>
        <v>IND/MEL/00421</v>
      </c>
      <c r="C422" s="6" t="str">
        <f>UPPER(Sheet1!B422)</f>
        <v>TARA RISHKAN</v>
      </c>
      <c r="D422" s="7" t="str">
        <f>IF(Sheet1!F422="F","FEMALE","MALE")</f>
        <v>FEMALE</v>
      </c>
      <c r="E422" s="6" t="str">
        <f>UPPER(Sheet1!G422)</f>
        <v>KABIR RISHKAN</v>
      </c>
      <c r="F422" s="6" t="str">
        <f>UPPER(Sheet1!H422)</f>
        <v>SARA RISHKAN</v>
      </c>
      <c r="G422" s="5" t="str">
        <f>TEXT(Sheet1!C422,"dd/mm/yyyy") &amp; "," &amp; Sheet1!D422</f>
        <v>04/06/2025,ADELAIDE</v>
      </c>
      <c r="H422" s="39" t="str">
        <f>UPPER(Sheet1!J422 &amp; "," &amp; Sheet1!K422 &amp; "," &amp; Sheet1!L422)</f>
        <v>77 BIRCHWOOD LANE,EMERALD ROAD,PIN:952963 ADELAIDE</v>
      </c>
      <c r="I422" s="8">
        <f>Sheet1!I422</f>
        <v>45931</v>
      </c>
      <c r="J422" s="5" t="str">
        <f>Sheet1!M422 &amp; "," &amp; TEXT(Sheet1!N422,"dd/mm/yy")</f>
        <v>MHA/IND/00421,08/08/25</v>
      </c>
      <c r="K422" s="5" t="s">
        <v>5752</v>
      </c>
      <c r="L422" s="31" t="s">
        <v>14</v>
      </c>
      <c r="M422" s="31" t="s">
        <v>15</v>
      </c>
      <c r="N422" s="31" t="s">
        <v>16</v>
      </c>
    </row>
    <row r="423" spans="1:14" x14ac:dyDescent="0.25">
      <c r="A423" s="4" t="str">
        <f>Sheet1!A423 &amp; "/" &amp; "2025"</f>
        <v>422/2025</v>
      </c>
      <c r="B423" s="5" t="str">
        <f>Sheet1!E423</f>
        <v>IND/MEL/00422</v>
      </c>
      <c r="C423" s="6" t="str">
        <f>UPPER(Sheet1!B423)</f>
        <v>ISHAN RAO</v>
      </c>
      <c r="D423" s="7" t="str">
        <f>IF(Sheet1!F423="F","FEMALE","MALE")</f>
        <v>MALE</v>
      </c>
      <c r="E423" s="6" t="str">
        <f>UPPER(Sheet1!G423)</f>
        <v>ARJUN RAO</v>
      </c>
      <c r="F423" s="6" t="str">
        <f>UPPER(Sheet1!H423)</f>
        <v>NINA RAO</v>
      </c>
      <c r="G423" s="5" t="str">
        <f>TEXT(Sheet1!C423,"dd/mm/yyyy") &amp; "," &amp; Sheet1!D423</f>
        <v>25/06/2025,LOGAN</v>
      </c>
      <c r="H423" s="39" t="str">
        <f>UPPER(Sheet1!J423 &amp; "," &amp; Sheet1!K423 &amp; "," &amp; Sheet1!L423)</f>
        <v>190 BIRCHWOOD LANE,EMERALD ROAD,PIN:921501 LOGAN</v>
      </c>
      <c r="I423" s="8">
        <f>Sheet1!I423</f>
        <v>45935</v>
      </c>
      <c r="J423" s="5" t="str">
        <f>Sheet1!M423 &amp; "," &amp; TEXT(Sheet1!N423,"dd/mm/yy")</f>
        <v>MHA/IND/00422,10/07/25</v>
      </c>
      <c r="K423" s="5" t="s">
        <v>5752</v>
      </c>
      <c r="L423" s="31" t="s">
        <v>14</v>
      </c>
      <c r="M423" s="31" t="s">
        <v>15</v>
      </c>
      <c r="N423" s="31" t="s">
        <v>16</v>
      </c>
    </row>
    <row r="424" spans="1:14" x14ac:dyDescent="0.25">
      <c r="A424" s="4" t="str">
        <f>Sheet1!A424 &amp; "/" &amp; "2025"</f>
        <v>423/2025</v>
      </c>
      <c r="B424" s="5" t="str">
        <f>Sheet1!E424</f>
        <v>IND/MEL/00423</v>
      </c>
      <c r="C424" s="6" t="str">
        <f>UPPER(Sheet1!B424)</f>
        <v>NEIL RISHKAN</v>
      </c>
      <c r="D424" s="7" t="str">
        <f>IF(Sheet1!F424="F","FEMALE","MALE")</f>
        <v>MALE</v>
      </c>
      <c r="E424" s="6" t="str">
        <f>UPPER(Sheet1!G424)</f>
        <v>NEIL RISHKAN</v>
      </c>
      <c r="F424" s="6" t="str">
        <f>UPPER(Sheet1!H424)</f>
        <v>TARA RISHKAN</v>
      </c>
      <c r="G424" s="5" t="str">
        <f>TEXT(Sheet1!C424,"dd/mm/yyyy") &amp; "," &amp; Sheet1!D424</f>
        <v>26/06/2025,FRANKSTON</v>
      </c>
      <c r="H424" s="39" t="str">
        <f>UPPER(Sheet1!J424 &amp; "," &amp; Sheet1!K424 &amp; "," &amp; Sheet1!L424)</f>
        <v>135 BIRCHWOOD LANE,EMERALD ROAD,PIN:461997 FRANKSTON</v>
      </c>
      <c r="I424" s="8">
        <f>Sheet1!I424</f>
        <v>45866</v>
      </c>
      <c r="J424" s="5" t="str">
        <f>Sheet1!M424 &amp; "," &amp; TEXT(Sheet1!N424,"dd/mm/yy")</f>
        <v>MHA/IND/00423,12/08/25</v>
      </c>
      <c r="K424" s="5" t="s">
        <v>5752</v>
      </c>
      <c r="L424" s="31" t="s">
        <v>14</v>
      </c>
      <c r="M424" s="31" t="s">
        <v>15</v>
      </c>
      <c r="N424" s="31" t="s">
        <v>16</v>
      </c>
    </row>
    <row r="425" spans="1:14" x14ac:dyDescent="0.25">
      <c r="A425" s="4" t="str">
        <f>Sheet1!A425 &amp; "/" &amp; "2025"</f>
        <v>424/2025</v>
      </c>
      <c r="B425" s="5" t="str">
        <f>Sheet1!E425</f>
        <v>IND/MEL/00424</v>
      </c>
      <c r="C425" s="6" t="str">
        <f>UPPER(Sheet1!B425)</f>
        <v>KIRAN MYRTHOS</v>
      </c>
      <c r="D425" s="7" t="str">
        <f>IF(Sheet1!F425="F","FEMALE","MALE")</f>
        <v>MALE</v>
      </c>
      <c r="E425" s="6" t="str">
        <f>UPPER(Sheet1!G425)</f>
        <v>ARJUN MYRTHOS</v>
      </c>
      <c r="F425" s="6" t="str">
        <f>UPPER(Sheet1!H425)</f>
        <v>SARA MYRTHOS</v>
      </c>
      <c r="G425" s="5" t="str">
        <f>TEXT(Sheet1!C425,"dd/mm/yyyy") &amp; "," &amp; Sheet1!D425</f>
        <v>10/05/2025,ST ALBANS</v>
      </c>
      <c r="H425" s="39" t="str">
        <f>UPPER(Sheet1!J425 &amp; "," &amp; Sheet1!K425 &amp; "," &amp; Sheet1!L425)</f>
        <v>118 BIRCHWOOD LANE,EMERALD ROAD,PIN:541304 ST ALBANS</v>
      </c>
      <c r="I425" s="8">
        <f>Sheet1!I425</f>
        <v>45833</v>
      </c>
      <c r="J425" s="5" t="str">
        <f>Sheet1!M425 &amp; "," &amp; TEXT(Sheet1!N425,"dd/mm/yy")</f>
        <v>MHA/IND/00424,09/08/25</v>
      </c>
      <c r="K425" s="5" t="s">
        <v>5752</v>
      </c>
      <c r="L425" s="31" t="s">
        <v>14</v>
      </c>
      <c r="M425" s="31" t="s">
        <v>15</v>
      </c>
      <c r="N425" s="31" t="s">
        <v>16</v>
      </c>
    </row>
    <row r="426" spans="1:14" x14ac:dyDescent="0.25">
      <c r="A426" s="4" t="str">
        <f>Sheet1!A426 &amp; "/" &amp; "2025"</f>
        <v>425/2025</v>
      </c>
      <c r="B426" s="5" t="str">
        <f>Sheet1!E426</f>
        <v>IND/MEL/00425</v>
      </c>
      <c r="C426" s="6" t="str">
        <f>UPPER(Sheet1!B426)</f>
        <v>DEV RISHKAN</v>
      </c>
      <c r="D426" s="7" t="str">
        <f>IF(Sheet1!F426="F","FEMALE","MALE")</f>
        <v>MALE</v>
      </c>
      <c r="E426" s="6" t="str">
        <f>UPPER(Sheet1!G426)</f>
        <v>ARJUN RISHKAN</v>
      </c>
      <c r="F426" s="6" t="str">
        <f>UPPER(Sheet1!H426)</f>
        <v>SARA RISHKAN</v>
      </c>
      <c r="G426" s="5" t="str">
        <f>TEXT(Sheet1!C426,"dd/mm/yyyy") &amp; "," &amp; Sheet1!D426</f>
        <v>10/01/2025,MANDURAH</v>
      </c>
      <c r="H426" s="39" t="str">
        <f>UPPER(Sheet1!J426 &amp; "," &amp; Sheet1!K426 &amp; "," &amp; Sheet1!L426)</f>
        <v>10 BIRCHWOOD LANE,EMERALD ROAD,PIN:613365 MANDURAH</v>
      </c>
      <c r="I426" s="8">
        <f>Sheet1!I426</f>
        <v>45721</v>
      </c>
      <c r="J426" s="5" t="str">
        <f>Sheet1!M426 &amp; "," &amp; TEXT(Sheet1!N426,"dd/mm/yy")</f>
        <v>MHA/IND/00425,08/08/25</v>
      </c>
      <c r="K426" s="5" t="s">
        <v>5752</v>
      </c>
      <c r="L426" s="31" t="s">
        <v>14</v>
      </c>
      <c r="M426" s="31" t="s">
        <v>15</v>
      </c>
      <c r="N426" s="31" t="s">
        <v>16</v>
      </c>
    </row>
    <row r="427" spans="1:14" x14ac:dyDescent="0.25">
      <c r="A427" s="4" t="str">
        <f>Sheet1!A427 &amp; "/" &amp; "2025"</f>
        <v>426/2025</v>
      </c>
      <c r="B427" s="5" t="str">
        <f>Sheet1!E427</f>
        <v>IND/MEL/00426</v>
      </c>
      <c r="C427" s="6" t="str">
        <f>UPPER(Sheet1!B427)</f>
        <v>SARA VALZARI</v>
      </c>
      <c r="D427" s="7" t="str">
        <f>IF(Sheet1!F427="F","FEMALE","MALE")</f>
        <v>FEMALE</v>
      </c>
      <c r="E427" s="6" t="str">
        <f>UPPER(Sheet1!G427)</f>
        <v>ARJUN VALZARI</v>
      </c>
      <c r="F427" s="6" t="str">
        <f>UPPER(Sheet1!H427)</f>
        <v>DIYA VALZARI</v>
      </c>
      <c r="G427" s="5" t="str">
        <f>TEXT(Sheet1!C427,"dd/mm/yyyy") &amp; "," &amp; Sheet1!D427</f>
        <v>26/10/2025,BEDFORD PARK</v>
      </c>
      <c r="H427" s="39" t="str">
        <f>UPPER(Sheet1!J427 &amp; "," &amp; Sheet1!K427 &amp; "," &amp; Sheet1!L427)</f>
        <v>184 BIRCHWOOD LANE,EMERALD ROAD,PIN:462170 BEDFORD PARK</v>
      </c>
      <c r="I427" s="8">
        <f>Sheet1!I427</f>
        <v>45962</v>
      </c>
      <c r="J427" s="5" t="str">
        <f>Sheet1!M427 &amp; "," &amp; TEXT(Sheet1!N427,"dd/mm/yy")</f>
        <v>MHA/IND/00426,26/07/25</v>
      </c>
      <c r="K427" s="5" t="s">
        <v>5752</v>
      </c>
      <c r="L427" s="31" t="s">
        <v>14</v>
      </c>
      <c r="M427" s="31" t="s">
        <v>15</v>
      </c>
      <c r="N427" s="31" t="s">
        <v>16</v>
      </c>
    </row>
    <row r="428" spans="1:14" x14ac:dyDescent="0.25">
      <c r="A428" s="4" t="str">
        <f>Sheet1!A428 &amp; "/" &amp; "2025"</f>
        <v>427/2025</v>
      </c>
      <c r="B428" s="5" t="str">
        <f>Sheet1!E428</f>
        <v>IND/MEL/00427</v>
      </c>
      <c r="C428" s="6" t="str">
        <f>UPPER(Sheet1!B428)</f>
        <v>ROHIT MYRTHOS</v>
      </c>
      <c r="D428" s="7" t="str">
        <f>IF(Sheet1!F428="F","FEMALE","MALE")</f>
        <v>MALE</v>
      </c>
      <c r="E428" s="6" t="str">
        <f>UPPER(Sheet1!G428)</f>
        <v>ARJUN MYRTHOS</v>
      </c>
      <c r="F428" s="6" t="str">
        <f>UPPER(Sheet1!H428)</f>
        <v>NINA MYRTHOS</v>
      </c>
      <c r="G428" s="5" t="str">
        <f>TEXT(Sheet1!C428,"dd/mm/yyyy") &amp; "," &amp; Sheet1!D428</f>
        <v>01/09/2025,WERRIBEE</v>
      </c>
      <c r="H428" s="39" t="str">
        <f>UPPER(Sheet1!J428 &amp; "," &amp; Sheet1!K428 &amp; "," &amp; Sheet1!L428)</f>
        <v>35 BIRCHWOOD LANE,EMERALD ROAD,PIN:345085 WERRIBEE</v>
      </c>
      <c r="I428" s="8">
        <f>Sheet1!I428</f>
        <v>45941</v>
      </c>
      <c r="J428" s="5" t="str">
        <f>Sheet1!M428 &amp; "," &amp; TEXT(Sheet1!N428,"dd/mm/yy")</f>
        <v>MHA/IND/00427,19/07/25</v>
      </c>
      <c r="K428" s="5" t="s">
        <v>5752</v>
      </c>
      <c r="L428" s="31" t="s">
        <v>14</v>
      </c>
      <c r="M428" s="31" t="s">
        <v>15</v>
      </c>
      <c r="N428" s="31" t="s">
        <v>16</v>
      </c>
    </row>
    <row r="429" spans="1:14" x14ac:dyDescent="0.25">
      <c r="A429" s="4" t="str">
        <f>Sheet1!A429 &amp; "/" &amp; "2025"</f>
        <v>428/2025</v>
      </c>
      <c r="B429" s="5" t="str">
        <f>Sheet1!E429</f>
        <v>IND/MEL/00428</v>
      </c>
      <c r="C429" s="6" t="str">
        <f>UPPER(Sheet1!B429)</f>
        <v>KABIR RAO</v>
      </c>
      <c r="D429" s="7" t="str">
        <f>IF(Sheet1!F429="F","FEMALE","MALE")</f>
        <v>MALE</v>
      </c>
      <c r="E429" s="6" t="str">
        <f>UPPER(Sheet1!G429)</f>
        <v>NEIL RAO</v>
      </c>
      <c r="F429" s="6" t="str">
        <f>UPPER(Sheet1!H429)</f>
        <v>SARA RAO</v>
      </c>
      <c r="G429" s="5" t="str">
        <f>TEXT(Sheet1!C429,"dd/mm/yyyy") &amp; "," &amp; Sheet1!D429</f>
        <v>22/07/2025,BUNDABERG</v>
      </c>
      <c r="H429" s="39" t="str">
        <f>UPPER(Sheet1!J429 &amp; "," &amp; Sheet1!K429 &amp; "," &amp; Sheet1!L429)</f>
        <v>131 BIRCHWOOD LANE,EMERALD ROAD,PIN:834366 BUNDABERG</v>
      </c>
      <c r="I429" s="8">
        <f>Sheet1!I429</f>
        <v>45905</v>
      </c>
      <c r="J429" s="5" t="str">
        <f>Sheet1!M429 &amp; "," &amp; TEXT(Sheet1!N429,"dd/mm/yy")</f>
        <v>MHA/IND/00428,06/07/25</v>
      </c>
      <c r="K429" s="5" t="s">
        <v>5752</v>
      </c>
      <c r="L429" s="31" t="s">
        <v>14</v>
      </c>
      <c r="M429" s="31" t="s">
        <v>15</v>
      </c>
      <c r="N429" s="31" t="s">
        <v>16</v>
      </c>
    </row>
    <row r="430" spans="1:14" x14ac:dyDescent="0.25">
      <c r="A430" s="4" t="str">
        <f>Sheet1!A430 &amp; "/" &amp; "2025"</f>
        <v>429/2025</v>
      </c>
      <c r="B430" s="5" t="str">
        <f>Sheet1!E430</f>
        <v>IND/MEL/00429</v>
      </c>
      <c r="C430" s="6" t="str">
        <f>UPPER(Sheet1!B430)</f>
        <v>DIYA RAO</v>
      </c>
      <c r="D430" s="7" t="str">
        <f>IF(Sheet1!F430="F","FEMALE","MALE")</f>
        <v>FEMALE</v>
      </c>
      <c r="E430" s="6" t="str">
        <f>UPPER(Sheet1!G430)</f>
        <v>NEIL RAO</v>
      </c>
      <c r="F430" s="6" t="str">
        <f>UPPER(Sheet1!H430)</f>
        <v>RIYA RAO</v>
      </c>
      <c r="G430" s="5" t="str">
        <f>TEXT(Sheet1!C430,"dd/mm/yyyy") &amp; "," &amp; Sheet1!D430</f>
        <v>20/06/2025,PERTH</v>
      </c>
      <c r="H430" s="39" t="str">
        <f>UPPER(Sheet1!J430 &amp; "," &amp; Sheet1!K430 &amp; "," &amp; Sheet1!L430)</f>
        <v>32 BIRCHWOOD LANE,EMERALD ROAD,PIN:127602 PERTH</v>
      </c>
      <c r="I430" s="8">
        <f>Sheet1!I430</f>
        <v>45872</v>
      </c>
      <c r="J430" s="5" t="str">
        <f>Sheet1!M430 &amp; "," &amp; TEXT(Sheet1!N430,"dd/mm/yy")</f>
        <v>MHA/IND/00429,26/07/25</v>
      </c>
      <c r="K430" s="5" t="s">
        <v>5752</v>
      </c>
      <c r="L430" s="31" t="s">
        <v>14</v>
      </c>
      <c r="M430" s="31" t="s">
        <v>15</v>
      </c>
      <c r="N430" s="31" t="s">
        <v>16</v>
      </c>
    </row>
    <row r="431" spans="1:14" x14ac:dyDescent="0.25">
      <c r="A431" s="4" t="str">
        <f>Sheet1!A431 &amp; "/" &amp; "2025"</f>
        <v>430/2025</v>
      </c>
      <c r="B431" s="5" t="str">
        <f>Sheet1!E431</f>
        <v>IND/MEL/00430</v>
      </c>
      <c r="C431" s="6" t="str">
        <f>UPPER(Sheet1!B431)</f>
        <v>KIRAN MYRTHOS</v>
      </c>
      <c r="D431" s="7" t="str">
        <f>IF(Sheet1!F431="F","FEMALE","MALE")</f>
        <v>MALE</v>
      </c>
      <c r="E431" s="6" t="str">
        <f>UPPER(Sheet1!G431)</f>
        <v>ISHAN MYRTHOS</v>
      </c>
      <c r="F431" s="6" t="str">
        <f>UPPER(Sheet1!H431)</f>
        <v>ANYA MYRTHOS</v>
      </c>
      <c r="G431" s="5" t="str">
        <f>TEXT(Sheet1!C431,"dd/mm/yyyy") &amp; "," &amp; Sheet1!D431</f>
        <v>28/04/2025,NEWCASTLE</v>
      </c>
      <c r="H431" s="39" t="str">
        <f>UPPER(Sheet1!J431 &amp; "," &amp; Sheet1!K431 &amp; "," &amp; Sheet1!L431)</f>
        <v>139 BIRCHWOOD LANE,EMERALD ROAD,PIN:884260 NEWCASTLE</v>
      </c>
      <c r="I431" s="8">
        <f>Sheet1!I431</f>
        <v>45873</v>
      </c>
      <c r="J431" s="5" t="str">
        <f>Sheet1!M431 &amp; "," &amp; TEXT(Sheet1!N431,"dd/mm/yy")</f>
        <v>MHA/IND/00430,02/07/25</v>
      </c>
      <c r="K431" s="5" t="s">
        <v>5752</v>
      </c>
      <c r="L431" s="31" t="s">
        <v>14</v>
      </c>
      <c r="M431" s="31" t="s">
        <v>15</v>
      </c>
      <c r="N431" s="31" t="s">
        <v>16</v>
      </c>
    </row>
    <row r="432" spans="1:14" x14ac:dyDescent="0.25">
      <c r="A432" s="4" t="str">
        <f>Sheet1!A432 &amp; "/" &amp; "2025"</f>
        <v>431/2025</v>
      </c>
      <c r="B432" s="5" t="str">
        <f>Sheet1!E432</f>
        <v>IND/MEL/00431</v>
      </c>
      <c r="C432" s="6" t="str">
        <f>UPPER(Sheet1!B432)</f>
        <v>NEIL SINDALE</v>
      </c>
      <c r="D432" s="7" t="str">
        <f>IF(Sheet1!F432="F","FEMALE","MALE")</f>
        <v>MALE</v>
      </c>
      <c r="E432" s="6" t="str">
        <f>UPPER(Sheet1!G432)</f>
        <v>KABIR SINDALE</v>
      </c>
      <c r="F432" s="6" t="str">
        <f>UPPER(Sheet1!H432)</f>
        <v>SARA SINDALE</v>
      </c>
      <c r="G432" s="5" t="str">
        <f>TEXT(Sheet1!C432,"dd/mm/yyyy") &amp; "," &amp; Sheet1!D432</f>
        <v>17/03/2025,PARKVILLE</v>
      </c>
      <c r="H432" s="39" t="str">
        <f>UPPER(Sheet1!J432 &amp; "," &amp; Sheet1!K432 &amp; "," &amp; Sheet1!L432)</f>
        <v>164 BIRCHWOOD LANE,EMERALD ROAD,PIN:603548 PARKVILLE</v>
      </c>
      <c r="I432" s="8">
        <f>Sheet1!I432</f>
        <v>45786</v>
      </c>
      <c r="J432" s="5" t="str">
        <f>Sheet1!M432 &amp; "," &amp; TEXT(Sheet1!N432,"dd/mm/yy")</f>
        <v>MHA/IND/00431,30/07/25</v>
      </c>
      <c r="K432" s="5" t="s">
        <v>5752</v>
      </c>
      <c r="L432" s="31" t="s">
        <v>14</v>
      </c>
      <c r="M432" s="31" t="s">
        <v>15</v>
      </c>
      <c r="N432" s="31" t="s">
        <v>16</v>
      </c>
    </row>
    <row r="433" spans="1:14" x14ac:dyDescent="0.25">
      <c r="A433" s="4" t="str">
        <f>Sheet1!A433 &amp; "/" &amp; "2025"</f>
        <v>432/2025</v>
      </c>
      <c r="B433" s="5" t="str">
        <f>Sheet1!E433</f>
        <v>IND/MEL/00432</v>
      </c>
      <c r="C433" s="6" t="str">
        <f>UPPER(Sheet1!B433)</f>
        <v>ANYA RISHKAN</v>
      </c>
      <c r="D433" s="7" t="str">
        <f>IF(Sheet1!F433="F","FEMALE","MALE")</f>
        <v>FEMALE</v>
      </c>
      <c r="E433" s="6" t="str">
        <f>UPPER(Sheet1!G433)</f>
        <v>ARJUN RISHKAN</v>
      </c>
      <c r="F433" s="6" t="str">
        <f>UPPER(Sheet1!H433)</f>
        <v>RIYA RISHKAN</v>
      </c>
      <c r="G433" s="5" t="str">
        <f>TEXT(Sheet1!C433,"dd/mm/yyyy") &amp; "," &amp; Sheet1!D433</f>
        <v>05/06/2025,CLAYTON</v>
      </c>
      <c r="H433" s="39" t="str">
        <f>UPPER(Sheet1!J433 &amp; "," &amp; Sheet1!K433 &amp; "," &amp; Sheet1!L433)</f>
        <v>115 BIRCHWOOD LANE,EMERALD ROAD,PIN:420167 CLAYTON</v>
      </c>
      <c r="I433" s="8">
        <f>Sheet1!I433</f>
        <v>45881</v>
      </c>
      <c r="J433" s="5" t="str">
        <f>Sheet1!M433 &amp; "," &amp; TEXT(Sheet1!N433,"dd/mm/yy")</f>
        <v>MHA/IND/00432,11/07/25</v>
      </c>
      <c r="K433" s="5" t="s">
        <v>5752</v>
      </c>
      <c r="L433" s="31" t="s">
        <v>14</v>
      </c>
      <c r="M433" s="31" t="s">
        <v>15</v>
      </c>
      <c r="N433" s="31" t="s">
        <v>16</v>
      </c>
    </row>
    <row r="434" spans="1:14" x14ac:dyDescent="0.25">
      <c r="A434" s="4" t="str">
        <f>Sheet1!A434 &amp; "/" &amp; "2025"</f>
        <v>433/2025</v>
      </c>
      <c r="B434" s="5" t="str">
        <f>Sheet1!E434</f>
        <v>IND/MEL/00433</v>
      </c>
      <c r="C434" s="6" t="str">
        <f>UPPER(Sheet1!B434)</f>
        <v>ISHAN MYRTHOS</v>
      </c>
      <c r="D434" s="7" t="str">
        <f>IF(Sheet1!F434="F","FEMALE","MALE")</f>
        <v>MALE</v>
      </c>
      <c r="E434" s="6" t="str">
        <f>UPPER(Sheet1!G434)</f>
        <v>ROHIT MYRTHOS</v>
      </c>
      <c r="F434" s="6" t="str">
        <f>UPPER(Sheet1!H434)</f>
        <v>SARA MYRTHOS</v>
      </c>
      <c r="G434" s="5" t="str">
        <f>TEXT(Sheet1!C434,"dd/mm/yyyy") &amp; "," &amp; Sheet1!D434</f>
        <v>15/08/2025,SYDNEY</v>
      </c>
      <c r="H434" s="39" t="str">
        <f>UPPER(Sheet1!J434 &amp; "," &amp; Sheet1!K434 &amp; "," &amp; Sheet1!L434)</f>
        <v>87 BIRCHWOOD LANE,EMERALD ROAD,PIN:467770 SYDNEY</v>
      </c>
      <c r="I434" s="8">
        <f>Sheet1!I434</f>
        <v>45929</v>
      </c>
      <c r="J434" s="5" t="str">
        <f>Sheet1!M434 &amp; "," &amp; TEXT(Sheet1!N434,"dd/mm/yy")</f>
        <v>MHA/IND/00433,17/07/25</v>
      </c>
      <c r="K434" s="5" t="s">
        <v>5752</v>
      </c>
      <c r="L434" s="31" t="s">
        <v>14</v>
      </c>
      <c r="M434" s="31" t="s">
        <v>15</v>
      </c>
      <c r="N434" s="31" t="s">
        <v>16</v>
      </c>
    </row>
    <row r="435" spans="1:14" x14ac:dyDescent="0.25">
      <c r="A435" s="4" t="str">
        <f>Sheet1!A435 &amp; "/" &amp; "2025"</f>
        <v>434/2025</v>
      </c>
      <c r="B435" s="5" t="str">
        <f>Sheet1!E435</f>
        <v>IND/MEL/00434</v>
      </c>
      <c r="C435" s="6" t="str">
        <f>UPPER(Sheet1!B435)</f>
        <v>ROHIT KALEON</v>
      </c>
      <c r="D435" s="7" t="str">
        <f>IF(Sheet1!F435="F","FEMALE","MALE")</f>
        <v>MALE</v>
      </c>
      <c r="E435" s="6" t="str">
        <f>UPPER(Sheet1!G435)</f>
        <v>ARJUN KALEON</v>
      </c>
      <c r="F435" s="6" t="str">
        <f>UPPER(Sheet1!H435)</f>
        <v>NINA KALEON</v>
      </c>
      <c r="G435" s="5" t="str">
        <f>TEXT(Sheet1!C435,"dd/mm/yyyy") &amp; "," &amp; Sheet1!D435</f>
        <v>22/09/2025,SHEPPARTON</v>
      </c>
      <c r="H435" s="39" t="str">
        <f>UPPER(Sheet1!J435 &amp; "," &amp; Sheet1!K435 &amp; "," &amp; Sheet1!L435)</f>
        <v>77 BIRCHWOOD LANE,EMERALD ROAD,PIN:757926 SHEPPARTON</v>
      </c>
      <c r="I435" s="8">
        <f>Sheet1!I435</f>
        <v>46024</v>
      </c>
      <c r="J435" s="5" t="str">
        <f>Sheet1!M435 &amp; "," &amp; TEXT(Sheet1!N435,"dd/mm/yy")</f>
        <v>MHA/IND/00434,10/08/25</v>
      </c>
      <c r="K435" s="5" t="s">
        <v>5752</v>
      </c>
      <c r="L435" s="31" t="s">
        <v>14</v>
      </c>
      <c r="M435" s="31" t="s">
        <v>15</v>
      </c>
      <c r="N435" s="31" t="s">
        <v>16</v>
      </c>
    </row>
    <row r="436" spans="1:14" x14ac:dyDescent="0.25">
      <c r="A436" s="4" t="str">
        <f>Sheet1!A436 &amp; "/" &amp; "2025"</f>
        <v>435/2025</v>
      </c>
      <c r="B436" s="5" t="str">
        <f>Sheet1!E436</f>
        <v>IND/MEL/00435</v>
      </c>
      <c r="C436" s="6" t="str">
        <f>UPPER(Sheet1!B436)</f>
        <v>NEIL KALEON</v>
      </c>
      <c r="D436" s="7" t="str">
        <f>IF(Sheet1!F436="F","FEMALE","MALE")</f>
        <v>MALE</v>
      </c>
      <c r="E436" s="6" t="str">
        <f>UPPER(Sheet1!G436)</f>
        <v>ROHIT KALEON</v>
      </c>
      <c r="F436" s="6" t="str">
        <f>UPPER(Sheet1!H436)</f>
        <v>DIYA KALEON</v>
      </c>
      <c r="G436" s="5" t="str">
        <f>TEXT(Sheet1!C436,"dd/mm/yyyy") &amp; "," &amp; Sheet1!D436</f>
        <v>21/04/2025,WERRIBEE</v>
      </c>
      <c r="H436" s="39" t="str">
        <f>UPPER(Sheet1!J436 &amp; "," &amp; Sheet1!K436 &amp; "," &amp; Sheet1!L436)</f>
        <v>59 BIRCHWOOD LANE,EMERALD ROAD,PIN:445229 WERRIBEE</v>
      </c>
      <c r="I436" s="8">
        <f>Sheet1!I436</f>
        <v>45776</v>
      </c>
      <c r="J436" s="5" t="str">
        <f>Sheet1!M436 &amp; "," &amp; TEXT(Sheet1!N436,"dd/mm/yy")</f>
        <v>MHA/IND/00435,28/08/25</v>
      </c>
      <c r="K436" s="5" t="s">
        <v>5752</v>
      </c>
      <c r="L436" s="31" t="s">
        <v>14</v>
      </c>
      <c r="M436" s="31" t="s">
        <v>15</v>
      </c>
      <c r="N436" s="31" t="s">
        <v>16</v>
      </c>
    </row>
    <row r="437" spans="1:14" x14ac:dyDescent="0.25">
      <c r="A437" s="4" t="str">
        <f>Sheet1!A437 &amp; "/" &amp; "2025"</f>
        <v>436/2025</v>
      </c>
      <c r="B437" s="5" t="str">
        <f>Sheet1!E437</f>
        <v>IND/MEL/00436</v>
      </c>
      <c r="C437" s="6" t="str">
        <f>UPPER(Sheet1!B437)</f>
        <v>MIRA KALEON</v>
      </c>
      <c r="D437" s="7" t="str">
        <f>IF(Sheet1!F437="F","FEMALE","MALE")</f>
        <v>FEMALE</v>
      </c>
      <c r="E437" s="6" t="str">
        <f>UPPER(Sheet1!G437)</f>
        <v>ARJUN KALEON</v>
      </c>
      <c r="F437" s="6" t="str">
        <f>UPPER(Sheet1!H437)</f>
        <v>DIYA KALEON</v>
      </c>
      <c r="G437" s="5" t="str">
        <f>TEXT(Sheet1!C437,"dd/mm/yyyy") &amp; "," &amp; Sheet1!D437</f>
        <v>27/10/2025,MOUNT WAVERLEY</v>
      </c>
      <c r="H437" s="39" t="str">
        <f>UPPER(Sheet1!J437 &amp; "," &amp; Sheet1!K437 &amp; "," &amp; Sheet1!L437)</f>
        <v>97 BIRCHWOOD LANE,EMERALD ROAD,PIN:563405 MOUNT WAVERLEY</v>
      </c>
      <c r="I437" s="8">
        <f>Sheet1!I437</f>
        <v>45976</v>
      </c>
      <c r="J437" s="5" t="str">
        <f>Sheet1!M437 &amp; "," &amp; TEXT(Sheet1!N437,"dd/mm/yy")</f>
        <v>MHA/IND/00436,01/07/25</v>
      </c>
      <c r="K437" s="5" t="s">
        <v>5752</v>
      </c>
      <c r="L437" s="31" t="s">
        <v>14</v>
      </c>
      <c r="M437" s="31" t="s">
        <v>15</v>
      </c>
      <c r="N437" s="31" t="s">
        <v>16</v>
      </c>
    </row>
    <row r="438" spans="1:14" x14ac:dyDescent="0.25">
      <c r="A438" s="4" t="str">
        <f>Sheet1!A438 &amp; "/" &amp; "2025"</f>
        <v>437/2025</v>
      </c>
      <c r="B438" s="5" t="str">
        <f>Sheet1!E438</f>
        <v>IND/MEL/00437</v>
      </c>
      <c r="C438" s="6" t="str">
        <f>UPPER(Sheet1!B438)</f>
        <v>DIYA KALEON</v>
      </c>
      <c r="D438" s="7" t="str">
        <f>IF(Sheet1!F438="F","FEMALE","MALE")</f>
        <v>FEMALE</v>
      </c>
      <c r="E438" s="6" t="str">
        <f>UPPER(Sheet1!G438)</f>
        <v>DEV KALEON</v>
      </c>
      <c r="F438" s="6" t="str">
        <f>UPPER(Sheet1!H438)</f>
        <v>ANYA KALEON</v>
      </c>
      <c r="G438" s="5" t="str">
        <f>TEXT(Sheet1!C438,"dd/mm/yyyy") &amp; "," &amp; Sheet1!D438</f>
        <v>11/07/2025,BRISBANE</v>
      </c>
      <c r="H438" s="39" t="str">
        <f>UPPER(Sheet1!J438 &amp; "," &amp; Sheet1!K438 &amp; "," &amp; Sheet1!L438)</f>
        <v>27 BIRCHWOOD LANE,EMERALD ROAD,PIN:220650 BRISBANE</v>
      </c>
      <c r="I438" s="8">
        <f>Sheet1!I438</f>
        <v>45956</v>
      </c>
      <c r="J438" s="5" t="str">
        <f>Sheet1!M438 &amp; "," &amp; TEXT(Sheet1!N438,"dd/mm/yy")</f>
        <v>MHA/IND/00437,24/08/25</v>
      </c>
      <c r="K438" s="5" t="s">
        <v>5752</v>
      </c>
      <c r="L438" s="31" t="s">
        <v>14</v>
      </c>
      <c r="M438" s="31" t="s">
        <v>15</v>
      </c>
      <c r="N438" s="31" t="s">
        <v>16</v>
      </c>
    </row>
    <row r="439" spans="1:14" x14ac:dyDescent="0.25">
      <c r="A439" s="4" t="str">
        <f>Sheet1!A439 &amp; "/" &amp; "2025"</f>
        <v>438/2025</v>
      </c>
      <c r="B439" s="5" t="str">
        <f>Sheet1!E439</f>
        <v>IND/MEL/00438</v>
      </c>
      <c r="C439" s="6" t="str">
        <f>UPPER(Sheet1!B439)</f>
        <v>KABIR MYRTHOS</v>
      </c>
      <c r="D439" s="7" t="str">
        <f>IF(Sheet1!F439="F","FEMALE","MALE")</f>
        <v>MALE</v>
      </c>
      <c r="E439" s="6" t="str">
        <f>UPPER(Sheet1!G439)</f>
        <v>KIRAN MYRTHOS</v>
      </c>
      <c r="F439" s="6" t="str">
        <f>UPPER(Sheet1!H439)</f>
        <v>SARA MYRTHOS</v>
      </c>
      <c r="G439" s="5" t="str">
        <f>TEXT(Sheet1!C439,"dd/mm/yyyy") &amp; "," &amp; Sheet1!D439</f>
        <v>16/02/2025,MILDURA</v>
      </c>
      <c r="H439" s="39" t="str">
        <f>UPPER(Sheet1!J439 &amp; "," &amp; Sheet1!K439 &amp; "," &amp; Sheet1!L439)</f>
        <v>198 BIRCHWOOD LANE,EMERALD ROAD,PIN:462004 MILDURA</v>
      </c>
      <c r="I439" s="8">
        <f>Sheet1!I439</f>
        <v>45773</v>
      </c>
      <c r="J439" s="5" t="str">
        <f>Sheet1!M439 &amp; "," &amp; TEXT(Sheet1!N439,"dd/mm/yy")</f>
        <v>MHA/IND/00438,12/08/25</v>
      </c>
      <c r="K439" s="5" t="s">
        <v>5752</v>
      </c>
      <c r="L439" s="31" t="s">
        <v>14</v>
      </c>
      <c r="M439" s="31" t="s">
        <v>15</v>
      </c>
      <c r="N439" s="31" t="s">
        <v>16</v>
      </c>
    </row>
    <row r="440" spans="1:14" x14ac:dyDescent="0.25">
      <c r="A440" s="4" t="str">
        <f>Sheet1!A440 &amp; "/" &amp; "2025"</f>
        <v>439/2025</v>
      </c>
      <c r="B440" s="5" t="str">
        <f>Sheet1!E440</f>
        <v>IND/MEL/00439</v>
      </c>
      <c r="C440" s="6" t="str">
        <f>UPPER(Sheet1!B440)</f>
        <v>ROHIT RISHKAN</v>
      </c>
      <c r="D440" s="7" t="str">
        <f>IF(Sheet1!F440="F","FEMALE","MALE")</f>
        <v>MALE</v>
      </c>
      <c r="E440" s="6" t="str">
        <f>UPPER(Sheet1!G440)</f>
        <v>ARJUN RISHKAN</v>
      </c>
      <c r="F440" s="6" t="str">
        <f>UPPER(Sheet1!H440)</f>
        <v>ANYA RISHKAN</v>
      </c>
      <c r="G440" s="5" t="str">
        <f>TEXT(Sheet1!C440,"dd/mm/yyyy") &amp; "," &amp; Sheet1!D440</f>
        <v>14/02/2025,KINGSWOOD</v>
      </c>
      <c r="H440" s="39" t="str">
        <f>UPPER(Sheet1!J440 &amp; "," &amp; Sheet1!K440 &amp; "," &amp; Sheet1!L440)</f>
        <v>83 BIRCHWOOD LANE,EMERALD ROAD,PIN:270087 KINGSWOOD</v>
      </c>
      <c r="I440" s="8">
        <f>Sheet1!I440</f>
        <v>45741</v>
      </c>
      <c r="J440" s="5" t="str">
        <f>Sheet1!M440 &amp; "," &amp; TEXT(Sheet1!N440,"dd/mm/yy")</f>
        <v>MHA/IND/00439,24/07/25</v>
      </c>
      <c r="K440" s="5" t="s">
        <v>5752</v>
      </c>
      <c r="L440" s="31" t="s">
        <v>14</v>
      </c>
      <c r="M440" s="31" t="s">
        <v>15</v>
      </c>
      <c r="N440" s="31" t="s">
        <v>16</v>
      </c>
    </row>
    <row r="441" spans="1:14" x14ac:dyDescent="0.25">
      <c r="A441" s="4" t="str">
        <f>Sheet1!A441 &amp; "/" &amp; "2025"</f>
        <v>440/2025</v>
      </c>
      <c r="B441" s="5" t="str">
        <f>Sheet1!E441</f>
        <v>IND/MEL/00440</v>
      </c>
      <c r="C441" s="6" t="str">
        <f>UPPER(Sheet1!B441)</f>
        <v>ROHIT MYRTHOS</v>
      </c>
      <c r="D441" s="7" t="str">
        <f>IF(Sheet1!F441="F","FEMALE","MALE")</f>
        <v>MALE</v>
      </c>
      <c r="E441" s="6" t="str">
        <f>UPPER(Sheet1!G441)</f>
        <v>NEIL MYRTHOS</v>
      </c>
      <c r="F441" s="6" t="str">
        <f>UPPER(Sheet1!H441)</f>
        <v>RIYA MYRTHOS</v>
      </c>
      <c r="G441" s="5" t="str">
        <f>TEXT(Sheet1!C441,"dd/mm/yyyy") &amp; "," &amp; Sheet1!D441</f>
        <v>17/09/2025,TUGGERANONG</v>
      </c>
      <c r="H441" s="39" t="str">
        <f>UPPER(Sheet1!J441 &amp; "," &amp; Sheet1!K441 &amp; "," &amp; Sheet1!L441)</f>
        <v>97 BIRCHWOOD LANE,EMERALD ROAD,PIN:639992 TUGGERANONG</v>
      </c>
      <c r="I441" s="8">
        <f>Sheet1!I441</f>
        <v>45969</v>
      </c>
      <c r="J441" s="5" t="str">
        <f>Sheet1!M441 &amp; "," &amp; TEXT(Sheet1!N441,"dd/mm/yy")</f>
        <v>MHA/IND/00440,17/08/25</v>
      </c>
      <c r="K441" s="5" t="s">
        <v>5752</v>
      </c>
      <c r="L441" s="31" t="s">
        <v>14</v>
      </c>
      <c r="M441" s="31" t="s">
        <v>15</v>
      </c>
      <c r="N441" s="31" t="s">
        <v>16</v>
      </c>
    </row>
    <row r="442" spans="1:14" x14ac:dyDescent="0.25">
      <c r="A442" s="4" t="str">
        <f>Sheet1!A442 &amp; "/" &amp; "2025"</f>
        <v>441/2025</v>
      </c>
      <c r="B442" s="5" t="str">
        <f>Sheet1!E442</f>
        <v>IND/MEL/00441</v>
      </c>
      <c r="C442" s="6" t="str">
        <f>UPPER(Sheet1!B442)</f>
        <v>ALYA RAO</v>
      </c>
      <c r="D442" s="7" t="str">
        <f>IF(Sheet1!F442="F","FEMALE","MALE")</f>
        <v>FEMALE</v>
      </c>
      <c r="E442" s="6" t="str">
        <f>UPPER(Sheet1!G442)</f>
        <v>ROHIT RAO</v>
      </c>
      <c r="F442" s="6" t="str">
        <f>UPPER(Sheet1!H442)</f>
        <v>ALYA RAO</v>
      </c>
      <c r="G442" s="5" t="str">
        <f>TEXT(Sheet1!C442,"dd/mm/yyyy") &amp; "," &amp; Sheet1!D442</f>
        <v>14/01/2025,HEIDELBERG</v>
      </c>
      <c r="H442" s="39" t="str">
        <f>UPPER(Sheet1!J442 &amp; "," &amp; Sheet1!K442 &amp; "," &amp; Sheet1!L442)</f>
        <v>140 BIRCHWOOD LANE,EMERALD ROAD,PIN:499471 HEIDELBERG</v>
      </c>
      <c r="I442" s="8">
        <f>Sheet1!I442</f>
        <v>45780</v>
      </c>
      <c r="J442" s="5" t="str">
        <f>Sheet1!M442 &amp; "," &amp; TEXT(Sheet1!N442,"dd/mm/yy")</f>
        <v>MHA/IND/00441,28/07/25</v>
      </c>
      <c r="K442" s="5" t="s">
        <v>5752</v>
      </c>
      <c r="L442" s="31" t="s">
        <v>14</v>
      </c>
      <c r="M442" s="31" t="s">
        <v>15</v>
      </c>
      <c r="N442" s="31" t="s">
        <v>16</v>
      </c>
    </row>
    <row r="443" spans="1:14" x14ac:dyDescent="0.25">
      <c r="A443" s="4" t="str">
        <f>Sheet1!A443 &amp; "/" &amp; "2025"</f>
        <v>442/2025</v>
      </c>
      <c r="B443" s="5" t="str">
        <f>Sheet1!E443</f>
        <v>IND/MEL/00442</v>
      </c>
      <c r="C443" s="6" t="str">
        <f>UPPER(Sheet1!B443)</f>
        <v>NEIL RISHKAN</v>
      </c>
      <c r="D443" s="7" t="str">
        <f>IF(Sheet1!F443="F","FEMALE","MALE")</f>
        <v>MALE</v>
      </c>
      <c r="E443" s="6" t="str">
        <f>UPPER(Sheet1!G443)</f>
        <v>NEIL RISHKAN</v>
      </c>
      <c r="F443" s="6" t="str">
        <f>UPPER(Sheet1!H443)</f>
        <v>NINA RISHKAN</v>
      </c>
      <c r="G443" s="5" t="str">
        <f>TEXT(Sheet1!C443,"dd/mm/yyyy") &amp; "," &amp; Sheet1!D443</f>
        <v>23/05/2025,BALLARAT CENTRAL</v>
      </c>
      <c r="H443" s="39" t="str">
        <f>UPPER(Sheet1!J443 &amp; "," &amp; Sheet1!K443 &amp; "," &amp; Sheet1!L443)</f>
        <v>80 BIRCHWOOD LANE,EMERALD ROAD,PIN:295625 BALLARAT CENTRAL</v>
      </c>
      <c r="I443" s="8">
        <f>Sheet1!I443</f>
        <v>45822</v>
      </c>
      <c r="J443" s="5" t="str">
        <f>Sheet1!M443 &amp; "," &amp; TEXT(Sheet1!N443,"dd/mm/yy")</f>
        <v>MHA/IND/00442,13/07/25</v>
      </c>
      <c r="K443" s="5" t="s">
        <v>5752</v>
      </c>
      <c r="L443" s="31" t="s">
        <v>14</v>
      </c>
      <c r="M443" s="31" t="s">
        <v>15</v>
      </c>
      <c r="N443" s="31" t="s">
        <v>16</v>
      </c>
    </row>
    <row r="444" spans="1:14" x14ac:dyDescent="0.25">
      <c r="A444" s="4" t="str">
        <f>Sheet1!A444 &amp; "/" &amp; "2025"</f>
        <v>443/2025</v>
      </c>
      <c r="B444" s="5" t="str">
        <f>Sheet1!E444</f>
        <v>IND/MEL/00443</v>
      </c>
      <c r="C444" s="6" t="str">
        <f>UPPER(Sheet1!B444)</f>
        <v>RIYA SHARMA</v>
      </c>
      <c r="D444" s="7" t="str">
        <f>IF(Sheet1!F444="F","FEMALE","MALE")</f>
        <v>FEMALE</v>
      </c>
      <c r="E444" s="6" t="str">
        <f>UPPER(Sheet1!G444)</f>
        <v>KABIR SHARMA</v>
      </c>
      <c r="F444" s="6" t="str">
        <f>UPPER(Sheet1!H444)</f>
        <v>ALYA SHARMA</v>
      </c>
      <c r="G444" s="5" t="str">
        <f>TEXT(Sheet1!C444,"dd/mm/yyyy") &amp; "," &amp; Sheet1!D444</f>
        <v>02/10/2025,BUNDABERG</v>
      </c>
      <c r="H444" s="39" t="str">
        <f>UPPER(Sheet1!J444 &amp; "," &amp; Sheet1!K444 &amp; "," &amp; Sheet1!L444)</f>
        <v>164 BIRCHWOOD LANE,EMERALD ROAD,PIN:842372 BUNDABERG</v>
      </c>
      <c r="I444" s="8">
        <f>Sheet1!I444</f>
        <v>45950</v>
      </c>
      <c r="J444" s="5" t="str">
        <f>Sheet1!M444 &amp; "," &amp; TEXT(Sheet1!N444,"dd/mm/yy")</f>
        <v>MHA/IND/00443,16/08/25</v>
      </c>
      <c r="K444" s="5" t="s">
        <v>5752</v>
      </c>
      <c r="L444" s="31" t="s">
        <v>14</v>
      </c>
      <c r="M444" s="31" t="s">
        <v>15</v>
      </c>
      <c r="N444" s="31" t="s">
        <v>16</v>
      </c>
    </row>
    <row r="445" spans="1:14" x14ac:dyDescent="0.25">
      <c r="A445" s="4" t="str">
        <f>Sheet1!A445 &amp; "/" &amp; "2025"</f>
        <v>444/2025</v>
      </c>
      <c r="B445" s="5" t="str">
        <f>Sheet1!E445</f>
        <v>IND/MEL/00444</v>
      </c>
      <c r="C445" s="6" t="str">
        <f>UPPER(Sheet1!B445)</f>
        <v>ALYA SHARMA</v>
      </c>
      <c r="D445" s="7" t="str">
        <f>IF(Sheet1!F445="F","FEMALE","MALE")</f>
        <v>FEMALE</v>
      </c>
      <c r="E445" s="6" t="str">
        <f>UPPER(Sheet1!G445)</f>
        <v>KABIR SHARMA</v>
      </c>
      <c r="F445" s="6" t="str">
        <f>UPPER(Sheet1!H445)</f>
        <v>ALYA SHARMA</v>
      </c>
      <c r="G445" s="5" t="str">
        <f>TEXT(Sheet1!C445,"dd/mm/yyyy") &amp; "," &amp; Sheet1!D445</f>
        <v>28/04/2025,LAUNCESTON</v>
      </c>
      <c r="H445" s="39" t="str">
        <f>UPPER(Sheet1!J445 &amp; "," &amp; Sheet1!K445 &amp; "," &amp; Sheet1!L445)</f>
        <v>15 BIRCHWOOD LANE,EMERALD ROAD,PIN:931268 LAUNCESTON</v>
      </c>
      <c r="I445" s="8">
        <f>Sheet1!I445</f>
        <v>45864</v>
      </c>
      <c r="J445" s="5" t="str">
        <f>Sheet1!M445 &amp; "," &amp; TEXT(Sheet1!N445,"dd/mm/yy")</f>
        <v>MHA/IND/00444,28/08/25</v>
      </c>
      <c r="K445" s="5" t="s">
        <v>5752</v>
      </c>
      <c r="L445" s="31" t="s">
        <v>14</v>
      </c>
      <c r="M445" s="31" t="s">
        <v>15</v>
      </c>
      <c r="N445" s="31" t="s">
        <v>16</v>
      </c>
    </row>
    <row r="446" spans="1:14" x14ac:dyDescent="0.25">
      <c r="A446" s="4" t="str">
        <f>Sheet1!A446 &amp; "/" &amp; "2025"</f>
        <v>445/2025</v>
      </c>
      <c r="B446" s="5" t="str">
        <f>Sheet1!E446</f>
        <v>IND/MEL/00445</v>
      </c>
      <c r="C446" s="6" t="str">
        <f>UPPER(Sheet1!B446)</f>
        <v>SARA KALEON</v>
      </c>
      <c r="D446" s="7" t="str">
        <f>IF(Sheet1!F446="F","FEMALE","MALE")</f>
        <v>FEMALE</v>
      </c>
      <c r="E446" s="6" t="str">
        <f>UPPER(Sheet1!G446)</f>
        <v>KABIR KALEON</v>
      </c>
      <c r="F446" s="6" t="str">
        <f>UPPER(Sheet1!H446)</f>
        <v>MIRA KALEON</v>
      </c>
      <c r="G446" s="5" t="str">
        <f>TEXT(Sheet1!C446,"dd/mm/yyyy") &amp; "," &amp; Sheet1!D446</f>
        <v>12/10/2025,BUNDOORA</v>
      </c>
      <c r="H446" s="39" t="str">
        <f>UPPER(Sheet1!J446 &amp; "," &amp; Sheet1!K446 &amp; "," &amp; Sheet1!L446)</f>
        <v>100 BIRCHWOOD LANE,EMERALD ROAD,PIN:115514 BUNDOORA</v>
      </c>
      <c r="I446" s="8">
        <f>Sheet1!I446</f>
        <v>45975</v>
      </c>
      <c r="J446" s="5" t="str">
        <f>Sheet1!M446 &amp; "," &amp; TEXT(Sheet1!N446,"dd/mm/yy")</f>
        <v>MHA/IND/00445,20/07/25</v>
      </c>
      <c r="K446" s="5" t="s">
        <v>5752</v>
      </c>
      <c r="L446" s="31" t="s">
        <v>14</v>
      </c>
      <c r="M446" s="31" t="s">
        <v>15</v>
      </c>
      <c r="N446" s="31" t="s">
        <v>16</v>
      </c>
    </row>
    <row r="447" spans="1:14" x14ac:dyDescent="0.25">
      <c r="A447" s="4" t="str">
        <f>Sheet1!A447 &amp; "/" &amp; "2025"</f>
        <v>446/2025</v>
      </c>
      <c r="B447" s="5" t="str">
        <f>Sheet1!E447</f>
        <v>IND/MEL/00446</v>
      </c>
      <c r="C447" s="6" t="str">
        <f>UPPER(Sheet1!B447)</f>
        <v>ARJUN VALZARI</v>
      </c>
      <c r="D447" s="7" t="str">
        <f>IF(Sheet1!F447="F","FEMALE","MALE")</f>
        <v>MALE</v>
      </c>
      <c r="E447" s="6" t="str">
        <f>UPPER(Sheet1!G447)</f>
        <v>ARJUN VALZARI</v>
      </c>
      <c r="F447" s="6" t="str">
        <f>UPPER(Sheet1!H447)</f>
        <v>ALYA VALZARI</v>
      </c>
      <c r="G447" s="5" t="str">
        <f>TEXT(Sheet1!C447,"dd/mm/yyyy") &amp; "," &amp; Sheet1!D447</f>
        <v>07/01/2025,ST ALBANS</v>
      </c>
      <c r="H447" s="39" t="str">
        <f>UPPER(Sheet1!J447 &amp; "," &amp; Sheet1!K447 &amp; "," &amp; Sheet1!L447)</f>
        <v>140 BIRCHWOOD LANE,EMERALD ROAD,PIN:979619 ST ALBANS</v>
      </c>
      <c r="I447" s="8">
        <f>Sheet1!I447</f>
        <v>45725</v>
      </c>
      <c r="J447" s="5" t="str">
        <f>Sheet1!M447 &amp; "," &amp; TEXT(Sheet1!N447,"dd/mm/yy")</f>
        <v>MHA/IND/00446,21/07/25</v>
      </c>
      <c r="K447" s="5" t="s">
        <v>5752</v>
      </c>
      <c r="L447" s="31" t="s">
        <v>14</v>
      </c>
      <c r="M447" s="31" t="s">
        <v>15</v>
      </c>
      <c r="N447" s="31" t="s">
        <v>16</v>
      </c>
    </row>
    <row r="448" spans="1:14" x14ac:dyDescent="0.25">
      <c r="A448" s="4" t="str">
        <f>Sheet1!A448 &amp; "/" &amp; "2025"</f>
        <v>447/2025</v>
      </c>
      <c r="B448" s="5" t="str">
        <f>Sheet1!E448</f>
        <v>IND/MEL/00447</v>
      </c>
      <c r="C448" s="6" t="str">
        <f>UPPER(Sheet1!B448)</f>
        <v>NEIL VALZARI</v>
      </c>
      <c r="D448" s="7" t="str">
        <f>IF(Sheet1!F448="F","FEMALE","MALE")</f>
        <v>MALE</v>
      </c>
      <c r="E448" s="6" t="str">
        <f>UPPER(Sheet1!G448)</f>
        <v>ISHAN VALZARI</v>
      </c>
      <c r="F448" s="6" t="str">
        <f>UPPER(Sheet1!H448)</f>
        <v>SARA VALZARI</v>
      </c>
      <c r="G448" s="5" t="str">
        <f>TEXT(Sheet1!C448,"dd/mm/yyyy") &amp; "," &amp; Sheet1!D448</f>
        <v>25/08/2025,BLACKTOWN</v>
      </c>
      <c r="H448" s="39" t="str">
        <f>UPPER(Sheet1!J448 &amp; "," &amp; Sheet1!K448 &amp; "," &amp; Sheet1!L448)</f>
        <v>59 BIRCHWOOD LANE,EMERALD ROAD,PIN:338900 BLACKTOWN</v>
      </c>
      <c r="I448" s="8">
        <f>Sheet1!I448</f>
        <v>45951</v>
      </c>
      <c r="J448" s="5" t="str">
        <f>Sheet1!M448 &amp; "," &amp; TEXT(Sheet1!N448,"dd/mm/yy")</f>
        <v>MHA/IND/00447,26/08/25</v>
      </c>
      <c r="K448" s="5" t="s">
        <v>5752</v>
      </c>
      <c r="L448" s="31" t="s">
        <v>14</v>
      </c>
      <c r="M448" s="31" t="s">
        <v>15</v>
      </c>
      <c r="N448" s="31" t="s">
        <v>16</v>
      </c>
    </row>
    <row r="449" spans="1:14" x14ac:dyDescent="0.25">
      <c r="A449" s="4" t="str">
        <f>Sheet1!A449 &amp; "/" &amp; "2025"</f>
        <v>448/2025</v>
      </c>
      <c r="B449" s="5" t="str">
        <f>Sheet1!E449</f>
        <v>IND/MEL/00448</v>
      </c>
      <c r="C449" s="6" t="str">
        <f>UPPER(Sheet1!B449)</f>
        <v>ANYA RISHKAN</v>
      </c>
      <c r="D449" s="7" t="str">
        <f>IF(Sheet1!F449="F","FEMALE","MALE")</f>
        <v>FEMALE</v>
      </c>
      <c r="E449" s="6" t="str">
        <f>UPPER(Sheet1!G449)</f>
        <v>ROHIT RISHKAN</v>
      </c>
      <c r="F449" s="6" t="str">
        <f>UPPER(Sheet1!H449)</f>
        <v>MIRA RISHKAN</v>
      </c>
      <c r="G449" s="5" t="str">
        <f>TEXT(Sheet1!C449,"dd/mm/yyyy") &amp; "," &amp; Sheet1!D449</f>
        <v>22/08/2025,DARWIN</v>
      </c>
      <c r="H449" s="39" t="str">
        <f>UPPER(Sheet1!J449 &amp; "," &amp; Sheet1!K449 &amp; "," &amp; Sheet1!L449)</f>
        <v>125 BIRCHWOOD LANE,EMERALD ROAD,PIN:311709 DARWIN</v>
      </c>
      <c r="I449" s="8">
        <f>Sheet1!I449</f>
        <v>45934</v>
      </c>
      <c r="J449" s="5" t="str">
        <f>Sheet1!M449 &amp; "," &amp; TEXT(Sheet1!N449,"dd/mm/yy")</f>
        <v>MHA/IND/00448,15/08/25</v>
      </c>
      <c r="K449" s="5" t="s">
        <v>5752</v>
      </c>
      <c r="L449" s="31" t="s">
        <v>14</v>
      </c>
      <c r="M449" s="31" t="s">
        <v>15</v>
      </c>
      <c r="N449" s="31" t="s">
        <v>16</v>
      </c>
    </row>
    <row r="450" spans="1:14" x14ac:dyDescent="0.25">
      <c r="A450" s="4" t="str">
        <f>Sheet1!A450 &amp; "/" &amp; "2025"</f>
        <v>449/2025</v>
      </c>
      <c r="B450" s="5" t="str">
        <f>Sheet1!E450</f>
        <v>IND/MEL/00449</v>
      </c>
      <c r="C450" s="6" t="str">
        <f>UPPER(Sheet1!B450)</f>
        <v>RIYA VALZARI</v>
      </c>
      <c r="D450" s="7" t="str">
        <f>IF(Sheet1!F450="F","FEMALE","MALE")</f>
        <v>FEMALE</v>
      </c>
      <c r="E450" s="6" t="str">
        <f>UPPER(Sheet1!G450)</f>
        <v>KIRAN VALZARI</v>
      </c>
      <c r="F450" s="6" t="str">
        <f>UPPER(Sheet1!H450)</f>
        <v>RIYA VALZARI</v>
      </c>
      <c r="G450" s="5" t="str">
        <f>TEXT(Sheet1!C450,"dd/mm/yyyy") &amp; "," &amp; Sheet1!D450</f>
        <v>24/01/2025,TOWNSVILLE</v>
      </c>
      <c r="H450" s="39" t="str">
        <f>UPPER(Sheet1!J450 &amp; "," &amp; Sheet1!K450 &amp; "," &amp; Sheet1!L450)</f>
        <v>66 BIRCHWOOD LANE,EMERALD ROAD,PIN:614427 TOWNSVILLE</v>
      </c>
      <c r="I450" s="8">
        <f>Sheet1!I450</f>
        <v>45731</v>
      </c>
      <c r="J450" s="5" t="str">
        <f>Sheet1!M450 &amp; "," &amp; TEXT(Sheet1!N450,"dd/mm/yy")</f>
        <v>MHA/IND/00449,19/07/25</v>
      </c>
      <c r="K450" s="5" t="s">
        <v>5752</v>
      </c>
      <c r="L450" s="31" t="s">
        <v>14</v>
      </c>
      <c r="M450" s="31" t="s">
        <v>15</v>
      </c>
      <c r="N450" s="31" t="s">
        <v>16</v>
      </c>
    </row>
    <row r="451" spans="1:14" x14ac:dyDescent="0.25">
      <c r="A451" s="4" t="str">
        <f>Sheet1!A451 &amp; "/" &amp; "2025"</f>
        <v>450/2025</v>
      </c>
      <c r="B451" s="5" t="str">
        <f>Sheet1!E451</f>
        <v>IND/MEL/00450</v>
      </c>
      <c r="C451" s="6" t="str">
        <f>UPPER(Sheet1!B451)</f>
        <v>NINA MYRTHOS</v>
      </c>
      <c r="D451" s="7" t="str">
        <f>IF(Sheet1!F451="F","FEMALE","MALE")</f>
        <v>FEMALE</v>
      </c>
      <c r="E451" s="6" t="str">
        <f>UPPER(Sheet1!G451)</f>
        <v>NEIL MYRTHOS</v>
      </c>
      <c r="F451" s="6" t="str">
        <f>UPPER(Sheet1!H451)</f>
        <v>MIRA MYRTHOS</v>
      </c>
      <c r="G451" s="5" t="str">
        <f>TEXT(Sheet1!C451,"dd/mm/yyyy") &amp; "," &amp; Sheet1!D451</f>
        <v>15/05/2025,MANDURAH</v>
      </c>
      <c r="H451" s="39" t="str">
        <f>UPPER(Sheet1!J451 &amp; "," &amp; Sheet1!K451 &amp; "," &amp; Sheet1!L451)</f>
        <v>141 BIRCHWOOD LANE,EMERALD ROAD,PIN:221704 MANDURAH</v>
      </c>
      <c r="I451" s="8">
        <f>Sheet1!I451</f>
        <v>45804</v>
      </c>
      <c r="J451" s="5" t="str">
        <f>Sheet1!M451 &amp; "," &amp; TEXT(Sheet1!N451,"dd/mm/yy")</f>
        <v>MHA/IND/00450,18/07/25</v>
      </c>
      <c r="K451" s="5" t="s">
        <v>5752</v>
      </c>
      <c r="L451" s="31" t="s">
        <v>14</v>
      </c>
      <c r="M451" s="31" t="s">
        <v>15</v>
      </c>
      <c r="N451" s="31" t="s">
        <v>16</v>
      </c>
    </row>
    <row r="452" spans="1:14" x14ac:dyDescent="0.25">
      <c r="A452" s="4" t="str">
        <f>Sheet1!A452 &amp; "/" &amp; "2025"</f>
        <v>451/2025</v>
      </c>
      <c r="B452" s="5" t="str">
        <f>Sheet1!E452</f>
        <v>IND/MEL/00451</v>
      </c>
      <c r="C452" s="6" t="str">
        <f>UPPER(Sheet1!B452)</f>
        <v>KABIR KALEON</v>
      </c>
      <c r="D452" s="7" t="str">
        <f>IF(Sheet1!F452="F","FEMALE","MALE")</f>
        <v>MALE</v>
      </c>
      <c r="E452" s="6" t="str">
        <f>UPPER(Sheet1!G452)</f>
        <v>KABIR KALEON</v>
      </c>
      <c r="F452" s="6" t="str">
        <f>UPPER(Sheet1!H452)</f>
        <v>TARA KALEON</v>
      </c>
      <c r="G452" s="5" t="str">
        <f>TEXT(Sheet1!C452,"dd/mm/yyyy") &amp; "," &amp; Sheet1!D452</f>
        <v>04/03/2025,CLAYTON</v>
      </c>
      <c r="H452" s="39" t="str">
        <f>UPPER(Sheet1!J452 &amp; "," &amp; Sheet1!K452 &amp; "," &amp; Sheet1!L452)</f>
        <v>185 BIRCHWOOD LANE,EMERALD ROAD,PIN:746995 CLAYTON</v>
      </c>
      <c r="I452" s="8">
        <f>Sheet1!I452</f>
        <v>45828</v>
      </c>
      <c r="J452" s="5" t="str">
        <f>Sheet1!M452 &amp; "," &amp; TEXT(Sheet1!N452,"dd/mm/yy")</f>
        <v>MHA/IND/00451,01/08/25</v>
      </c>
      <c r="K452" s="5" t="s">
        <v>5752</v>
      </c>
      <c r="L452" s="31" t="s">
        <v>14</v>
      </c>
      <c r="M452" s="31" t="s">
        <v>15</v>
      </c>
      <c r="N452" s="31" t="s">
        <v>16</v>
      </c>
    </row>
    <row r="453" spans="1:14" x14ac:dyDescent="0.25">
      <c r="A453" s="4" t="str">
        <f>Sheet1!A453 &amp; "/" &amp; "2025"</f>
        <v>452/2025</v>
      </c>
      <c r="B453" s="5" t="str">
        <f>Sheet1!E453</f>
        <v>IND/MEL/00452</v>
      </c>
      <c r="C453" s="6" t="str">
        <f>UPPER(Sheet1!B453)</f>
        <v>MIRA MYRTHOS</v>
      </c>
      <c r="D453" s="7" t="str">
        <f>IF(Sheet1!F453="F","FEMALE","MALE")</f>
        <v>FEMALE</v>
      </c>
      <c r="E453" s="6" t="str">
        <f>UPPER(Sheet1!G453)</f>
        <v>KIRAN MYRTHOS</v>
      </c>
      <c r="F453" s="6" t="str">
        <f>UPPER(Sheet1!H453)</f>
        <v>SARA MYRTHOS</v>
      </c>
      <c r="G453" s="5" t="str">
        <f>TEXT(Sheet1!C453,"dd/mm/yyyy") &amp; "," &amp; Sheet1!D453</f>
        <v>02/09/2025,WAGGA WAGGA</v>
      </c>
      <c r="H453" s="39" t="str">
        <f>UPPER(Sheet1!J453 &amp; "," &amp; Sheet1!K453 &amp; "," &amp; Sheet1!L453)</f>
        <v>91 BIRCHWOOD LANE,EMERALD ROAD,PIN:224333 WAGGA WAGGA</v>
      </c>
      <c r="I453" s="8">
        <f>Sheet1!I453</f>
        <v>45948</v>
      </c>
      <c r="J453" s="5" t="str">
        <f>Sheet1!M453 &amp; "," &amp; TEXT(Sheet1!N453,"dd/mm/yy")</f>
        <v>MHA/IND/00452,16/08/25</v>
      </c>
      <c r="K453" s="5" t="s">
        <v>5752</v>
      </c>
      <c r="L453" s="31" t="s">
        <v>14</v>
      </c>
      <c r="M453" s="31" t="s">
        <v>15</v>
      </c>
      <c r="N453" s="31" t="s">
        <v>16</v>
      </c>
    </row>
    <row r="454" spans="1:14" x14ac:dyDescent="0.25">
      <c r="A454" s="4" t="str">
        <f>Sheet1!A454 &amp; "/" &amp; "2025"</f>
        <v>453/2025</v>
      </c>
      <c r="B454" s="5" t="str">
        <f>Sheet1!E454</f>
        <v>IND/MEL/00453</v>
      </c>
      <c r="C454" s="6" t="str">
        <f>UPPER(Sheet1!B454)</f>
        <v>KIRAN SHARMA</v>
      </c>
      <c r="D454" s="7" t="str">
        <f>IF(Sheet1!F454="F","FEMALE","MALE")</f>
        <v>MALE</v>
      </c>
      <c r="E454" s="6" t="str">
        <f>UPPER(Sheet1!G454)</f>
        <v>ROHIT SHARMA</v>
      </c>
      <c r="F454" s="6" t="str">
        <f>UPPER(Sheet1!H454)</f>
        <v>ANYA SHARMA</v>
      </c>
      <c r="G454" s="5" t="str">
        <f>TEXT(Sheet1!C454,"dd/mm/yyyy") &amp; "," &amp; Sheet1!D454</f>
        <v>25/04/2025,BOX HILL</v>
      </c>
      <c r="H454" s="39" t="str">
        <f>UPPER(Sheet1!J454 &amp; "," &amp; Sheet1!K454 &amp; "," &amp; Sheet1!L454)</f>
        <v>177 BIRCHWOOD LANE,EMERALD ROAD,PIN:240679 BOX HILL</v>
      </c>
      <c r="I454" s="8">
        <f>Sheet1!I454</f>
        <v>45866</v>
      </c>
      <c r="J454" s="5" t="str">
        <f>Sheet1!M454 &amp; "," &amp; TEXT(Sheet1!N454,"dd/mm/yy")</f>
        <v>MHA/IND/00453,02/08/25</v>
      </c>
      <c r="K454" s="5" t="s">
        <v>5752</v>
      </c>
      <c r="L454" s="31" t="s">
        <v>14</v>
      </c>
      <c r="M454" s="31" t="s">
        <v>17</v>
      </c>
      <c r="N454" s="31" t="s">
        <v>16</v>
      </c>
    </row>
    <row r="455" spans="1:14" x14ac:dyDescent="0.25">
      <c r="A455" s="4" t="str">
        <f>Sheet1!A455 &amp; "/" &amp; "2025"</f>
        <v>454/2025</v>
      </c>
      <c r="B455" s="5" t="str">
        <f>Sheet1!E455</f>
        <v>IND/MEL/00454</v>
      </c>
      <c r="C455" s="6" t="str">
        <f>UPPER(Sheet1!B455)</f>
        <v>KIRAN KALEON</v>
      </c>
      <c r="D455" s="7" t="str">
        <f>IF(Sheet1!F455="F","FEMALE","MALE")</f>
        <v>MALE</v>
      </c>
      <c r="E455" s="6" t="str">
        <f>UPPER(Sheet1!G455)</f>
        <v>NEIL KALEON</v>
      </c>
      <c r="F455" s="6" t="str">
        <f>UPPER(Sheet1!H455)</f>
        <v>ALYA KALEON</v>
      </c>
      <c r="G455" s="5" t="str">
        <f>TEXT(Sheet1!C455,"dd/mm/yyyy") &amp; "," &amp; Sheet1!D455</f>
        <v>08/08/2025,ARMADALE</v>
      </c>
      <c r="H455" s="39" t="str">
        <f>UPPER(Sheet1!J455 &amp; "," &amp; Sheet1!K455 &amp; "," &amp; Sheet1!L455)</f>
        <v>129 BIRCHWOOD LANE,EMERALD ROAD,PIN:586924 ARMADALE</v>
      </c>
      <c r="I455" s="8">
        <f>Sheet1!I455</f>
        <v>45911</v>
      </c>
      <c r="J455" s="5" t="str">
        <f>Sheet1!M455 &amp; "," &amp; TEXT(Sheet1!N455,"dd/mm/yy")</f>
        <v>MHA/IND/00454,23/07/25</v>
      </c>
      <c r="K455" s="5" t="s">
        <v>5752</v>
      </c>
      <c r="L455" s="31" t="s">
        <v>14</v>
      </c>
      <c r="M455" s="31" t="s">
        <v>15</v>
      </c>
      <c r="N455" s="31" t="s">
        <v>16</v>
      </c>
    </row>
    <row r="456" spans="1:14" x14ac:dyDescent="0.25">
      <c r="A456" s="4" t="str">
        <f>Sheet1!A456 &amp; "/" &amp; "2025"</f>
        <v>455/2025</v>
      </c>
      <c r="B456" s="5" t="str">
        <f>Sheet1!E456</f>
        <v>IND/MEL/00455</v>
      </c>
      <c r="C456" s="6" t="str">
        <f>UPPER(Sheet1!B456)</f>
        <v>TARA SINDALE</v>
      </c>
      <c r="D456" s="7" t="str">
        <f>IF(Sheet1!F456="F","FEMALE","MALE")</f>
        <v>FEMALE</v>
      </c>
      <c r="E456" s="6" t="str">
        <f>UPPER(Sheet1!G456)</f>
        <v>KIRAN SINDALE</v>
      </c>
      <c r="F456" s="6" t="str">
        <f>UPPER(Sheet1!H456)</f>
        <v>RIYA SINDALE</v>
      </c>
      <c r="G456" s="5" t="str">
        <f>TEXT(Sheet1!C456,"dd/mm/yyyy") &amp; "," &amp; Sheet1!D456</f>
        <v>03/03/2025,BUNDABERG</v>
      </c>
      <c r="H456" s="39" t="str">
        <f>UPPER(Sheet1!J456 &amp; "," &amp; Sheet1!K456 &amp; "," &amp; Sheet1!L456)</f>
        <v>16 BIRCHWOOD LANE,EMERALD ROAD,PIN:282096 BUNDABERG</v>
      </c>
      <c r="I456" s="8">
        <f>Sheet1!I456</f>
        <v>45770</v>
      </c>
      <c r="J456" s="5" t="str">
        <f>Sheet1!M456 &amp; "," &amp; TEXT(Sheet1!N456,"dd/mm/yy")</f>
        <v>MHA/IND/00455,04/08/25</v>
      </c>
      <c r="K456" s="5" t="s">
        <v>5752</v>
      </c>
      <c r="L456" s="31" t="s">
        <v>14</v>
      </c>
      <c r="M456" s="31" t="s">
        <v>15</v>
      </c>
      <c r="N456" s="31" t="s">
        <v>16</v>
      </c>
    </row>
    <row r="457" spans="1:14" x14ac:dyDescent="0.25">
      <c r="A457" s="4" t="str">
        <f>Sheet1!A457 &amp; "/" &amp; "2025"</f>
        <v>456/2025</v>
      </c>
      <c r="B457" s="5" t="str">
        <f>Sheet1!E457</f>
        <v>IND/MEL/00456</v>
      </c>
      <c r="C457" s="6" t="str">
        <f>UPPER(Sheet1!B457)</f>
        <v>DEV RAO</v>
      </c>
      <c r="D457" s="7" t="str">
        <f>IF(Sheet1!F457="F","FEMALE","MALE")</f>
        <v>MALE</v>
      </c>
      <c r="E457" s="6" t="str">
        <f>UPPER(Sheet1!G457)</f>
        <v>ARJUN RAO</v>
      </c>
      <c r="F457" s="6" t="str">
        <f>UPPER(Sheet1!H457)</f>
        <v>SARA RAO</v>
      </c>
      <c r="G457" s="5" t="str">
        <f>TEXT(Sheet1!C457,"dd/mm/yyyy") &amp; "," &amp; Sheet1!D457</f>
        <v>28/03/2025,CANBERRA</v>
      </c>
      <c r="H457" s="39" t="str">
        <f>UPPER(Sheet1!J457 &amp; "," &amp; Sheet1!K457 &amp; "," &amp; Sheet1!L457)</f>
        <v>41 BIRCHWOOD LANE,EMERALD ROAD,PIN:342753 CANBERRA</v>
      </c>
      <c r="I457" s="8">
        <f>Sheet1!I457</f>
        <v>45788</v>
      </c>
      <c r="J457" s="5" t="str">
        <f>Sheet1!M457 &amp; "," &amp; TEXT(Sheet1!N457,"dd/mm/yy")</f>
        <v>MHA/IND/00456,15/07/25</v>
      </c>
      <c r="K457" s="5" t="s">
        <v>5752</v>
      </c>
      <c r="L457" s="31" t="s">
        <v>14</v>
      </c>
      <c r="M457" s="31" t="s">
        <v>15</v>
      </c>
      <c r="N457" s="31" t="s">
        <v>16</v>
      </c>
    </row>
    <row r="458" spans="1:14" x14ac:dyDescent="0.25">
      <c r="A458" s="4" t="str">
        <f>Sheet1!A458 &amp; "/" &amp; "2025"</f>
        <v>457/2025</v>
      </c>
      <c r="B458" s="5" t="str">
        <f>Sheet1!E458</f>
        <v>IND/MEL/00457</v>
      </c>
      <c r="C458" s="6" t="str">
        <f>UPPER(Sheet1!B458)</f>
        <v>ISHAN RISHKAN</v>
      </c>
      <c r="D458" s="7" t="str">
        <f>IF(Sheet1!F458="F","FEMALE","MALE")</f>
        <v>MALE</v>
      </c>
      <c r="E458" s="6" t="str">
        <f>UPPER(Sheet1!G458)</f>
        <v>ARJUN RISHKAN</v>
      </c>
      <c r="F458" s="6" t="str">
        <f>UPPER(Sheet1!H458)</f>
        <v>SARA RISHKAN</v>
      </c>
      <c r="G458" s="5" t="str">
        <f>TEXT(Sheet1!C458,"dd/mm/yyyy") &amp; "," &amp; Sheet1!D458</f>
        <v>17/06/2025,DALBY</v>
      </c>
      <c r="H458" s="39" t="str">
        <f>UPPER(Sheet1!J458 &amp; "," &amp; Sheet1!K458 &amp; "," &amp; Sheet1!L458)</f>
        <v>153 BIRCHWOOD LANE,EMERALD ROAD,PIN:321233 DALBY</v>
      </c>
      <c r="I458" s="8">
        <f>Sheet1!I458</f>
        <v>45852</v>
      </c>
      <c r="J458" s="5" t="str">
        <f>Sheet1!M458 &amp; "," &amp; TEXT(Sheet1!N458,"dd/mm/yy")</f>
        <v>MHA/IND/00457,27/07/25</v>
      </c>
      <c r="K458" s="5" t="s">
        <v>5752</v>
      </c>
      <c r="L458" s="31" t="s">
        <v>14</v>
      </c>
      <c r="M458" s="31" t="s">
        <v>15</v>
      </c>
      <c r="N458" s="31" t="s">
        <v>16</v>
      </c>
    </row>
    <row r="459" spans="1:14" x14ac:dyDescent="0.25">
      <c r="A459" s="4" t="str">
        <f>Sheet1!A459 &amp; "/" &amp; "2025"</f>
        <v>458/2025</v>
      </c>
      <c r="B459" s="5" t="str">
        <f>Sheet1!E459</f>
        <v>IND/MEL/00458</v>
      </c>
      <c r="C459" s="6" t="str">
        <f>UPPER(Sheet1!B459)</f>
        <v>KABIR SINDALE</v>
      </c>
      <c r="D459" s="7" t="str">
        <f>IF(Sheet1!F459="F","FEMALE","MALE")</f>
        <v>MALE</v>
      </c>
      <c r="E459" s="6" t="str">
        <f>UPPER(Sheet1!G459)</f>
        <v>DEV SINDALE</v>
      </c>
      <c r="F459" s="6" t="str">
        <f>UPPER(Sheet1!H459)</f>
        <v>MIRA SINDALE</v>
      </c>
      <c r="G459" s="5" t="str">
        <f>TEXT(Sheet1!C459,"dd/mm/yyyy") &amp; "," &amp; Sheet1!D459</f>
        <v>17/09/2025,FREMANTLE</v>
      </c>
      <c r="H459" s="39" t="str">
        <f>UPPER(Sheet1!J459 &amp; "," &amp; Sheet1!K459 &amp; "," &amp; Sheet1!L459)</f>
        <v>85 BIRCHWOOD LANE,EMERALD ROAD,PIN:895271 FREMANTLE</v>
      </c>
      <c r="I459" s="8">
        <f>Sheet1!I459</f>
        <v>46021</v>
      </c>
      <c r="J459" s="5" t="str">
        <f>Sheet1!M459 &amp; "," &amp; TEXT(Sheet1!N459,"dd/mm/yy")</f>
        <v>MHA/IND/00458,02/07/25</v>
      </c>
      <c r="K459" s="5" t="s">
        <v>5752</v>
      </c>
      <c r="L459" s="31" t="s">
        <v>14</v>
      </c>
      <c r="M459" s="31" t="s">
        <v>15</v>
      </c>
      <c r="N459" s="31" t="s">
        <v>16</v>
      </c>
    </row>
    <row r="460" spans="1:14" x14ac:dyDescent="0.25">
      <c r="A460" s="4" t="str">
        <f>Sheet1!A460 &amp; "/" &amp; "2025"</f>
        <v>459/2025</v>
      </c>
      <c r="B460" s="5" t="str">
        <f>Sheet1!E460</f>
        <v>IND/MEL/00459</v>
      </c>
      <c r="C460" s="6" t="str">
        <f>UPPER(Sheet1!B460)</f>
        <v>KABIR SINDALE</v>
      </c>
      <c r="D460" s="7" t="str">
        <f>IF(Sheet1!F460="F","FEMALE","MALE")</f>
        <v>MALE</v>
      </c>
      <c r="E460" s="6" t="str">
        <f>UPPER(Sheet1!G460)</f>
        <v>ROHIT SINDALE</v>
      </c>
      <c r="F460" s="6" t="str">
        <f>UPPER(Sheet1!H460)</f>
        <v>RIYA SINDALE</v>
      </c>
      <c r="G460" s="5" t="str">
        <f>TEXT(Sheet1!C460,"dd/mm/yyyy") &amp; "," &amp; Sheet1!D460</f>
        <v>03/08/2025,MILDURA</v>
      </c>
      <c r="H460" s="39" t="str">
        <f>UPPER(Sheet1!J460 &amp; "," &amp; Sheet1!K460 &amp; "," &amp; Sheet1!L460)</f>
        <v>79 BIRCHWOOD LANE,EMERALD ROAD,PIN:922144 MILDURA</v>
      </c>
      <c r="I460" s="8">
        <f>Sheet1!I460</f>
        <v>45939</v>
      </c>
      <c r="J460" s="5" t="str">
        <f>Sheet1!M460 &amp; "," &amp; TEXT(Sheet1!N460,"dd/mm/yy")</f>
        <v>MHA/IND/00459,09/08/25</v>
      </c>
      <c r="K460" s="5" t="s">
        <v>5752</v>
      </c>
      <c r="L460" s="31" t="s">
        <v>14</v>
      </c>
      <c r="M460" s="31" t="s">
        <v>15</v>
      </c>
      <c r="N460" s="31" t="s">
        <v>16</v>
      </c>
    </row>
    <row r="461" spans="1:14" ht="30" customHeight="1" x14ac:dyDescent="0.25">
      <c r="A461" s="4" t="str">
        <f>Sheet1!A461 &amp; "/" &amp; "2025"</f>
        <v>460/2025</v>
      </c>
      <c r="B461" s="5" t="str">
        <f>Sheet1!E461</f>
        <v>IND/MEL/00460</v>
      </c>
      <c r="C461" s="6" t="str">
        <f>UPPER(Sheet1!B461)</f>
        <v>AREN RAO</v>
      </c>
      <c r="D461" s="7" t="str">
        <f>IF(Sheet1!F461="F","FEMALE","MALE")</f>
        <v>MALE</v>
      </c>
      <c r="E461" s="6" t="str">
        <f>UPPER(Sheet1!G461)</f>
        <v>ROHIT RAO</v>
      </c>
      <c r="F461" s="6" t="str">
        <f>UPPER(Sheet1!H461)</f>
        <v>ALYA RAO</v>
      </c>
      <c r="G461" s="5" t="str">
        <f>TEXT(Sheet1!C461,"dd/mm/yyyy") &amp; "," &amp; Sheet1!D461</f>
        <v>21/01/2025,BENDIGO</v>
      </c>
      <c r="H461" s="39" t="str">
        <f>UPPER(Sheet1!J461 &amp; "," &amp; Sheet1!K461 &amp; "," &amp; Sheet1!L461)</f>
        <v>196 BIRCHWOOD LANE,EMERALD ROAD,PIN:670585 BENDIGO</v>
      </c>
      <c r="I461" s="8">
        <f>Sheet1!I461</f>
        <v>45741</v>
      </c>
      <c r="J461" s="5" t="str">
        <f>Sheet1!M461 &amp; "," &amp; TEXT(Sheet1!N461,"dd/mm/yy")</f>
        <v>MHA/IND/00460,07/07/25</v>
      </c>
      <c r="K461" s="5" t="s">
        <v>5752</v>
      </c>
      <c r="L461" s="31" t="s">
        <v>14</v>
      </c>
      <c r="M461" s="31" t="s">
        <v>15</v>
      </c>
      <c r="N461" s="31" t="s">
        <v>16</v>
      </c>
    </row>
    <row r="462" spans="1:14" x14ac:dyDescent="0.25">
      <c r="A462" s="4" t="str">
        <f>Sheet1!A462 &amp; "/" &amp; "2025"</f>
        <v>461/2025</v>
      </c>
      <c r="B462" s="5" t="str">
        <f>Sheet1!E462</f>
        <v>IND/MEL/00461</v>
      </c>
      <c r="C462" s="6" t="str">
        <f>UPPER(Sheet1!B462)</f>
        <v>ANYA KALEON</v>
      </c>
      <c r="D462" s="7" t="str">
        <f>IF(Sheet1!F462="F","FEMALE","MALE")</f>
        <v>FEMALE</v>
      </c>
      <c r="E462" s="6" t="str">
        <f>UPPER(Sheet1!G462)</f>
        <v>ARJUN KALEON</v>
      </c>
      <c r="F462" s="6" t="str">
        <f>UPPER(Sheet1!H462)</f>
        <v>DIYA KALEON</v>
      </c>
      <c r="G462" s="5" t="str">
        <f>TEXT(Sheet1!C462,"dd/mm/yyyy") &amp; "," &amp; Sheet1!D462</f>
        <v>02/08/2025,ELIZABETH VALE</v>
      </c>
      <c r="H462" s="39" t="str">
        <f>UPPER(Sheet1!J462 &amp; "," &amp; Sheet1!K462 &amp; "," &amp; Sheet1!L462)</f>
        <v>21 BIRCHWOOD LANE,EMERALD ROAD,PIN:270043 ELIZABETH VALE</v>
      </c>
      <c r="I462" s="8">
        <f>Sheet1!I462</f>
        <v>45877</v>
      </c>
      <c r="J462" s="5" t="str">
        <f>Sheet1!M462 &amp; "," &amp; TEXT(Sheet1!N462,"dd/mm/yy")</f>
        <v>MHA/IND/00461,20/07/25</v>
      </c>
      <c r="K462" s="5" t="s">
        <v>5752</v>
      </c>
      <c r="L462" s="31" t="s">
        <v>14</v>
      </c>
      <c r="M462" s="31" t="s">
        <v>15</v>
      </c>
      <c r="N462" s="31" t="s">
        <v>16</v>
      </c>
    </row>
    <row r="463" spans="1:14" x14ac:dyDescent="0.25">
      <c r="A463" s="4" t="str">
        <f>Sheet1!A463 &amp; "/" &amp; "2025"</f>
        <v>462/2025</v>
      </c>
      <c r="B463" s="5" t="str">
        <f>Sheet1!E463</f>
        <v>IND/MEL/00462</v>
      </c>
      <c r="C463" s="6" t="str">
        <f>UPPER(Sheet1!B463)</f>
        <v>TARA SHARMA</v>
      </c>
      <c r="D463" s="7" t="str">
        <f>IF(Sheet1!F463="F","FEMALE","MALE")</f>
        <v>FEMALE</v>
      </c>
      <c r="E463" s="6" t="str">
        <f>UPPER(Sheet1!G463)</f>
        <v>ISHAN SHARMA</v>
      </c>
      <c r="F463" s="6" t="str">
        <f>UPPER(Sheet1!H463)</f>
        <v>ALYA SHARMA</v>
      </c>
      <c r="G463" s="5" t="str">
        <f>TEXT(Sheet1!C463,"dd/mm/yyyy") &amp; "," &amp; Sheet1!D463</f>
        <v>21/01/2025,ROCKHAMPTON</v>
      </c>
      <c r="H463" s="39" t="str">
        <f>UPPER(Sheet1!J463 &amp; "," &amp; Sheet1!K463 &amp; "," &amp; Sheet1!L463)</f>
        <v>18 BIRCHWOOD LANE,EMERALD ROAD,PIN:303591 ROCKHAMPTON</v>
      </c>
      <c r="I463" s="8">
        <f>Sheet1!I463</f>
        <v>45723</v>
      </c>
      <c r="J463" s="5" t="str">
        <f>Sheet1!M463 &amp; "," &amp; TEXT(Sheet1!N463,"dd/mm/yy")</f>
        <v>MHA/IND/00462,27/07/25</v>
      </c>
      <c r="K463" s="5" t="s">
        <v>5752</v>
      </c>
      <c r="L463" s="31" t="s">
        <v>14</v>
      </c>
      <c r="M463" s="31" t="s">
        <v>15</v>
      </c>
      <c r="N463" s="31" t="s">
        <v>16</v>
      </c>
    </row>
    <row r="464" spans="1:14" x14ac:dyDescent="0.25">
      <c r="A464" s="4" t="str">
        <f>Sheet1!A464 &amp; "/" &amp; "2025"</f>
        <v>463/2025</v>
      </c>
      <c r="B464" s="5" t="str">
        <f>Sheet1!E464</f>
        <v>IND/MEL/00463</v>
      </c>
      <c r="C464" s="6" t="str">
        <f>UPPER(Sheet1!B464)</f>
        <v>NINA RISHKAN</v>
      </c>
      <c r="D464" s="7" t="str">
        <f>IF(Sheet1!F464="F","FEMALE","MALE")</f>
        <v>FEMALE</v>
      </c>
      <c r="E464" s="6" t="str">
        <f>UPPER(Sheet1!G464)</f>
        <v>ROHIT RISHKAN</v>
      </c>
      <c r="F464" s="6" t="str">
        <f>UPPER(Sheet1!H464)</f>
        <v>DIYA RISHKAN</v>
      </c>
      <c r="G464" s="5" t="str">
        <f>TEXT(Sheet1!C464,"dd/mm/yyyy") &amp; "," &amp; Sheet1!D464</f>
        <v>12/04/2025,PENRITH</v>
      </c>
      <c r="H464" s="39" t="str">
        <f>UPPER(Sheet1!J464 &amp; "," &amp; Sheet1!K464 &amp; "," &amp; Sheet1!L464)</f>
        <v>15 BIRCHWOOD LANE,EMERALD ROAD,PIN:224030 PENRITH</v>
      </c>
      <c r="I464" s="8">
        <f>Sheet1!I464</f>
        <v>45784</v>
      </c>
      <c r="J464" s="5" t="str">
        <f>Sheet1!M464 &amp; "," &amp; TEXT(Sheet1!N464,"dd/mm/yy")</f>
        <v>MHA/IND/00463,16/08/25</v>
      </c>
      <c r="K464" s="5" t="s">
        <v>5752</v>
      </c>
      <c r="L464" s="31" t="s">
        <v>14</v>
      </c>
      <c r="M464" s="31" t="s">
        <v>15</v>
      </c>
      <c r="N464" s="31" t="s">
        <v>16</v>
      </c>
    </row>
    <row r="465" spans="1:14" x14ac:dyDescent="0.25">
      <c r="A465" s="4" t="str">
        <f>Sheet1!A465 &amp; "/" &amp; "2025"</f>
        <v>464/2025</v>
      </c>
      <c r="B465" s="5" t="str">
        <f>Sheet1!E465</f>
        <v>IND/MEL/00464</v>
      </c>
      <c r="C465" s="6" t="str">
        <f>UPPER(Sheet1!B465)</f>
        <v>ISHAN SHARMA</v>
      </c>
      <c r="D465" s="7" t="str">
        <f>IF(Sheet1!F465="F","FEMALE","MALE")</f>
        <v>MALE</v>
      </c>
      <c r="E465" s="6" t="str">
        <f>UPPER(Sheet1!G465)</f>
        <v>KIRAN SHARMA</v>
      </c>
      <c r="F465" s="6" t="str">
        <f>UPPER(Sheet1!H465)</f>
        <v>ANYA SHARMA</v>
      </c>
      <c r="G465" s="5" t="str">
        <f>TEXT(Sheet1!C465,"dd/mm/yyyy") &amp; "," &amp; Sheet1!D465</f>
        <v>22/09/2025,SHEPPARTON</v>
      </c>
      <c r="H465" s="39" t="str">
        <f>UPPER(Sheet1!J465 &amp; "," &amp; Sheet1!K465 &amp; "," &amp; Sheet1!L465)</f>
        <v>80 BIRCHWOOD LANE,EMERALD ROAD,PIN:482859 SHEPPARTON</v>
      </c>
      <c r="I465" s="8">
        <f>Sheet1!I465</f>
        <v>46001</v>
      </c>
      <c r="J465" s="5" t="str">
        <f>Sheet1!M465 &amp; "," &amp; TEXT(Sheet1!N465,"dd/mm/yy")</f>
        <v>MHA/IND/00464,29/07/25</v>
      </c>
      <c r="K465" s="5" t="s">
        <v>5752</v>
      </c>
      <c r="L465" s="31" t="s">
        <v>14</v>
      </c>
      <c r="M465" s="31" t="s">
        <v>15</v>
      </c>
      <c r="N465" s="31" t="s">
        <v>16</v>
      </c>
    </row>
    <row r="466" spans="1:14" x14ac:dyDescent="0.25">
      <c r="A466" s="4" t="str">
        <f>Sheet1!A466 &amp; "/" &amp; "2025"</f>
        <v>465/2025</v>
      </c>
      <c r="B466" s="5" t="str">
        <f>Sheet1!E466</f>
        <v>IND/MEL/00465</v>
      </c>
      <c r="C466" s="6" t="str">
        <f>UPPER(Sheet1!B466)</f>
        <v>DIYA KALEON</v>
      </c>
      <c r="D466" s="7" t="str">
        <f>IF(Sheet1!F466="F","FEMALE","MALE")</f>
        <v>FEMALE</v>
      </c>
      <c r="E466" s="6" t="str">
        <f>UPPER(Sheet1!G466)</f>
        <v>ROHIT KALEON</v>
      </c>
      <c r="F466" s="6" t="str">
        <f>UPPER(Sheet1!H466)</f>
        <v>TARA KALEON</v>
      </c>
      <c r="G466" s="5" t="str">
        <f>TEXT(Sheet1!C466,"dd/mm/yyyy") &amp; "," &amp; Sheet1!D466</f>
        <v>21/10/2025,CANBERRA</v>
      </c>
      <c r="H466" s="39" t="str">
        <f>UPPER(Sheet1!J466 &amp; "," &amp; Sheet1!K466 &amp; "," &amp; Sheet1!L466)</f>
        <v>125 BIRCHWOOD LANE,EMERALD ROAD,PIN:924013 CANBERRA</v>
      </c>
      <c r="I466" s="8">
        <f>Sheet1!I466</f>
        <v>45996</v>
      </c>
      <c r="J466" s="5" t="str">
        <f>Sheet1!M466 &amp; "," &amp; TEXT(Sheet1!N466,"dd/mm/yy")</f>
        <v>MHA/IND/00465,26/08/25</v>
      </c>
      <c r="K466" s="5" t="s">
        <v>5752</v>
      </c>
      <c r="L466" s="31" t="s">
        <v>14</v>
      </c>
      <c r="M466" s="31" t="s">
        <v>15</v>
      </c>
      <c r="N466" s="31" t="s">
        <v>16</v>
      </c>
    </row>
    <row r="467" spans="1:14" x14ac:dyDescent="0.25">
      <c r="A467" s="4" t="str">
        <f>Sheet1!A467 &amp; "/" &amp; "2025"</f>
        <v>466/2025</v>
      </c>
      <c r="B467" s="5" t="str">
        <f>Sheet1!E467</f>
        <v>IND/MEL/00466</v>
      </c>
      <c r="C467" s="6" t="str">
        <f>UPPER(Sheet1!B467)</f>
        <v>SARA SINDALE</v>
      </c>
      <c r="D467" s="7" t="str">
        <f>IF(Sheet1!F467="F","FEMALE","MALE")</f>
        <v>FEMALE</v>
      </c>
      <c r="E467" s="6" t="str">
        <f>UPPER(Sheet1!G467)</f>
        <v>DEV SINDALE</v>
      </c>
      <c r="F467" s="6" t="str">
        <f>UPPER(Sheet1!H467)</f>
        <v>SARA SINDALE</v>
      </c>
      <c r="G467" s="5" t="str">
        <f>TEXT(Sheet1!C467,"dd/mm/yyyy") &amp; "," &amp; Sheet1!D467</f>
        <v>02/06/2025,KINGSWOOD</v>
      </c>
      <c r="H467" s="39" t="str">
        <f>UPPER(Sheet1!J467 &amp; "," &amp; Sheet1!K467 &amp; "," &amp; Sheet1!L467)</f>
        <v>41 BIRCHWOOD LANE,EMERALD ROAD,PIN:781777 KINGSWOOD</v>
      </c>
      <c r="I467" s="8">
        <f>Sheet1!I467</f>
        <v>45883</v>
      </c>
      <c r="J467" s="5" t="str">
        <f>Sheet1!M467 &amp; "," &amp; TEXT(Sheet1!N467,"dd/mm/yy")</f>
        <v>MHA/IND/00466,09/07/25</v>
      </c>
      <c r="K467" s="5" t="s">
        <v>5752</v>
      </c>
      <c r="L467" s="31" t="s">
        <v>14</v>
      </c>
      <c r="M467" s="31" t="s">
        <v>15</v>
      </c>
      <c r="N467" s="31" t="s">
        <v>16</v>
      </c>
    </row>
    <row r="468" spans="1:14" x14ac:dyDescent="0.25">
      <c r="A468" s="4" t="str">
        <f>Sheet1!A468 &amp; "/" &amp; "2025"</f>
        <v>467/2025</v>
      </c>
      <c r="B468" s="5" t="str">
        <f>Sheet1!E468</f>
        <v>IND/MEL/00467</v>
      </c>
      <c r="C468" s="6" t="str">
        <f>UPPER(Sheet1!B468)</f>
        <v>ANYA RISHKAN</v>
      </c>
      <c r="D468" s="7" t="str">
        <f>IF(Sheet1!F468="F","FEMALE","MALE")</f>
        <v>FEMALE</v>
      </c>
      <c r="E468" s="6" t="str">
        <f>UPPER(Sheet1!G468)</f>
        <v>ISHAN RISHKAN</v>
      </c>
      <c r="F468" s="6" t="str">
        <f>UPPER(Sheet1!H468)</f>
        <v>NINA RISHKAN</v>
      </c>
      <c r="G468" s="5" t="str">
        <f>TEXT(Sheet1!C468,"dd/mm/yyyy") &amp; "," &amp; Sheet1!D468</f>
        <v>26/05/2025,LOGAN</v>
      </c>
      <c r="H468" s="39" t="str">
        <f>UPPER(Sheet1!J468 &amp; "," &amp; Sheet1!K468 &amp; "," &amp; Sheet1!L468)</f>
        <v>185 BIRCHWOOD LANE,EMERALD ROAD,PIN:787279 LOGAN</v>
      </c>
      <c r="I468" s="8">
        <f>Sheet1!I468</f>
        <v>45810</v>
      </c>
      <c r="J468" s="5" t="str">
        <f>Sheet1!M468 &amp; "," &amp; TEXT(Sheet1!N468,"dd/mm/yy")</f>
        <v>MHA/IND/00467,27/08/25</v>
      </c>
      <c r="K468" s="5" t="s">
        <v>5752</v>
      </c>
      <c r="L468" s="31" t="s">
        <v>14</v>
      </c>
      <c r="M468" s="31" t="s">
        <v>15</v>
      </c>
      <c r="N468" s="31" t="s">
        <v>16</v>
      </c>
    </row>
    <row r="469" spans="1:14" x14ac:dyDescent="0.25">
      <c r="A469" s="4" t="str">
        <f>Sheet1!A469 &amp; "/" &amp; "2025"</f>
        <v>468/2025</v>
      </c>
      <c r="B469" s="5" t="str">
        <f>Sheet1!E469</f>
        <v>IND/MEL/00468</v>
      </c>
      <c r="C469" s="6" t="str">
        <f>UPPER(Sheet1!B469)</f>
        <v>ISHAN VALZARI</v>
      </c>
      <c r="D469" s="7" t="str">
        <f>IF(Sheet1!F469="F","FEMALE","MALE")</f>
        <v>MALE</v>
      </c>
      <c r="E469" s="6" t="str">
        <f>UPPER(Sheet1!G469)</f>
        <v>ROHIT VALZARI</v>
      </c>
      <c r="F469" s="6" t="str">
        <f>UPPER(Sheet1!H469)</f>
        <v>ANYA VALZARI</v>
      </c>
      <c r="G469" s="5" t="str">
        <f>TEXT(Sheet1!C469,"dd/mm/yyyy") &amp; "," &amp; Sheet1!D469</f>
        <v>29/03/2025,WOLLONGONG</v>
      </c>
      <c r="H469" s="39" t="str">
        <f>UPPER(Sheet1!J469 &amp; "," &amp; Sheet1!K469 &amp; "," &amp; Sheet1!L469)</f>
        <v>164 BIRCHWOOD LANE,EMERALD ROAD,PIN:587534 WOLLONGONG</v>
      </c>
      <c r="I469" s="8">
        <f>Sheet1!I469</f>
        <v>45765</v>
      </c>
      <c r="J469" s="5" t="str">
        <f>Sheet1!M469 &amp; "," &amp; TEXT(Sheet1!N469,"dd/mm/yy")</f>
        <v>MHA/IND/00468,20/07/25</v>
      </c>
      <c r="K469" s="5" t="s">
        <v>5752</v>
      </c>
      <c r="L469" s="31" t="s">
        <v>14</v>
      </c>
      <c r="M469" s="31" t="s">
        <v>15</v>
      </c>
      <c r="N469" s="31" t="s">
        <v>16</v>
      </c>
    </row>
    <row r="470" spans="1:14" x14ac:dyDescent="0.25">
      <c r="A470" s="4" t="str">
        <f>Sheet1!A470 &amp; "/" &amp; "2025"</f>
        <v>469/2025</v>
      </c>
      <c r="B470" s="5" t="str">
        <f>Sheet1!E470</f>
        <v>IND/MEL/00469</v>
      </c>
      <c r="C470" s="6" t="str">
        <f>UPPER(Sheet1!B470)</f>
        <v>ANYA SHARMA</v>
      </c>
      <c r="D470" s="7" t="str">
        <f>IF(Sheet1!F470="F","FEMALE","MALE")</f>
        <v>FEMALE</v>
      </c>
      <c r="E470" s="6" t="str">
        <f>UPPER(Sheet1!G470)</f>
        <v>ISHAN SHARMA</v>
      </c>
      <c r="F470" s="6" t="str">
        <f>UPPER(Sheet1!H470)</f>
        <v>MIRA SHARMA</v>
      </c>
      <c r="G470" s="5" t="str">
        <f>TEXT(Sheet1!C470,"dd/mm/yyyy") &amp; "," &amp; Sheet1!D470</f>
        <v>22/02/2025,LENAH VALLEY</v>
      </c>
      <c r="H470" s="39" t="str">
        <f>UPPER(Sheet1!J470 &amp; "," &amp; Sheet1!K470 &amp; "," &amp; Sheet1!L470)</f>
        <v>173 BIRCHWOOD LANE,EMERALD ROAD,PIN:603275 LENAH VALLEY</v>
      </c>
      <c r="I470" s="8">
        <f>Sheet1!I470</f>
        <v>45826</v>
      </c>
      <c r="J470" s="5" t="str">
        <f>Sheet1!M470 &amp; "," &amp; TEXT(Sheet1!N470,"dd/mm/yy")</f>
        <v>MHA/IND/00469,31/07/25</v>
      </c>
      <c r="K470" s="5" t="s">
        <v>5752</v>
      </c>
      <c r="L470" s="31" t="s">
        <v>14</v>
      </c>
      <c r="M470" s="31" t="s">
        <v>15</v>
      </c>
      <c r="N470" s="31" t="s">
        <v>16</v>
      </c>
    </row>
    <row r="471" spans="1:14" x14ac:dyDescent="0.25">
      <c r="A471" s="4" t="str">
        <f>Sheet1!A471 &amp; "/" &amp; "2025"</f>
        <v>470/2025</v>
      </c>
      <c r="B471" s="5" t="str">
        <f>Sheet1!E471</f>
        <v>IND/MEL/00470</v>
      </c>
      <c r="C471" s="6" t="str">
        <f>UPPER(Sheet1!B471)</f>
        <v>AREN SHARMA</v>
      </c>
      <c r="D471" s="7" t="str">
        <f>IF(Sheet1!F471="F","FEMALE","MALE")</f>
        <v>MALE</v>
      </c>
      <c r="E471" s="6" t="str">
        <f>UPPER(Sheet1!G471)</f>
        <v>ISHAN SHARMA</v>
      </c>
      <c r="F471" s="6" t="str">
        <f>UPPER(Sheet1!H471)</f>
        <v>SARA SHARMA</v>
      </c>
      <c r="G471" s="5" t="str">
        <f>TEXT(Sheet1!C471,"dd/mm/yyyy") &amp; "," &amp; Sheet1!D471</f>
        <v>24/09/2025,ST ALBANS</v>
      </c>
      <c r="H471" s="39" t="str">
        <f>UPPER(Sheet1!J471 &amp; "," &amp; Sheet1!K471 &amp; "," &amp; Sheet1!L471)</f>
        <v>185 BIRCHWOOD LANE,EMERALD ROAD,PIN:267223 ST ALBANS</v>
      </c>
      <c r="I471" s="8">
        <f>Sheet1!I471</f>
        <v>45978</v>
      </c>
      <c r="J471" s="5" t="str">
        <f>Sheet1!M471 &amp; "," &amp; TEXT(Sheet1!N471,"dd/mm/yy")</f>
        <v>MHA/IND/00470,15/07/25</v>
      </c>
      <c r="K471" s="5" t="s">
        <v>5752</v>
      </c>
      <c r="L471" s="31" t="s">
        <v>14</v>
      </c>
      <c r="M471" s="31" t="s">
        <v>15</v>
      </c>
      <c r="N471" s="31" t="s">
        <v>16</v>
      </c>
    </row>
    <row r="472" spans="1:14" x14ac:dyDescent="0.25">
      <c r="A472" s="4" t="str">
        <f>Sheet1!A472 &amp; "/" &amp; "2025"</f>
        <v>471/2025</v>
      </c>
      <c r="B472" s="5" t="str">
        <f>Sheet1!E472</f>
        <v>IND/MEL/00471</v>
      </c>
      <c r="C472" s="6" t="str">
        <f>UPPER(Sheet1!B472)</f>
        <v>KIRAN RAO</v>
      </c>
      <c r="D472" s="7" t="str">
        <f>IF(Sheet1!F472="F","FEMALE","MALE")</f>
        <v>MALE</v>
      </c>
      <c r="E472" s="6" t="str">
        <f>UPPER(Sheet1!G472)</f>
        <v>ARJUN RAO</v>
      </c>
      <c r="F472" s="6" t="str">
        <f>UPPER(Sheet1!H472)</f>
        <v>NINA RAO</v>
      </c>
      <c r="G472" s="5" t="str">
        <f>TEXT(Sheet1!C472,"dd/mm/yyyy") &amp; "," &amp; Sheet1!D472</f>
        <v>15/08/2025,MOUNT BARKER</v>
      </c>
      <c r="H472" s="39" t="str">
        <f>UPPER(Sheet1!J472 &amp; "," &amp; Sheet1!K472 &amp; "," &amp; Sheet1!L472)</f>
        <v>34 BIRCHWOOD LANE,EMERALD ROAD,PIN:714417 MOUNT BARKER</v>
      </c>
      <c r="I472" s="8">
        <f>Sheet1!I472</f>
        <v>45993</v>
      </c>
      <c r="J472" s="5" t="str">
        <f>Sheet1!M472 &amp; "," &amp; TEXT(Sheet1!N472,"dd/mm/yy")</f>
        <v>MHA/IND/00471,24/08/25</v>
      </c>
      <c r="K472" s="5" t="s">
        <v>5752</v>
      </c>
      <c r="L472" s="31" t="s">
        <v>14</v>
      </c>
      <c r="M472" s="31" t="s">
        <v>15</v>
      </c>
      <c r="N472" s="31" t="s">
        <v>16</v>
      </c>
    </row>
    <row r="473" spans="1:14" x14ac:dyDescent="0.25">
      <c r="A473" s="4" t="str">
        <f>Sheet1!A473 &amp; "/" &amp; "2025"</f>
        <v>472/2025</v>
      </c>
      <c r="B473" s="5" t="str">
        <f>Sheet1!E473</f>
        <v>IND/MEL/00472</v>
      </c>
      <c r="C473" s="6" t="str">
        <f>UPPER(Sheet1!B473)</f>
        <v>DIYA MYRTHOS</v>
      </c>
      <c r="D473" s="7" t="str">
        <f>IF(Sheet1!F473="F","FEMALE","MALE")</f>
        <v>FEMALE</v>
      </c>
      <c r="E473" s="6" t="str">
        <f>UPPER(Sheet1!G473)</f>
        <v>DEV MYRTHOS</v>
      </c>
      <c r="F473" s="6" t="str">
        <f>UPPER(Sheet1!H473)</f>
        <v>ANYA MYRTHOS</v>
      </c>
      <c r="G473" s="5" t="str">
        <f>TEXT(Sheet1!C473,"dd/mm/yyyy") &amp; "," &amp; Sheet1!D473</f>
        <v>11/07/2025,WAGGA WAGGA</v>
      </c>
      <c r="H473" s="39" t="str">
        <f>UPPER(Sheet1!J473 &amp; "," &amp; Sheet1!K473 &amp; "," &amp; Sheet1!L473)</f>
        <v>180 BIRCHWOOD LANE,EMERALD ROAD,PIN:547163 WAGGA WAGGA</v>
      </c>
      <c r="I473" s="8">
        <f>Sheet1!I473</f>
        <v>45947</v>
      </c>
      <c r="J473" s="5" t="str">
        <f>Sheet1!M473 &amp; "," &amp; TEXT(Sheet1!N473,"dd/mm/yy")</f>
        <v>MHA/IND/00472,30/07/25</v>
      </c>
      <c r="K473" s="5" t="s">
        <v>5752</v>
      </c>
      <c r="L473" s="31" t="s">
        <v>14</v>
      </c>
      <c r="M473" s="31" t="s">
        <v>15</v>
      </c>
      <c r="N473" s="31" t="s">
        <v>16</v>
      </c>
    </row>
    <row r="474" spans="1:14" x14ac:dyDescent="0.25">
      <c r="A474" s="4" t="str">
        <f>Sheet1!A474 &amp; "/" &amp; "2025"</f>
        <v>473/2025</v>
      </c>
      <c r="B474" s="5" t="str">
        <f>Sheet1!E474</f>
        <v>IND/MEL/00473</v>
      </c>
      <c r="C474" s="6" t="str">
        <f>UPPER(Sheet1!B474)</f>
        <v>RIYA KALEON</v>
      </c>
      <c r="D474" s="7" t="str">
        <f>IF(Sheet1!F474="F","FEMALE","MALE")</f>
        <v>FEMALE</v>
      </c>
      <c r="E474" s="6" t="str">
        <f>UPPER(Sheet1!G474)</f>
        <v>KIRAN KALEON</v>
      </c>
      <c r="F474" s="6" t="str">
        <f>UPPER(Sheet1!H474)</f>
        <v>DIYA KALEON</v>
      </c>
      <c r="G474" s="5" t="str">
        <f>TEXT(Sheet1!C474,"dd/mm/yyyy") &amp; "," &amp; Sheet1!D474</f>
        <v>20/06/2025,MANDURAH</v>
      </c>
      <c r="H474" s="39" t="str">
        <f>UPPER(Sheet1!J474 &amp; "," &amp; Sheet1!K474 &amp; "," &amp; Sheet1!L474)</f>
        <v>175 BIRCHWOOD LANE,EMERALD ROAD,PIN:580720 MANDURAH</v>
      </c>
      <c r="I474" s="8">
        <f>Sheet1!I474</f>
        <v>45920</v>
      </c>
      <c r="J474" s="5" t="str">
        <f>Sheet1!M474 &amp; "," &amp; TEXT(Sheet1!N474,"dd/mm/yy")</f>
        <v>MHA/IND/00473,16/08/25</v>
      </c>
      <c r="K474" s="5" t="s">
        <v>5752</v>
      </c>
      <c r="L474" s="31" t="s">
        <v>14</v>
      </c>
      <c r="M474" s="31" t="s">
        <v>15</v>
      </c>
      <c r="N474" s="31" t="s">
        <v>16</v>
      </c>
    </row>
    <row r="475" spans="1:14" x14ac:dyDescent="0.25">
      <c r="A475" s="4" t="str">
        <f>Sheet1!A475 &amp; "/" &amp; "2025"</f>
        <v>474/2025</v>
      </c>
      <c r="B475" s="5" t="str">
        <f>Sheet1!E475</f>
        <v>IND/MEL/00474</v>
      </c>
      <c r="C475" s="6" t="str">
        <f>UPPER(Sheet1!B475)</f>
        <v>AREN VALZARI</v>
      </c>
      <c r="D475" s="7" t="str">
        <f>IF(Sheet1!F475="F","FEMALE","MALE")</f>
        <v>MALE</v>
      </c>
      <c r="E475" s="6" t="str">
        <f>UPPER(Sheet1!G475)</f>
        <v>KABIR VALZARI</v>
      </c>
      <c r="F475" s="6" t="str">
        <f>UPPER(Sheet1!H475)</f>
        <v>ANYA VALZARI</v>
      </c>
      <c r="G475" s="5" t="str">
        <f>TEXT(Sheet1!C475,"dd/mm/yyyy") &amp; "," &amp; Sheet1!D475</f>
        <v>08/07/2025,BERWICK</v>
      </c>
      <c r="H475" s="39" t="str">
        <f>UPPER(Sheet1!J475 &amp; "," &amp; Sheet1!K475 &amp; "," &amp; Sheet1!L475)</f>
        <v>172 BIRCHWOOD LANE,EMERALD ROAD,PIN:562388 BERWICK</v>
      </c>
      <c r="I475" s="8">
        <f>Sheet1!I475</f>
        <v>45910</v>
      </c>
      <c r="J475" s="5" t="str">
        <f>Sheet1!M475 &amp; "," &amp; TEXT(Sheet1!N475,"dd/mm/yy")</f>
        <v>MHA/IND/00474,09/08/25</v>
      </c>
      <c r="K475" s="5" t="s">
        <v>5752</v>
      </c>
      <c r="L475" s="31" t="s">
        <v>14</v>
      </c>
      <c r="M475" s="31" t="s">
        <v>15</v>
      </c>
      <c r="N475" s="31" t="s">
        <v>16</v>
      </c>
    </row>
    <row r="476" spans="1:14" x14ac:dyDescent="0.25">
      <c r="A476" s="4" t="str">
        <f>Sheet1!A476 &amp; "/" &amp; "2025"</f>
        <v>475/2025</v>
      </c>
      <c r="B476" s="5" t="str">
        <f>Sheet1!E476</f>
        <v>IND/MEL/00475</v>
      </c>
      <c r="C476" s="6" t="str">
        <f>UPPER(Sheet1!B476)</f>
        <v>SARA VALZARI</v>
      </c>
      <c r="D476" s="7" t="str">
        <f>IF(Sheet1!F476="F","FEMALE","MALE")</f>
        <v>FEMALE</v>
      </c>
      <c r="E476" s="6" t="str">
        <f>UPPER(Sheet1!G476)</f>
        <v>ARJUN VALZARI</v>
      </c>
      <c r="F476" s="6" t="str">
        <f>UPPER(Sheet1!H476)</f>
        <v>RIYA VALZARI</v>
      </c>
      <c r="G476" s="5" t="str">
        <f>TEXT(Sheet1!C476,"dd/mm/yyyy") &amp; "," &amp; Sheet1!D476</f>
        <v>03/07/2025,BERWICK</v>
      </c>
      <c r="H476" s="39" t="str">
        <f>UPPER(Sheet1!J476 &amp; "," &amp; Sheet1!K476 &amp; "," &amp; Sheet1!L476)</f>
        <v>82 BIRCHWOOD LANE,EMERALD ROAD,PIN:894635 BERWICK</v>
      </c>
      <c r="I476" s="8">
        <f>Sheet1!I476</f>
        <v>45873</v>
      </c>
      <c r="J476" s="5" t="str">
        <f>Sheet1!M476 &amp; "," &amp; TEXT(Sheet1!N476,"dd/mm/yy")</f>
        <v>MHA/IND/00475,16/07/25</v>
      </c>
      <c r="K476" s="5" t="s">
        <v>5752</v>
      </c>
      <c r="L476" s="31" t="s">
        <v>14</v>
      </c>
      <c r="M476" s="31" t="s">
        <v>15</v>
      </c>
      <c r="N476" s="31" t="s">
        <v>16</v>
      </c>
    </row>
    <row r="477" spans="1:14" x14ac:dyDescent="0.25">
      <c r="A477" s="4" t="str">
        <f>Sheet1!A477 &amp; "/" &amp; "2025"</f>
        <v>476/2025</v>
      </c>
      <c r="B477" s="5" t="str">
        <f>Sheet1!E477</f>
        <v>IND/MEL/00476</v>
      </c>
      <c r="C477" s="6" t="str">
        <f>UPPER(Sheet1!B477)</f>
        <v>KABIR MYRTHOS</v>
      </c>
      <c r="D477" s="7" t="str">
        <f>IF(Sheet1!F477="F","FEMALE","MALE")</f>
        <v>MALE</v>
      </c>
      <c r="E477" s="6" t="str">
        <f>UPPER(Sheet1!G477)</f>
        <v>DEV MYRTHOS</v>
      </c>
      <c r="F477" s="6" t="str">
        <f>UPPER(Sheet1!H477)</f>
        <v>RIYA MYRTHOS</v>
      </c>
      <c r="G477" s="5" t="str">
        <f>TEXT(Sheet1!C477,"dd/mm/yyyy") &amp; "," &amp; Sheet1!D477</f>
        <v>22/09/2025,LIVERPOOL</v>
      </c>
      <c r="H477" s="39" t="str">
        <f>UPPER(Sheet1!J477 &amp; "," &amp; Sheet1!K477 &amp; "," &amp; Sheet1!L477)</f>
        <v>164 BIRCHWOOD LANE,EMERALD ROAD,PIN:165275 LIVERPOOL</v>
      </c>
      <c r="I477" s="8">
        <f>Sheet1!I477</f>
        <v>45983</v>
      </c>
      <c r="J477" s="5" t="str">
        <f>Sheet1!M477 &amp; "," &amp; TEXT(Sheet1!N477,"dd/mm/yy")</f>
        <v>MHA/IND/00476,06/07/25</v>
      </c>
      <c r="K477" s="5" t="s">
        <v>5752</v>
      </c>
      <c r="L477" s="31" t="s">
        <v>14</v>
      </c>
      <c r="M477" s="31" t="s">
        <v>15</v>
      </c>
      <c r="N477" s="31" t="s">
        <v>16</v>
      </c>
    </row>
    <row r="478" spans="1:14" x14ac:dyDescent="0.25">
      <c r="A478" s="4" t="str">
        <f>Sheet1!A478 &amp; "/" &amp; "2025"</f>
        <v>477/2025</v>
      </c>
      <c r="B478" s="5" t="str">
        <f>Sheet1!E478</f>
        <v>IND/MEL/00477</v>
      </c>
      <c r="C478" s="6" t="str">
        <f>UPPER(Sheet1!B478)</f>
        <v>KIRAN SHARMA</v>
      </c>
      <c r="D478" s="7" t="str">
        <f>IF(Sheet1!F478="F","FEMALE","MALE")</f>
        <v>MALE</v>
      </c>
      <c r="E478" s="6" t="str">
        <f>UPPER(Sheet1!G478)</f>
        <v>AREN SHARMA</v>
      </c>
      <c r="F478" s="6" t="str">
        <f>UPPER(Sheet1!H478)</f>
        <v>DIYA SHARMA</v>
      </c>
      <c r="G478" s="5" t="str">
        <f>TEXT(Sheet1!C478,"dd/mm/yyyy") &amp; "," &amp; Sheet1!D478</f>
        <v>05/03/2025,NEWCASTLE</v>
      </c>
      <c r="H478" s="39" t="str">
        <f>UPPER(Sheet1!J478 &amp; "," &amp; Sheet1!K478 &amp; "," &amp; Sheet1!L478)</f>
        <v>151 BIRCHWOOD LANE,EMERALD ROAD,PIN:313133 NEWCASTLE</v>
      </c>
      <c r="I478" s="8">
        <f>Sheet1!I478</f>
        <v>45744</v>
      </c>
      <c r="J478" s="5" t="str">
        <f>Sheet1!M478 &amp; "," &amp; TEXT(Sheet1!N478,"dd/mm/yy")</f>
        <v>MHA/IND/00477,16/08/25</v>
      </c>
      <c r="K478" s="5" t="s">
        <v>5752</v>
      </c>
      <c r="L478" s="31" t="s">
        <v>14</v>
      </c>
      <c r="M478" s="31" t="s">
        <v>15</v>
      </c>
      <c r="N478" s="31" t="s">
        <v>16</v>
      </c>
    </row>
    <row r="479" spans="1:14" x14ac:dyDescent="0.25">
      <c r="A479" s="4" t="str">
        <f>Sheet1!A479 &amp; "/" &amp; "2025"</f>
        <v>478/2025</v>
      </c>
      <c r="B479" s="5" t="str">
        <f>Sheet1!E479</f>
        <v>IND/MEL/00478</v>
      </c>
      <c r="C479" s="6" t="str">
        <f>UPPER(Sheet1!B479)</f>
        <v>TARA SINDALE</v>
      </c>
      <c r="D479" s="7" t="str">
        <f>IF(Sheet1!F479="F","FEMALE","MALE")</f>
        <v>FEMALE</v>
      </c>
      <c r="E479" s="6" t="str">
        <f>UPPER(Sheet1!G479)</f>
        <v>AREN SINDALE</v>
      </c>
      <c r="F479" s="6" t="str">
        <f>UPPER(Sheet1!H479)</f>
        <v>RIYA SINDALE</v>
      </c>
      <c r="G479" s="5" t="str">
        <f>TEXT(Sheet1!C479,"dd/mm/yyyy") &amp; "," &amp; Sheet1!D479</f>
        <v>04/04/2025,LIVERPOOL</v>
      </c>
      <c r="H479" s="39" t="str">
        <f>UPPER(Sheet1!J479 &amp; "," &amp; Sheet1!K479 &amp; "," &amp; Sheet1!L479)</f>
        <v>29 BIRCHWOOD LANE,EMERALD ROAD,PIN:978049 LIVERPOOL</v>
      </c>
      <c r="I479" s="8">
        <f>Sheet1!I479</f>
        <v>45763</v>
      </c>
      <c r="J479" s="5" t="str">
        <f>Sheet1!M479 &amp; "," &amp; TEXT(Sheet1!N479,"dd/mm/yy")</f>
        <v>MHA/IND/00478,22/08/25</v>
      </c>
      <c r="K479" s="5" t="s">
        <v>5752</v>
      </c>
      <c r="L479" s="31" t="s">
        <v>14</v>
      </c>
      <c r="M479" s="31" t="s">
        <v>15</v>
      </c>
      <c r="N479" s="31" t="s">
        <v>16</v>
      </c>
    </row>
    <row r="480" spans="1:14" x14ac:dyDescent="0.25">
      <c r="A480" s="4" t="str">
        <f>Sheet1!A480 &amp; "/" &amp; "2025"</f>
        <v>479/2025</v>
      </c>
      <c r="B480" s="5" t="str">
        <f>Sheet1!E480</f>
        <v>IND/MEL/00479</v>
      </c>
      <c r="C480" s="6" t="str">
        <f>UPPER(Sheet1!B480)</f>
        <v>ARJUN KALEON</v>
      </c>
      <c r="D480" s="7" t="str">
        <f>IF(Sheet1!F480="F","FEMALE","MALE")</f>
        <v>MALE</v>
      </c>
      <c r="E480" s="6" t="str">
        <f>UPPER(Sheet1!G480)</f>
        <v>ARJUN KALEON</v>
      </c>
      <c r="F480" s="6" t="str">
        <f>UPPER(Sheet1!H480)</f>
        <v>ALYA KALEON</v>
      </c>
      <c r="G480" s="5" t="str">
        <f>TEXT(Sheet1!C480,"dd/mm/yyyy") &amp; "," &amp; Sheet1!D480</f>
        <v>25/07/2025,NEWCASTLE</v>
      </c>
      <c r="H480" s="39" t="str">
        <f>UPPER(Sheet1!J480 &amp; "," &amp; Sheet1!K480 &amp; "," &amp; Sheet1!L480)</f>
        <v>62 BIRCHWOOD LANE,EMERALD ROAD,PIN:759250 NEWCASTLE</v>
      </c>
      <c r="I480" s="8">
        <f>Sheet1!I480</f>
        <v>45879</v>
      </c>
      <c r="J480" s="5" t="str">
        <f>Sheet1!M480 &amp; "," &amp; TEXT(Sheet1!N480,"dd/mm/yy")</f>
        <v>MHA/IND/00479,09/07/25</v>
      </c>
      <c r="K480" s="5" t="s">
        <v>5752</v>
      </c>
      <c r="L480" s="31" t="s">
        <v>14</v>
      </c>
      <c r="M480" s="31" t="s">
        <v>15</v>
      </c>
      <c r="N480" s="31" t="s">
        <v>16</v>
      </c>
    </row>
    <row r="481" spans="1:14" x14ac:dyDescent="0.25">
      <c r="A481" s="4" t="str">
        <f>Sheet1!A481 &amp; "/" &amp; "2025"</f>
        <v>480/2025</v>
      </c>
      <c r="B481" s="5" t="str">
        <f>Sheet1!E481</f>
        <v>IND/MEL/00480</v>
      </c>
      <c r="C481" s="6" t="str">
        <f>UPPER(Sheet1!B481)</f>
        <v>DEV SHARMA</v>
      </c>
      <c r="D481" s="7" t="str">
        <f>IF(Sheet1!F481="F","FEMALE","MALE")</f>
        <v>MALE</v>
      </c>
      <c r="E481" s="6" t="str">
        <f>UPPER(Sheet1!G481)</f>
        <v>ROHIT SHARMA</v>
      </c>
      <c r="F481" s="6" t="str">
        <f>UPPER(Sheet1!H481)</f>
        <v>ALYA SHARMA</v>
      </c>
      <c r="G481" s="5" t="str">
        <f>TEXT(Sheet1!C481,"dd/mm/yyyy") &amp; "," &amp; Sheet1!D481</f>
        <v>21/01/2025,LIVERPOOL</v>
      </c>
      <c r="H481" s="39" t="str">
        <f>UPPER(Sheet1!J481 &amp; "," &amp; Sheet1!K481 &amp; "," &amp; Sheet1!L481)</f>
        <v>136 BIRCHWOOD LANE,EMERALD ROAD,PIN:265684 LIVERPOOL</v>
      </c>
      <c r="I481" s="8">
        <f>Sheet1!I481</f>
        <v>45709</v>
      </c>
      <c r="J481" s="5" t="str">
        <f>Sheet1!M481 &amp; "," &amp; TEXT(Sheet1!N481,"dd/mm/yy")</f>
        <v>MHA/IND/00480,15/08/25</v>
      </c>
      <c r="K481" s="5" t="s">
        <v>5752</v>
      </c>
      <c r="L481" s="31" t="s">
        <v>14</v>
      </c>
      <c r="M481" s="31" t="s">
        <v>15</v>
      </c>
      <c r="N481" s="31" t="s">
        <v>16</v>
      </c>
    </row>
    <row r="482" spans="1:14" x14ac:dyDescent="0.25">
      <c r="A482" s="4" t="str">
        <f>Sheet1!A482 &amp; "/" &amp; "2025"</f>
        <v>481/2025</v>
      </c>
      <c r="B482" s="5" t="str">
        <f>Sheet1!E482</f>
        <v>IND/MEL/00481</v>
      </c>
      <c r="C482" s="6" t="str">
        <f>UPPER(Sheet1!B482)</f>
        <v>KABIR KALEON</v>
      </c>
      <c r="D482" s="7" t="str">
        <f>IF(Sheet1!F482="F","FEMALE","MALE")</f>
        <v>MALE</v>
      </c>
      <c r="E482" s="6" t="str">
        <f>UPPER(Sheet1!G482)</f>
        <v>DEV KALEON</v>
      </c>
      <c r="F482" s="6" t="str">
        <f>UPPER(Sheet1!H482)</f>
        <v>TARA KALEON</v>
      </c>
      <c r="G482" s="5" t="str">
        <f>TEXT(Sheet1!C482,"dd/mm/yyyy") &amp; "," &amp; Sheet1!D482</f>
        <v>07/06/2025,BENDIGO</v>
      </c>
      <c r="H482" s="39" t="str">
        <f>UPPER(Sheet1!J482 &amp; "," &amp; Sheet1!K482 &amp; "," &amp; Sheet1!L482)</f>
        <v>70 BIRCHWOOD LANE,EMERALD ROAD,PIN:669525 BENDIGO</v>
      </c>
      <c r="I482" s="8">
        <f>Sheet1!I482</f>
        <v>45869</v>
      </c>
      <c r="J482" s="5" t="str">
        <f>Sheet1!M482 &amp; "," &amp; TEXT(Sheet1!N482,"dd/mm/yy")</f>
        <v>MHA/IND/00481,04/08/25</v>
      </c>
      <c r="K482" s="5" t="s">
        <v>5752</v>
      </c>
      <c r="L482" s="31" t="s">
        <v>14</v>
      </c>
      <c r="M482" s="31" t="s">
        <v>15</v>
      </c>
      <c r="N482" s="31" t="s">
        <v>16</v>
      </c>
    </row>
    <row r="483" spans="1:14" ht="30" customHeight="1" x14ac:dyDescent="0.25">
      <c r="A483" s="4" t="str">
        <f>Sheet1!A483 &amp; "/" &amp; "2025"</f>
        <v>482/2025</v>
      </c>
      <c r="B483" s="5" t="str">
        <f>Sheet1!E483</f>
        <v>IND/MEL/00482</v>
      </c>
      <c r="C483" s="6" t="str">
        <f>UPPER(Sheet1!B483)</f>
        <v>ALYA SINDALE</v>
      </c>
      <c r="D483" s="7" t="str">
        <f>IF(Sheet1!F483="F","FEMALE","MALE")</f>
        <v>FEMALE</v>
      </c>
      <c r="E483" s="6" t="str">
        <f>UPPER(Sheet1!G483)</f>
        <v>ROHIT SINDALE</v>
      </c>
      <c r="F483" s="6" t="str">
        <f>UPPER(Sheet1!H483)</f>
        <v>NINA SINDALE</v>
      </c>
      <c r="G483" s="5" t="str">
        <f>TEXT(Sheet1!C483,"dd/mm/yyyy") &amp; "," &amp; Sheet1!D483</f>
        <v>13/07/2025,WOLLONGONG</v>
      </c>
      <c r="H483" s="39" t="str">
        <f>UPPER(Sheet1!J483 &amp; "," &amp; Sheet1!K483 &amp; "," &amp; Sheet1!L483)</f>
        <v>71 BIRCHWOOD LANE,EMERALD ROAD,PIN:806096 WOLLONGONG</v>
      </c>
      <c r="I483" s="8">
        <f>Sheet1!I483</f>
        <v>45889</v>
      </c>
      <c r="J483" s="5" t="str">
        <f>Sheet1!M483 &amp; "," &amp; TEXT(Sheet1!N483,"dd/mm/yy")</f>
        <v>MHA/IND/00482,06/07/25</v>
      </c>
      <c r="K483" s="5" t="s">
        <v>5752</v>
      </c>
      <c r="L483" s="31" t="s">
        <v>14</v>
      </c>
      <c r="M483" s="31" t="s">
        <v>15</v>
      </c>
      <c r="N483" s="31" t="s">
        <v>16</v>
      </c>
    </row>
    <row r="484" spans="1:14" x14ac:dyDescent="0.25">
      <c r="A484" s="4" t="str">
        <f>Sheet1!A484 &amp; "/" &amp; "2025"</f>
        <v>483/2025</v>
      </c>
      <c r="B484" s="5" t="str">
        <f>Sheet1!E484</f>
        <v>IND/MEL/00483</v>
      </c>
      <c r="C484" s="6" t="str">
        <f>UPPER(Sheet1!B484)</f>
        <v>MIRA KALEON</v>
      </c>
      <c r="D484" s="7" t="str">
        <f>IF(Sheet1!F484="F","FEMALE","MALE")</f>
        <v>FEMALE</v>
      </c>
      <c r="E484" s="6" t="str">
        <f>UPPER(Sheet1!G484)</f>
        <v>KABIR KALEON</v>
      </c>
      <c r="F484" s="6" t="str">
        <f>UPPER(Sheet1!H484)</f>
        <v>ALYA KALEON</v>
      </c>
      <c r="G484" s="5" t="str">
        <f>TEXT(Sheet1!C484,"dd/mm/yyyy") &amp; "," &amp; Sheet1!D484</f>
        <v>17/06/2025,DALBY</v>
      </c>
      <c r="H484" s="39" t="str">
        <f>UPPER(Sheet1!J484 &amp; "," &amp; Sheet1!K484 &amp; "," &amp; Sheet1!L484)</f>
        <v>123 BIRCHWOOD LANE,EMERALD ROAD,PIN:836079 DALBY</v>
      </c>
      <c r="I484" s="8">
        <f>Sheet1!I484</f>
        <v>45844</v>
      </c>
      <c r="J484" s="5" t="str">
        <f>Sheet1!M484 &amp; "," &amp; TEXT(Sheet1!N484,"dd/mm/yy")</f>
        <v>MHA/IND/00483,18/08/25</v>
      </c>
      <c r="K484" s="5" t="s">
        <v>5752</v>
      </c>
      <c r="L484" s="31" t="s">
        <v>14</v>
      </c>
      <c r="M484" s="31" t="s">
        <v>15</v>
      </c>
      <c r="N484" s="31" t="s">
        <v>16</v>
      </c>
    </row>
    <row r="485" spans="1:14" x14ac:dyDescent="0.25">
      <c r="A485" s="4" t="str">
        <f>Sheet1!A485 &amp; "/" &amp; "2025"</f>
        <v>484/2025</v>
      </c>
      <c r="B485" s="5" t="str">
        <f>Sheet1!E485</f>
        <v>IND/MEL/00484</v>
      </c>
      <c r="C485" s="6" t="str">
        <f>UPPER(Sheet1!B485)</f>
        <v>ROHIT MYRTHOS</v>
      </c>
      <c r="D485" s="7" t="str">
        <f>IF(Sheet1!F485="F","FEMALE","MALE")</f>
        <v>MALE</v>
      </c>
      <c r="E485" s="6" t="str">
        <f>UPPER(Sheet1!G485)</f>
        <v>KABIR MYRTHOS</v>
      </c>
      <c r="F485" s="6" t="str">
        <f>UPPER(Sheet1!H485)</f>
        <v>MIRA MYRTHOS</v>
      </c>
      <c r="G485" s="5" t="str">
        <f>TEXT(Sheet1!C485,"dd/mm/yyyy") &amp; "," &amp; Sheet1!D485</f>
        <v>28/01/2025,CLAYTON</v>
      </c>
      <c r="H485" s="39" t="str">
        <f>UPPER(Sheet1!J485 &amp; "," &amp; Sheet1!K485 &amp; "," &amp; Sheet1!L485)</f>
        <v>106 BIRCHWOOD LANE,EMERALD ROAD,PIN:528267 CLAYTON</v>
      </c>
      <c r="I485" s="8">
        <f>Sheet1!I485</f>
        <v>45709</v>
      </c>
      <c r="J485" s="5" t="str">
        <f>Sheet1!M485 &amp; "," &amp; TEXT(Sheet1!N485,"dd/mm/yy")</f>
        <v>MHA/IND/00484,20/07/25</v>
      </c>
      <c r="K485" s="5" t="s">
        <v>5752</v>
      </c>
      <c r="L485" s="31" t="s">
        <v>14</v>
      </c>
      <c r="M485" s="31" t="s">
        <v>15</v>
      </c>
      <c r="N485" s="31" t="s">
        <v>16</v>
      </c>
    </row>
    <row r="486" spans="1:14" x14ac:dyDescent="0.25">
      <c r="A486" s="4" t="str">
        <f>Sheet1!A486 &amp; "/" &amp; "2025"</f>
        <v>485/2025</v>
      </c>
      <c r="B486" s="5" t="str">
        <f>Sheet1!E486</f>
        <v>IND/MEL/00485</v>
      </c>
      <c r="C486" s="6" t="str">
        <f>UPPER(Sheet1!B486)</f>
        <v>TARA SINDALE</v>
      </c>
      <c r="D486" s="7" t="str">
        <f>IF(Sheet1!F486="F","FEMALE","MALE")</f>
        <v>FEMALE</v>
      </c>
      <c r="E486" s="6" t="str">
        <f>UPPER(Sheet1!G486)</f>
        <v>DEV SINDALE</v>
      </c>
      <c r="F486" s="6" t="str">
        <f>UPPER(Sheet1!H486)</f>
        <v>NINA SINDALE</v>
      </c>
      <c r="G486" s="5" t="str">
        <f>TEXT(Sheet1!C486,"dd/mm/yyyy") &amp; "," &amp; Sheet1!D486</f>
        <v>03/07/2025,MANDURAH</v>
      </c>
      <c r="H486" s="39" t="str">
        <f>UPPER(Sheet1!J486 &amp; "," &amp; Sheet1!K486 &amp; "," &amp; Sheet1!L486)</f>
        <v>163 BIRCHWOOD LANE,EMERALD ROAD,PIN:587920 MANDURAH</v>
      </c>
      <c r="I486" s="8">
        <f>Sheet1!I486</f>
        <v>45884</v>
      </c>
      <c r="J486" s="5" t="str">
        <f>Sheet1!M486 &amp; "," &amp; TEXT(Sheet1!N486,"dd/mm/yy")</f>
        <v>MHA/IND/00485,22/07/25</v>
      </c>
      <c r="K486" s="5" t="s">
        <v>5752</v>
      </c>
      <c r="L486" s="31" t="s">
        <v>14</v>
      </c>
      <c r="M486" s="31" t="s">
        <v>15</v>
      </c>
      <c r="N486" s="31" t="s">
        <v>16</v>
      </c>
    </row>
    <row r="487" spans="1:14" x14ac:dyDescent="0.25">
      <c r="A487" s="4" t="str">
        <f>Sheet1!A487 &amp; "/" &amp; "2025"</f>
        <v>486/2025</v>
      </c>
      <c r="B487" s="5" t="str">
        <f>Sheet1!E487</f>
        <v>IND/MEL/00486</v>
      </c>
      <c r="C487" s="6" t="str">
        <f>UPPER(Sheet1!B487)</f>
        <v>ANYA RAO</v>
      </c>
      <c r="D487" s="7" t="str">
        <f>IF(Sheet1!F487="F","FEMALE","MALE")</f>
        <v>FEMALE</v>
      </c>
      <c r="E487" s="6" t="str">
        <f>UPPER(Sheet1!G487)</f>
        <v>KIRAN RAO</v>
      </c>
      <c r="F487" s="6" t="str">
        <f>UPPER(Sheet1!H487)</f>
        <v>TARA RAO</v>
      </c>
      <c r="G487" s="5" t="str">
        <f>TEXT(Sheet1!C487,"dd/mm/yyyy") &amp; "," &amp; Sheet1!D487</f>
        <v>07/06/2025,BUNDOORA</v>
      </c>
      <c r="H487" s="39" t="str">
        <f>UPPER(Sheet1!J487 &amp; "," &amp; Sheet1!K487 &amp; "," &amp; Sheet1!L487)</f>
        <v>166 BIRCHWOOD LANE,EMERALD ROAD,PIN:443245 BUNDOORA</v>
      </c>
      <c r="I487" s="8">
        <f>Sheet1!I487</f>
        <v>45833</v>
      </c>
      <c r="J487" s="5" t="str">
        <f>Sheet1!M487 &amp; "," &amp; TEXT(Sheet1!N487,"dd/mm/yy")</f>
        <v>MHA/IND/00486,01/08/25</v>
      </c>
      <c r="K487" s="5" t="s">
        <v>5752</v>
      </c>
      <c r="L487" s="31" t="s">
        <v>14</v>
      </c>
      <c r="M487" s="31" t="s">
        <v>15</v>
      </c>
      <c r="N487" s="31" t="s">
        <v>16</v>
      </c>
    </row>
    <row r="488" spans="1:14" x14ac:dyDescent="0.25">
      <c r="A488" s="4" t="str">
        <f>Sheet1!A488 &amp; "/" &amp; "2025"</f>
        <v>487/2025</v>
      </c>
      <c r="B488" s="5" t="str">
        <f>Sheet1!E488</f>
        <v>IND/MEL/00487</v>
      </c>
      <c r="C488" s="6" t="str">
        <f>UPPER(Sheet1!B488)</f>
        <v>TARA RISHKAN</v>
      </c>
      <c r="D488" s="7" t="str">
        <f>IF(Sheet1!F488="F","FEMALE","MALE")</f>
        <v>FEMALE</v>
      </c>
      <c r="E488" s="6" t="str">
        <f>UPPER(Sheet1!G488)</f>
        <v>ROHIT RISHKAN</v>
      </c>
      <c r="F488" s="6" t="str">
        <f>UPPER(Sheet1!H488)</f>
        <v>SARA RISHKAN</v>
      </c>
      <c r="G488" s="5" t="str">
        <f>TEXT(Sheet1!C488,"dd/mm/yyyy") &amp; "," &amp; Sheet1!D488</f>
        <v>26/05/2025,BRISBANE</v>
      </c>
      <c r="H488" s="39" t="str">
        <f>UPPER(Sheet1!J488 &amp; "," &amp; Sheet1!K488 &amp; "," &amp; Sheet1!L488)</f>
        <v>130 BIRCHWOOD LANE,EMERALD ROAD,PIN:854044 BRISBANE</v>
      </c>
      <c r="I488" s="8">
        <f>Sheet1!I488</f>
        <v>45882</v>
      </c>
      <c r="J488" s="5" t="str">
        <f>Sheet1!M488 &amp; "," &amp; TEXT(Sheet1!N488,"dd/mm/yy")</f>
        <v>MHA/IND/00487,28/07/25</v>
      </c>
      <c r="K488" s="5" t="s">
        <v>5752</v>
      </c>
      <c r="L488" s="31" t="s">
        <v>14</v>
      </c>
      <c r="M488" s="31" t="s">
        <v>15</v>
      </c>
      <c r="N488" s="31" t="s">
        <v>16</v>
      </c>
    </row>
    <row r="489" spans="1:14" x14ac:dyDescent="0.25">
      <c r="A489" s="4" t="str">
        <f>Sheet1!A489 &amp; "/" &amp; "2025"</f>
        <v>488/2025</v>
      </c>
      <c r="B489" s="5" t="str">
        <f>Sheet1!E489</f>
        <v>IND/MEL/00488</v>
      </c>
      <c r="C489" s="6" t="str">
        <f>UPPER(Sheet1!B489)</f>
        <v>KABIR SINDALE</v>
      </c>
      <c r="D489" s="7" t="str">
        <f>IF(Sheet1!F489="F","FEMALE","MALE")</f>
        <v>MALE</v>
      </c>
      <c r="E489" s="6" t="str">
        <f>UPPER(Sheet1!G489)</f>
        <v>NEIL SINDALE</v>
      </c>
      <c r="F489" s="6" t="str">
        <f>UPPER(Sheet1!H489)</f>
        <v>RIYA SINDALE</v>
      </c>
      <c r="G489" s="5" t="str">
        <f>TEXT(Sheet1!C489,"dd/mm/yyyy") &amp; "," &amp; Sheet1!D489</f>
        <v>13/03/2025,BERWICK</v>
      </c>
      <c r="H489" s="39" t="str">
        <f>UPPER(Sheet1!J489 &amp; "," &amp; Sheet1!K489 &amp; "," &amp; Sheet1!L489)</f>
        <v>90 BIRCHWOOD LANE,EMERALD ROAD,PIN:146112 BERWICK</v>
      </c>
      <c r="I489" s="8">
        <f>Sheet1!I489</f>
        <v>45792</v>
      </c>
      <c r="J489" s="5" t="str">
        <f>Sheet1!M489 &amp; "," &amp; TEXT(Sheet1!N489,"dd/mm/yy")</f>
        <v>MHA/IND/00488,20/07/25</v>
      </c>
      <c r="K489" s="5" t="s">
        <v>5752</v>
      </c>
      <c r="L489" s="31" t="s">
        <v>14</v>
      </c>
      <c r="M489" s="31" t="s">
        <v>15</v>
      </c>
      <c r="N489" s="31" t="s">
        <v>16</v>
      </c>
    </row>
    <row r="490" spans="1:14" x14ac:dyDescent="0.25">
      <c r="A490" s="4" t="str">
        <f>Sheet1!A490 &amp; "/" &amp; "2025"</f>
        <v>489/2025</v>
      </c>
      <c r="B490" s="5" t="str">
        <f>Sheet1!E490</f>
        <v>IND/MEL/00489</v>
      </c>
      <c r="C490" s="6" t="str">
        <f>UPPER(Sheet1!B490)</f>
        <v>MIRA SHARMA</v>
      </c>
      <c r="D490" s="7" t="str">
        <f>IF(Sheet1!F490="F","FEMALE","MALE")</f>
        <v>FEMALE</v>
      </c>
      <c r="E490" s="6" t="str">
        <f>UPPER(Sheet1!G490)</f>
        <v>KIRAN SHARMA</v>
      </c>
      <c r="F490" s="6" t="str">
        <f>UPPER(Sheet1!H490)</f>
        <v>DIYA SHARMA</v>
      </c>
      <c r="G490" s="5" t="str">
        <f>TEXT(Sheet1!C490,"dd/mm/yyyy") &amp; "," &amp; Sheet1!D490</f>
        <v>17/05/2025,GOSFORD</v>
      </c>
      <c r="H490" s="39" t="str">
        <f>UPPER(Sheet1!J490 &amp; "," &amp; Sheet1!K490 &amp; "," &amp; Sheet1!L490)</f>
        <v>187 BIRCHWOOD LANE,EMERALD ROAD,PIN:116116 GOSFORD</v>
      </c>
      <c r="I490" s="8">
        <f>Sheet1!I490</f>
        <v>45856</v>
      </c>
      <c r="J490" s="5" t="str">
        <f>Sheet1!M490 &amp; "," &amp; TEXT(Sheet1!N490,"dd/mm/yy")</f>
        <v>MHA/IND/00489,11/08/25</v>
      </c>
      <c r="K490" s="5" t="s">
        <v>5752</v>
      </c>
      <c r="L490" s="31" t="s">
        <v>14</v>
      </c>
      <c r="M490" s="31" t="s">
        <v>15</v>
      </c>
      <c r="N490" s="31" t="s">
        <v>16</v>
      </c>
    </row>
    <row r="491" spans="1:14" x14ac:dyDescent="0.25">
      <c r="A491" s="4" t="str">
        <f>Sheet1!A491 &amp; "/" &amp; "2025"</f>
        <v>490/2025</v>
      </c>
      <c r="B491" s="5" t="str">
        <f>Sheet1!E491</f>
        <v>IND/MEL/00490</v>
      </c>
      <c r="C491" s="6" t="str">
        <f>UPPER(Sheet1!B491)</f>
        <v>ANYA KALEON</v>
      </c>
      <c r="D491" s="7" t="str">
        <f>IF(Sheet1!F491="F","FEMALE","MALE")</f>
        <v>FEMALE</v>
      </c>
      <c r="E491" s="6" t="str">
        <f>UPPER(Sheet1!G491)</f>
        <v>ROHIT KALEON</v>
      </c>
      <c r="F491" s="6" t="str">
        <f>UPPER(Sheet1!H491)</f>
        <v>TARA KALEON</v>
      </c>
      <c r="G491" s="5" t="str">
        <f>TEXT(Sheet1!C491,"dd/mm/yyyy") &amp; "," &amp; Sheet1!D491</f>
        <v>12/10/2025,ARMADALE</v>
      </c>
      <c r="H491" s="39" t="str">
        <f>UPPER(Sheet1!J491 &amp; "," &amp; Sheet1!K491 &amp; "," &amp; Sheet1!L491)</f>
        <v>146 BIRCHWOOD LANE,EMERALD ROAD,PIN:698609 ARMADALE</v>
      </c>
      <c r="I491" s="8">
        <f>Sheet1!I491</f>
        <v>45968</v>
      </c>
      <c r="J491" s="5" t="str">
        <f>Sheet1!M491 &amp; "," &amp; TEXT(Sheet1!N491,"dd/mm/yy")</f>
        <v>MHA/IND/00490,09/08/25</v>
      </c>
      <c r="K491" s="5" t="s">
        <v>5752</v>
      </c>
      <c r="L491" s="31" t="s">
        <v>14</v>
      </c>
      <c r="M491" s="31" t="s">
        <v>15</v>
      </c>
      <c r="N491" s="31" t="s">
        <v>16</v>
      </c>
    </row>
    <row r="492" spans="1:14" x14ac:dyDescent="0.25">
      <c r="A492" s="4" t="str">
        <f>Sheet1!A492 &amp; "/" &amp; "2025"</f>
        <v>491/2025</v>
      </c>
      <c r="B492" s="5" t="str">
        <f>Sheet1!E492</f>
        <v>IND/MEL/00491</v>
      </c>
      <c r="C492" s="6" t="str">
        <f>UPPER(Sheet1!B492)</f>
        <v>ALYA KALEON</v>
      </c>
      <c r="D492" s="7" t="str">
        <f>IF(Sheet1!F492="F","FEMALE","MALE")</f>
        <v>FEMALE</v>
      </c>
      <c r="E492" s="6" t="str">
        <f>UPPER(Sheet1!G492)</f>
        <v>ISHAN KALEON</v>
      </c>
      <c r="F492" s="6" t="str">
        <f>UPPER(Sheet1!H492)</f>
        <v>NINA KALEON</v>
      </c>
      <c r="G492" s="5" t="str">
        <f>TEXT(Sheet1!C492,"dd/mm/yyyy") &amp; "," &amp; Sheet1!D492</f>
        <v>10/09/2025,PARKVILLE</v>
      </c>
      <c r="H492" s="39" t="str">
        <f>UPPER(Sheet1!J492 &amp; "," &amp; Sheet1!K492 &amp; "," &amp; Sheet1!L492)</f>
        <v>94 BIRCHWOOD LANE,EMERALD ROAD,PIN:243403 PARKVILLE</v>
      </c>
      <c r="I492" s="8">
        <f>Sheet1!I492</f>
        <v>45999</v>
      </c>
      <c r="J492" s="5" t="str">
        <f>Sheet1!M492 &amp; "," &amp; TEXT(Sheet1!N492,"dd/mm/yy")</f>
        <v>MHA/IND/00491,26/08/25</v>
      </c>
      <c r="K492" s="5" t="s">
        <v>5752</v>
      </c>
      <c r="L492" s="31" t="s">
        <v>14</v>
      </c>
      <c r="M492" s="31" t="s">
        <v>15</v>
      </c>
      <c r="N492" s="31" t="s">
        <v>16</v>
      </c>
    </row>
    <row r="493" spans="1:14" x14ac:dyDescent="0.25">
      <c r="A493" s="4" t="str">
        <f>Sheet1!A493 &amp; "/" &amp; "2025"</f>
        <v>492/2025</v>
      </c>
      <c r="B493" s="5" t="str">
        <f>Sheet1!E493</f>
        <v>IND/MEL/00492</v>
      </c>
      <c r="C493" s="6" t="str">
        <f>UPPER(Sheet1!B493)</f>
        <v>ANYA MYRTHOS</v>
      </c>
      <c r="D493" s="7" t="str">
        <f>IF(Sheet1!F493="F","FEMALE","MALE")</f>
        <v>FEMALE</v>
      </c>
      <c r="E493" s="6" t="str">
        <f>UPPER(Sheet1!G493)</f>
        <v>ROHIT MYRTHOS</v>
      </c>
      <c r="F493" s="6" t="str">
        <f>UPPER(Sheet1!H493)</f>
        <v>MIRA MYRTHOS</v>
      </c>
      <c r="G493" s="5" t="str">
        <f>TEXT(Sheet1!C493,"dd/mm/yyyy") &amp; "," &amp; Sheet1!D493</f>
        <v>12/09/2025,LIVERPOOL</v>
      </c>
      <c r="H493" s="39" t="str">
        <f>UPPER(Sheet1!J493 &amp; "," &amp; Sheet1!K493 &amp; "," &amp; Sheet1!L493)</f>
        <v>61 BIRCHWOOD LANE,EMERALD ROAD,PIN:333036 LIVERPOOL</v>
      </c>
      <c r="I493" s="8">
        <f>Sheet1!I493</f>
        <v>45979</v>
      </c>
      <c r="J493" s="5" t="str">
        <f>Sheet1!M493 &amp; "," &amp; TEXT(Sheet1!N493,"dd/mm/yy")</f>
        <v>MHA/IND/00492,25/08/25</v>
      </c>
      <c r="K493" s="5" t="s">
        <v>5752</v>
      </c>
      <c r="L493" s="31" t="s">
        <v>14</v>
      </c>
      <c r="M493" s="31" t="s">
        <v>15</v>
      </c>
      <c r="N493" s="31" t="s">
        <v>16</v>
      </c>
    </row>
    <row r="494" spans="1:14" x14ac:dyDescent="0.25">
      <c r="A494" s="4" t="str">
        <f>Sheet1!A494 &amp; "/" &amp; "2025"</f>
        <v>493/2025</v>
      </c>
      <c r="B494" s="5" t="str">
        <f>Sheet1!E494</f>
        <v>IND/MEL/00493</v>
      </c>
      <c r="C494" s="6" t="str">
        <f>UPPER(Sheet1!B494)</f>
        <v>ROHIT VALZARI</v>
      </c>
      <c r="D494" s="7" t="str">
        <f>IF(Sheet1!F494="F","FEMALE","MALE")</f>
        <v>MALE</v>
      </c>
      <c r="E494" s="6" t="str">
        <f>UPPER(Sheet1!G494)</f>
        <v>AREN VALZARI</v>
      </c>
      <c r="F494" s="6" t="str">
        <f>UPPER(Sheet1!H494)</f>
        <v>RIYA VALZARI</v>
      </c>
      <c r="G494" s="5" t="str">
        <f>TEXT(Sheet1!C494,"dd/mm/yyyy") &amp; "," &amp; Sheet1!D494</f>
        <v>27/03/2025,BEDFORD PARK</v>
      </c>
      <c r="H494" s="39" t="str">
        <f>UPPER(Sheet1!J494 &amp; "," &amp; Sheet1!K494 &amp; "," &amp; Sheet1!L494)</f>
        <v>69 BIRCHWOOD LANE,EMERALD ROAD,PIN:974106 BEDFORD PARK</v>
      </c>
      <c r="I494" s="8">
        <f>Sheet1!I494</f>
        <v>45808</v>
      </c>
      <c r="J494" s="5" t="str">
        <f>Sheet1!M494 &amp; "," &amp; TEXT(Sheet1!N494,"dd/mm/yy")</f>
        <v>MHA/IND/00493,08/07/25</v>
      </c>
      <c r="K494" s="5" t="s">
        <v>5752</v>
      </c>
      <c r="L494" s="31" t="s">
        <v>14</v>
      </c>
      <c r="M494" s="31" t="s">
        <v>15</v>
      </c>
      <c r="N494" s="31" t="s">
        <v>16</v>
      </c>
    </row>
    <row r="495" spans="1:14" x14ac:dyDescent="0.25">
      <c r="A495" s="4" t="str">
        <f>Sheet1!A495 &amp; "/" &amp; "2025"</f>
        <v>494/2025</v>
      </c>
      <c r="B495" s="5" t="str">
        <f>Sheet1!E495</f>
        <v>IND/MEL/00494</v>
      </c>
      <c r="C495" s="6" t="str">
        <f>UPPER(Sheet1!B495)</f>
        <v>KIRAN VALZARI</v>
      </c>
      <c r="D495" s="7" t="str">
        <f>IF(Sheet1!F495="F","FEMALE","MALE")</f>
        <v>MALE</v>
      </c>
      <c r="E495" s="6" t="str">
        <f>UPPER(Sheet1!G495)</f>
        <v>ROHIT VALZARI</v>
      </c>
      <c r="F495" s="6" t="str">
        <f>UPPER(Sheet1!H495)</f>
        <v>ALYA VALZARI</v>
      </c>
      <c r="G495" s="5" t="str">
        <f>TEXT(Sheet1!C495,"dd/mm/yyyy") &amp; "," &amp; Sheet1!D495</f>
        <v>02/04/2025,WODONGA</v>
      </c>
      <c r="H495" s="39" t="str">
        <f>UPPER(Sheet1!J495 &amp; "," &amp; Sheet1!K495 &amp; "," &amp; Sheet1!L495)</f>
        <v>130 BIRCHWOOD LANE,EMERALD ROAD,PIN:903256 WODONGA</v>
      </c>
      <c r="I495" s="8">
        <f>Sheet1!I495</f>
        <v>45786</v>
      </c>
      <c r="J495" s="5" t="str">
        <f>Sheet1!M495 &amp; "," &amp; TEXT(Sheet1!N495,"dd/mm/yy")</f>
        <v>MHA/IND/00494,24/07/25</v>
      </c>
      <c r="K495" s="5" t="s">
        <v>5752</v>
      </c>
      <c r="L495" s="31" t="s">
        <v>14</v>
      </c>
      <c r="M495" s="31" t="s">
        <v>15</v>
      </c>
      <c r="N495" s="31" t="s">
        <v>16</v>
      </c>
    </row>
    <row r="496" spans="1:14" x14ac:dyDescent="0.25">
      <c r="A496" s="4" t="str">
        <f>Sheet1!A496 &amp; "/" &amp; "2025"</f>
        <v>495/2025</v>
      </c>
      <c r="B496" s="5" t="str">
        <f>Sheet1!E496</f>
        <v>IND/MEL/00495</v>
      </c>
      <c r="C496" s="6" t="str">
        <f>UPPER(Sheet1!B496)</f>
        <v>DEV SINDALE</v>
      </c>
      <c r="D496" s="7" t="str">
        <f>IF(Sheet1!F496="F","FEMALE","MALE")</f>
        <v>MALE</v>
      </c>
      <c r="E496" s="6" t="str">
        <f>UPPER(Sheet1!G496)</f>
        <v>AREN SINDALE</v>
      </c>
      <c r="F496" s="6" t="str">
        <f>UPPER(Sheet1!H496)</f>
        <v>RIYA SINDALE</v>
      </c>
      <c r="G496" s="5" t="str">
        <f>TEXT(Sheet1!C496,"dd/mm/yyyy") &amp; "," &amp; Sheet1!D496</f>
        <v>23/05/2025,FRANKSTON</v>
      </c>
      <c r="H496" s="39" t="str">
        <f>UPPER(Sheet1!J496 &amp; "," &amp; Sheet1!K496 &amp; "," &amp; Sheet1!L496)</f>
        <v>161 BIRCHWOOD LANE,EMERALD ROAD,PIN:724180 FRANKSTON</v>
      </c>
      <c r="I496" s="8">
        <f>Sheet1!I496</f>
        <v>45873</v>
      </c>
      <c r="J496" s="5" t="str">
        <f>Sheet1!M496 &amp; "," &amp; TEXT(Sheet1!N496,"dd/mm/yy")</f>
        <v>MHA/IND/00495,09/08/25</v>
      </c>
      <c r="K496" s="5" t="s">
        <v>5752</v>
      </c>
      <c r="L496" s="31" t="s">
        <v>14</v>
      </c>
      <c r="M496" s="31" t="s">
        <v>15</v>
      </c>
      <c r="N496" s="31" t="s">
        <v>16</v>
      </c>
    </row>
    <row r="497" spans="1:14" x14ac:dyDescent="0.25">
      <c r="A497" s="4" t="str">
        <f>Sheet1!A497 &amp; "/" &amp; "2025"</f>
        <v>496/2025</v>
      </c>
      <c r="B497" s="5" t="str">
        <f>Sheet1!E497</f>
        <v>IND/MEL/00496</v>
      </c>
      <c r="C497" s="6" t="str">
        <f>UPPER(Sheet1!B497)</f>
        <v>KIRAN SHARMA</v>
      </c>
      <c r="D497" s="7" t="str">
        <f>IF(Sheet1!F497="F","FEMALE","MALE")</f>
        <v>MALE</v>
      </c>
      <c r="E497" s="6" t="str">
        <f>UPPER(Sheet1!G497)</f>
        <v>DEV SHARMA</v>
      </c>
      <c r="F497" s="6" t="str">
        <f>UPPER(Sheet1!H497)</f>
        <v>NINA SHARMA</v>
      </c>
      <c r="G497" s="5" t="str">
        <f>TEXT(Sheet1!C497,"dd/mm/yyyy") &amp; "," &amp; Sheet1!D497</f>
        <v>11/06/2025,TUGGERANONG</v>
      </c>
      <c r="H497" s="39" t="str">
        <f>UPPER(Sheet1!J497 &amp; "," &amp; Sheet1!K497 &amp; "," &amp; Sheet1!L497)</f>
        <v>29 BIRCHWOOD LANE,EMERALD ROAD,PIN:696956 TUGGERANONG</v>
      </c>
      <c r="I497" s="8">
        <f>Sheet1!I497</f>
        <v>45937</v>
      </c>
      <c r="J497" s="5" t="str">
        <f>Sheet1!M497 &amp; "," &amp; TEXT(Sheet1!N497,"dd/mm/yy")</f>
        <v>MHA/IND/00496,26/08/25</v>
      </c>
      <c r="K497" s="5" t="s">
        <v>5752</v>
      </c>
      <c r="L497" s="31" t="s">
        <v>14</v>
      </c>
      <c r="M497" s="31" t="s">
        <v>15</v>
      </c>
      <c r="N497" s="31" t="s">
        <v>16</v>
      </c>
    </row>
    <row r="498" spans="1:14" x14ac:dyDescent="0.25">
      <c r="A498" s="4" t="str">
        <f>Sheet1!A498 &amp; "/" &amp; "2025"</f>
        <v>497/2025</v>
      </c>
      <c r="B498" s="5" t="str">
        <f>Sheet1!E498</f>
        <v>IND/MEL/00497</v>
      </c>
      <c r="C498" s="6" t="str">
        <f>UPPER(Sheet1!B498)</f>
        <v>MIRA SHARMA</v>
      </c>
      <c r="D498" s="7" t="str">
        <f>IF(Sheet1!F498="F","FEMALE","MALE")</f>
        <v>FEMALE</v>
      </c>
      <c r="E498" s="6" t="str">
        <f>UPPER(Sheet1!G498)</f>
        <v>ROHIT SHARMA</v>
      </c>
      <c r="F498" s="6" t="str">
        <f>UPPER(Sheet1!H498)</f>
        <v>MIRA SHARMA</v>
      </c>
      <c r="G498" s="5" t="str">
        <f>TEXT(Sheet1!C498,"dd/mm/yyyy") &amp; "," &amp; Sheet1!D498</f>
        <v>01/05/2025,LAUNCESTON</v>
      </c>
      <c r="H498" s="39" t="str">
        <f>UPPER(Sheet1!J498 &amp; "," &amp; Sheet1!K498 &amp; "," &amp; Sheet1!L498)</f>
        <v>193 BIRCHWOOD LANE,EMERALD ROAD,PIN:866652 LAUNCESTON</v>
      </c>
      <c r="I498" s="8">
        <f>Sheet1!I498</f>
        <v>45790</v>
      </c>
      <c r="J498" s="5" t="str">
        <f>Sheet1!M498 &amp; "," &amp; TEXT(Sheet1!N498,"dd/mm/yy")</f>
        <v>MHA/IND/00497,06/07/25</v>
      </c>
      <c r="K498" s="5" t="s">
        <v>5752</v>
      </c>
      <c r="L498" s="31" t="s">
        <v>14</v>
      </c>
      <c r="M498" s="31" t="s">
        <v>15</v>
      </c>
      <c r="N498" s="31" t="s">
        <v>16</v>
      </c>
    </row>
    <row r="499" spans="1:14" x14ac:dyDescent="0.25">
      <c r="A499" s="4" t="str">
        <f>Sheet1!A499 &amp; "/" &amp; "2025"</f>
        <v>498/2025</v>
      </c>
      <c r="B499" s="5" t="str">
        <f>Sheet1!E499</f>
        <v>IND/MEL/00498</v>
      </c>
      <c r="C499" s="6" t="str">
        <f>UPPER(Sheet1!B499)</f>
        <v>SARA KALEON</v>
      </c>
      <c r="D499" s="7" t="str">
        <f>IF(Sheet1!F499="F","FEMALE","MALE")</f>
        <v>FEMALE</v>
      </c>
      <c r="E499" s="6" t="str">
        <f>UPPER(Sheet1!G499)</f>
        <v>ROHIT KALEON</v>
      </c>
      <c r="F499" s="6" t="str">
        <f>UPPER(Sheet1!H499)</f>
        <v>ANYA KALEON</v>
      </c>
      <c r="G499" s="5" t="str">
        <f>TEXT(Sheet1!C499,"dd/mm/yyyy") &amp; "," &amp; Sheet1!D499</f>
        <v>19/03/2025,NORTH ADELAIDE</v>
      </c>
      <c r="H499" s="39" t="str">
        <f>UPPER(Sheet1!J499 &amp; "," &amp; Sheet1!K499 &amp; "," &amp; Sheet1!L499)</f>
        <v>141 BIRCHWOOD LANE,EMERALD ROAD,PIN:277862 NORTH ADELAIDE</v>
      </c>
      <c r="I499" s="8">
        <f>Sheet1!I499</f>
        <v>45767</v>
      </c>
      <c r="J499" s="5" t="str">
        <f>Sheet1!M499 &amp; "," &amp; TEXT(Sheet1!N499,"dd/mm/yy")</f>
        <v>MHA/IND/00498,03/08/25</v>
      </c>
      <c r="K499" s="5" t="s">
        <v>5752</v>
      </c>
      <c r="L499" s="31" t="s">
        <v>14</v>
      </c>
      <c r="M499" s="31" t="s">
        <v>15</v>
      </c>
      <c r="N499" s="31" t="s">
        <v>16</v>
      </c>
    </row>
    <row r="500" spans="1:14" x14ac:dyDescent="0.25">
      <c r="A500" s="4" t="str">
        <f>Sheet1!A500 &amp; "/" &amp; "2025"</f>
        <v>499/2025</v>
      </c>
      <c r="B500" s="5" t="str">
        <f>Sheet1!E500</f>
        <v>IND/MEL/00499</v>
      </c>
      <c r="C500" s="6" t="str">
        <f>UPPER(Sheet1!B500)</f>
        <v>RIYA RISHKAN</v>
      </c>
      <c r="D500" s="7" t="str">
        <f>IF(Sheet1!F500="F","FEMALE","MALE")</f>
        <v>FEMALE</v>
      </c>
      <c r="E500" s="6" t="str">
        <f>UPPER(Sheet1!G500)</f>
        <v>NEIL RISHKAN</v>
      </c>
      <c r="F500" s="6" t="str">
        <f>UPPER(Sheet1!H500)</f>
        <v>ALYA RISHKAN</v>
      </c>
      <c r="G500" s="5" t="str">
        <f>TEXT(Sheet1!C500,"dd/mm/yyyy") &amp; "," &amp; Sheet1!D500</f>
        <v>27/07/2025,TUGGERANONG</v>
      </c>
      <c r="H500" s="39" t="str">
        <f>UPPER(Sheet1!J500 &amp; "," &amp; Sheet1!K500 &amp; "," &amp; Sheet1!L500)</f>
        <v>57 BIRCHWOOD LANE,EMERALD ROAD,PIN:771839 TUGGERANONG</v>
      </c>
      <c r="I500" s="8">
        <f>Sheet1!I500</f>
        <v>45873</v>
      </c>
      <c r="J500" s="5" t="str">
        <f>Sheet1!M500 &amp; "," &amp; TEXT(Sheet1!N500,"dd/mm/yy")</f>
        <v>MHA/IND/00499,14/07/25</v>
      </c>
      <c r="K500" s="5" t="s">
        <v>5752</v>
      </c>
      <c r="L500" s="31" t="s">
        <v>14</v>
      </c>
      <c r="M500" s="31" t="s">
        <v>15</v>
      </c>
      <c r="N500" s="31" t="s">
        <v>16</v>
      </c>
    </row>
    <row r="501" spans="1:14" x14ac:dyDescent="0.25">
      <c r="A501" s="4" t="str">
        <f>Sheet1!A501 &amp; "/" &amp; "2025"</f>
        <v>500/2025</v>
      </c>
      <c r="B501" s="5" t="str">
        <f>Sheet1!E501</f>
        <v>IND/MEL/00500</v>
      </c>
      <c r="C501" s="6" t="str">
        <f>UPPER(Sheet1!B501)</f>
        <v>ANYA SHARMA</v>
      </c>
      <c r="D501" s="7" t="str">
        <f>IF(Sheet1!F501="F","FEMALE","MALE")</f>
        <v>FEMALE</v>
      </c>
      <c r="E501" s="6" t="str">
        <f>UPPER(Sheet1!G501)</f>
        <v>DEV SHARMA</v>
      </c>
      <c r="F501" s="6" t="str">
        <f>UPPER(Sheet1!H501)</f>
        <v>ANYA SHARMA</v>
      </c>
      <c r="G501" s="5" t="str">
        <f>TEXT(Sheet1!C501,"dd/mm/yyyy") &amp; "," &amp; Sheet1!D501</f>
        <v>05/08/2025,LIVERPOOL</v>
      </c>
      <c r="H501" s="39" t="str">
        <f>UPPER(Sheet1!J501 &amp; "," &amp; Sheet1!K501 &amp; "," &amp; Sheet1!L501)</f>
        <v>65 BIRCHWOOD LANE,EMERALD ROAD,PIN:587081 LIVERPOOL</v>
      </c>
      <c r="I501" s="8">
        <f>Sheet1!I501</f>
        <v>45926</v>
      </c>
      <c r="J501" s="5" t="str">
        <f>Sheet1!M501 &amp; "," &amp; TEXT(Sheet1!N501,"dd/mm/yy")</f>
        <v>MHA/IND/00500,04/08/25</v>
      </c>
      <c r="K501" s="5" t="s">
        <v>5752</v>
      </c>
      <c r="L501" s="31" t="s">
        <v>14</v>
      </c>
      <c r="M501" s="31" t="s">
        <v>15</v>
      </c>
      <c r="N501" s="31" t="s">
        <v>16</v>
      </c>
    </row>
    <row r="502" spans="1:14" x14ac:dyDescent="0.25">
      <c r="A502" s="4" t="str">
        <f>Sheet1!A502 &amp; "/" &amp; "2025"</f>
        <v>501/2025</v>
      </c>
      <c r="B502" s="5" t="str">
        <f>Sheet1!E502</f>
        <v>IND/MEL/00501</v>
      </c>
      <c r="C502" s="6" t="str">
        <f>UPPER(Sheet1!B502)</f>
        <v>ANYA VALZARI</v>
      </c>
      <c r="D502" s="7" t="str">
        <f>IF(Sheet1!F502="F","FEMALE","MALE")</f>
        <v>FEMALE</v>
      </c>
      <c r="E502" s="6" t="str">
        <f>UPPER(Sheet1!G502)</f>
        <v>AREN VALZARI</v>
      </c>
      <c r="F502" s="6" t="str">
        <f>UPPER(Sheet1!H502)</f>
        <v>ANYA VALZARI</v>
      </c>
      <c r="G502" s="5" t="str">
        <f>TEXT(Sheet1!C502,"dd/mm/yyyy") &amp; "," &amp; Sheet1!D502</f>
        <v>13/01/2025,BALLARAT CENTRAL</v>
      </c>
      <c r="H502" s="39" t="str">
        <f>UPPER(Sheet1!J502 &amp; "," &amp; Sheet1!K502 &amp; "," &amp; Sheet1!L502)</f>
        <v>74 BIRCHWOOD LANE,EMERALD ROAD,PIN:832571 BALLARAT CENTRAL</v>
      </c>
      <c r="I502" s="8">
        <f>Sheet1!I502</f>
        <v>45679</v>
      </c>
      <c r="J502" s="5" t="str">
        <f>Sheet1!M502 &amp; "," &amp; TEXT(Sheet1!N502,"dd/mm/yy")</f>
        <v>MHA/IND/00501,06/07/25</v>
      </c>
      <c r="K502" s="5" t="s">
        <v>5752</v>
      </c>
      <c r="L502" s="31" t="s">
        <v>14</v>
      </c>
      <c r="M502" s="31" t="s">
        <v>15</v>
      </c>
      <c r="N502" s="31" t="s">
        <v>16</v>
      </c>
    </row>
    <row r="503" spans="1:14" x14ac:dyDescent="0.25">
      <c r="A503" s="4" t="str">
        <f>Sheet1!A503 &amp; "/" &amp; "2025"</f>
        <v>502/2025</v>
      </c>
      <c r="B503" s="5" t="str">
        <f>Sheet1!E503</f>
        <v>IND/MEL/00502</v>
      </c>
      <c r="C503" s="6" t="str">
        <f>UPPER(Sheet1!B503)</f>
        <v>ARJUN SINDALE</v>
      </c>
      <c r="D503" s="7" t="str">
        <f>IF(Sheet1!F503="F","FEMALE","MALE")</f>
        <v>MALE</v>
      </c>
      <c r="E503" s="6" t="str">
        <f>UPPER(Sheet1!G503)</f>
        <v>ISHAN SINDALE</v>
      </c>
      <c r="F503" s="6" t="str">
        <f>UPPER(Sheet1!H503)</f>
        <v>NINA SINDALE</v>
      </c>
      <c r="G503" s="5" t="str">
        <f>TEXT(Sheet1!C503,"dd/mm/yyyy") &amp; "," &amp; Sheet1!D503</f>
        <v>05/08/2025,FREMANTLE</v>
      </c>
      <c r="H503" s="39" t="str">
        <f>UPPER(Sheet1!J503 &amp; "," &amp; Sheet1!K503 &amp; "," &amp; Sheet1!L503)</f>
        <v>26 BIRCHWOOD LANE,EMERALD ROAD,PIN:919321 FREMANTLE</v>
      </c>
      <c r="I503" s="8">
        <f>Sheet1!I503</f>
        <v>45982</v>
      </c>
      <c r="J503" s="5" t="str">
        <f>Sheet1!M503 &amp; "," &amp; TEXT(Sheet1!N503,"dd/mm/yy")</f>
        <v>MHA/IND/00502,28/08/25</v>
      </c>
      <c r="K503" s="5" t="s">
        <v>5752</v>
      </c>
      <c r="L503" s="31" t="s">
        <v>14</v>
      </c>
      <c r="M503" s="31" t="s">
        <v>15</v>
      </c>
      <c r="N503" s="31" t="s">
        <v>16</v>
      </c>
    </row>
    <row r="504" spans="1:14" x14ac:dyDescent="0.25">
      <c r="A504" s="4" t="str">
        <f>Sheet1!A504 &amp; "/" &amp; "2025"</f>
        <v>503/2025</v>
      </c>
      <c r="B504" s="5" t="str">
        <f>Sheet1!E504</f>
        <v>IND/MEL/00503</v>
      </c>
      <c r="C504" s="6" t="str">
        <f>UPPER(Sheet1!B504)</f>
        <v>TARA KALEON</v>
      </c>
      <c r="D504" s="7" t="str">
        <f>IF(Sheet1!F504="F","FEMALE","MALE")</f>
        <v>FEMALE</v>
      </c>
      <c r="E504" s="6" t="str">
        <f>UPPER(Sheet1!G504)</f>
        <v>ROHIT KALEON</v>
      </c>
      <c r="F504" s="6" t="str">
        <f>UPPER(Sheet1!H504)</f>
        <v>TARA KALEON</v>
      </c>
      <c r="G504" s="5" t="str">
        <f>TEXT(Sheet1!C504,"dd/mm/yyyy") &amp; "," &amp; Sheet1!D504</f>
        <v>06/05/2025,IPSWICH</v>
      </c>
      <c r="H504" s="39" t="str">
        <f>UPPER(Sheet1!J504 &amp; "," &amp; Sheet1!K504 &amp; "," &amp; Sheet1!L504)</f>
        <v>109 BIRCHWOOD LANE,EMERALD ROAD,PIN:713260 IPSWICH</v>
      </c>
      <c r="I504" s="8">
        <f>Sheet1!I504</f>
        <v>45863</v>
      </c>
      <c r="J504" s="5" t="str">
        <f>Sheet1!M504 &amp; "," &amp; TEXT(Sheet1!N504,"dd/mm/yy")</f>
        <v>MHA/IND/00503,24/07/25</v>
      </c>
      <c r="K504" s="5" t="s">
        <v>5752</v>
      </c>
      <c r="L504" s="31" t="s">
        <v>14</v>
      </c>
      <c r="M504" s="31" t="s">
        <v>15</v>
      </c>
      <c r="N504" s="31" t="s">
        <v>16</v>
      </c>
    </row>
    <row r="505" spans="1:14" x14ac:dyDescent="0.25">
      <c r="A505" s="4" t="str">
        <f>Sheet1!A505 &amp; "/" &amp; "2025"</f>
        <v>504/2025</v>
      </c>
      <c r="B505" s="5" t="str">
        <f>Sheet1!E505</f>
        <v>IND/MEL/00504</v>
      </c>
      <c r="C505" s="6" t="str">
        <f>UPPER(Sheet1!B505)</f>
        <v>KIRAN SHARMA</v>
      </c>
      <c r="D505" s="7" t="str">
        <f>IF(Sheet1!F505="F","FEMALE","MALE")</f>
        <v>MALE</v>
      </c>
      <c r="E505" s="6" t="str">
        <f>UPPER(Sheet1!G505)</f>
        <v>ISHAN SHARMA</v>
      </c>
      <c r="F505" s="6" t="str">
        <f>UPPER(Sheet1!H505)</f>
        <v>RIYA SHARMA</v>
      </c>
      <c r="G505" s="5" t="str">
        <f>TEXT(Sheet1!C505,"dd/mm/yyyy") &amp; "," &amp; Sheet1!D505</f>
        <v>15/10/2025,MILDURA</v>
      </c>
      <c r="H505" s="39" t="str">
        <f>UPPER(Sheet1!J505 &amp; "," &amp; Sheet1!K505 &amp; "," &amp; Sheet1!L505)</f>
        <v>21 BIRCHWOOD LANE,EMERALD ROAD,PIN:384008 MILDURA</v>
      </c>
      <c r="I505" s="8">
        <f>Sheet1!I505</f>
        <v>45955</v>
      </c>
      <c r="J505" s="5" t="str">
        <f>Sheet1!M505 &amp; "," &amp; TEXT(Sheet1!N505,"dd/mm/yy")</f>
        <v>MHA/IND/00504,12/07/25</v>
      </c>
      <c r="K505" s="5" t="s">
        <v>5752</v>
      </c>
      <c r="L505" s="31" t="s">
        <v>14</v>
      </c>
      <c r="M505" s="31" t="s">
        <v>15</v>
      </c>
      <c r="N505" s="31" t="s">
        <v>16</v>
      </c>
    </row>
    <row r="506" spans="1:14" x14ac:dyDescent="0.25">
      <c r="A506" s="4" t="str">
        <f>Sheet1!A506 &amp; "/" &amp; "2025"</f>
        <v>505/2025</v>
      </c>
      <c r="B506" s="5" t="str">
        <f>Sheet1!E506</f>
        <v>IND/MEL/00505</v>
      </c>
      <c r="C506" s="6" t="str">
        <f>UPPER(Sheet1!B506)</f>
        <v>ANYA RAO</v>
      </c>
      <c r="D506" s="7" t="str">
        <f>IF(Sheet1!F506="F","FEMALE","MALE")</f>
        <v>FEMALE</v>
      </c>
      <c r="E506" s="6" t="str">
        <f>UPPER(Sheet1!G506)</f>
        <v>NEIL RAO</v>
      </c>
      <c r="F506" s="6" t="str">
        <f>UPPER(Sheet1!H506)</f>
        <v>TARA RAO</v>
      </c>
      <c r="G506" s="5" t="str">
        <f>TEXT(Sheet1!C506,"dd/mm/yyyy") &amp; "," &amp; Sheet1!D506</f>
        <v>22/01/2025,ST ALBANS</v>
      </c>
      <c r="H506" s="39" t="str">
        <f>UPPER(Sheet1!J506 &amp; "," &amp; Sheet1!K506 &amp; "," &amp; Sheet1!L506)</f>
        <v>198 BIRCHWOOD LANE,EMERALD ROAD,PIN:435572 ST ALBANS</v>
      </c>
      <c r="I506" s="8">
        <f>Sheet1!I506</f>
        <v>45704</v>
      </c>
      <c r="J506" s="5" t="str">
        <f>Sheet1!M506 &amp; "," &amp; TEXT(Sheet1!N506,"dd/mm/yy")</f>
        <v>MHA/IND/00505,19/08/25</v>
      </c>
      <c r="K506" s="5" t="s">
        <v>5752</v>
      </c>
      <c r="L506" s="31" t="s">
        <v>14</v>
      </c>
      <c r="M506" s="31" t="s">
        <v>15</v>
      </c>
      <c r="N506" s="31" t="s">
        <v>16</v>
      </c>
    </row>
    <row r="507" spans="1:14" x14ac:dyDescent="0.25">
      <c r="A507" s="4" t="str">
        <f>Sheet1!A507 &amp; "/" &amp; "2025"</f>
        <v>506/2025</v>
      </c>
      <c r="B507" s="5" t="str">
        <f>Sheet1!E507</f>
        <v>IND/MEL/00506</v>
      </c>
      <c r="C507" s="6" t="str">
        <f>UPPER(Sheet1!B507)</f>
        <v>DIYA MYRTHOS</v>
      </c>
      <c r="D507" s="7" t="str">
        <f>IF(Sheet1!F507="F","FEMALE","MALE")</f>
        <v>FEMALE</v>
      </c>
      <c r="E507" s="6" t="str">
        <f>UPPER(Sheet1!G507)</f>
        <v>ROHIT MYRTHOS</v>
      </c>
      <c r="F507" s="6" t="str">
        <f>UPPER(Sheet1!H507)</f>
        <v>ALYA MYRTHOS</v>
      </c>
      <c r="G507" s="5" t="str">
        <f>TEXT(Sheet1!C507,"dd/mm/yyyy") &amp; "," &amp; Sheet1!D507</f>
        <v>28/09/2025,BENDIGO</v>
      </c>
      <c r="H507" s="39" t="str">
        <f>UPPER(Sheet1!J507 &amp; "," &amp; Sheet1!K507 &amp; "," &amp; Sheet1!L507)</f>
        <v>157 BIRCHWOOD LANE,EMERALD ROAD,PIN:557614 BENDIGO</v>
      </c>
      <c r="I507" s="8">
        <f>Sheet1!I507</f>
        <v>45960</v>
      </c>
      <c r="J507" s="5" t="str">
        <f>Sheet1!M507 &amp; "," &amp; TEXT(Sheet1!N507,"dd/mm/yy")</f>
        <v>MHA/IND/00506,12/08/25</v>
      </c>
      <c r="K507" s="5" t="s">
        <v>5752</v>
      </c>
      <c r="L507" s="31" t="s">
        <v>14</v>
      </c>
      <c r="M507" s="31" t="s">
        <v>15</v>
      </c>
      <c r="N507" s="31" t="s">
        <v>16</v>
      </c>
    </row>
    <row r="508" spans="1:14" x14ac:dyDescent="0.25">
      <c r="A508" s="4" t="str">
        <f>Sheet1!A508 &amp; "/" &amp; "2025"</f>
        <v>507/2025</v>
      </c>
      <c r="B508" s="5" t="str">
        <f>Sheet1!E508</f>
        <v>IND/MEL/00507</v>
      </c>
      <c r="C508" s="6" t="str">
        <f>UPPER(Sheet1!B508)</f>
        <v>DIYA RISHKAN</v>
      </c>
      <c r="D508" s="7" t="str">
        <f>IF(Sheet1!F508="F","FEMALE","MALE")</f>
        <v>FEMALE</v>
      </c>
      <c r="E508" s="6" t="str">
        <f>UPPER(Sheet1!G508)</f>
        <v>KABIR RISHKAN</v>
      </c>
      <c r="F508" s="6" t="str">
        <f>UPPER(Sheet1!H508)</f>
        <v>NINA RISHKAN</v>
      </c>
      <c r="G508" s="5" t="str">
        <f>TEXT(Sheet1!C508,"dd/mm/yyyy") &amp; "," &amp; Sheet1!D508</f>
        <v>17/10/2025,WOLLONGONG</v>
      </c>
      <c r="H508" s="39" t="str">
        <f>UPPER(Sheet1!J508 &amp; "," &amp; Sheet1!K508 &amp; "," &amp; Sheet1!L508)</f>
        <v>77 BIRCHWOOD LANE,EMERALD ROAD,PIN:990720 WOLLONGONG</v>
      </c>
      <c r="I508" s="8">
        <f>Sheet1!I508</f>
        <v>46053</v>
      </c>
      <c r="J508" s="5" t="str">
        <f>Sheet1!M508 &amp; "," &amp; TEXT(Sheet1!N508,"dd/mm/yy")</f>
        <v>MHA/IND/00507,01/08/25</v>
      </c>
      <c r="K508" s="5" t="s">
        <v>5752</v>
      </c>
      <c r="L508" s="31" t="s">
        <v>14</v>
      </c>
      <c r="M508" s="31" t="s">
        <v>15</v>
      </c>
      <c r="N508" s="31" t="s">
        <v>16</v>
      </c>
    </row>
    <row r="509" spans="1:14" x14ac:dyDescent="0.25">
      <c r="A509" s="4" t="str">
        <f>Sheet1!A509 &amp; "/" &amp; "2025"</f>
        <v>508/2025</v>
      </c>
      <c r="B509" s="5" t="str">
        <f>Sheet1!E509</f>
        <v>IND/MEL/00508</v>
      </c>
      <c r="C509" s="6" t="str">
        <f>UPPER(Sheet1!B509)</f>
        <v>ANYA VALZARI</v>
      </c>
      <c r="D509" s="7" t="str">
        <f>IF(Sheet1!F509="F","FEMALE","MALE")</f>
        <v>FEMALE</v>
      </c>
      <c r="E509" s="6" t="str">
        <f>UPPER(Sheet1!G509)</f>
        <v>NEIL VALZARI</v>
      </c>
      <c r="F509" s="6" t="str">
        <f>UPPER(Sheet1!H509)</f>
        <v>DIYA VALZARI</v>
      </c>
      <c r="G509" s="5" t="str">
        <f>TEXT(Sheet1!C509,"dd/mm/yyyy") &amp; "," &amp; Sheet1!D509</f>
        <v>18/04/2025,WERRIBEE</v>
      </c>
      <c r="H509" s="39" t="str">
        <f>UPPER(Sheet1!J509 &amp; "," &amp; Sheet1!K509 &amp; "," &amp; Sheet1!L509)</f>
        <v>59 BIRCHWOOD LANE,EMERALD ROAD,PIN:686666 WERRIBEE</v>
      </c>
      <c r="I509" s="8">
        <f>Sheet1!I509</f>
        <v>45824</v>
      </c>
      <c r="J509" s="5" t="str">
        <f>Sheet1!M509 &amp; "," &amp; TEXT(Sheet1!N509,"dd/mm/yy")</f>
        <v>MHA/IND/00508,10/08/25</v>
      </c>
      <c r="K509" s="5" t="s">
        <v>5752</v>
      </c>
      <c r="L509" s="31" t="s">
        <v>14</v>
      </c>
      <c r="M509" s="31" t="s">
        <v>15</v>
      </c>
      <c r="N509" s="31" t="s">
        <v>16</v>
      </c>
    </row>
    <row r="510" spans="1:14" x14ac:dyDescent="0.25">
      <c r="A510" s="4" t="str">
        <f>Sheet1!A510 &amp; "/" &amp; "2025"</f>
        <v>509/2025</v>
      </c>
      <c r="B510" s="5" t="str">
        <f>Sheet1!E510</f>
        <v>IND/MEL/00509</v>
      </c>
      <c r="C510" s="6" t="str">
        <f>UPPER(Sheet1!B510)</f>
        <v>DEV MYRTHOS</v>
      </c>
      <c r="D510" s="7" t="str">
        <f>IF(Sheet1!F510="F","FEMALE","MALE")</f>
        <v>MALE</v>
      </c>
      <c r="E510" s="6" t="str">
        <f>UPPER(Sheet1!G510)</f>
        <v>KABIR MYRTHOS</v>
      </c>
      <c r="F510" s="6" t="str">
        <f>UPPER(Sheet1!H510)</f>
        <v>MIRA MYRTHOS</v>
      </c>
      <c r="G510" s="5" t="str">
        <f>TEXT(Sheet1!C510,"dd/mm/yyyy") &amp; "," &amp; Sheet1!D510</f>
        <v>18/08/2025,MIDLAND</v>
      </c>
      <c r="H510" s="39" t="str">
        <f>UPPER(Sheet1!J510 &amp; "," &amp; Sheet1!K510 &amp; "," &amp; Sheet1!L510)</f>
        <v>68 BIRCHWOOD LANE,EMERALD ROAD,PIN:921614 MIDLAND</v>
      </c>
      <c r="I510" s="8">
        <f>Sheet1!I510</f>
        <v>45936</v>
      </c>
      <c r="J510" s="5" t="str">
        <f>Sheet1!M510 &amp; "," &amp; TEXT(Sheet1!N510,"dd/mm/yy")</f>
        <v>MHA/IND/00509,06/07/25</v>
      </c>
      <c r="K510" s="5" t="s">
        <v>5752</v>
      </c>
      <c r="L510" s="31" t="s">
        <v>14</v>
      </c>
      <c r="M510" s="31" t="s">
        <v>15</v>
      </c>
      <c r="N510" s="31" t="s">
        <v>16</v>
      </c>
    </row>
    <row r="511" spans="1:14" x14ac:dyDescent="0.25">
      <c r="A511" s="4" t="str">
        <f>Sheet1!A511 &amp; "/" &amp; "2025"</f>
        <v>510/2025</v>
      </c>
      <c r="B511" s="5" t="str">
        <f>Sheet1!E511</f>
        <v>IND/MEL/00510</v>
      </c>
      <c r="C511" s="6" t="str">
        <f>UPPER(Sheet1!B511)</f>
        <v>NINA MYRTHOS</v>
      </c>
      <c r="D511" s="7" t="str">
        <f>IF(Sheet1!F511="F","FEMALE","MALE")</f>
        <v>FEMALE</v>
      </c>
      <c r="E511" s="6" t="str">
        <f>UPPER(Sheet1!G511)</f>
        <v>ISHAN MYRTHOS</v>
      </c>
      <c r="F511" s="6" t="str">
        <f>UPPER(Sheet1!H511)</f>
        <v>ALYA MYRTHOS</v>
      </c>
      <c r="G511" s="5" t="str">
        <f>TEXT(Sheet1!C511,"dd/mm/yyyy") &amp; "," &amp; Sheet1!D511</f>
        <v>29/01/2025,BUNDOORA</v>
      </c>
      <c r="H511" s="39" t="str">
        <f>UPPER(Sheet1!J511 &amp; "," &amp; Sheet1!K511 &amp; "," &amp; Sheet1!L511)</f>
        <v>191 BIRCHWOOD LANE,EMERALD ROAD,PIN:383372 BUNDOORA</v>
      </c>
      <c r="I511" s="8">
        <f>Sheet1!I511</f>
        <v>45704</v>
      </c>
      <c r="J511" s="5" t="str">
        <f>Sheet1!M511 &amp; "," &amp; TEXT(Sheet1!N511,"dd/mm/yy")</f>
        <v>MHA/IND/00510,29/08/25</v>
      </c>
      <c r="K511" s="5" t="s">
        <v>5752</v>
      </c>
      <c r="L511" s="31" t="s">
        <v>14</v>
      </c>
      <c r="M511" s="31" t="s">
        <v>15</v>
      </c>
      <c r="N511" s="31" t="s">
        <v>16</v>
      </c>
    </row>
    <row r="512" spans="1:14" x14ac:dyDescent="0.25">
      <c r="A512" s="4" t="str">
        <f>Sheet1!A512 &amp; "/" &amp; "2025"</f>
        <v>511/2025</v>
      </c>
      <c r="B512" s="5" t="str">
        <f>Sheet1!E512</f>
        <v>IND/MEL/00511</v>
      </c>
      <c r="C512" s="6" t="str">
        <f>UPPER(Sheet1!B512)</f>
        <v>ARJUN SINDALE</v>
      </c>
      <c r="D512" s="7" t="str">
        <f>IF(Sheet1!F512="F","FEMALE","MALE")</f>
        <v>MALE</v>
      </c>
      <c r="E512" s="6" t="str">
        <f>UPPER(Sheet1!G512)</f>
        <v>AREN SINDALE</v>
      </c>
      <c r="F512" s="6" t="str">
        <f>UPPER(Sheet1!H512)</f>
        <v>ALYA SINDALE</v>
      </c>
      <c r="G512" s="5" t="str">
        <f>TEXT(Sheet1!C512,"dd/mm/yyyy") &amp; "," &amp; Sheet1!D512</f>
        <v>21/04/2025,ADELAIDE</v>
      </c>
      <c r="H512" s="39" t="str">
        <f>UPPER(Sheet1!J512 &amp; "," &amp; Sheet1!K512 &amp; "," &amp; Sheet1!L512)</f>
        <v>28 BIRCHWOOD LANE,EMERALD ROAD,PIN:703922 ADELAIDE</v>
      </c>
      <c r="I512" s="8">
        <f>Sheet1!I512</f>
        <v>45805</v>
      </c>
      <c r="J512" s="5" t="str">
        <f>Sheet1!M512 &amp; "," &amp; TEXT(Sheet1!N512,"dd/mm/yy")</f>
        <v>MHA/IND/00511,15/07/25</v>
      </c>
      <c r="K512" s="5" t="s">
        <v>5752</v>
      </c>
      <c r="L512" s="31" t="s">
        <v>14</v>
      </c>
      <c r="M512" s="31" t="s">
        <v>15</v>
      </c>
      <c r="N512" s="31" t="s">
        <v>16</v>
      </c>
    </row>
    <row r="513" spans="1:14" x14ac:dyDescent="0.25">
      <c r="A513" s="4" t="str">
        <f>Sheet1!A513 &amp; "/" &amp; "2025"</f>
        <v>512/2025</v>
      </c>
      <c r="B513" s="5" t="str">
        <f>Sheet1!E513</f>
        <v>IND/MEL/00512</v>
      </c>
      <c r="C513" s="6" t="str">
        <f>UPPER(Sheet1!B513)</f>
        <v>DIYA SHARMA</v>
      </c>
      <c r="D513" s="7" t="str">
        <f>IF(Sheet1!F513="F","FEMALE","MALE")</f>
        <v>FEMALE</v>
      </c>
      <c r="E513" s="6" t="str">
        <f>UPPER(Sheet1!G513)</f>
        <v>ARJUN SHARMA</v>
      </c>
      <c r="F513" s="6" t="str">
        <f>UPPER(Sheet1!H513)</f>
        <v>ALYA SHARMA</v>
      </c>
      <c r="G513" s="5" t="str">
        <f>TEXT(Sheet1!C513,"dd/mm/yyyy") &amp; "," &amp; Sheet1!D513</f>
        <v>13/02/2025,TOOWOOMBA</v>
      </c>
      <c r="H513" s="39" t="str">
        <f>UPPER(Sheet1!J513 &amp; "," &amp; Sheet1!K513 &amp; "," &amp; Sheet1!L513)</f>
        <v>185 BIRCHWOOD LANE,EMERALD ROAD,PIN:926264 TOOWOOMBA</v>
      </c>
      <c r="I513" s="8">
        <f>Sheet1!I513</f>
        <v>45738</v>
      </c>
      <c r="J513" s="5" t="str">
        <f>Sheet1!M513 &amp; "," &amp; TEXT(Sheet1!N513,"dd/mm/yy")</f>
        <v>MHA/IND/00512,03/07/25</v>
      </c>
      <c r="K513" s="5" t="s">
        <v>5752</v>
      </c>
      <c r="L513" s="31" t="s">
        <v>14</v>
      </c>
      <c r="M513" s="31" t="s">
        <v>15</v>
      </c>
      <c r="N513" s="31" t="s">
        <v>16</v>
      </c>
    </row>
    <row r="514" spans="1:14" ht="30" customHeight="1" x14ac:dyDescent="0.25">
      <c r="A514" s="4" t="str">
        <f>Sheet1!A514 &amp; "/" &amp; "2025"</f>
        <v>513/2025</v>
      </c>
      <c r="B514" s="5" t="str">
        <f>Sheet1!E514</f>
        <v>IND/MEL/00513</v>
      </c>
      <c r="C514" s="6" t="str">
        <f>UPPER(Sheet1!B514)</f>
        <v>ISHAN SINDALE</v>
      </c>
      <c r="D514" s="7" t="str">
        <f>IF(Sheet1!F514="F","FEMALE","MALE")</f>
        <v>MALE</v>
      </c>
      <c r="E514" s="6" t="str">
        <f>UPPER(Sheet1!G514)</f>
        <v>ARJUN SINDALE</v>
      </c>
      <c r="F514" s="6" t="str">
        <f>UPPER(Sheet1!H514)</f>
        <v>SARA SINDALE</v>
      </c>
      <c r="G514" s="5" t="str">
        <f>TEXT(Sheet1!C514,"dd/mm/yyyy") &amp; "," &amp; Sheet1!D514</f>
        <v>21/02/2025,PERTH</v>
      </c>
      <c r="H514" s="39" t="str">
        <f>UPPER(Sheet1!J514 &amp; "," &amp; Sheet1!K514 &amp; "," &amp; Sheet1!L514)</f>
        <v>166 BIRCHWOOD LANE,EMERALD ROAD,PIN:836568 PERTH</v>
      </c>
      <c r="I514" s="8">
        <f>Sheet1!I514</f>
        <v>45797</v>
      </c>
      <c r="J514" s="5" t="str">
        <f>Sheet1!M514 &amp; "," &amp; TEXT(Sheet1!N514,"dd/mm/yy")</f>
        <v>MHA/IND/00513,13/07/25</v>
      </c>
      <c r="K514" s="5" t="s">
        <v>5752</v>
      </c>
      <c r="L514" s="31" t="s">
        <v>14</v>
      </c>
      <c r="M514" s="31" t="s">
        <v>15</v>
      </c>
      <c r="N514" s="31" t="s">
        <v>16</v>
      </c>
    </row>
    <row r="515" spans="1:14" x14ac:dyDescent="0.25">
      <c r="A515" s="4" t="str">
        <f>Sheet1!A515 &amp; "/" &amp; "2025"</f>
        <v>514/2025</v>
      </c>
      <c r="B515" s="5" t="str">
        <f>Sheet1!E515</f>
        <v>IND/MEL/00514</v>
      </c>
      <c r="C515" s="6" t="str">
        <f>UPPER(Sheet1!B515)</f>
        <v>ALYA RAO</v>
      </c>
      <c r="D515" s="7" t="str">
        <f>IF(Sheet1!F515="F","FEMALE","MALE")</f>
        <v>FEMALE</v>
      </c>
      <c r="E515" s="6" t="str">
        <f>UPPER(Sheet1!G515)</f>
        <v>ISHAN RAO</v>
      </c>
      <c r="F515" s="6" t="str">
        <f>UPPER(Sheet1!H515)</f>
        <v>DIYA RAO</v>
      </c>
      <c r="G515" s="5" t="str">
        <f>TEXT(Sheet1!C515,"dd/mm/yyyy") &amp; "," &amp; Sheet1!D515</f>
        <v>03/06/2025,NEWCASTLE</v>
      </c>
      <c r="H515" s="39" t="str">
        <f>UPPER(Sheet1!J515 &amp; "," &amp; Sheet1!K515 &amp; "," &amp; Sheet1!L515)</f>
        <v>190 BIRCHWOOD LANE,EMERALD ROAD,PIN:596001 NEWCASTLE</v>
      </c>
      <c r="I515" s="8">
        <f>Sheet1!I515</f>
        <v>45898</v>
      </c>
      <c r="J515" s="5" t="str">
        <f>Sheet1!M515 &amp; "," &amp; TEXT(Sheet1!N515,"dd/mm/yy")</f>
        <v>MHA/IND/00514,11/07/25</v>
      </c>
      <c r="K515" s="5" t="s">
        <v>5752</v>
      </c>
      <c r="L515" s="31" t="s">
        <v>14</v>
      </c>
      <c r="M515" s="31" t="s">
        <v>15</v>
      </c>
      <c r="N515" s="31" t="s">
        <v>16</v>
      </c>
    </row>
    <row r="516" spans="1:14" x14ac:dyDescent="0.25">
      <c r="A516" s="4" t="str">
        <f>Sheet1!A516 &amp; "/" &amp; "2025"</f>
        <v>515/2025</v>
      </c>
      <c r="B516" s="5" t="str">
        <f>Sheet1!E516</f>
        <v>IND/MEL/00515</v>
      </c>
      <c r="C516" s="6" t="str">
        <f>UPPER(Sheet1!B516)</f>
        <v>ISHAN SINDALE</v>
      </c>
      <c r="D516" s="7" t="str">
        <f>IF(Sheet1!F516="F","FEMALE","MALE")</f>
        <v>MALE</v>
      </c>
      <c r="E516" s="6" t="str">
        <f>UPPER(Sheet1!G516)</f>
        <v>KABIR SINDALE</v>
      </c>
      <c r="F516" s="6" t="str">
        <f>UPPER(Sheet1!H516)</f>
        <v>TARA SINDALE</v>
      </c>
      <c r="G516" s="5" t="str">
        <f>TEXT(Sheet1!C516,"dd/mm/yyyy") &amp; "," &amp; Sheet1!D516</f>
        <v>11/02/2025,SHEPPARTON</v>
      </c>
      <c r="H516" s="39" t="str">
        <f>UPPER(Sheet1!J516 &amp; "," &amp; Sheet1!K516 &amp; "," &amp; Sheet1!L516)</f>
        <v>189 BIRCHWOOD LANE,EMERALD ROAD,PIN:454480 SHEPPARTON</v>
      </c>
      <c r="I516" s="8">
        <f>Sheet1!I516</f>
        <v>45721</v>
      </c>
      <c r="J516" s="5" t="str">
        <f>Sheet1!M516 &amp; "," &amp; TEXT(Sheet1!N516,"dd/mm/yy")</f>
        <v>MHA/IND/00515,14/08/25</v>
      </c>
      <c r="K516" s="5" t="s">
        <v>5752</v>
      </c>
      <c r="L516" s="31" t="s">
        <v>14</v>
      </c>
      <c r="M516" s="31" t="s">
        <v>15</v>
      </c>
      <c r="N516" s="31" t="s">
        <v>16</v>
      </c>
    </row>
    <row r="517" spans="1:14" x14ac:dyDescent="0.25">
      <c r="A517" s="4" t="str">
        <f>Sheet1!A517 &amp; "/" &amp; "2025"</f>
        <v>516/2025</v>
      </c>
      <c r="B517" s="5" t="str">
        <f>Sheet1!E517</f>
        <v>IND/MEL/00516</v>
      </c>
      <c r="C517" s="6" t="str">
        <f>UPPER(Sheet1!B517)</f>
        <v>ISHAN KALEON</v>
      </c>
      <c r="D517" s="7" t="str">
        <f>IF(Sheet1!F517="F","FEMALE","MALE")</f>
        <v>MALE</v>
      </c>
      <c r="E517" s="6" t="str">
        <f>UPPER(Sheet1!G517)</f>
        <v>AREN KALEON</v>
      </c>
      <c r="F517" s="6" t="str">
        <f>UPPER(Sheet1!H517)</f>
        <v>NINA KALEON</v>
      </c>
      <c r="G517" s="5" t="str">
        <f>TEXT(Sheet1!C517,"dd/mm/yyyy") &amp; "," &amp; Sheet1!D517</f>
        <v>15/10/2025,MOUNT WAVERLEY</v>
      </c>
      <c r="H517" s="39" t="str">
        <f>UPPER(Sheet1!J517 &amp; "," &amp; Sheet1!K517 &amp; "," &amp; Sheet1!L517)</f>
        <v>137 BIRCHWOOD LANE,EMERALD ROAD,PIN:600100 MOUNT WAVERLEY</v>
      </c>
      <c r="I517" s="8">
        <f>Sheet1!I517</f>
        <v>46061</v>
      </c>
      <c r="J517" s="5" t="str">
        <f>Sheet1!M517 &amp; "," &amp; TEXT(Sheet1!N517,"dd/mm/yy")</f>
        <v>MHA/IND/00516,05/07/25</v>
      </c>
      <c r="K517" s="5" t="s">
        <v>5752</v>
      </c>
      <c r="L517" s="31" t="s">
        <v>14</v>
      </c>
      <c r="M517" s="31" t="s">
        <v>15</v>
      </c>
      <c r="N517" s="31" t="s">
        <v>16</v>
      </c>
    </row>
    <row r="518" spans="1:14" x14ac:dyDescent="0.25">
      <c r="A518" s="4" t="str">
        <f>Sheet1!A518 &amp; "/" &amp; "2025"</f>
        <v>517/2025</v>
      </c>
      <c r="B518" s="5" t="str">
        <f>Sheet1!E518</f>
        <v>IND/MEL/00517</v>
      </c>
      <c r="C518" s="6" t="str">
        <f>UPPER(Sheet1!B518)</f>
        <v>KIRAN MYRTHOS</v>
      </c>
      <c r="D518" s="7" t="str">
        <f>IF(Sheet1!F518="F","FEMALE","MALE")</f>
        <v>MALE</v>
      </c>
      <c r="E518" s="6" t="str">
        <f>UPPER(Sheet1!G518)</f>
        <v>ARJUN MYRTHOS</v>
      </c>
      <c r="F518" s="6" t="str">
        <f>UPPER(Sheet1!H518)</f>
        <v>MIRA MYRTHOS</v>
      </c>
      <c r="G518" s="5" t="str">
        <f>TEXT(Sheet1!C518,"dd/mm/yyyy") &amp; "," &amp; Sheet1!D518</f>
        <v>20/03/2025,DEVONPORT</v>
      </c>
      <c r="H518" s="39" t="str">
        <f>UPPER(Sheet1!J518 &amp; "," &amp; Sheet1!K518 &amp; "," &amp; Sheet1!L518)</f>
        <v>125 BIRCHWOOD LANE,EMERALD ROAD,PIN:206474 DEVONPORT</v>
      </c>
      <c r="I518" s="8">
        <f>Sheet1!I518</f>
        <v>45837</v>
      </c>
      <c r="J518" s="5" t="str">
        <f>Sheet1!M518 &amp; "," &amp; TEXT(Sheet1!N518,"dd/mm/yy")</f>
        <v>MHA/IND/00517,24/07/25</v>
      </c>
      <c r="K518" s="5" t="s">
        <v>5752</v>
      </c>
      <c r="L518" s="31" t="s">
        <v>14</v>
      </c>
      <c r="M518" s="31" t="s">
        <v>15</v>
      </c>
      <c r="N518" s="31" t="s">
        <v>16</v>
      </c>
    </row>
    <row r="519" spans="1:14" x14ac:dyDescent="0.25">
      <c r="A519" s="4" t="str">
        <f>Sheet1!A519 &amp; "/" &amp; "2025"</f>
        <v>518/2025</v>
      </c>
      <c r="B519" s="5" t="str">
        <f>Sheet1!E519</f>
        <v>IND/MEL/00518</v>
      </c>
      <c r="C519" s="6" t="str">
        <f>UPPER(Sheet1!B519)</f>
        <v>ISHAN MYRTHOS</v>
      </c>
      <c r="D519" s="7" t="str">
        <f>IF(Sheet1!F519="F","FEMALE","MALE")</f>
        <v>MALE</v>
      </c>
      <c r="E519" s="6" t="str">
        <f>UPPER(Sheet1!G519)</f>
        <v>AREN MYRTHOS</v>
      </c>
      <c r="F519" s="6" t="str">
        <f>UPPER(Sheet1!H519)</f>
        <v>ANYA MYRTHOS</v>
      </c>
      <c r="G519" s="5" t="str">
        <f>TEXT(Sheet1!C519,"dd/mm/yyyy") &amp; "," &amp; Sheet1!D519</f>
        <v>20/06/2025,BENDIGO</v>
      </c>
      <c r="H519" s="39" t="str">
        <f>UPPER(Sheet1!J519 &amp; "," &amp; Sheet1!K519 &amp; "," &amp; Sheet1!L519)</f>
        <v>153 BIRCHWOOD LANE,EMERALD ROAD,PIN:734089 BENDIGO</v>
      </c>
      <c r="I519" s="8">
        <f>Sheet1!I519</f>
        <v>45844</v>
      </c>
      <c r="J519" s="5" t="str">
        <f>Sheet1!M519 &amp; "," &amp; TEXT(Sheet1!N519,"dd/mm/yy")</f>
        <v>MHA/IND/00518,06/07/25</v>
      </c>
      <c r="K519" s="5" t="s">
        <v>5752</v>
      </c>
      <c r="L519" s="31" t="s">
        <v>14</v>
      </c>
      <c r="M519" s="31" t="s">
        <v>15</v>
      </c>
      <c r="N519" s="31" t="s">
        <v>16</v>
      </c>
    </row>
    <row r="520" spans="1:14" x14ac:dyDescent="0.25">
      <c r="A520" s="4" t="str">
        <f>Sheet1!A520 &amp; "/" &amp; "2025"</f>
        <v>519/2025</v>
      </c>
      <c r="B520" s="5" t="str">
        <f>Sheet1!E520</f>
        <v>IND/MEL/00519</v>
      </c>
      <c r="C520" s="6" t="str">
        <f>UPPER(Sheet1!B520)</f>
        <v>AREN SINDALE</v>
      </c>
      <c r="D520" s="7" t="str">
        <f>IF(Sheet1!F520="F","FEMALE","MALE")</f>
        <v>MALE</v>
      </c>
      <c r="E520" s="6" t="str">
        <f>UPPER(Sheet1!G520)</f>
        <v>KIRAN SINDALE</v>
      </c>
      <c r="F520" s="6" t="str">
        <f>UPPER(Sheet1!H520)</f>
        <v>TARA SINDALE</v>
      </c>
      <c r="G520" s="5" t="str">
        <f>TEXT(Sheet1!C520,"dd/mm/yyyy") &amp; "," &amp; Sheet1!D520</f>
        <v>30/06/2025,SHEPPARTON</v>
      </c>
      <c r="H520" s="39" t="str">
        <f>UPPER(Sheet1!J520 &amp; "," &amp; Sheet1!K520 &amp; "," &amp; Sheet1!L520)</f>
        <v>62 BIRCHWOOD LANE,EMERALD ROAD,PIN:334715 SHEPPARTON</v>
      </c>
      <c r="I520" s="8">
        <f>Sheet1!I520</f>
        <v>45918</v>
      </c>
      <c r="J520" s="5" t="str">
        <f>Sheet1!M520 &amp; "," &amp; TEXT(Sheet1!N520,"dd/mm/yy")</f>
        <v>MHA/IND/00519,21/08/25</v>
      </c>
      <c r="K520" s="5" t="s">
        <v>5752</v>
      </c>
      <c r="L520" s="31" t="s">
        <v>14</v>
      </c>
      <c r="M520" s="31" t="s">
        <v>15</v>
      </c>
      <c r="N520" s="31" t="s">
        <v>16</v>
      </c>
    </row>
    <row r="521" spans="1:14" x14ac:dyDescent="0.25">
      <c r="A521" s="4" t="str">
        <f>Sheet1!A521 &amp; "/" &amp; "2025"</f>
        <v>520/2025</v>
      </c>
      <c r="B521" s="5" t="str">
        <f>Sheet1!E521</f>
        <v>IND/MEL/00520</v>
      </c>
      <c r="C521" s="6" t="str">
        <f>UPPER(Sheet1!B521)</f>
        <v>ARJUN SHARMA</v>
      </c>
      <c r="D521" s="7" t="str">
        <f>IF(Sheet1!F521="F","FEMALE","MALE")</f>
        <v>MALE</v>
      </c>
      <c r="E521" s="6" t="str">
        <f>UPPER(Sheet1!G521)</f>
        <v>DEV SHARMA</v>
      </c>
      <c r="F521" s="6" t="str">
        <f>UPPER(Sheet1!H521)</f>
        <v>RIYA SHARMA</v>
      </c>
      <c r="G521" s="5" t="str">
        <f>TEXT(Sheet1!C521,"dd/mm/yyyy") &amp; "," &amp; Sheet1!D521</f>
        <v>31/08/2025,WODONGA</v>
      </c>
      <c r="H521" s="39" t="str">
        <f>UPPER(Sheet1!J521 &amp; "," &amp; Sheet1!K521 &amp; "," &amp; Sheet1!L521)</f>
        <v>93 BIRCHWOOD LANE,EMERALD ROAD,PIN:490957 WODONGA</v>
      </c>
      <c r="I521" s="8">
        <f>Sheet1!I521</f>
        <v>45984</v>
      </c>
      <c r="J521" s="5" t="str">
        <f>Sheet1!M521 &amp; "," &amp; TEXT(Sheet1!N521,"dd/mm/yy")</f>
        <v>MHA/IND/00520,08/07/25</v>
      </c>
      <c r="K521" s="5" t="s">
        <v>5752</v>
      </c>
      <c r="L521" s="31" t="s">
        <v>14</v>
      </c>
      <c r="M521" s="31" t="s">
        <v>15</v>
      </c>
      <c r="N521" s="31" t="s">
        <v>16</v>
      </c>
    </row>
    <row r="522" spans="1:14" x14ac:dyDescent="0.25">
      <c r="A522" s="4" t="str">
        <f>Sheet1!A522 &amp; "/" &amp; "2025"</f>
        <v>521/2025</v>
      </c>
      <c r="B522" s="5" t="str">
        <f>Sheet1!E522</f>
        <v>IND/MEL/00521</v>
      </c>
      <c r="C522" s="6" t="str">
        <f>UPPER(Sheet1!B522)</f>
        <v>ALYA RAO</v>
      </c>
      <c r="D522" s="7" t="str">
        <f>IF(Sheet1!F522="F","FEMALE","MALE")</f>
        <v>FEMALE</v>
      </c>
      <c r="E522" s="6" t="str">
        <f>UPPER(Sheet1!G522)</f>
        <v>NEIL RAO</v>
      </c>
      <c r="F522" s="6" t="str">
        <f>UPPER(Sheet1!H522)</f>
        <v>MIRA RAO</v>
      </c>
      <c r="G522" s="5" t="str">
        <f>TEXT(Sheet1!C522,"dd/mm/yyyy") &amp; "," &amp; Sheet1!D522</f>
        <v>23/10/2025,PENRITH</v>
      </c>
      <c r="H522" s="39" t="str">
        <f>UPPER(Sheet1!J522 &amp; "," &amp; Sheet1!K522 &amp; "," &amp; Sheet1!L522)</f>
        <v>159 BIRCHWOOD LANE,EMERALD ROAD,PIN:895389 PENRITH</v>
      </c>
      <c r="I522" s="8">
        <f>Sheet1!I522</f>
        <v>45959</v>
      </c>
      <c r="J522" s="5" t="str">
        <f>Sheet1!M522 &amp; "," &amp; TEXT(Sheet1!N522,"dd/mm/yy")</f>
        <v>MHA/IND/00521,07/07/25</v>
      </c>
      <c r="K522" s="5" t="s">
        <v>5752</v>
      </c>
      <c r="L522" s="31" t="s">
        <v>14</v>
      </c>
      <c r="M522" s="31" t="s">
        <v>15</v>
      </c>
      <c r="N522" s="31" t="s">
        <v>16</v>
      </c>
    </row>
    <row r="523" spans="1:14" x14ac:dyDescent="0.25">
      <c r="A523" s="4" t="str">
        <f>Sheet1!A523 &amp; "/" &amp; "2025"</f>
        <v>522/2025</v>
      </c>
      <c r="B523" s="5" t="str">
        <f>Sheet1!E523</f>
        <v>IND/MEL/00522</v>
      </c>
      <c r="C523" s="6" t="str">
        <f>UPPER(Sheet1!B523)</f>
        <v>DIYA KALEON</v>
      </c>
      <c r="D523" s="7" t="str">
        <f>IF(Sheet1!F523="F","FEMALE","MALE")</f>
        <v>FEMALE</v>
      </c>
      <c r="E523" s="6" t="str">
        <f>UPPER(Sheet1!G523)</f>
        <v>ISHAN KALEON</v>
      </c>
      <c r="F523" s="6" t="str">
        <f>UPPER(Sheet1!H523)</f>
        <v>ALYA KALEON</v>
      </c>
      <c r="G523" s="5" t="str">
        <f>TEXT(Sheet1!C523,"dd/mm/yyyy") &amp; "," &amp; Sheet1!D523</f>
        <v>27/04/2025,WODONGA</v>
      </c>
      <c r="H523" s="39" t="str">
        <f>UPPER(Sheet1!J523 &amp; "," &amp; Sheet1!K523 &amp; "," &amp; Sheet1!L523)</f>
        <v>21 BIRCHWOOD LANE,EMERALD ROAD,PIN:899035 WODONGA</v>
      </c>
      <c r="I523" s="8">
        <f>Sheet1!I523</f>
        <v>45805</v>
      </c>
      <c r="J523" s="5" t="str">
        <f>Sheet1!M523 &amp; "," &amp; TEXT(Sheet1!N523,"dd/mm/yy")</f>
        <v>MHA/IND/00522,29/08/25</v>
      </c>
      <c r="K523" s="5" t="s">
        <v>5752</v>
      </c>
      <c r="L523" s="31" t="s">
        <v>14</v>
      </c>
      <c r="M523" s="31" t="s">
        <v>15</v>
      </c>
      <c r="N523" s="31" t="s">
        <v>16</v>
      </c>
    </row>
    <row r="524" spans="1:14" x14ac:dyDescent="0.25">
      <c r="A524" s="4" t="str">
        <f>Sheet1!A524 &amp; "/" &amp; "2025"</f>
        <v>523/2025</v>
      </c>
      <c r="B524" s="5" t="str">
        <f>Sheet1!E524</f>
        <v>IND/MEL/00523</v>
      </c>
      <c r="C524" s="6" t="str">
        <f>UPPER(Sheet1!B524)</f>
        <v>ANYA RAO</v>
      </c>
      <c r="D524" s="7" t="str">
        <f>IF(Sheet1!F524="F","FEMALE","MALE")</f>
        <v>FEMALE</v>
      </c>
      <c r="E524" s="6" t="str">
        <f>UPPER(Sheet1!G524)</f>
        <v>NEIL RAO</v>
      </c>
      <c r="F524" s="6" t="str">
        <f>UPPER(Sheet1!H524)</f>
        <v>DIYA RAO</v>
      </c>
      <c r="G524" s="5" t="str">
        <f>TEXT(Sheet1!C524,"dd/mm/yyyy") &amp; "," &amp; Sheet1!D524</f>
        <v>06/10/2025,IPSWICH</v>
      </c>
      <c r="H524" s="39" t="str">
        <f>UPPER(Sheet1!J524 &amp; "," &amp; Sheet1!K524 &amp; "," &amp; Sheet1!L524)</f>
        <v>125 BIRCHWOOD LANE,EMERALD ROAD,PIN:344922 IPSWICH</v>
      </c>
      <c r="I524" s="8">
        <f>Sheet1!I524</f>
        <v>45992</v>
      </c>
      <c r="J524" s="5" t="str">
        <f>Sheet1!M524 &amp; "," &amp; TEXT(Sheet1!N524,"dd/mm/yy")</f>
        <v>MHA/IND/00523,08/08/25</v>
      </c>
      <c r="K524" s="5" t="s">
        <v>5752</v>
      </c>
      <c r="L524" s="31" t="s">
        <v>14</v>
      </c>
      <c r="M524" s="31" t="s">
        <v>15</v>
      </c>
      <c r="N524" s="31" t="s">
        <v>16</v>
      </c>
    </row>
    <row r="525" spans="1:14" x14ac:dyDescent="0.25">
      <c r="A525" s="4" t="str">
        <f>Sheet1!A525 &amp; "/" &amp; "2025"</f>
        <v>524/2025</v>
      </c>
      <c r="B525" s="5" t="str">
        <f>Sheet1!E525</f>
        <v>IND/MEL/00524</v>
      </c>
      <c r="C525" s="6" t="str">
        <f>UPPER(Sheet1!B525)</f>
        <v>NINA KALEON</v>
      </c>
      <c r="D525" s="7" t="str">
        <f>IF(Sheet1!F525="F","FEMALE","MALE")</f>
        <v>FEMALE</v>
      </c>
      <c r="E525" s="6" t="str">
        <f>UPPER(Sheet1!G525)</f>
        <v>ARJUN KALEON</v>
      </c>
      <c r="F525" s="6" t="str">
        <f>UPPER(Sheet1!H525)</f>
        <v>ANYA KALEON</v>
      </c>
      <c r="G525" s="5" t="str">
        <f>TEXT(Sheet1!C525,"dd/mm/yyyy") &amp; "," &amp; Sheet1!D525</f>
        <v>27/03/2025,BERWICK</v>
      </c>
      <c r="H525" s="39" t="str">
        <f>UPPER(Sheet1!J525 &amp; "," &amp; Sheet1!K525 &amp; "," &amp; Sheet1!L525)</f>
        <v>68 BIRCHWOOD LANE,EMERALD ROAD,PIN:360661 BERWICK</v>
      </c>
      <c r="I525" s="8">
        <f>Sheet1!I525</f>
        <v>45754</v>
      </c>
      <c r="J525" s="5" t="str">
        <f>Sheet1!M525 &amp; "," &amp; TEXT(Sheet1!N525,"dd/mm/yy")</f>
        <v>MHA/IND/00524,03/08/25</v>
      </c>
      <c r="K525" s="5" t="s">
        <v>5752</v>
      </c>
      <c r="L525" s="31" t="s">
        <v>14</v>
      </c>
      <c r="M525" s="31" t="s">
        <v>15</v>
      </c>
      <c r="N525" s="31" t="s">
        <v>16</v>
      </c>
    </row>
    <row r="526" spans="1:14" x14ac:dyDescent="0.25">
      <c r="A526" s="4" t="str">
        <f>Sheet1!A526 &amp; "/" &amp; "2025"</f>
        <v>525/2025</v>
      </c>
      <c r="B526" s="5" t="str">
        <f>Sheet1!E526</f>
        <v>IND/MEL/00525</v>
      </c>
      <c r="C526" s="6" t="str">
        <f>UPPER(Sheet1!B526)</f>
        <v>ANYA MYRTHOS</v>
      </c>
      <c r="D526" s="7" t="str">
        <f>IF(Sheet1!F526="F","FEMALE","MALE")</f>
        <v>FEMALE</v>
      </c>
      <c r="E526" s="6" t="str">
        <f>UPPER(Sheet1!G526)</f>
        <v>ARJUN MYRTHOS</v>
      </c>
      <c r="F526" s="6" t="str">
        <f>UPPER(Sheet1!H526)</f>
        <v>NINA MYRTHOS</v>
      </c>
      <c r="G526" s="5" t="str">
        <f>TEXT(Sheet1!C526,"dd/mm/yyyy") &amp; "," &amp; Sheet1!D526</f>
        <v>20/10/2025,CANBERRA</v>
      </c>
      <c r="H526" s="39" t="str">
        <f>UPPER(Sheet1!J526 &amp; "," &amp; Sheet1!K526 &amp; "," &amp; Sheet1!L526)</f>
        <v>196 BIRCHWOOD LANE,EMERALD ROAD,PIN:308984 CANBERRA</v>
      </c>
      <c r="I526" s="8">
        <f>Sheet1!I526</f>
        <v>45969</v>
      </c>
      <c r="J526" s="5" t="str">
        <f>Sheet1!M526 &amp; "," &amp; TEXT(Sheet1!N526,"dd/mm/yy")</f>
        <v>MHA/IND/00525,02/07/25</v>
      </c>
      <c r="K526" s="5" t="s">
        <v>5752</v>
      </c>
      <c r="L526" s="31" t="s">
        <v>14</v>
      </c>
      <c r="M526" s="31" t="s">
        <v>15</v>
      </c>
      <c r="N526" s="31" t="s">
        <v>16</v>
      </c>
    </row>
    <row r="527" spans="1:14" x14ac:dyDescent="0.25">
      <c r="A527" s="4" t="str">
        <f>Sheet1!A527 &amp; "/" &amp; "2025"</f>
        <v>526/2025</v>
      </c>
      <c r="B527" s="5" t="str">
        <f>Sheet1!E527</f>
        <v>IND/MEL/00526</v>
      </c>
      <c r="C527" s="6" t="str">
        <f>UPPER(Sheet1!B527)</f>
        <v>ANYA KALEON</v>
      </c>
      <c r="D527" s="7" t="str">
        <f>IF(Sheet1!F527="F","FEMALE","MALE")</f>
        <v>FEMALE</v>
      </c>
      <c r="E527" s="6" t="str">
        <f>UPPER(Sheet1!G527)</f>
        <v>AREN KALEON</v>
      </c>
      <c r="F527" s="6" t="str">
        <f>UPPER(Sheet1!H527)</f>
        <v>ALYA KALEON</v>
      </c>
      <c r="G527" s="5" t="str">
        <f>TEXT(Sheet1!C527,"dd/mm/yyyy") &amp; "," &amp; Sheet1!D527</f>
        <v>02/01/2025,CLAYTON</v>
      </c>
      <c r="H527" s="39" t="str">
        <f>UPPER(Sheet1!J527 &amp; "," &amp; Sheet1!K527 &amp; "," &amp; Sheet1!L527)</f>
        <v>37 BIRCHWOOD LANE,EMERALD ROAD,PIN:907143 CLAYTON</v>
      </c>
      <c r="I527" s="8">
        <f>Sheet1!I527</f>
        <v>45686</v>
      </c>
      <c r="J527" s="5" t="str">
        <f>Sheet1!M527 &amp; "," &amp; TEXT(Sheet1!N527,"dd/mm/yy")</f>
        <v>MHA/IND/00526,20/07/25</v>
      </c>
      <c r="K527" s="5" t="s">
        <v>5752</v>
      </c>
      <c r="L527" s="31" t="s">
        <v>14</v>
      </c>
      <c r="M527" s="31" t="s">
        <v>15</v>
      </c>
      <c r="N527" s="31" t="s">
        <v>16</v>
      </c>
    </row>
    <row r="528" spans="1:14" x14ac:dyDescent="0.25">
      <c r="A528" s="4" t="str">
        <f>Sheet1!A528 &amp; "/" &amp; "2025"</f>
        <v>527/2025</v>
      </c>
      <c r="B528" s="5" t="str">
        <f>Sheet1!E528</f>
        <v>IND/MEL/00527</v>
      </c>
      <c r="C528" s="6" t="str">
        <f>UPPER(Sheet1!B528)</f>
        <v>RIYA MYRTHOS</v>
      </c>
      <c r="D528" s="7" t="str">
        <f>IF(Sheet1!F528="F","FEMALE","MALE")</f>
        <v>FEMALE</v>
      </c>
      <c r="E528" s="6" t="str">
        <f>UPPER(Sheet1!G528)</f>
        <v>AREN MYRTHOS</v>
      </c>
      <c r="F528" s="6" t="str">
        <f>UPPER(Sheet1!H528)</f>
        <v>SARA MYRTHOS</v>
      </c>
      <c r="G528" s="5" t="str">
        <f>TEXT(Sheet1!C528,"dd/mm/yyyy") &amp; "," &amp; Sheet1!D528</f>
        <v>03/07/2025,BRISBANE</v>
      </c>
      <c r="H528" s="39" t="str">
        <f>UPPER(Sheet1!J528 &amp; "," &amp; Sheet1!K528 &amp; "," &amp; Sheet1!L528)</f>
        <v>78 BIRCHWOOD LANE,EMERALD ROAD,PIN:350260 BRISBANE</v>
      </c>
      <c r="I528" s="8">
        <f>Sheet1!I528</f>
        <v>45924</v>
      </c>
      <c r="J528" s="5" t="str">
        <f>Sheet1!M528 &amp; "," &amp; TEXT(Sheet1!N528,"dd/mm/yy")</f>
        <v>MHA/IND/00527,21/07/25</v>
      </c>
      <c r="K528" s="5" t="s">
        <v>5752</v>
      </c>
      <c r="L528" s="31" t="s">
        <v>14</v>
      </c>
      <c r="M528" s="31" t="s">
        <v>15</v>
      </c>
      <c r="N528" s="31" t="s">
        <v>16</v>
      </c>
    </row>
    <row r="529" spans="1:14" x14ac:dyDescent="0.25">
      <c r="A529" s="4" t="str">
        <f>Sheet1!A529 &amp; "/" &amp; "2025"</f>
        <v>528/2025</v>
      </c>
      <c r="B529" s="5" t="str">
        <f>Sheet1!E529</f>
        <v>IND/MEL/00528</v>
      </c>
      <c r="C529" s="6" t="str">
        <f>UPPER(Sheet1!B529)</f>
        <v>NEIL KALEON</v>
      </c>
      <c r="D529" s="7" t="str">
        <f>IF(Sheet1!F529="F","FEMALE","MALE")</f>
        <v>MALE</v>
      </c>
      <c r="E529" s="6" t="str">
        <f>UPPER(Sheet1!G529)</f>
        <v>KIRAN KALEON</v>
      </c>
      <c r="F529" s="6" t="str">
        <f>UPPER(Sheet1!H529)</f>
        <v>DIYA KALEON</v>
      </c>
      <c r="G529" s="5" t="str">
        <f>TEXT(Sheet1!C529,"dd/mm/yyyy") &amp; "," &amp; Sheet1!D529</f>
        <v>27/06/2025,KINGSWOOD</v>
      </c>
      <c r="H529" s="39" t="str">
        <f>UPPER(Sheet1!J529 &amp; "," &amp; Sheet1!K529 &amp; "," &amp; Sheet1!L529)</f>
        <v>112 BIRCHWOOD LANE,EMERALD ROAD,PIN:337234 KINGSWOOD</v>
      </c>
      <c r="I529" s="8">
        <f>Sheet1!I529</f>
        <v>45893</v>
      </c>
      <c r="J529" s="5" t="str">
        <f>Sheet1!M529 &amp; "," &amp; TEXT(Sheet1!N529,"dd/mm/yy")</f>
        <v>MHA/IND/00528,08/07/25</v>
      </c>
      <c r="K529" s="5" t="s">
        <v>5752</v>
      </c>
      <c r="L529" s="31" t="s">
        <v>14</v>
      </c>
      <c r="M529" s="31" t="s">
        <v>15</v>
      </c>
      <c r="N529" s="31" t="s">
        <v>16</v>
      </c>
    </row>
    <row r="530" spans="1:14" x14ac:dyDescent="0.25">
      <c r="A530" s="4" t="str">
        <f>Sheet1!A530 &amp; "/" &amp; "2025"</f>
        <v>529/2025</v>
      </c>
      <c r="B530" s="5" t="str">
        <f>Sheet1!E530</f>
        <v>IND/MEL/00529</v>
      </c>
      <c r="C530" s="6" t="str">
        <f>UPPER(Sheet1!B530)</f>
        <v>KABIR SHARMA</v>
      </c>
      <c r="D530" s="7" t="str">
        <f>IF(Sheet1!F530="F","FEMALE","MALE")</f>
        <v>MALE</v>
      </c>
      <c r="E530" s="6" t="str">
        <f>UPPER(Sheet1!G530)</f>
        <v>ARJUN SHARMA</v>
      </c>
      <c r="F530" s="6" t="str">
        <f>UPPER(Sheet1!H530)</f>
        <v>MIRA SHARMA</v>
      </c>
      <c r="G530" s="5" t="str">
        <f>TEXT(Sheet1!C530,"dd/mm/yyyy") &amp; "," &amp; Sheet1!D530</f>
        <v>26/09/2025,CAMPBELLTOWN</v>
      </c>
      <c r="H530" s="39" t="str">
        <f>UPPER(Sheet1!J530 &amp; "," &amp; Sheet1!K530 &amp; "," &amp; Sheet1!L530)</f>
        <v>84 BIRCHWOOD LANE,EMERALD ROAD,PIN:403707 CAMPBELLTOWN</v>
      </c>
      <c r="I530" s="8">
        <f>Sheet1!I530</f>
        <v>45969</v>
      </c>
      <c r="J530" s="5" t="str">
        <f>Sheet1!M530 &amp; "," &amp; TEXT(Sheet1!N530,"dd/mm/yy")</f>
        <v>MHA/IND/00529,27/08/25</v>
      </c>
      <c r="K530" s="5" t="s">
        <v>5752</v>
      </c>
      <c r="L530" s="31" t="s">
        <v>14</v>
      </c>
      <c r="M530" s="31" t="s">
        <v>15</v>
      </c>
      <c r="N530" s="31" t="s">
        <v>16</v>
      </c>
    </row>
    <row r="531" spans="1:14" x14ac:dyDescent="0.25">
      <c r="A531" s="4" t="str">
        <f>Sheet1!A531 &amp; "/" &amp; "2025"</f>
        <v>530/2025</v>
      </c>
      <c r="B531" s="5" t="str">
        <f>Sheet1!E531</f>
        <v>IND/MEL/00530</v>
      </c>
      <c r="C531" s="6" t="str">
        <f>UPPER(Sheet1!B531)</f>
        <v>ANYA RISHKAN</v>
      </c>
      <c r="D531" s="7" t="str">
        <f>IF(Sheet1!F531="F","FEMALE","MALE")</f>
        <v>FEMALE</v>
      </c>
      <c r="E531" s="6" t="str">
        <f>UPPER(Sheet1!G531)</f>
        <v>ARJUN RISHKAN</v>
      </c>
      <c r="F531" s="6" t="str">
        <f>UPPER(Sheet1!H531)</f>
        <v>MIRA RISHKAN</v>
      </c>
      <c r="G531" s="5" t="str">
        <f>TEXT(Sheet1!C531,"dd/mm/yyyy") &amp; "," &amp; Sheet1!D531</f>
        <v>06/01/2025,BERWICK</v>
      </c>
      <c r="H531" s="39" t="str">
        <f>UPPER(Sheet1!J531 &amp; "," &amp; Sheet1!K531 &amp; "," &amp; Sheet1!L531)</f>
        <v>61 BIRCHWOOD LANE,EMERALD ROAD,PIN:379882 BERWICK</v>
      </c>
      <c r="I531" s="8">
        <f>Sheet1!I531</f>
        <v>45730</v>
      </c>
      <c r="J531" s="5" t="str">
        <f>Sheet1!M531 &amp; "," &amp; TEXT(Sheet1!N531,"dd/mm/yy")</f>
        <v>MHA/IND/00530,10/07/25</v>
      </c>
      <c r="K531" s="5" t="s">
        <v>5752</v>
      </c>
      <c r="L531" s="31" t="s">
        <v>14</v>
      </c>
      <c r="M531" s="31" t="s">
        <v>15</v>
      </c>
      <c r="N531" s="31" t="s">
        <v>16</v>
      </c>
    </row>
    <row r="532" spans="1:14" x14ac:dyDescent="0.25">
      <c r="A532" s="4" t="str">
        <f>Sheet1!A532 &amp; "/" &amp; "2025"</f>
        <v>531/2025</v>
      </c>
      <c r="B532" s="5" t="str">
        <f>Sheet1!E532</f>
        <v>IND/MEL/00531</v>
      </c>
      <c r="C532" s="6" t="str">
        <f>UPPER(Sheet1!B532)</f>
        <v>ISHAN RAO</v>
      </c>
      <c r="D532" s="7" t="str">
        <f>IF(Sheet1!F532="F","FEMALE","MALE")</f>
        <v>MALE</v>
      </c>
      <c r="E532" s="6" t="str">
        <f>UPPER(Sheet1!G532)</f>
        <v>ARJUN RAO</v>
      </c>
      <c r="F532" s="6" t="str">
        <f>UPPER(Sheet1!H532)</f>
        <v>MIRA RAO</v>
      </c>
      <c r="G532" s="5" t="str">
        <f>TEXT(Sheet1!C532,"dd/mm/yyyy") &amp; "," &amp; Sheet1!D532</f>
        <v>18/02/2025,PERTH</v>
      </c>
      <c r="H532" s="39" t="str">
        <f>UPPER(Sheet1!J532 &amp; "," &amp; Sheet1!K532 &amp; "," &amp; Sheet1!L532)</f>
        <v>15 BIRCHWOOD LANE,EMERALD ROAD,PIN:909065 PERTH</v>
      </c>
      <c r="I532" s="8">
        <f>Sheet1!I532</f>
        <v>45815</v>
      </c>
      <c r="J532" s="5" t="str">
        <f>Sheet1!M532 &amp; "," &amp; TEXT(Sheet1!N532,"dd/mm/yy")</f>
        <v>MHA/IND/00531,15/08/25</v>
      </c>
      <c r="K532" s="5" t="s">
        <v>5752</v>
      </c>
      <c r="L532" s="31" t="s">
        <v>14</v>
      </c>
      <c r="M532" s="31" t="s">
        <v>15</v>
      </c>
      <c r="N532" s="31" t="s">
        <v>16</v>
      </c>
    </row>
    <row r="533" spans="1:14" x14ac:dyDescent="0.25">
      <c r="A533" s="4" t="str">
        <f>Sheet1!A533 &amp; "/" &amp; "2025"</f>
        <v>532/2025</v>
      </c>
      <c r="B533" s="5" t="str">
        <f>Sheet1!E533</f>
        <v>IND/MEL/00532</v>
      </c>
      <c r="C533" s="6" t="str">
        <f>UPPER(Sheet1!B533)</f>
        <v>DIYA SHARMA</v>
      </c>
      <c r="D533" s="7" t="str">
        <f>IF(Sheet1!F533="F","FEMALE","MALE")</f>
        <v>FEMALE</v>
      </c>
      <c r="E533" s="6" t="str">
        <f>UPPER(Sheet1!G533)</f>
        <v>ROHIT SHARMA</v>
      </c>
      <c r="F533" s="6" t="str">
        <f>UPPER(Sheet1!H533)</f>
        <v>ANYA SHARMA</v>
      </c>
      <c r="G533" s="5" t="str">
        <f>TEXT(Sheet1!C533,"dd/mm/yyyy") &amp; "," &amp; Sheet1!D533</f>
        <v>16/07/2025,TRARALGON</v>
      </c>
      <c r="H533" s="39" t="str">
        <f>UPPER(Sheet1!J533 &amp; "," &amp; Sheet1!K533 &amp; "," &amp; Sheet1!L533)</f>
        <v>105 BIRCHWOOD LANE,EMERALD ROAD,PIN:749689 TRARALGON</v>
      </c>
      <c r="I533" s="8">
        <f>Sheet1!I533</f>
        <v>45971</v>
      </c>
      <c r="J533" s="5" t="str">
        <f>Sheet1!M533 &amp; "," &amp; TEXT(Sheet1!N533,"dd/mm/yy")</f>
        <v>MHA/IND/00532,03/08/25</v>
      </c>
      <c r="K533" s="5" t="s">
        <v>5752</v>
      </c>
      <c r="L533" s="31" t="s">
        <v>14</v>
      </c>
      <c r="M533" s="31" t="s">
        <v>15</v>
      </c>
      <c r="N533" s="31" t="s">
        <v>16</v>
      </c>
    </row>
    <row r="534" spans="1:14" x14ac:dyDescent="0.25">
      <c r="A534" s="4" t="str">
        <f>Sheet1!A534 &amp; "/" &amp; "2025"</f>
        <v>533/2025</v>
      </c>
      <c r="B534" s="5" t="str">
        <f>Sheet1!E534</f>
        <v>IND/MEL/00533</v>
      </c>
      <c r="C534" s="6" t="str">
        <f>UPPER(Sheet1!B534)</f>
        <v>SARA KALEON</v>
      </c>
      <c r="D534" s="7" t="str">
        <f>IF(Sheet1!F534="F","FEMALE","MALE")</f>
        <v>FEMALE</v>
      </c>
      <c r="E534" s="6" t="str">
        <f>UPPER(Sheet1!G534)</f>
        <v>ISHAN KALEON</v>
      </c>
      <c r="F534" s="6" t="str">
        <f>UPPER(Sheet1!H534)</f>
        <v>NINA KALEON</v>
      </c>
      <c r="G534" s="5" t="str">
        <f>TEXT(Sheet1!C534,"dd/mm/yyyy") &amp; "," &amp; Sheet1!D534</f>
        <v>16/10/2025,BRISBANE</v>
      </c>
      <c r="H534" s="39" t="str">
        <f>UPPER(Sheet1!J534 &amp; "," &amp; Sheet1!K534 &amp; "," &amp; Sheet1!L534)</f>
        <v>151 BIRCHWOOD LANE,EMERALD ROAD,PIN:690803 BRISBANE</v>
      </c>
      <c r="I534" s="8">
        <f>Sheet1!I534</f>
        <v>46009</v>
      </c>
      <c r="J534" s="5" t="str">
        <f>Sheet1!M534 &amp; "," &amp; TEXT(Sheet1!N534,"dd/mm/yy")</f>
        <v>MHA/IND/00533,03/07/25</v>
      </c>
      <c r="K534" s="5" t="s">
        <v>5752</v>
      </c>
      <c r="L534" s="31" t="s">
        <v>14</v>
      </c>
      <c r="M534" s="31" t="s">
        <v>15</v>
      </c>
      <c r="N534" s="31" t="s">
        <v>16</v>
      </c>
    </row>
    <row r="535" spans="1:14" x14ac:dyDescent="0.25">
      <c r="A535" s="4" t="str">
        <f>Sheet1!A535 &amp; "/" &amp; "2025"</f>
        <v>534/2025</v>
      </c>
      <c r="B535" s="5" t="str">
        <f>Sheet1!E535</f>
        <v>IND/MEL/00534</v>
      </c>
      <c r="C535" s="6" t="str">
        <f>UPPER(Sheet1!B535)</f>
        <v>KABIR RAO</v>
      </c>
      <c r="D535" s="7" t="str">
        <f>IF(Sheet1!F535="F","FEMALE","MALE")</f>
        <v>MALE</v>
      </c>
      <c r="E535" s="6" t="str">
        <f>UPPER(Sheet1!G535)</f>
        <v>NEIL RAO</v>
      </c>
      <c r="F535" s="6" t="str">
        <f>UPPER(Sheet1!H535)</f>
        <v>RIYA RAO</v>
      </c>
      <c r="G535" s="5" t="str">
        <f>TEXT(Sheet1!C535,"dd/mm/yyyy") &amp; "," &amp; Sheet1!D535</f>
        <v>10/10/2025,GEELONG</v>
      </c>
      <c r="H535" s="39" t="str">
        <f>UPPER(Sheet1!J535 &amp; "," &amp; Sheet1!K535 &amp; "," &amp; Sheet1!L535)</f>
        <v>28 BIRCHWOOD LANE,EMERALD ROAD,PIN:862049 GEELONG</v>
      </c>
      <c r="I535" s="8">
        <f>Sheet1!I535</f>
        <v>46053</v>
      </c>
      <c r="J535" s="5" t="str">
        <f>Sheet1!M535 &amp; "," &amp; TEXT(Sheet1!N535,"dd/mm/yy")</f>
        <v>MHA/IND/00534,07/07/25</v>
      </c>
      <c r="K535" s="5" t="s">
        <v>5752</v>
      </c>
      <c r="L535" s="31" t="s">
        <v>14</v>
      </c>
      <c r="M535" s="31" t="s">
        <v>15</v>
      </c>
      <c r="N535" s="31" t="s">
        <v>16</v>
      </c>
    </row>
    <row r="536" spans="1:14" x14ac:dyDescent="0.25">
      <c r="A536" s="4" t="str">
        <f>Sheet1!A536 &amp; "/" &amp; "2025"</f>
        <v>535/2025</v>
      </c>
      <c r="B536" s="5" t="str">
        <f>Sheet1!E536</f>
        <v>IND/MEL/00535</v>
      </c>
      <c r="C536" s="6" t="str">
        <f>UPPER(Sheet1!B536)</f>
        <v>NEIL SHARMA</v>
      </c>
      <c r="D536" s="7" t="str">
        <f>IF(Sheet1!F536="F","FEMALE","MALE")</f>
        <v>MALE</v>
      </c>
      <c r="E536" s="6" t="str">
        <f>UPPER(Sheet1!G536)</f>
        <v>AREN SHARMA</v>
      </c>
      <c r="F536" s="6" t="str">
        <f>UPPER(Sheet1!H536)</f>
        <v>TARA SHARMA</v>
      </c>
      <c r="G536" s="5" t="str">
        <f>TEXT(Sheet1!C536,"dd/mm/yyyy") &amp; "," &amp; Sheet1!D536</f>
        <v>10/02/2025,WONTHAGGI</v>
      </c>
      <c r="H536" s="39" t="str">
        <f>UPPER(Sheet1!J536 &amp; "," &amp; Sheet1!K536 &amp; "," &amp; Sheet1!L536)</f>
        <v>49 BIRCHWOOD LANE,EMERALD ROAD,PIN:481640 WONTHAGGI</v>
      </c>
      <c r="I536" s="8">
        <f>Sheet1!I536</f>
        <v>45746</v>
      </c>
      <c r="J536" s="5" t="str">
        <f>Sheet1!M536 &amp; "," &amp; TEXT(Sheet1!N536,"dd/mm/yy")</f>
        <v>MHA/IND/00535,07/08/25</v>
      </c>
      <c r="K536" s="5" t="s">
        <v>5752</v>
      </c>
      <c r="L536" s="31" t="s">
        <v>14</v>
      </c>
      <c r="M536" s="31" t="s">
        <v>15</v>
      </c>
      <c r="N536" s="31" t="s">
        <v>16</v>
      </c>
    </row>
    <row r="537" spans="1:14" x14ac:dyDescent="0.25">
      <c r="A537" s="4" t="str">
        <f>Sheet1!A537 &amp; "/" &amp; "2025"</f>
        <v>536/2025</v>
      </c>
      <c r="B537" s="5" t="str">
        <f>Sheet1!E537</f>
        <v>IND/MEL/00536</v>
      </c>
      <c r="C537" s="6" t="str">
        <f>UPPER(Sheet1!B537)</f>
        <v>NINA RAO</v>
      </c>
      <c r="D537" s="7" t="str">
        <f>IF(Sheet1!F537="F","FEMALE","MALE")</f>
        <v>FEMALE</v>
      </c>
      <c r="E537" s="6" t="str">
        <f>UPPER(Sheet1!G537)</f>
        <v>NEIL RAO</v>
      </c>
      <c r="F537" s="6" t="str">
        <f>UPPER(Sheet1!H537)</f>
        <v>ANYA RAO</v>
      </c>
      <c r="G537" s="5" t="str">
        <f>TEXT(Sheet1!C537,"dd/mm/yyyy") &amp; "," &amp; Sheet1!D537</f>
        <v>09/05/2025,BELCONNEN</v>
      </c>
      <c r="H537" s="39" t="str">
        <f>UPPER(Sheet1!J537 &amp; "," &amp; Sheet1!K537 &amp; "," &amp; Sheet1!L537)</f>
        <v>139 BIRCHWOOD LANE,EMERALD ROAD,PIN:562907 BELCONNEN</v>
      </c>
      <c r="I537" s="8">
        <f>Sheet1!I537</f>
        <v>45815</v>
      </c>
      <c r="J537" s="5" t="str">
        <f>Sheet1!M537 &amp; "," &amp; TEXT(Sheet1!N537,"dd/mm/yy")</f>
        <v>MHA/IND/00536,21/08/25</v>
      </c>
      <c r="K537" s="5" t="s">
        <v>5752</v>
      </c>
      <c r="L537" s="31" t="s">
        <v>14</v>
      </c>
      <c r="M537" s="31" t="s">
        <v>15</v>
      </c>
      <c r="N537" s="31" t="s">
        <v>16</v>
      </c>
    </row>
    <row r="538" spans="1:14" x14ac:dyDescent="0.25">
      <c r="A538" s="4" t="str">
        <f>Sheet1!A538 &amp; "/" &amp; "2025"</f>
        <v>537/2025</v>
      </c>
      <c r="B538" s="5" t="str">
        <f>Sheet1!E538</f>
        <v>IND/MEL/00537</v>
      </c>
      <c r="C538" s="6" t="str">
        <f>UPPER(Sheet1!B538)</f>
        <v>ANYA VALZARI</v>
      </c>
      <c r="D538" s="7" t="str">
        <f>IF(Sheet1!F538="F","FEMALE","MALE")</f>
        <v>FEMALE</v>
      </c>
      <c r="E538" s="6" t="str">
        <f>UPPER(Sheet1!G538)</f>
        <v>DEV VALZARI</v>
      </c>
      <c r="F538" s="6" t="str">
        <f>UPPER(Sheet1!H538)</f>
        <v>TARA VALZARI</v>
      </c>
      <c r="G538" s="5" t="str">
        <f>TEXT(Sheet1!C538,"dd/mm/yyyy") &amp; "," &amp; Sheet1!D538</f>
        <v>20/06/2025,ST ALBANS</v>
      </c>
      <c r="H538" s="39" t="str">
        <f>UPPER(Sheet1!J538 &amp; "," &amp; Sheet1!K538 &amp; "," &amp; Sheet1!L538)</f>
        <v>121 BIRCHWOOD LANE,EMERALD ROAD,PIN:447933 ST ALBANS</v>
      </c>
      <c r="I538" s="8">
        <f>Sheet1!I538</f>
        <v>45852</v>
      </c>
      <c r="J538" s="5" t="str">
        <f>Sheet1!M538 &amp; "," &amp; TEXT(Sheet1!N538,"dd/mm/yy")</f>
        <v>MHA/IND/00537,29/08/25</v>
      </c>
      <c r="K538" s="5" t="s">
        <v>5752</v>
      </c>
      <c r="L538" s="31" t="s">
        <v>14</v>
      </c>
      <c r="M538" s="31" t="s">
        <v>15</v>
      </c>
      <c r="N538" s="31" t="s">
        <v>16</v>
      </c>
    </row>
    <row r="539" spans="1:14" ht="30" customHeight="1" x14ac:dyDescent="0.25">
      <c r="A539" s="4" t="str">
        <f>Sheet1!A539 &amp; "/" &amp; "2025"</f>
        <v>538/2025</v>
      </c>
      <c r="B539" s="5" t="str">
        <f>Sheet1!E539</f>
        <v>IND/MEL/00538</v>
      </c>
      <c r="C539" s="6" t="str">
        <f>UPPER(Sheet1!B539)</f>
        <v>NINA RISHKAN</v>
      </c>
      <c r="D539" s="7" t="str">
        <f>IF(Sheet1!F539="F","FEMALE","MALE")</f>
        <v>FEMALE</v>
      </c>
      <c r="E539" s="6" t="str">
        <f>UPPER(Sheet1!G539)</f>
        <v>ROHIT RISHKAN</v>
      </c>
      <c r="F539" s="6" t="str">
        <f>UPPER(Sheet1!H539)</f>
        <v>DIYA RISHKAN</v>
      </c>
      <c r="G539" s="5" t="str">
        <f>TEXT(Sheet1!C539,"dd/mm/yyyy") &amp; "," &amp; Sheet1!D539</f>
        <v>11/02/2025,TOWNSVILLE</v>
      </c>
      <c r="H539" s="39" t="str">
        <f>UPPER(Sheet1!J539 &amp; "," &amp; Sheet1!K539 &amp; "," &amp; Sheet1!L539)</f>
        <v>13 BIRCHWOOD LANE,EMERALD ROAD,PIN:803740 TOWNSVILLE</v>
      </c>
      <c r="I539" s="8">
        <f>Sheet1!I539</f>
        <v>45809</v>
      </c>
      <c r="J539" s="5" t="str">
        <f>Sheet1!M539 &amp; "," &amp; TEXT(Sheet1!N539,"dd/mm/yy")</f>
        <v>MHA/IND/00538,28/07/25</v>
      </c>
      <c r="K539" s="5" t="s">
        <v>5752</v>
      </c>
      <c r="L539" s="31" t="s">
        <v>14</v>
      </c>
      <c r="M539" s="31" t="s">
        <v>15</v>
      </c>
      <c r="N539" s="31" t="s">
        <v>16</v>
      </c>
    </row>
    <row r="540" spans="1:14" x14ac:dyDescent="0.25">
      <c r="A540" s="4" t="str">
        <f>Sheet1!A540 &amp; "/" &amp; "2025"</f>
        <v>539/2025</v>
      </c>
      <c r="B540" s="5" t="str">
        <f>Sheet1!E540</f>
        <v>IND/MEL/00539</v>
      </c>
      <c r="C540" s="6" t="str">
        <f>UPPER(Sheet1!B540)</f>
        <v>MIRA KALEON</v>
      </c>
      <c r="D540" s="7" t="str">
        <f>IF(Sheet1!F540="F","FEMALE","MALE")</f>
        <v>FEMALE</v>
      </c>
      <c r="E540" s="6" t="str">
        <f>UPPER(Sheet1!G540)</f>
        <v>KABIR KALEON</v>
      </c>
      <c r="F540" s="6" t="str">
        <f>UPPER(Sheet1!H540)</f>
        <v>RIYA KALEON</v>
      </c>
      <c r="G540" s="5" t="str">
        <f>TEXT(Sheet1!C540,"dd/mm/yyyy") &amp; "," &amp; Sheet1!D540</f>
        <v>15/02/2025,WOLLONGONG</v>
      </c>
      <c r="H540" s="39" t="str">
        <f>UPPER(Sheet1!J540 &amp; "," &amp; Sheet1!K540 &amp; "," &amp; Sheet1!L540)</f>
        <v>31 BIRCHWOOD LANE,EMERALD ROAD,PIN:595547 WOLLONGONG</v>
      </c>
      <c r="I540" s="8">
        <f>Sheet1!I540</f>
        <v>45820</v>
      </c>
      <c r="J540" s="5" t="str">
        <f>Sheet1!M540 &amp; "," &amp; TEXT(Sheet1!N540,"dd/mm/yy")</f>
        <v>MHA/IND/00539,28/08/25</v>
      </c>
      <c r="K540" s="5" t="s">
        <v>5752</v>
      </c>
      <c r="L540" s="31" t="s">
        <v>14</v>
      </c>
      <c r="M540" s="31" t="s">
        <v>15</v>
      </c>
      <c r="N540" s="31" t="s">
        <v>16</v>
      </c>
    </row>
    <row r="541" spans="1:14" x14ac:dyDescent="0.25">
      <c r="A541" s="4" t="str">
        <f>Sheet1!A541 &amp; "/" &amp; "2025"</f>
        <v>540/2025</v>
      </c>
      <c r="B541" s="5" t="str">
        <f>Sheet1!E541</f>
        <v>IND/MEL/00540</v>
      </c>
      <c r="C541" s="6" t="str">
        <f>UPPER(Sheet1!B541)</f>
        <v>ROHIT MYRTHOS</v>
      </c>
      <c r="D541" s="7" t="str">
        <f>IF(Sheet1!F541="F","FEMALE","MALE")</f>
        <v>MALE</v>
      </c>
      <c r="E541" s="6" t="str">
        <f>UPPER(Sheet1!G541)</f>
        <v>ROHIT MYRTHOS</v>
      </c>
      <c r="F541" s="6" t="str">
        <f>UPPER(Sheet1!H541)</f>
        <v>ALYA MYRTHOS</v>
      </c>
      <c r="G541" s="5" t="str">
        <f>TEXT(Sheet1!C541,"dd/mm/yyyy") &amp; "," &amp; Sheet1!D541</f>
        <v>21/03/2025,CAMPBELLTOWN</v>
      </c>
      <c r="H541" s="39" t="str">
        <f>UPPER(Sheet1!J541 &amp; "," &amp; Sheet1!K541 &amp; "," &amp; Sheet1!L541)</f>
        <v>59 BIRCHWOOD LANE,EMERALD ROAD,PIN:475285 CAMPBELLTOWN</v>
      </c>
      <c r="I541" s="8">
        <f>Sheet1!I541</f>
        <v>45800</v>
      </c>
      <c r="J541" s="5" t="str">
        <f>Sheet1!M541 &amp; "," &amp; TEXT(Sheet1!N541,"dd/mm/yy")</f>
        <v>MHA/IND/00540,16/08/25</v>
      </c>
      <c r="K541" s="5" t="s">
        <v>5752</v>
      </c>
      <c r="L541" s="31" t="s">
        <v>14</v>
      </c>
      <c r="M541" s="31" t="s">
        <v>15</v>
      </c>
      <c r="N541" s="31" t="s">
        <v>16</v>
      </c>
    </row>
    <row r="542" spans="1:14" x14ac:dyDescent="0.25">
      <c r="A542" s="4" t="str">
        <f>Sheet1!A542 &amp; "/" &amp; "2025"</f>
        <v>541/2025</v>
      </c>
      <c r="B542" s="5" t="str">
        <f>Sheet1!E542</f>
        <v>IND/MEL/00541</v>
      </c>
      <c r="C542" s="6" t="str">
        <f>UPPER(Sheet1!B542)</f>
        <v>ISHAN SHARMA</v>
      </c>
      <c r="D542" s="7" t="str">
        <f>IF(Sheet1!F542="F","FEMALE","MALE")</f>
        <v>MALE</v>
      </c>
      <c r="E542" s="6" t="str">
        <f>UPPER(Sheet1!G542)</f>
        <v>DEV SHARMA</v>
      </c>
      <c r="F542" s="6" t="str">
        <f>UPPER(Sheet1!H542)</f>
        <v>RIYA SHARMA</v>
      </c>
      <c r="G542" s="5" t="str">
        <f>TEXT(Sheet1!C542,"dd/mm/yyyy") &amp; "," &amp; Sheet1!D542</f>
        <v>25/10/2025,LENAH VALLEY</v>
      </c>
      <c r="H542" s="39" t="str">
        <f>UPPER(Sheet1!J542 &amp; "," &amp; Sheet1!K542 &amp; "," &amp; Sheet1!L542)</f>
        <v>55 BIRCHWOOD LANE,EMERALD ROAD,PIN:883192 LENAH VALLEY</v>
      </c>
      <c r="I542" s="8">
        <f>Sheet1!I542</f>
        <v>45983</v>
      </c>
      <c r="J542" s="5" t="str">
        <f>Sheet1!M542 &amp; "," &amp; TEXT(Sheet1!N542,"dd/mm/yy")</f>
        <v>MHA/IND/00541,30/07/25</v>
      </c>
      <c r="K542" s="5" t="s">
        <v>5752</v>
      </c>
      <c r="L542" s="31" t="s">
        <v>14</v>
      </c>
      <c r="M542" s="31" t="s">
        <v>15</v>
      </c>
      <c r="N542" s="31" t="s">
        <v>16</v>
      </c>
    </row>
    <row r="543" spans="1:14" x14ac:dyDescent="0.25">
      <c r="A543" s="4" t="str">
        <f>Sheet1!A543 &amp; "/" &amp; "2025"</f>
        <v>542/2025</v>
      </c>
      <c r="B543" s="5" t="str">
        <f>Sheet1!E543</f>
        <v>IND/MEL/00542</v>
      </c>
      <c r="C543" s="6" t="str">
        <f>UPPER(Sheet1!B543)</f>
        <v>DEV VALZARI</v>
      </c>
      <c r="D543" s="7" t="str">
        <f>IF(Sheet1!F543="F","FEMALE","MALE")</f>
        <v>MALE</v>
      </c>
      <c r="E543" s="6" t="str">
        <f>UPPER(Sheet1!G543)</f>
        <v>KABIR VALZARI</v>
      </c>
      <c r="F543" s="6" t="str">
        <f>UPPER(Sheet1!H543)</f>
        <v>ANYA VALZARI</v>
      </c>
      <c r="G543" s="5" t="str">
        <f>TEXT(Sheet1!C543,"dd/mm/yyyy") &amp; "," &amp; Sheet1!D543</f>
        <v>18/06/2025,PARRAMATTA</v>
      </c>
      <c r="H543" s="39" t="str">
        <f>UPPER(Sheet1!J543 &amp; "," &amp; Sheet1!K543 &amp; "," &amp; Sheet1!L543)</f>
        <v>18 BIRCHWOOD LANE,EMERALD ROAD,PIN:623840 PARRAMATTA</v>
      </c>
      <c r="I543" s="8">
        <f>Sheet1!I543</f>
        <v>45840</v>
      </c>
      <c r="J543" s="5" t="str">
        <f>Sheet1!M543 &amp; "," &amp; TEXT(Sheet1!N543,"dd/mm/yy")</f>
        <v>MHA/IND/00542,20/07/25</v>
      </c>
      <c r="K543" s="5" t="s">
        <v>5752</v>
      </c>
      <c r="L543" s="31" t="s">
        <v>14</v>
      </c>
      <c r="M543" s="31" t="s">
        <v>15</v>
      </c>
      <c r="N543" s="31" t="s">
        <v>16</v>
      </c>
    </row>
    <row r="544" spans="1:14" x14ac:dyDescent="0.25">
      <c r="A544" s="4" t="str">
        <f>Sheet1!A544 &amp; "/" &amp; "2025"</f>
        <v>543/2025</v>
      </c>
      <c r="B544" s="5" t="str">
        <f>Sheet1!E544</f>
        <v>IND/MEL/00543</v>
      </c>
      <c r="C544" s="6" t="str">
        <f>UPPER(Sheet1!B544)</f>
        <v>ANYA RAO</v>
      </c>
      <c r="D544" s="7" t="str">
        <f>IF(Sheet1!F544="F","FEMALE","MALE")</f>
        <v>FEMALE</v>
      </c>
      <c r="E544" s="6" t="str">
        <f>UPPER(Sheet1!G544)</f>
        <v>ROHIT RAO</v>
      </c>
      <c r="F544" s="6" t="str">
        <f>UPPER(Sheet1!H544)</f>
        <v>ALYA RAO</v>
      </c>
      <c r="G544" s="5" t="str">
        <f>TEXT(Sheet1!C544,"dd/mm/yyyy") &amp; "," &amp; Sheet1!D544</f>
        <v>05/05/2025,GEELONG</v>
      </c>
      <c r="H544" s="39" t="str">
        <f>UPPER(Sheet1!J544 &amp; "," &amp; Sheet1!K544 &amp; "," &amp; Sheet1!L544)</f>
        <v>112 BIRCHWOOD LANE,EMERALD ROAD,PIN:153426 GEELONG</v>
      </c>
      <c r="I544" s="8">
        <f>Sheet1!I544</f>
        <v>45787</v>
      </c>
      <c r="J544" s="5" t="str">
        <f>Sheet1!M544 &amp; "," &amp; TEXT(Sheet1!N544,"dd/mm/yy")</f>
        <v>MHA/IND/00543,14/07/25</v>
      </c>
      <c r="K544" s="5" t="s">
        <v>5752</v>
      </c>
      <c r="L544" s="31" t="s">
        <v>14</v>
      </c>
      <c r="M544" s="31" t="s">
        <v>15</v>
      </c>
      <c r="N544" s="31" t="s">
        <v>16</v>
      </c>
    </row>
    <row r="545" spans="1:14" x14ac:dyDescent="0.25">
      <c r="A545" s="4" t="str">
        <f>Sheet1!A545 &amp; "/" &amp; "2025"</f>
        <v>544/2025</v>
      </c>
      <c r="B545" s="5" t="str">
        <f>Sheet1!E545</f>
        <v>IND/MEL/00544</v>
      </c>
      <c r="C545" s="6" t="str">
        <f>UPPER(Sheet1!B545)</f>
        <v>ROHIT VALZARI</v>
      </c>
      <c r="D545" s="7" t="str">
        <f>IF(Sheet1!F545="F","FEMALE","MALE")</f>
        <v>MALE</v>
      </c>
      <c r="E545" s="6" t="str">
        <f>UPPER(Sheet1!G545)</f>
        <v>AREN VALZARI</v>
      </c>
      <c r="F545" s="6" t="str">
        <f>UPPER(Sheet1!H545)</f>
        <v>ANYA VALZARI</v>
      </c>
      <c r="G545" s="5" t="str">
        <f>TEXT(Sheet1!C545,"dd/mm/yyyy") &amp; "," &amp; Sheet1!D545</f>
        <v>07/04/2025,PALMERSTON</v>
      </c>
      <c r="H545" s="39" t="str">
        <f>UPPER(Sheet1!J545 &amp; "," &amp; Sheet1!K545 &amp; "," &amp; Sheet1!L545)</f>
        <v>20 BIRCHWOOD LANE,EMERALD ROAD,PIN:548726 PALMERSTON</v>
      </c>
      <c r="I545" s="8">
        <f>Sheet1!I545</f>
        <v>45765</v>
      </c>
      <c r="J545" s="5" t="str">
        <f>Sheet1!M545 &amp; "," &amp; TEXT(Sheet1!N545,"dd/mm/yy")</f>
        <v>MHA/IND/00544,17/07/25</v>
      </c>
      <c r="K545" s="5" t="s">
        <v>5752</v>
      </c>
      <c r="L545" s="31" t="s">
        <v>14</v>
      </c>
      <c r="M545" s="31" t="s">
        <v>15</v>
      </c>
      <c r="N545" s="31" t="s">
        <v>16</v>
      </c>
    </row>
    <row r="546" spans="1:14" x14ac:dyDescent="0.25">
      <c r="A546" s="4" t="str">
        <f>Sheet1!A546 &amp; "/" &amp; "2025"</f>
        <v>545/2025</v>
      </c>
      <c r="B546" s="5" t="str">
        <f>Sheet1!E546</f>
        <v>IND/MEL/00545</v>
      </c>
      <c r="C546" s="6" t="str">
        <f>UPPER(Sheet1!B546)</f>
        <v>ARJUN KALEON</v>
      </c>
      <c r="D546" s="7" t="str">
        <f>IF(Sheet1!F546="F","FEMALE","MALE")</f>
        <v>MALE</v>
      </c>
      <c r="E546" s="6" t="str">
        <f>UPPER(Sheet1!G546)</f>
        <v>KABIR KALEON</v>
      </c>
      <c r="F546" s="6" t="str">
        <f>UPPER(Sheet1!H546)</f>
        <v>RIYA KALEON</v>
      </c>
      <c r="G546" s="5" t="str">
        <f>TEXT(Sheet1!C546,"dd/mm/yyyy") &amp; "," &amp; Sheet1!D546</f>
        <v>21/10/2025,LENAH VALLEY</v>
      </c>
      <c r="H546" s="39" t="str">
        <f>UPPER(Sheet1!J546 &amp; "," &amp; Sheet1!K546 &amp; "," &amp; Sheet1!L546)</f>
        <v>163 BIRCHWOOD LANE,EMERALD ROAD,PIN:398774 LENAH VALLEY</v>
      </c>
      <c r="I546" s="8">
        <f>Sheet1!I546</f>
        <v>46031</v>
      </c>
      <c r="J546" s="5" t="str">
        <f>Sheet1!M546 &amp; "," &amp; TEXT(Sheet1!N546,"dd/mm/yy")</f>
        <v>MHA/IND/00545,11/08/25</v>
      </c>
      <c r="K546" s="5" t="s">
        <v>5752</v>
      </c>
      <c r="L546" s="31" t="s">
        <v>14</v>
      </c>
      <c r="M546" s="31" t="s">
        <v>15</v>
      </c>
      <c r="N546" s="31" t="s">
        <v>16</v>
      </c>
    </row>
    <row r="547" spans="1:14" x14ac:dyDescent="0.25">
      <c r="A547" s="4" t="str">
        <f>Sheet1!A547 &amp; "/" &amp; "2025"</f>
        <v>546/2025</v>
      </c>
      <c r="B547" s="5" t="str">
        <f>Sheet1!E547</f>
        <v>IND/MEL/00546</v>
      </c>
      <c r="C547" s="6" t="str">
        <f>UPPER(Sheet1!B547)</f>
        <v>AREN MYRTHOS</v>
      </c>
      <c r="D547" s="7" t="str">
        <f>IF(Sheet1!F547="F","FEMALE","MALE")</f>
        <v>MALE</v>
      </c>
      <c r="E547" s="6" t="str">
        <f>UPPER(Sheet1!G547)</f>
        <v>KABIR MYRTHOS</v>
      </c>
      <c r="F547" s="6" t="str">
        <f>UPPER(Sheet1!H547)</f>
        <v>NINA MYRTHOS</v>
      </c>
      <c r="G547" s="5" t="str">
        <f>TEXT(Sheet1!C547,"dd/mm/yyyy") &amp; "," &amp; Sheet1!D547</f>
        <v>27/05/2025,MIDLAND</v>
      </c>
      <c r="H547" s="39" t="str">
        <f>UPPER(Sheet1!J547 &amp; "," &amp; Sheet1!K547 &amp; "," &amp; Sheet1!L547)</f>
        <v>179 BIRCHWOOD LANE,EMERALD ROAD,PIN:688803 MIDLAND</v>
      </c>
      <c r="I547" s="8">
        <f>Sheet1!I547</f>
        <v>45918</v>
      </c>
      <c r="J547" s="5" t="str">
        <f>Sheet1!M547 &amp; "," &amp; TEXT(Sheet1!N547,"dd/mm/yy")</f>
        <v>MHA/IND/00546,21/07/25</v>
      </c>
      <c r="K547" s="5" t="s">
        <v>5752</v>
      </c>
      <c r="L547" s="31" t="s">
        <v>14</v>
      </c>
      <c r="M547" s="31" t="s">
        <v>15</v>
      </c>
      <c r="N547" s="31" t="s">
        <v>16</v>
      </c>
    </row>
    <row r="548" spans="1:14" x14ac:dyDescent="0.25">
      <c r="A548" s="4" t="str">
        <f>Sheet1!A548 &amp; "/" &amp; "2025"</f>
        <v>547/2025</v>
      </c>
      <c r="B548" s="5" t="str">
        <f>Sheet1!E548</f>
        <v>IND/MEL/00547</v>
      </c>
      <c r="C548" s="6" t="str">
        <f>UPPER(Sheet1!B548)</f>
        <v>MIRA SINDALE</v>
      </c>
      <c r="D548" s="7" t="str">
        <f>IF(Sheet1!F548="F","FEMALE","MALE")</f>
        <v>FEMALE</v>
      </c>
      <c r="E548" s="6" t="str">
        <f>UPPER(Sheet1!G548)</f>
        <v>ISHAN SINDALE</v>
      </c>
      <c r="F548" s="6" t="str">
        <f>UPPER(Sheet1!H548)</f>
        <v>ANYA SINDALE</v>
      </c>
      <c r="G548" s="5" t="str">
        <f>TEXT(Sheet1!C548,"dd/mm/yyyy") &amp; "," &amp; Sheet1!D548</f>
        <v>08/09/2025,ROCKHAMPTON</v>
      </c>
      <c r="H548" s="39" t="str">
        <f>UPPER(Sheet1!J548 &amp; "," &amp; Sheet1!K548 &amp; "," &amp; Sheet1!L548)</f>
        <v>11 BIRCHWOOD LANE,EMERALD ROAD,PIN:572879 ROCKHAMPTON</v>
      </c>
      <c r="I548" s="8">
        <f>Sheet1!I548</f>
        <v>45915</v>
      </c>
      <c r="J548" s="5" t="str">
        <f>Sheet1!M548 &amp; "," &amp; TEXT(Sheet1!N548,"dd/mm/yy")</f>
        <v>MHA/IND/00547,04/07/25</v>
      </c>
      <c r="K548" s="5" t="s">
        <v>5752</v>
      </c>
      <c r="L548" s="31" t="s">
        <v>14</v>
      </c>
      <c r="M548" s="31" t="s">
        <v>15</v>
      </c>
      <c r="N548" s="31" t="s">
        <v>16</v>
      </c>
    </row>
    <row r="549" spans="1:14" x14ac:dyDescent="0.25">
      <c r="A549" s="4" t="str">
        <f>Sheet1!A549 &amp; "/" &amp; "2025"</f>
        <v>548/2025</v>
      </c>
      <c r="B549" s="5" t="str">
        <f>Sheet1!E549</f>
        <v>IND/MEL/00548</v>
      </c>
      <c r="C549" s="6" t="str">
        <f>UPPER(Sheet1!B549)</f>
        <v>ALYA VALZARI</v>
      </c>
      <c r="D549" s="7" t="str">
        <f>IF(Sheet1!F549="F","FEMALE","MALE")</f>
        <v>FEMALE</v>
      </c>
      <c r="E549" s="6" t="str">
        <f>UPPER(Sheet1!G549)</f>
        <v>DEV VALZARI</v>
      </c>
      <c r="F549" s="6" t="str">
        <f>UPPER(Sheet1!H549)</f>
        <v>ALYA VALZARI</v>
      </c>
      <c r="G549" s="5" t="str">
        <f>TEXT(Sheet1!C549,"dd/mm/yyyy") &amp; "," &amp; Sheet1!D549</f>
        <v>04/02/2025,MANDURAH</v>
      </c>
      <c r="H549" s="39" t="str">
        <f>UPPER(Sheet1!J549 &amp; "," &amp; Sheet1!K549 &amp; "," &amp; Sheet1!L549)</f>
        <v>69 BIRCHWOOD LANE,EMERALD ROAD,PIN:775685 MANDURAH</v>
      </c>
      <c r="I549" s="8">
        <f>Sheet1!I549</f>
        <v>45717</v>
      </c>
      <c r="J549" s="5" t="str">
        <f>Sheet1!M549 &amp; "," &amp; TEXT(Sheet1!N549,"dd/mm/yy")</f>
        <v>MHA/IND/00548,17/08/25</v>
      </c>
      <c r="K549" s="5" t="s">
        <v>5752</v>
      </c>
      <c r="L549" s="31" t="s">
        <v>14</v>
      </c>
      <c r="M549" s="31" t="s">
        <v>15</v>
      </c>
      <c r="N549" s="31" t="s">
        <v>16</v>
      </c>
    </row>
    <row r="550" spans="1:14" ht="30" customHeight="1" x14ac:dyDescent="0.25">
      <c r="A550" s="4" t="str">
        <f>Sheet1!A550 &amp; "/" &amp; "2025"</f>
        <v>549/2025</v>
      </c>
      <c r="B550" s="5" t="str">
        <f>Sheet1!E550</f>
        <v>IND/MEL/00549</v>
      </c>
      <c r="C550" s="6" t="str">
        <f>UPPER(Sheet1!B550)</f>
        <v>ARJUN RISHKAN</v>
      </c>
      <c r="D550" s="7" t="str">
        <f>IF(Sheet1!F550="F","FEMALE","MALE")</f>
        <v>MALE</v>
      </c>
      <c r="E550" s="6" t="str">
        <f>UPPER(Sheet1!G550)</f>
        <v>ARJUN RISHKAN</v>
      </c>
      <c r="F550" s="6" t="str">
        <f>UPPER(Sheet1!H550)</f>
        <v>RIYA RISHKAN</v>
      </c>
      <c r="G550" s="5" t="str">
        <f>TEXT(Sheet1!C550,"dd/mm/yyyy") &amp; "," &amp; Sheet1!D550</f>
        <v>07/02/2025,DALBY</v>
      </c>
      <c r="H550" s="39" t="str">
        <f>UPPER(Sheet1!J550 &amp; "," &amp; Sheet1!K550 &amp; "," &amp; Sheet1!L550)</f>
        <v>16 BIRCHWOOD LANE,EMERALD ROAD,PIN:294333 DALBY</v>
      </c>
      <c r="I550" s="8">
        <f>Sheet1!I550</f>
        <v>45747</v>
      </c>
      <c r="J550" s="5" t="str">
        <f>Sheet1!M550 &amp; "," &amp; TEXT(Sheet1!N550,"dd/mm/yy")</f>
        <v>MHA/IND/00549,23/08/25</v>
      </c>
      <c r="K550" s="5" t="s">
        <v>5752</v>
      </c>
      <c r="L550" s="31" t="s">
        <v>14</v>
      </c>
      <c r="M550" s="31" t="s">
        <v>15</v>
      </c>
      <c r="N550" s="31" t="s">
        <v>16</v>
      </c>
    </row>
    <row r="551" spans="1:14" x14ac:dyDescent="0.25">
      <c r="A551" s="4" t="str">
        <f>Sheet1!A551 &amp; "/" &amp; "2025"</f>
        <v>550/2025</v>
      </c>
      <c r="B551" s="5" t="str">
        <f>Sheet1!E551</f>
        <v>IND/MEL/00550</v>
      </c>
      <c r="C551" s="6" t="str">
        <f>UPPER(Sheet1!B551)</f>
        <v>ANYA RAO</v>
      </c>
      <c r="D551" s="7" t="str">
        <f>IF(Sheet1!F551="F","FEMALE","MALE")</f>
        <v>FEMALE</v>
      </c>
      <c r="E551" s="6" t="str">
        <f>UPPER(Sheet1!G551)</f>
        <v>ISHAN RAO</v>
      </c>
      <c r="F551" s="6" t="str">
        <f>UPPER(Sheet1!H551)</f>
        <v>RIYA RAO</v>
      </c>
      <c r="G551" s="5" t="str">
        <f>TEXT(Sheet1!C551,"dd/mm/yyyy") &amp; "," &amp; Sheet1!D551</f>
        <v>25/06/2025,PARKVILLE</v>
      </c>
      <c r="H551" s="39" t="str">
        <f>UPPER(Sheet1!J551 &amp; "," &amp; Sheet1!K551 &amp; "," &amp; Sheet1!L551)</f>
        <v>89 BIRCHWOOD LANE,EMERALD ROAD,PIN:778480 PARKVILLE</v>
      </c>
      <c r="I551" s="8">
        <f>Sheet1!I551</f>
        <v>45856</v>
      </c>
      <c r="J551" s="5" t="str">
        <f>Sheet1!M551 &amp; "," &amp; TEXT(Sheet1!N551,"dd/mm/yy")</f>
        <v>MHA/IND/00550,24/08/25</v>
      </c>
      <c r="K551" s="5" t="s">
        <v>5752</v>
      </c>
      <c r="L551" s="31" t="s">
        <v>14</v>
      </c>
      <c r="M551" s="31" t="s">
        <v>15</v>
      </c>
      <c r="N551" s="31" t="s">
        <v>16</v>
      </c>
    </row>
    <row r="552" spans="1:14" x14ac:dyDescent="0.25">
      <c r="A552" s="4" t="str">
        <f>Sheet1!A552 &amp; "/" &amp; "2025"</f>
        <v>551/2025</v>
      </c>
      <c r="B552" s="5" t="str">
        <f>Sheet1!E552</f>
        <v>IND/MEL/00551</v>
      </c>
      <c r="C552" s="6" t="str">
        <f>UPPER(Sheet1!B552)</f>
        <v>TARA RISHKAN</v>
      </c>
      <c r="D552" s="7" t="str">
        <f>IF(Sheet1!F552="F","FEMALE","MALE")</f>
        <v>FEMALE</v>
      </c>
      <c r="E552" s="6" t="str">
        <f>UPPER(Sheet1!G552)</f>
        <v>KABIR RISHKAN</v>
      </c>
      <c r="F552" s="6" t="str">
        <f>UPPER(Sheet1!H552)</f>
        <v>SARA RISHKAN</v>
      </c>
      <c r="G552" s="5" t="str">
        <f>TEXT(Sheet1!C552,"dd/mm/yyyy") &amp; "," &amp; Sheet1!D552</f>
        <v>04/06/2025,ADELAIDE</v>
      </c>
      <c r="H552" s="39" t="str">
        <f>UPPER(Sheet1!J552 &amp; "," &amp; Sheet1!K552 &amp; "," &amp; Sheet1!L552)</f>
        <v>77 BIRCHWOOD LANE,EMERALD ROAD,PIN:952963 ADELAIDE</v>
      </c>
      <c r="I552" s="8">
        <f>Sheet1!I552</f>
        <v>45931</v>
      </c>
      <c r="J552" s="5" t="str">
        <f>Sheet1!M552 &amp; "," &amp; TEXT(Sheet1!N552,"dd/mm/yy")</f>
        <v>MHA/IND/00551,08/08/25</v>
      </c>
      <c r="K552" s="5" t="s">
        <v>5752</v>
      </c>
      <c r="L552" s="31" t="s">
        <v>14</v>
      </c>
      <c r="M552" s="31" t="s">
        <v>15</v>
      </c>
      <c r="N552" s="31" t="s">
        <v>16</v>
      </c>
    </row>
    <row r="553" spans="1:14" x14ac:dyDescent="0.25">
      <c r="A553" s="4" t="str">
        <f>Sheet1!A553 &amp; "/" &amp; "2025"</f>
        <v>552/2025</v>
      </c>
      <c r="B553" s="5" t="str">
        <f>Sheet1!E553</f>
        <v>IND/MEL/00552</v>
      </c>
      <c r="C553" s="6" t="str">
        <f>UPPER(Sheet1!B553)</f>
        <v>ISHAN RAO</v>
      </c>
      <c r="D553" s="7" t="str">
        <f>IF(Sheet1!F553="F","FEMALE","MALE")</f>
        <v>MALE</v>
      </c>
      <c r="E553" s="6" t="str">
        <f>UPPER(Sheet1!G553)</f>
        <v>ARJUN RAO</v>
      </c>
      <c r="F553" s="6" t="str">
        <f>UPPER(Sheet1!H553)</f>
        <v>NINA RAO</v>
      </c>
      <c r="G553" s="5" t="str">
        <f>TEXT(Sheet1!C553,"dd/mm/yyyy") &amp; "," &amp; Sheet1!D553</f>
        <v>25/06/2025,LOGAN</v>
      </c>
      <c r="H553" s="39" t="str">
        <f>UPPER(Sheet1!J553 &amp; "," &amp; Sheet1!K553 &amp; "," &amp; Sheet1!L553)</f>
        <v>190 BIRCHWOOD LANE,EMERALD ROAD,PIN:921501 LOGAN</v>
      </c>
      <c r="I553" s="8">
        <f>Sheet1!I553</f>
        <v>45935</v>
      </c>
      <c r="J553" s="5" t="str">
        <f>Sheet1!M553 &amp; "," &amp; TEXT(Sheet1!N553,"dd/mm/yy")</f>
        <v>MHA/IND/00552,10/07/25</v>
      </c>
      <c r="K553" s="5" t="s">
        <v>5752</v>
      </c>
      <c r="L553" s="31" t="s">
        <v>14</v>
      </c>
      <c r="M553" s="31" t="s">
        <v>15</v>
      </c>
      <c r="N553" s="31" t="s">
        <v>16</v>
      </c>
    </row>
    <row r="554" spans="1:14" x14ac:dyDescent="0.25">
      <c r="A554" s="4" t="str">
        <f>Sheet1!A554 &amp; "/" &amp; "2025"</f>
        <v>553/2025</v>
      </c>
      <c r="B554" s="5" t="str">
        <f>Sheet1!E554</f>
        <v>IND/MEL/00553</v>
      </c>
      <c r="C554" s="6" t="str">
        <f>UPPER(Sheet1!B554)</f>
        <v>NEIL RISHKAN</v>
      </c>
      <c r="D554" s="7" t="str">
        <f>IF(Sheet1!F554="F","FEMALE","MALE")</f>
        <v>MALE</v>
      </c>
      <c r="E554" s="6" t="str">
        <f>UPPER(Sheet1!G554)</f>
        <v>NEIL RISHKAN</v>
      </c>
      <c r="F554" s="6" t="str">
        <f>UPPER(Sheet1!H554)</f>
        <v>TARA RISHKAN</v>
      </c>
      <c r="G554" s="5" t="str">
        <f>TEXT(Sheet1!C554,"dd/mm/yyyy") &amp; "," &amp; Sheet1!D554</f>
        <v>26/06/2025,FRANKSTON</v>
      </c>
      <c r="H554" s="39" t="str">
        <f>UPPER(Sheet1!J554 &amp; "," &amp; Sheet1!K554 &amp; "," &amp; Sheet1!L554)</f>
        <v>135 BIRCHWOOD LANE,EMERALD ROAD,PIN:461997 FRANKSTON</v>
      </c>
      <c r="I554" s="8">
        <f>Sheet1!I554</f>
        <v>45866</v>
      </c>
      <c r="J554" s="5" t="str">
        <f>Sheet1!M554 &amp; "," &amp; TEXT(Sheet1!N554,"dd/mm/yy")</f>
        <v>MHA/IND/00553,12/08/25</v>
      </c>
      <c r="K554" s="5" t="s">
        <v>5752</v>
      </c>
      <c r="L554" s="31" t="s">
        <v>14</v>
      </c>
      <c r="M554" s="31" t="s">
        <v>15</v>
      </c>
      <c r="N554" s="31" t="s">
        <v>16</v>
      </c>
    </row>
    <row r="555" spans="1:14" x14ac:dyDescent="0.25">
      <c r="A555" s="4" t="str">
        <f>Sheet1!A555 &amp; "/" &amp; "2025"</f>
        <v>554/2025</v>
      </c>
      <c r="B555" s="5" t="str">
        <f>Sheet1!E555</f>
        <v>IND/MEL/00554</v>
      </c>
      <c r="C555" s="6" t="str">
        <f>UPPER(Sheet1!B555)</f>
        <v>KIRAN MYRTHOS</v>
      </c>
      <c r="D555" s="7" t="str">
        <f>IF(Sheet1!F555="F","FEMALE","MALE")</f>
        <v>MALE</v>
      </c>
      <c r="E555" s="6" t="str">
        <f>UPPER(Sheet1!G555)</f>
        <v>ARJUN MYRTHOS</v>
      </c>
      <c r="F555" s="6" t="str">
        <f>UPPER(Sheet1!H555)</f>
        <v>SARA MYRTHOS</v>
      </c>
      <c r="G555" s="5" t="str">
        <f>TEXT(Sheet1!C555,"dd/mm/yyyy") &amp; "," &amp; Sheet1!D555</f>
        <v>10/05/2025,ST ALBANS</v>
      </c>
      <c r="H555" s="39" t="str">
        <f>UPPER(Sheet1!J555 &amp; "," &amp; Sheet1!K555 &amp; "," &amp; Sheet1!L555)</f>
        <v>118 BIRCHWOOD LANE,EMERALD ROAD,PIN:541304 ST ALBANS</v>
      </c>
      <c r="I555" s="8">
        <f>Sheet1!I555</f>
        <v>45833</v>
      </c>
      <c r="J555" s="5" t="str">
        <f>Sheet1!M555 &amp; "," &amp; TEXT(Sheet1!N555,"dd/mm/yy")</f>
        <v>MHA/IND/00554,09/08/25</v>
      </c>
      <c r="K555" s="5" t="s">
        <v>5752</v>
      </c>
      <c r="L555" s="31" t="s">
        <v>14</v>
      </c>
      <c r="M555" s="31" t="s">
        <v>15</v>
      </c>
      <c r="N555" s="31" t="s">
        <v>16</v>
      </c>
    </row>
    <row r="556" spans="1:14" x14ac:dyDescent="0.25">
      <c r="A556" s="4" t="str">
        <f>Sheet1!A556 &amp; "/" &amp; "2025"</f>
        <v>555/2025</v>
      </c>
      <c r="B556" s="5" t="str">
        <f>Sheet1!E556</f>
        <v>IND/MEL/00555</v>
      </c>
      <c r="C556" s="6" t="str">
        <f>UPPER(Sheet1!B556)</f>
        <v>DEV RISHKAN</v>
      </c>
      <c r="D556" s="7" t="str">
        <f>IF(Sheet1!F556="F","FEMALE","MALE")</f>
        <v>MALE</v>
      </c>
      <c r="E556" s="6" t="str">
        <f>UPPER(Sheet1!G556)</f>
        <v>ARJUN RISHKAN</v>
      </c>
      <c r="F556" s="6" t="str">
        <f>UPPER(Sheet1!H556)</f>
        <v>SARA RISHKAN</v>
      </c>
      <c r="G556" s="5" t="str">
        <f>TEXT(Sheet1!C556,"dd/mm/yyyy") &amp; "," &amp; Sheet1!D556</f>
        <v>10/01/2025,MANDURAH</v>
      </c>
      <c r="H556" s="39" t="str">
        <f>UPPER(Sheet1!J556 &amp; "," &amp; Sheet1!K556 &amp; "," &amp; Sheet1!L556)</f>
        <v>10 BIRCHWOOD LANE,EMERALD ROAD,PIN:613365 MANDURAH</v>
      </c>
      <c r="I556" s="8">
        <f>Sheet1!I556</f>
        <v>45721</v>
      </c>
      <c r="J556" s="5" t="str">
        <f>Sheet1!M556 &amp; "," &amp; TEXT(Sheet1!N556,"dd/mm/yy")</f>
        <v>MHA/IND/00555,08/08/25</v>
      </c>
      <c r="K556" s="5" t="s">
        <v>5752</v>
      </c>
      <c r="L556" s="31" t="s">
        <v>14</v>
      </c>
      <c r="M556" s="31" t="s">
        <v>15</v>
      </c>
      <c r="N556" s="31" t="s">
        <v>16</v>
      </c>
    </row>
    <row r="557" spans="1:14" x14ac:dyDescent="0.25">
      <c r="A557" s="4" t="str">
        <f>Sheet1!A557 &amp; "/" &amp; "2025"</f>
        <v>556/2025</v>
      </c>
      <c r="B557" s="5" t="str">
        <f>Sheet1!E557</f>
        <v>IND/MEL/00556</v>
      </c>
      <c r="C557" s="6" t="str">
        <f>UPPER(Sheet1!B557)</f>
        <v>SARA VALZARI</v>
      </c>
      <c r="D557" s="7" t="str">
        <f>IF(Sheet1!F557="F","FEMALE","MALE")</f>
        <v>FEMALE</v>
      </c>
      <c r="E557" s="6" t="str">
        <f>UPPER(Sheet1!G557)</f>
        <v>ARJUN VALZARI</v>
      </c>
      <c r="F557" s="6" t="str">
        <f>UPPER(Sheet1!H557)</f>
        <v>DIYA VALZARI</v>
      </c>
      <c r="G557" s="5" t="str">
        <f>TEXT(Sheet1!C557,"dd/mm/yyyy") &amp; "," &amp; Sheet1!D557</f>
        <v>26/10/2025,BEDFORD PARK</v>
      </c>
      <c r="H557" s="39" t="str">
        <f>UPPER(Sheet1!J557 &amp; "," &amp; Sheet1!K557 &amp; "," &amp; Sheet1!L557)</f>
        <v>184 BIRCHWOOD LANE,EMERALD ROAD,PIN:462170 BEDFORD PARK</v>
      </c>
      <c r="I557" s="8">
        <f>Sheet1!I557</f>
        <v>45962</v>
      </c>
      <c r="J557" s="5" t="str">
        <f>Sheet1!M557 &amp; "," &amp; TEXT(Sheet1!N557,"dd/mm/yy")</f>
        <v>MHA/IND/00556,26/07/25</v>
      </c>
      <c r="K557" s="5" t="s">
        <v>5752</v>
      </c>
      <c r="L557" s="31" t="s">
        <v>14</v>
      </c>
      <c r="M557" s="31" t="s">
        <v>15</v>
      </c>
      <c r="N557" s="31" t="s">
        <v>16</v>
      </c>
    </row>
    <row r="558" spans="1:14" x14ac:dyDescent="0.25">
      <c r="A558" s="4" t="str">
        <f>Sheet1!A558 &amp; "/" &amp; "2025"</f>
        <v>557/2025</v>
      </c>
      <c r="B558" s="5" t="str">
        <f>Sheet1!E558</f>
        <v>IND/MEL/00557</v>
      </c>
      <c r="C558" s="6" t="str">
        <f>UPPER(Sheet1!B558)</f>
        <v>ROHIT MYRTHOS</v>
      </c>
      <c r="D558" s="7" t="str">
        <f>IF(Sheet1!F558="F","FEMALE","MALE")</f>
        <v>MALE</v>
      </c>
      <c r="E558" s="6" t="str">
        <f>UPPER(Sheet1!G558)</f>
        <v>ARJUN MYRTHOS</v>
      </c>
      <c r="F558" s="6" t="str">
        <f>UPPER(Sheet1!H558)</f>
        <v>NINA MYRTHOS</v>
      </c>
      <c r="G558" s="5" t="str">
        <f>TEXT(Sheet1!C558,"dd/mm/yyyy") &amp; "," &amp; Sheet1!D558</f>
        <v>01/09/2025,WERRIBEE</v>
      </c>
      <c r="H558" s="39" t="str">
        <f>UPPER(Sheet1!J558 &amp; "," &amp; Sheet1!K558 &amp; "," &amp; Sheet1!L558)</f>
        <v>35 BIRCHWOOD LANE,EMERALD ROAD,PIN:345085 WERRIBEE</v>
      </c>
      <c r="I558" s="8">
        <f>Sheet1!I558</f>
        <v>45941</v>
      </c>
      <c r="J558" s="5" t="str">
        <f>Sheet1!M558 &amp; "," &amp; TEXT(Sheet1!N558,"dd/mm/yy")</f>
        <v>MHA/IND/00557,19/07/25</v>
      </c>
      <c r="K558" s="5" t="s">
        <v>5752</v>
      </c>
      <c r="L558" s="31" t="s">
        <v>14</v>
      </c>
      <c r="M558" s="31" t="s">
        <v>15</v>
      </c>
      <c r="N558" s="31" t="s">
        <v>16</v>
      </c>
    </row>
    <row r="559" spans="1:14" x14ac:dyDescent="0.25">
      <c r="A559" s="4" t="str">
        <f>Sheet1!A559 &amp; "/" &amp; "2025"</f>
        <v>558/2025</v>
      </c>
      <c r="B559" s="5" t="str">
        <f>Sheet1!E559</f>
        <v>IND/MEL/00558</v>
      </c>
      <c r="C559" s="6" t="str">
        <f>UPPER(Sheet1!B559)</f>
        <v>KABIR RAO</v>
      </c>
      <c r="D559" s="7" t="str">
        <f>IF(Sheet1!F559="F","FEMALE","MALE")</f>
        <v>MALE</v>
      </c>
      <c r="E559" s="6" t="str">
        <f>UPPER(Sheet1!G559)</f>
        <v>NEIL RAO</v>
      </c>
      <c r="F559" s="6" t="str">
        <f>UPPER(Sheet1!H559)</f>
        <v>SARA RAO</v>
      </c>
      <c r="G559" s="5" t="str">
        <f>TEXT(Sheet1!C559,"dd/mm/yyyy") &amp; "," &amp; Sheet1!D559</f>
        <v>22/07/2025,BUNDABERG</v>
      </c>
      <c r="H559" s="39" t="str">
        <f>UPPER(Sheet1!J559 &amp; "," &amp; Sheet1!K559 &amp; "," &amp; Sheet1!L559)</f>
        <v>131 BIRCHWOOD LANE,EMERALD ROAD,PIN:834366 BUNDABERG</v>
      </c>
      <c r="I559" s="8">
        <f>Sheet1!I559</f>
        <v>45905</v>
      </c>
      <c r="J559" s="5" t="str">
        <f>Sheet1!M559 &amp; "," &amp; TEXT(Sheet1!N559,"dd/mm/yy")</f>
        <v>MHA/IND/00558,06/07/25</v>
      </c>
      <c r="K559" s="5" t="s">
        <v>5752</v>
      </c>
      <c r="L559" s="31" t="s">
        <v>14</v>
      </c>
      <c r="M559" s="31" t="s">
        <v>15</v>
      </c>
      <c r="N559" s="31" t="s">
        <v>16</v>
      </c>
    </row>
    <row r="560" spans="1:14" x14ac:dyDescent="0.25">
      <c r="A560" s="4" t="str">
        <f>Sheet1!A560 &amp; "/" &amp; "2025"</f>
        <v>559/2025</v>
      </c>
      <c r="B560" s="5" t="str">
        <f>Sheet1!E560</f>
        <v>IND/MEL/00559</v>
      </c>
      <c r="C560" s="6" t="str">
        <f>UPPER(Sheet1!B560)</f>
        <v>DIYA RAO</v>
      </c>
      <c r="D560" s="7" t="str">
        <f>IF(Sheet1!F560="F","FEMALE","MALE")</f>
        <v>FEMALE</v>
      </c>
      <c r="E560" s="6" t="str">
        <f>UPPER(Sheet1!G560)</f>
        <v>NEIL RAO</v>
      </c>
      <c r="F560" s="6" t="str">
        <f>UPPER(Sheet1!H560)</f>
        <v>RIYA RAO</v>
      </c>
      <c r="G560" s="5" t="str">
        <f>TEXT(Sheet1!C560,"dd/mm/yyyy") &amp; "," &amp; Sheet1!D560</f>
        <v>20/06/2025,PERTH</v>
      </c>
      <c r="H560" s="39" t="str">
        <f>UPPER(Sheet1!J560 &amp; "," &amp; Sheet1!K560 &amp; "," &amp; Sheet1!L560)</f>
        <v>32 BIRCHWOOD LANE,EMERALD ROAD,PIN:127602 PERTH</v>
      </c>
      <c r="I560" s="8">
        <f>Sheet1!I560</f>
        <v>45872</v>
      </c>
      <c r="J560" s="5" t="str">
        <f>Sheet1!M560 &amp; "," &amp; TEXT(Sheet1!N560,"dd/mm/yy")</f>
        <v>MHA/IND/00559,26/07/25</v>
      </c>
      <c r="K560" s="5" t="s">
        <v>5752</v>
      </c>
      <c r="L560" s="31" t="s">
        <v>14</v>
      </c>
      <c r="M560" s="31" t="s">
        <v>15</v>
      </c>
      <c r="N560" s="31" t="s">
        <v>16</v>
      </c>
    </row>
    <row r="561" spans="1:14" x14ac:dyDescent="0.25">
      <c r="A561" s="4" t="str">
        <f>Sheet1!A561 &amp; "/" &amp; "2025"</f>
        <v>560/2025</v>
      </c>
      <c r="B561" s="5" t="str">
        <f>Sheet1!E561</f>
        <v>IND/MEL/00560</v>
      </c>
      <c r="C561" s="6" t="str">
        <f>UPPER(Sheet1!B561)</f>
        <v>KIRAN MYRTHOS</v>
      </c>
      <c r="D561" s="7" t="str">
        <f>IF(Sheet1!F561="F","FEMALE","MALE")</f>
        <v>MALE</v>
      </c>
      <c r="E561" s="6" t="str">
        <f>UPPER(Sheet1!G561)</f>
        <v>ISHAN MYRTHOS</v>
      </c>
      <c r="F561" s="6" t="str">
        <f>UPPER(Sheet1!H561)</f>
        <v>ANYA MYRTHOS</v>
      </c>
      <c r="G561" s="5" t="str">
        <f>TEXT(Sheet1!C561,"dd/mm/yyyy") &amp; "," &amp; Sheet1!D561</f>
        <v>28/04/2025,NEWCASTLE</v>
      </c>
      <c r="H561" s="39" t="str">
        <f>UPPER(Sheet1!J561 &amp; "," &amp; Sheet1!K561 &amp; "," &amp; Sheet1!L561)</f>
        <v>139 BIRCHWOOD LANE,EMERALD ROAD,PIN:884260 NEWCASTLE</v>
      </c>
      <c r="I561" s="8">
        <f>Sheet1!I561</f>
        <v>45873</v>
      </c>
      <c r="J561" s="5" t="str">
        <f>Sheet1!M561 &amp; "," &amp; TEXT(Sheet1!N561,"dd/mm/yy")</f>
        <v>MHA/IND/00560,02/07/25</v>
      </c>
      <c r="K561" s="5" t="s">
        <v>5752</v>
      </c>
      <c r="L561" s="31" t="s">
        <v>14</v>
      </c>
      <c r="M561" s="31" t="s">
        <v>15</v>
      </c>
      <c r="N561" s="31" t="s">
        <v>16</v>
      </c>
    </row>
    <row r="562" spans="1:14" x14ac:dyDescent="0.25">
      <c r="A562" s="4" t="str">
        <f>Sheet1!A562 &amp; "/" &amp; "2025"</f>
        <v>561/2025</v>
      </c>
      <c r="B562" s="5" t="str">
        <f>Sheet1!E562</f>
        <v>IND/MEL/00561</v>
      </c>
      <c r="C562" s="6" t="str">
        <f>UPPER(Sheet1!B562)</f>
        <v>NEIL SINDALE</v>
      </c>
      <c r="D562" s="7" t="str">
        <f>IF(Sheet1!F562="F","FEMALE","MALE")</f>
        <v>MALE</v>
      </c>
      <c r="E562" s="6" t="str">
        <f>UPPER(Sheet1!G562)</f>
        <v>KABIR SINDALE</v>
      </c>
      <c r="F562" s="6" t="str">
        <f>UPPER(Sheet1!H562)</f>
        <v>SARA SINDALE</v>
      </c>
      <c r="G562" s="5" t="str">
        <f>TEXT(Sheet1!C562,"dd/mm/yyyy") &amp; "," &amp; Sheet1!D562</f>
        <v>17/03/2025,PARKVILLE</v>
      </c>
      <c r="H562" s="39" t="str">
        <f>UPPER(Sheet1!J562 &amp; "," &amp; Sheet1!K562 &amp; "," &amp; Sheet1!L562)</f>
        <v>164 BIRCHWOOD LANE,EMERALD ROAD,PIN:603548 PARKVILLE</v>
      </c>
      <c r="I562" s="8">
        <f>Sheet1!I562</f>
        <v>45786</v>
      </c>
      <c r="J562" s="5" t="str">
        <f>Sheet1!M562 &amp; "," &amp; TEXT(Sheet1!N562,"dd/mm/yy")</f>
        <v>MHA/IND/00561,30/07/25</v>
      </c>
      <c r="K562" s="5" t="s">
        <v>5752</v>
      </c>
      <c r="L562" s="31" t="s">
        <v>14</v>
      </c>
      <c r="M562" s="31" t="s">
        <v>15</v>
      </c>
      <c r="N562" s="31" t="s">
        <v>16</v>
      </c>
    </row>
    <row r="563" spans="1:14" x14ac:dyDescent="0.25">
      <c r="A563" s="4" t="str">
        <f>Sheet1!A563 &amp; "/" &amp; "2025"</f>
        <v>562/2025</v>
      </c>
      <c r="B563" s="5" t="str">
        <f>Sheet1!E563</f>
        <v>IND/MEL/00562</v>
      </c>
      <c r="C563" s="6" t="str">
        <f>UPPER(Sheet1!B563)</f>
        <v>ANYA RISHKAN</v>
      </c>
      <c r="D563" s="7" t="str">
        <f>IF(Sheet1!F563="F","FEMALE","MALE")</f>
        <v>FEMALE</v>
      </c>
      <c r="E563" s="6" t="str">
        <f>UPPER(Sheet1!G563)</f>
        <v>ARJUN RISHKAN</v>
      </c>
      <c r="F563" s="6" t="str">
        <f>UPPER(Sheet1!H563)</f>
        <v>RIYA RISHKAN</v>
      </c>
      <c r="G563" s="5" t="str">
        <f>TEXT(Sheet1!C563,"dd/mm/yyyy") &amp; "," &amp; Sheet1!D563</f>
        <v>05/06/2025,CLAYTON</v>
      </c>
      <c r="H563" s="39" t="str">
        <f>UPPER(Sheet1!J563 &amp; "," &amp; Sheet1!K563 &amp; "," &amp; Sheet1!L563)</f>
        <v>115 BIRCHWOOD LANE,EMERALD ROAD,PIN:420167 CLAYTON</v>
      </c>
      <c r="I563" s="8">
        <f>Sheet1!I563</f>
        <v>45881</v>
      </c>
      <c r="J563" s="5" t="str">
        <f>Sheet1!M563 &amp; "," &amp; TEXT(Sheet1!N563,"dd/mm/yy")</f>
        <v>MHA/IND/00562,11/07/25</v>
      </c>
      <c r="K563" s="5" t="s">
        <v>5752</v>
      </c>
      <c r="L563" s="31" t="s">
        <v>14</v>
      </c>
      <c r="M563" s="31" t="s">
        <v>15</v>
      </c>
      <c r="N563" s="31" t="s">
        <v>16</v>
      </c>
    </row>
    <row r="564" spans="1:14" x14ac:dyDescent="0.25">
      <c r="A564" s="4" t="str">
        <f>Sheet1!A564 &amp; "/" &amp; "2025"</f>
        <v>563/2025</v>
      </c>
      <c r="B564" s="5" t="str">
        <f>Sheet1!E564</f>
        <v>IND/MEL/00563</v>
      </c>
      <c r="C564" s="6" t="str">
        <f>UPPER(Sheet1!B564)</f>
        <v>ISHAN MYRTHOS</v>
      </c>
      <c r="D564" s="7" t="str">
        <f>IF(Sheet1!F564="F","FEMALE","MALE")</f>
        <v>MALE</v>
      </c>
      <c r="E564" s="6" t="str">
        <f>UPPER(Sheet1!G564)</f>
        <v>ROHIT MYRTHOS</v>
      </c>
      <c r="F564" s="6" t="str">
        <f>UPPER(Sheet1!H564)</f>
        <v>SARA MYRTHOS</v>
      </c>
      <c r="G564" s="5" t="str">
        <f>TEXT(Sheet1!C564,"dd/mm/yyyy") &amp; "," &amp; Sheet1!D564</f>
        <v>15/08/2025,SYDNEY</v>
      </c>
      <c r="H564" s="39" t="str">
        <f>UPPER(Sheet1!J564 &amp; "," &amp; Sheet1!K564 &amp; "," &amp; Sheet1!L564)</f>
        <v>87 BIRCHWOOD LANE,EMERALD ROAD,PIN:467770 SYDNEY</v>
      </c>
      <c r="I564" s="8">
        <f>Sheet1!I564</f>
        <v>45929</v>
      </c>
      <c r="J564" s="5" t="str">
        <f>Sheet1!M564 &amp; "," &amp; TEXT(Sheet1!N564,"dd/mm/yy")</f>
        <v>MHA/IND/00563,17/07/25</v>
      </c>
      <c r="K564" s="5" t="s">
        <v>5752</v>
      </c>
      <c r="L564" s="31" t="s">
        <v>14</v>
      </c>
      <c r="M564" s="31" t="s">
        <v>15</v>
      </c>
      <c r="N564" s="31" t="s">
        <v>16</v>
      </c>
    </row>
    <row r="565" spans="1:14" x14ac:dyDescent="0.25">
      <c r="A565" s="4" t="str">
        <f>Sheet1!A565 &amp; "/" &amp; "2025"</f>
        <v>564/2025</v>
      </c>
      <c r="B565" s="5" t="str">
        <f>Sheet1!E565</f>
        <v>IND/MEL/00564</v>
      </c>
      <c r="C565" s="6" t="str">
        <f>UPPER(Sheet1!B565)</f>
        <v>ROHIT KALEON</v>
      </c>
      <c r="D565" s="7" t="str">
        <f>IF(Sheet1!F565="F","FEMALE","MALE")</f>
        <v>MALE</v>
      </c>
      <c r="E565" s="6" t="str">
        <f>UPPER(Sheet1!G565)</f>
        <v>ARJUN KALEON</v>
      </c>
      <c r="F565" s="6" t="str">
        <f>UPPER(Sheet1!H565)</f>
        <v>NINA KALEON</v>
      </c>
      <c r="G565" s="5" t="str">
        <f>TEXT(Sheet1!C565,"dd/mm/yyyy") &amp; "," &amp; Sheet1!D565</f>
        <v>22/09/2025,SHEPPARTON</v>
      </c>
      <c r="H565" s="39" t="str">
        <f>UPPER(Sheet1!J565 &amp; "," &amp; Sheet1!K565 &amp; "," &amp; Sheet1!L565)</f>
        <v>77 BIRCHWOOD LANE,EMERALD ROAD,PIN:757926 SHEPPARTON</v>
      </c>
      <c r="I565" s="8">
        <f>Sheet1!I565</f>
        <v>46024</v>
      </c>
      <c r="J565" s="5" t="str">
        <f>Sheet1!M565 &amp; "," &amp; TEXT(Sheet1!N565,"dd/mm/yy")</f>
        <v>MHA/IND/00564,10/08/25</v>
      </c>
      <c r="K565" s="5" t="s">
        <v>5752</v>
      </c>
      <c r="L565" s="31" t="s">
        <v>14</v>
      </c>
      <c r="M565" s="31" t="s">
        <v>15</v>
      </c>
      <c r="N565" s="31" t="s">
        <v>16</v>
      </c>
    </row>
    <row r="566" spans="1:14" x14ac:dyDescent="0.25">
      <c r="A566" s="4" t="str">
        <f>Sheet1!A566 &amp; "/" &amp; "2025"</f>
        <v>565/2025</v>
      </c>
      <c r="B566" s="5" t="str">
        <f>Sheet1!E566</f>
        <v>IND/MEL/00565</v>
      </c>
      <c r="C566" s="6" t="str">
        <f>UPPER(Sheet1!B566)</f>
        <v>NEIL KALEON</v>
      </c>
      <c r="D566" s="7" t="str">
        <f>IF(Sheet1!F566="F","FEMALE","MALE")</f>
        <v>MALE</v>
      </c>
      <c r="E566" s="6" t="str">
        <f>UPPER(Sheet1!G566)</f>
        <v>ROHIT KALEON</v>
      </c>
      <c r="F566" s="6" t="str">
        <f>UPPER(Sheet1!H566)</f>
        <v>DIYA KALEON</v>
      </c>
      <c r="G566" s="5" t="str">
        <f>TEXT(Sheet1!C566,"dd/mm/yyyy") &amp; "," &amp; Sheet1!D566</f>
        <v>21/04/2025,WERRIBEE</v>
      </c>
      <c r="H566" s="39" t="str">
        <f>UPPER(Sheet1!J566 &amp; "," &amp; Sheet1!K566 &amp; "," &amp; Sheet1!L566)</f>
        <v>59 BIRCHWOOD LANE,EMERALD ROAD,PIN:445229 WERRIBEE</v>
      </c>
      <c r="I566" s="8">
        <f>Sheet1!I566</f>
        <v>45776</v>
      </c>
      <c r="J566" s="5" t="str">
        <f>Sheet1!M566 &amp; "," &amp; TEXT(Sheet1!N566,"dd/mm/yy")</f>
        <v>MHA/IND/00565,28/08/25</v>
      </c>
      <c r="K566" s="5" t="s">
        <v>5752</v>
      </c>
      <c r="L566" s="31" t="s">
        <v>14</v>
      </c>
      <c r="M566" s="31" t="s">
        <v>15</v>
      </c>
      <c r="N566" s="31" t="s">
        <v>16</v>
      </c>
    </row>
    <row r="567" spans="1:14" x14ac:dyDescent="0.25">
      <c r="A567" s="4" t="str">
        <f>Sheet1!A567 &amp; "/" &amp; "2025"</f>
        <v>566/2025</v>
      </c>
      <c r="B567" s="5" t="str">
        <f>Sheet1!E567</f>
        <v>IND/MEL/00566</v>
      </c>
      <c r="C567" s="6" t="str">
        <f>UPPER(Sheet1!B567)</f>
        <v>MIRA KALEON</v>
      </c>
      <c r="D567" s="7" t="str">
        <f>IF(Sheet1!F567="F","FEMALE","MALE")</f>
        <v>FEMALE</v>
      </c>
      <c r="E567" s="6" t="str">
        <f>UPPER(Sheet1!G567)</f>
        <v>ARJUN KALEON</v>
      </c>
      <c r="F567" s="6" t="str">
        <f>UPPER(Sheet1!H567)</f>
        <v>DIYA KALEON</v>
      </c>
      <c r="G567" s="5" t="str">
        <f>TEXT(Sheet1!C567,"dd/mm/yyyy") &amp; "," &amp; Sheet1!D567</f>
        <v>27/10/2025,MOUNT WAVERLEY</v>
      </c>
      <c r="H567" s="39" t="str">
        <f>UPPER(Sheet1!J567 &amp; "," &amp; Sheet1!K567 &amp; "," &amp; Sheet1!L567)</f>
        <v>97 BIRCHWOOD LANE,EMERALD ROAD,PIN:563405 MOUNT WAVERLEY</v>
      </c>
      <c r="I567" s="8">
        <f>Sheet1!I567</f>
        <v>45976</v>
      </c>
      <c r="J567" s="5" t="str">
        <f>Sheet1!M567 &amp; "," &amp; TEXT(Sheet1!N567,"dd/mm/yy")</f>
        <v>MHA/IND/00566,01/07/25</v>
      </c>
      <c r="K567" s="5" t="s">
        <v>5752</v>
      </c>
      <c r="L567" s="31" t="s">
        <v>14</v>
      </c>
      <c r="M567" s="31" t="s">
        <v>15</v>
      </c>
      <c r="N567" s="31" t="s">
        <v>16</v>
      </c>
    </row>
    <row r="568" spans="1:14" x14ac:dyDescent="0.25">
      <c r="A568" s="4" t="str">
        <f>Sheet1!A568 &amp; "/" &amp; "2025"</f>
        <v>567/2025</v>
      </c>
      <c r="B568" s="5" t="str">
        <f>Sheet1!E568</f>
        <v>IND/MEL/00567</v>
      </c>
      <c r="C568" s="6" t="str">
        <f>UPPER(Sheet1!B568)</f>
        <v>DIYA KALEON</v>
      </c>
      <c r="D568" s="7" t="str">
        <f>IF(Sheet1!F568="F","FEMALE","MALE")</f>
        <v>FEMALE</v>
      </c>
      <c r="E568" s="6" t="str">
        <f>UPPER(Sheet1!G568)</f>
        <v>DEV KALEON</v>
      </c>
      <c r="F568" s="6" t="str">
        <f>UPPER(Sheet1!H568)</f>
        <v>ANYA KALEON</v>
      </c>
      <c r="G568" s="5" t="str">
        <f>TEXT(Sheet1!C568,"dd/mm/yyyy") &amp; "," &amp; Sheet1!D568</f>
        <v>11/07/2025,BRISBANE</v>
      </c>
      <c r="H568" s="39" t="str">
        <f>UPPER(Sheet1!J568 &amp; "," &amp; Sheet1!K568 &amp; "," &amp; Sheet1!L568)</f>
        <v>27 BIRCHWOOD LANE,EMERALD ROAD,PIN:220650 BRISBANE</v>
      </c>
      <c r="I568" s="8">
        <f>Sheet1!I568</f>
        <v>45956</v>
      </c>
      <c r="J568" s="5" t="str">
        <f>Sheet1!M568 &amp; "," &amp; TEXT(Sheet1!N568,"dd/mm/yy")</f>
        <v>MHA/IND/00567,24/08/25</v>
      </c>
      <c r="K568" s="5" t="s">
        <v>5752</v>
      </c>
      <c r="L568" s="31" t="s">
        <v>14</v>
      </c>
      <c r="M568" s="31" t="s">
        <v>15</v>
      </c>
      <c r="N568" s="31" t="s">
        <v>16</v>
      </c>
    </row>
    <row r="569" spans="1:14" x14ac:dyDescent="0.25">
      <c r="A569" s="4" t="str">
        <f>Sheet1!A569 &amp; "/" &amp; "2025"</f>
        <v>568/2025</v>
      </c>
      <c r="B569" s="5" t="str">
        <f>Sheet1!E569</f>
        <v>IND/MEL/00568</v>
      </c>
      <c r="C569" s="6" t="str">
        <f>UPPER(Sheet1!B569)</f>
        <v>KABIR MYRTHOS</v>
      </c>
      <c r="D569" s="7" t="str">
        <f>IF(Sheet1!F569="F","FEMALE","MALE")</f>
        <v>MALE</v>
      </c>
      <c r="E569" s="6" t="str">
        <f>UPPER(Sheet1!G569)</f>
        <v>KIRAN MYRTHOS</v>
      </c>
      <c r="F569" s="6" t="str">
        <f>UPPER(Sheet1!H569)</f>
        <v>SARA MYRTHOS</v>
      </c>
      <c r="G569" s="5" t="str">
        <f>TEXT(Sheet1!C569,"dd/mm/yyyy") &amp; "," &amp; Sheet1!D569</f>
        <v>16/02/2025,MILDURA</v>
      </c>
      <c r="H569" s="39" t="str">
        <f>UPPER(Sheet1!J569 &amp; "," &amp; Sheet1!K569 &amp; "," &amp; Sheet1!L569)</f>
        <v>198 BIRCHWOOD LANE,EMERALD ROAD,PIN:462004 MILDURA</v>
      </c>
      <c r="I569" s="8">
        <f>Sheet1!I569</f>
        <v>45773</v>
      </c>
      <c r="J569" s="5" t="str">
        <f>Sheet1!M569 &amp; "," &amp; TEXT(Sheet1!N569,"dd/mm/yy")</f>
        <v>MHA/IND/00568,12/08/25</v>
      </c>
      <c r="K569" s="5" t="s">
        <v>5752</v>
      </c>
      <c r="L569" s="31" t="s">
        <v>14</v>
      </c>
      <c r="M569" s="31" t="s">
        <v>15</v>
      </c>
      <c r="N569" s="31" t="s">
        <v>16</v>
      </c>
    </row>
    <row r="570" spans="1:14" x14ac:dyDescent="0.25">
      <c r="A570" s="4" t="str">
        <f>Sheet1!A570 &amp; "/" &amp; "2025"</f>
        <v>569/2025</v>
      </c>
      <c r="B570" s="5" t="str">
        <f>Sheet1!E570</f>
        <v>IND/MEL/00569</v>
      </c>
      <c r="C570" s="6" t="str">
        <f>UPPER(Sheet1!B570)</f>
        <v>ROHIT RISHKAN</v>
      </c>
      <c r="D570" s="7" t="str">
        <f>IF(Sheet1!F570="F","FEMALE","MALE")</f>
        <v>MALE</v>
      </c>
      <c r="E570" s="6" t="str">
        <f>UPPER(Sheet1!G570)</f>
        <v>ARJUN RISHKAN</v>
      </c>
      <c r="F570" s="6" t="str">
        <f>UPPER(Sheet1!H570)</f>
        <v>ANYA RISHKAN</v>
      </c>
      <c r="G570" s="5" t="str">
        <f>TEXT(Sheet1!C570,"dd/mm/yyyy") &amp; "," &amp; Sheet1!D570</f>
        <v>14/02/2025,KINGSWOOD</v>
      </c>
      <c r="H570" s="39" t="str">
        <f>UPPER(Sheet1!J570 &amp; "," &amp; Sheet1!K570 &amp; "," &amp; Sheet1!L570)</f>
        <v>83 BIRCHWOOD LANE,EMERALD ROAD,PIN:270087 KINGSWOOD</v>
      </c>
      <c r="I570" s="8">
        <f>Sheet1!I570</f>
        <v>45741</v>
      </c>
      <c r="J570" s="5" t="str">
        <f>Sheet1!M570 &amp; "," &amp; TEXT(Sheet1!N570,"dd/mm/yy")</f>
        <v>MHA/IND/00569,24/07/25</v>
      </c>
      <c r="K570" s="5" t="s">
        <v>5752</v>
      </c>
      <c r="L570" s="31" t="s">
        <v>14</v>
      </c>
      <c r="M570" s="31" t="s">
        <v>15</v>
      </c>
      <c r="N570" s="31" t="s">
        <v>16</v>
      </c>
    </row>
    <row r="571" spans="1:14" x14ac:dyDescent="0.25">
      <c r="A571" s="4" t="str">
        <f>Sheet1!A571 &amp; "/" &amp; "2025"</f>
        <v>570/2025</v>
      </c>
      <c r="B571" s="5" t="str">
        <f>Sheet1!E571</f>
        <v>IND/MEL/00570</v>
      </c>
      <c r="C571" s="6" t="str">
        <f>UPPER(Sheet1!B571)</f>
        <v>ROHIT MYRTHOS</v>
      </c>
      <c r="D571" s="7" t="str">
        <f>IF(Sheet1!F571="F","FEMALE","MALE")</f>
        <v>MALE</v>
      </c>
      <c r="E571" s="6" t="str">
        <f>UPPER(Sheet1!G571)</f>
        <v>NEIL MYRTHOS</v>
      </c>
      <c r="F571" s="6" t="str">
        <f>UPPER(Sheet1!H571)</f>
        <v>RIYA MYRTHOS</v>
      </c>
      <c r="G571" s="5" t="str">
        <f>TEXT(Sheet1!C571,"dd/mm/yyyy") &amp; "," &amp; Sheet1!D571</f>
        <v>17/09/2025,TUGGERANONG</v>
      </c>
      <c r="H571" s="39" t="str">
        <f>UPPER(Sheet1!J571 &amp; "," &amp; Sheet1!K571 &amp; "," &amp; Sheet1!L571)</f>
        <v>97 BIRCHWOOD LANE,EMERALD ROAD,PIN:639992 TUGGERANONG</v>
      </c>
      <c r="I571" s="8">
        <f>Sheet1!I571</f>
        <v>45969</v>
      </c>
      <c r="J571" s="5" t="str">
        <f>Sheet1!M571 &amp; "," &amp; TEXT(Sheet1!N571,"dd/mm/yy")</f>
        <v>MHA/IND/00570,17/08/25</v>
      </c>
      <c r="K571" s="5" t="s">
        <v>5752</v>
      </c>
      <c r="L571" s="31" t="s">
        <v>14</v>
      </c>
      <c r="M571" s="31" t="s">
        <v>15</v>
      </c>
      <c r="N571" s="31" t="s">
        <v>16</v>
      </c>
    </row>
    <row r="572" spans="1:14" ht="30" customHeight="1" x14ac:dyDescent="0.25">
      <c r="A572" s="4" t="str">
        <f>Sheet1!A572 &amp; "/" &amp; "2025"</f>
        <v>571/2025</v>
      </c>
      <c r="B572" s="5" t="str">
        <f>Sheet1!E572</f>
        <v>IND/MEL/00571</v>
      </c>
      <c r="C572" s="6" t="str">
        <f>UPPER(Sheet1!B572)</f>
        <v>ALYA RAO</v>
      </c>
      <c r="D572" s="7" t="str">
        <f>IF(Sheet1!F572="F","FEMALE","MALE")</f>
        <v>FEMALE</v>
      </c>
      <c r="E572" s="6" t="str">
        <f>UPPER(Sheet1!G572)</f>
        <v>ROHIT RAO</v>
      </c>
      <c r="F572" s="6" t="str">
        <f>UPPER(Sheet1!H572)</f>
        <v>ALYA RAO</v>
      </c>
      <c r="G572" s="5" t="str">
        <f>TEXT(Sheet1!C572,"dd/mm/yyyy") &amp; "," &amp; Sheet1!D572</f>
        <v>14/01/2025,HEIDELBERG</v>
      </c>
      <c r="H572" s="39" t="str">
        <f>UPPER(Sheet1!J572 &amp; "," &amp; Sheet1!K572 &amp; "," &amp; Sheet1!L572)</f>
        <v>140 BIRCHWOOD LANE,EMERALD ROAD,PIN:499471 HEIDELBERG</v>
      </c>
      <c r="I572" s="8">
        <f>Sheet1!I572</f>
        <v>45780</v>
      </c>
      <c r="J572" s="5" t="str">
        <f>Sheet1!M572 &amp; "," &amp; TEXT(Sheet1!N572,"dd/mm/yy")</f>
        <v>MHA/IND/00571,28/07/25</v>
      </c>
      <c r="K572" s="5" t="s">
        <v>5752</v>
      </c>
      <c r="L572" s="31" t="s">
        <v>14</v>
      </c>
      <c r="M572" s="31" t="s">
        <v>15</v>
      </c>
      <c r="N572" s="31" t="s">
        <v>16</v>
      </c>
    </row>
    <row r="573" spans="1:14" x14ac:dyDescent="0.25">
      <c r="A573" s="4" t="str">
        <f>Sheet1!A573 &amp; "/" &amp; "2025"</f>
        <v>572/2025</v>
      </c>
      <c r="B573" s="5" t="str">
        <f>Sheet1!E573</f>
        <v>IND/MEL/00572</v>
      </c>
      <c r="C573" s="6" t="str">
        <f>UPPER(Sheet1!B573)</f>
        <v>NEIL RISHKAN</v>
      </c>
      <c r="D573" s="7" t="str">
        <f>IF(Sheet1!F573="F","FEMALE","MALE")</f>
        <v>MALE</v>
      </c>
      <c r="E573" s="6" t="str">
        <f>UPPER(Sheet1!G573)</f>
        <v>NEIL RISHKAN</v>
      </c>
      <c r="F573" s="6" t="str">
        <f>UPPER(Sheet1!H573)</f>
        <v>NINA RISHKAN</v>
      </c>
      <c r="G573" s="5" t="str">
        <f>TEXT(Sheet1!C573,"dd/mm/yyyy") &amp; "," &amp; Sheet1!D573</f>
        <v>23/05/2025,BALLARAT CENTRAL</v>
      </c>
      <c r="H573" s="39" t="str">
        <f>UPPER(Sheet1!J573 &amp; "," &amp; Sheet1!K573 &amp; "," &amp; Sheet1!L573)</f>
        <v>80 BIRCHWOOD LANE,EMERALD ROAD,PIN:295625 BALLARAT CENTRAL</v>
      </c>
      <c r="I573" s="8">
        <f>Sheet1!I573</f>
        <v>45822</v>
      </c>
      <c r="J573" s="5" t="str">
        <f>Sheet1!M573 &amp; "," &amp; TEXT(Sheet1!N573,"dd/mm/yy")</f>
        <v>MHA/IND/00572,13/07/25</v>
      </c>
      <c r="K573" s="5" t="s">
        <v>5752</v>
      </c>
      <c r="L573" s="31" t="s">
        <v>14</v>
      </c>
      <c r="M573" s="31" t="s">
        <v>15</v>
      </c>
      <c r="N573" s="31" t="s">
        <v>16</v>
      </c>
    </row>
    <row r="574" spans="1:14" x14ac:dyDescent="0.25">
      <c r="A574" s="4" t="str">
        <f>Sheet1!A574 &amp; "/" &amp; "2025"</f>
        <v>573/2025</v>
      </c>
      <c r="B574" s="5" t="str">
        <f>Sheet1!E574</f>
        <v>IND/MEL/00573</v>
      </c>
      <c r="C574" s="6" t="str">
        <f>UPPER(Sheet1!B574)</f>
        <v>RIYA SHARMA</v>
      </c>
      <c r="D574" s="7" t="str">
        <f>IF(Sheet1!F574="F","FEMALE","MALE")</f>
        <v>FEMALE</v>
      </c>
      <c r="E574" s="6" t="str">
        <f>UPPER(Sheet1!G574)</f>
        <v>KABIR SHARMA</v>
      </c>
      <c r="F574" s="6" t="str">
        <f>UPPER(Sheet1!H574)</f>
        <v>ALYA SHARMA</v>
      </c>
      <c r="G574" s="5" t="str">
        <f>TEXT(Sheet1!C574,"dd/mm/yyyy") &amp; "," &amp; Sheet1!D574</f>
        <v>02/10/2025,BUNDABERG</v>
      </c>
      <c r="H574" s="39" t="str">
        <f>UPPER(Sheet1!J574 &amp; "," &amp; Sheet1!K574 &amp; "," &amp; Sheet1!L574)</f>
        <v>164 BIRCHWOOD LANE,EMERALD ROAD,PIN:842372 BUNDABERG</v>
      </c>
      <c r="I574" s="8">
        <f>Sheet1!I574</f>
        <v>45950</v>
      </c>
      <c r="J574" s="5" t="str">
        <f>Sheet1!M574 &amp; "," &amp; TEXT(Sheet1!N574,"dd/mm/yy")</f>
        <v>MHA/IND/00573,16/08/25</v>
      </c>
      <c r="K574" s="5" t="s">
        <v>5752</v>
      </c>
      <c r="L574" s="31" t="s">
        <v>14</v>
      </c>
      <c r="M574" s="31" t="s">
        <v>15</v>
      </c>
      <c r="N574" s="31" t="s">
        <v>16</v>
      </c>
    </row>
    <row r="575" spans="1:14" x14ac:dyDescent="0.25">
      <c r="A575" s="4" t="str">
        <f>Sheet1!A575 &amp; "/" &amp; "2025"</f>
        <v>574/2025</v>
      </c>
      <c r="B575" s="5" t="str">
        <f>Sheet1!E575</f>
        <v>IND/MEL/00574</v>
      </c>
      <c r="C575" s="6" t="str">
        <f>UPPER(Sheet1!B575)</f>
        <v>ALYA SHARMA</v>
      </c>
      <c r="D575" s="7" t="str">
        <f>IF(Sheet1!F575="F","FEMALE","MALE")</f>
        <v>FEMALE</v>
      </c>
      <c r="E575" s="6" t="str">
        <f>UPPER(Sheet1!G575)</f>
        <v>KABIR SHARMA</v>
      </c>
      <c r="F575" s="6" t="str">
        <f>UPPER(Sheet1!H575)</f>
        <v>ALYA SHARMA</v>
      </c>
      <c r="G575" s="5" t="str">
        <f>TEXT(Sheet1!C575,"dd/mm/yyyy") &amp; "," &amp; Sheet1!D575</f>
        <v>28/04/2025,LAUNCESTON</v>
      </c>
      <c r="H575" s="39" t="str">
        <f>UPPER(Sheet1!J575 &amp; "," &amp; Sheet1!K575 &amp; "," &amp; Sheet1!L575)</f>
        <v>15 BIRCHWOOD LANE,EMERALD ROAD,PIN:931268 LAUNCESTON</v>
      </c>
      <c r="I575" s="8">
        <f>Sheet1!I575</f>
        <v>45864</v>
      </c>
      <c r="J575" s="5" t="str">
        <f>Sheet1!M575 &amp; "," &amp; TEXT(Sheet1!N575,"dd/mm/yy")</f>
        <v>MHA/IND/00574,28/08/25</v>
      </c>
      <c r="K575" s="5" t="s">
        <v>5752</v>
      </c>
      <c r="L575" s="31" t="s">
        <v>14</v>
      </c>
      <c r="M575" s="31" t="s">
        <v>15</v>
      </c>
      <c r="N575" s="31" t="s">
        <v>16</v>
      </c>
    </row>
    <row r="576" spans="1:14" x14ac:dyDescent="0.25">
      <c r="A576" s="4" t="str">
        <f>Sheet1!A576 &amp; "/" &amp; "2025"</f>
        <v>575/2025</v>
      </c>
      <c r="B576" s="5" t="str">
        <f>Sheet1!E576</f>
        <v>IND/MEL/00575</v>
      </c>
      <c r="C576" s="6" t="str">
        <f>UPPER(Sheet1!B576)</f>
        <v>SARA KALEON</v>
      </c>
      <c r="D576" s="7" t="str">
        <f>IF(Sheet1!F576="F","FEMALE","MALE")</f>
        <v>FEMALE</v>
      </c>
      <c r="E576" s="6" t="str">
        <f>UPPER(Sheet1!G576)</f>
        <v>KABIR KALEON</v>
      </c>
      <c r="F576" s="6" t="str">
        <f>UPPER(Sheet1!H576)</f>
        <v>MIRA KALEON</v>
      </c>
      <c r="G576" s="5" t="str">
        <f>TEXT(Sheet1!C576,"dd/mm/yyyy") &amp; "," &amp; Sheet1!D576</f>
        <v>12/10/2025,BUNDOORA</v>
      </c>
      <c r="H576" s="39" t="str">
        <f>UPPER(Sheet1!J576 &amp; "," &amp; Sheet1!K576 &amp; "," &amp; Sheet1!L576)</f>
        <v>100 BIRCHWOOD LANE,EMERALD ROAD,PIN:115514 BUNDOORA</v>
      </c>
      <c r="I576" s="8">
        <f>Sheet1!I576</f>
        <v>45975</v>
      </c>
      <c r="J576" s="5" t="str">
        <f>Sheet1!M576 &amp; "," &amp; TEXT(Sheet1!N576,"dd/mm/yy")</f>
        <v>MHA/IND/00575,20/07/25</v>
      </c>
      <c r="K576" s="5" t="s">
        <v>5752</v>
      </c>
      <c r="L576" s="31" t="s">
        <v>14</v>
      </c>
      <c r="M576" s="31" t="s">
        <v>15</v>
      </c>
      <c r="N576" s="31" t="s">
        <v>16</v>
      </c>
    </row>
    <row r="577" spans="1:14" x14ac:dyDescent="0.25">
      <c r="A577" s="4" t="str">
        <f>Sheet1!A577 &amp; "/" &amp; "2025"</f>
        <v>576/2025</v>
      </c>
      <c r="B577" s="5" t="str">
        <f>Sheet1!E577</f>
        <v>IND/MEL/00576</v>
      </c>
      <c r="C577" s="6" t="str">
        <f>UPPER(Sheet1!B577)</f>
        <v>ARJUN VALZARI</v>
      </c>
      <c r="D577" s="7" t="str">
        <f>IF(Sheet1!F577="F","FEMALE","MALE")</f>
        <v>MALE</v>
      </c>
      <c r="E577" s="6" t="str">
        <f>UPPER(Sheet1!G577)</f>
        <v>ARJUN VALZARI</v>
      </c>
      <c r="F577" s="6" t="str">
        <f>UPPER(Sheet1!H577)</f>
        <v>ALYA VALZARI</v>
      </c>
      <c r="G577" s="5" t="str">
        <f>TEXT(Sheet1!C577,"dd/mm/yyyy") &amp; "," &amp; Sheet1!D577</f>
        <v>07/01/2025,ST ALBANS</v>
      </c>
      <c r="H577" s="39" t="str">
        <f>UPPER(Sheet1!J577 &amp; "," &amp; Sheet1!K577 &amp; "," &amp; Sheet1!L577)</f>
        <v>140 BIRCHWOOD LANE,EMERALD ROAD,PIN:979619 ST ALBANS</v>
      </c>
      <c r="I577" s="8">
        <f>Sheet1!I577</f>
        <v>45725</v>
      </c>
      <c r="J577" s="5" t="str">
        <f>Sheet1!M577 &amp; "," &amp; TEXT(Sheet1!N577,"dd/mm/yy")</f>
        <v>MHA/IND/00576,21/07/25</v>
      </c>
      <c r="K577" s="5" t="s">
        <v>5752</v>
      </c>
      <c r="L577" s="31" t="s">
        <v>14</v>
      </c>
      <c r="M577" s="31" t="s">
        <v>15</v>
      </c>
      <c r="N577" s="31" t="s">
        <v>16</v>
      </c>
    </row>
    <row r="578" spans="1:14" x14ac:dyDescent="0.25">
      <c r="A578" s="4" t="str">
        <f>Sheet1!A578 &amp; "/" &amp; "2025"</f>
        <v>577/2025</v>
      </c>
      <c r="B578" s="5" t="str">
        <f>Sheet1!E578</f>
        <v>IND/MEL/00577</v>
      </c>
      <c r="C578" s="6" t="str">
        <f>UPPER(Sheet1!B578)</f>
        <v>NEIL VALZARI</v>
      </c>
      <c r="D578" s="7" t="str">
        <f>IF(Sheet1!F578="F","FEMALE","MALE")</f>
        <v>MALE</v>
      </c>
      <c r="E578" s="6" t="str">
        <f>UPPER(Sheet1!G578)</f>
        <v>ISHAN VALZARI</v>
      </c>
      <c r="F578" s="6" t="str">
        <f>UPPER(Sheet1!H578)</f>
        <v>SARA VALZARI</v>
      </c>
      <c r="G578" s="5" t="str">
        <f>TEXT(Sheet1!C578,"dd/mm/yyyy") &amp; "," &amp; Sheet1!D578</f>
        <v>25/08/2025,BLACKTOWN</v>
      </c>
      <c r="H578" s="39" t="str">
        <f>UPPER(Sheet1!J578 &amp; "," &amp; Sheet1!K578 &amp; "," &amp; Sheet1!L578)</f>
        <v>59 BIRCHWOOD LANE,EMERALD ROAD,PIN:338900 BLACKTOWN</v>
      </c>
      <c r="I578" s="8">
        <f>Sheet1!I578</f>
        <v>45951</v>
      </c>
      <c r="J578" s="5" t="str">
        <f>Sheet1!M578 &amp; "," &amp; TEXT(Sheet1!N578,"dd/mm/yy")</f>
        <v>MHA/IND/00577,26/08/25</v>
      </c>
      <c r="K578" s="5" t="s">
        <v>5752</v>
      </c>
      <c r="L578" s="31" t="s">
        <v>14</v>
      </c>
      <c r="M578" s="31" t="s">
        <v>15</v>
      </c>
      <c r="N578" s="31" t="s">
        <v>16</v>
      </c>
    </row>
    <row r="579" spans="1:14" x14ac:dyDescent="0.25">
      <c r="A579" s="4" t="str">
        <f>Sheet1!A579 &amp; "/" &amp; "2025"</f>
        <v>578/2025</v>
      </c>
      <c r="B579" s="5" t="str">
        <f>Sheet1!E579</f>
        <v>IND/MEL/00578</v>
      </c>
      <c r="C579" s="6" t="str">
        <f>UPPER(Sheet1!B579)</f>
        <v>ANYA RISHKAN</v>
      </c>
      <c r="D579" s="7" t="str">
        <f>IF(Sheet1!F579="F","FEMALE","MALE")</f>
        <v>FEMALE</v>
      </c>
      <c r="E579" s="6" t="str">
        <f>UPPER(Sheet1!G579)</f>
        <v>ROHIT RISHKAN</v>
      </c>
      <c r="F579" s="6" t="str">
        <f>UPPER(Sheet1!H579)</f>
        <v>MIRA RISHKAN</v>
      </c>
      <c r="G579" s="5" t="str">
        <f>TEXT(Sheet1!C579,"dd/mm/yyyy") &amp; "," &amp; Sheet1!D579</f>
        <v>22/08/2025,DARWIN</v>
      </c>
      <c r="H579" s="39" t="str">
        <f>UPPER(Sheet1!J579 &amp; "," &amp; Sheet1!K579 &amp; "," &amp; Sheet1!L579)</f>
        <v>125 BIRCHWOOD LANE,EMERALD ROAD,PIN:311709 DARWIN</v>
      </c>
      <c r="I579" s="8">
        <f>Sheet1!I579</f>
        <v>45934</v>
      </c>
      <c r="J579" s="5" t="str">
        <f>Sheet1!M579 &amp; "," &amp; TEXT(Sheet1!N579,"dd/mm/yy")</f>
        <v>MHA/IND/00578,15/08/25</v>
      </c>
      <c r="K579" s="5" t="s">
        <v>5752</v>
      </c>
      <c r="L579" s="31" t="s">
        <v>14</v>
      </c>
      <c r="M579" s="31" t="s">
        <v>15</v>
      </c>
      <c r="N579" s="31" t="s">
        <v>16</v>
      </c>
    </row>
    <row r="580" spans="1:14" x14ac:dyDescent="0.25">
      <c r="A580" s="4" t="str">
        <f>Sheet1!A580 &amp; "/" &amp; "2025"</f>
        <v>579/2025</v>
      </c>
      <c r="B580" s="5" t="str">
        <f>Sheet1!E580</f>
        <v>IND/MEL/00579</v>
      </c>
      <c r="C580" s="6" t="str">
        <f>UPPER(Sheet1!B580)</f>
        <v>RIYA VALZARI</v>
      </c>
      <c r="D580" s="7" t="str">
        <f>IF(Sheet1!F580="F","FEMALE","MALE")</f>
        <v>FEMALE</v>
      </c>
      <c r="E580" s="6" t="str">
        <f>UPPER(Sheet1!G580)</f>
        <v>KIRAN VALZARI</v>
      </c>
      <c r="F580" s="6" t="str">
        <f>UPPER(Sheet1!H580)</f>
        <v>RIYA VALZARI</v>
      </c>
      <c r="G580" s="5" t="str">
        <f>TEXT(Sheet1!C580,"dd/mm/yyyy") &amp; "," &amp; Sheet1!D580</f>
        <v>24/01/2025,TOWNSVILLE</v>
      </c>
      <c r="H580" s="39" t="str">
        <f>UPPER(Sheet1!J580 &amp; "," &amp; Sheet1!K580 &amp; "," &amp; Sheet1!L580)</f>
        <v>66 BIRCHWOOD LANE,EMERALD ROAD,PIN:614427 TOWNSVILLE</v>
      </c>
      <c r="I580" s="8">
        <f>Sheet1!I580</f>
        <v>45731</v>
      </c>
      <c r="J580" s="5" t="str">
        <f>Sheet1!M580 &amp; "," &amp; TEXT(Sheet1!N580,"dd/mm/yy")</f>
        <v>MHA/IND/00579,19/07/25</v>
      </c>
      <c r="K580" s="5" t="s">
        <v>5752</v>
      </c>
      <c r="L580" s="31" t="s">
        <v>14</v>
      </c>
      <c r="M580" s="31" t="s">
        <v>15</v>
      </c>
      <c r="N580" s="31" t="s">
        <v>16</v>
      </c>
    </row>
    <row r="581" spans="1:14" x14ac:dyDescent="0.25">
      <c r="A581" s="4" t="str">
        <f>Sheet1!A581 &amp; "/" &amp; "2025"</f>
        <v>580/2025</v>
      </c>
      <c r="B581" s="5" t="str">
        <f>Sheet1!E581</f>
        <v>IND/MEL/00580</v>
      </c>
      <c r="C581" s="6" t="str">
        <f>UPPER(Sheet1!B581)</f>
        <v>NINA MYRTHOS</v>
      </c>
      <c r="D581" s="7" t="str">
        <f>IF(Sheet1!F581="F","FEMALE","MALE")</f>
        <v>FEMALE</v>
      </c>
      <c r="E581" s="6" t="str">
        <f>UPPER(Sheet1!G581)</f>
        <v>NEIL MYRTHOS</v>
      </c>
      <c r="F581" s="6" t="str">
        <f>UPPER(Sheet1!H581)</f>
        <v>MIRA MYRTHOS</v>
      </c>
      <c r="G581" s="5" t="str">
        <f>TEXT(Sheet1!C581,"dd/mm/yyyy") &amp; "," &amp; Sheet1!D581</f>
        <v>15/05/2025,MANDURAH</v>
      </c>
      <c r="H581" s="39" t="str">
        <f>UPPER(Sheet1!J581 &amp; "," &amp; Sheet1!K581 &amp; "," &amp; Sheet1!L581)</f>
        <v>141 BIRCHWOOD LANE,EMERALD ROAD,PIN:221704 MANDURAH</v>
      </c>
      <c r="I581" s="8">
        <f>Sheet1!I581</f>
        <v>45804</v>
      </c>
      <c r="J581" s="5" t="str">
        <f>Sheet1!M581 &amp; "," &amp; TEXT(Sheet1!N581,"dd/mm/yy")</f>
        <v>MHA/IND/00580,18/07/25</v>
      </c>
      <c r="K581" s="5" t="s">
        <v>5752</v>
      </c>
      <c r="L581" s="31" t="s">
        <v>14</v>
      </c>
      <c r="M581" s="31" t="s">
        <v>15</v>
      </c>
      <c r="N581" s="31" t="s">
        <v>16</v>
      </c>
    </row>
    <row r="582" spans="1:14" x14ac:dyDescent="0.25">
      <c r="A582" s="4" t="str">
        <f>Sheet1!A582 &amp; "/" &amp; "2025"</f>
        <v>581/2025</v>
      </c>
      <c r="B582" s="5" t="str">
        <f>Sheet1!E582</f>
        <v>IND/MEL/00581</v>
      </c>
      <c r="C582" s="6" t="str">
        <f>UPPER(Sheet1!B582)</f>
        <v>KABIR KALEON</v>
      </c>
      <c r="D582" s="7" t="str">
        <f>IF(Sheet1!F582="F","FEMALE","MALE")</f>
        <v>MALE</v>
      </c>
      <c r="E582" s="6" t="str">
        <f>UPPER(Sheet1!G582)</f>
        <v>KABIR KALEON</v>
      </c>
      <c r="F582" s="6" t="str">
        <f>UPPER(Sheet1!H582)</f>
        <v>TARA KALEON</v>
      </c>
      <c r="G582" s="5" t="str">
        <f>TEXT(Sheet1!C582,"dd/mm/yyyy") &amp; "," &amp; Sheet1!D582</f>
        <v>04/03/2025,CLAYTON</v>
      </c>
      <c r="H582" s="39" t="str">
        <f>UPPER(Sheet1!J582 &amp; "," &amp; Sheet1!K582 &amp; "," &amp; Sheet1!L582)</f>
        <v>185 BIRCHWOOD LANE,EMERALD ROAD,PIN:746995 CLAYTON</v>
      </c>
      <c r="I582" s="8">
        <f>Sheet1!I582</f>
        <v>45828</v>
      </c>
      <c r="J582" s="5" t="str">
        <f>Sheet1!M582 &amp; "," &amp; TEXT(Sheet1!N582,"dd/mm/yy")</f>
        <v>MHA/IND/00581,01/08/25</v>
      </c>
      <c r="K582" s="5" t="s">
        <v>5752</v>
      </c>
      <c r="L582" s="31" t="s">
        <v>14</v>
      </c>
      <c r="M582" s="31" t="s">
        <v>15</v>
      </c>
      <c r="N582" s="31" t="s">
        <v>16</v>
      </c>
    </row>
    <row r="583" spans="1:14" x14ac:dyDescent="0.25">
      <c r="A583" s="4" t="str">
        <f>Sheet1!A583 &amp; "/" &amp; "2025"</f>
        <v>582/2025</v>
      </c>
      <c r="B583" s="5" t="str">
        <f>Sheet1!E583</f>
        <v>IND/MEL/00582</v>
      </c>
      <c r="C583" s="6" t="str">
        <f>UPPER(Sheet1!B583)</f>
        <v>MIRA MYRTHOS</v>
      </c>
      <c r="D583" s="7" t="str">
        <f>IF(Sheet1!F583="F","FEMALE","MALE")</f>
        <v>FEMALE</v>
      </c>
      <c r="E583" s="6" t="str">
        <f>UPPER(Sheet1!G583)</f>
        <v>KIRAN MYRTHOS</v>
      </c>
      <c r="F583" s="6" t="str">
        <f>UPPER(Sheet1!H583)</f>
        <v>SARA MYRTHOS</v>
      </c>
      <c r="G583" s="5" t="str">
        <f>TEXT(Sheet1!C583,"dd/mm/yyyy") &amp; "," &amp; Sheet1!D583</f>
        <v>02/09/2025,WAGGA WAGGA</v>
      </c>
      <c r="H583" s="39" t="str">
        <f>UPPER(Sheet1!J583 &amp; "," &amp; Sheet1!K583 &amp; "," &amp; Sheet1!L583)</f>
        <v>91 BIRCHWOOD LANE,EMERALD ROAD,PIN:224333 WAGGA WAGGA</v>
      </c>
      <c r="I583" s="8">
        <f>Sheet1!I583</f>
        <v>45948</v>
      </c>
      <c r="J583" s="5" t="str">
        <f>Sheet1!M583 &amp; "," &amp; TEXT(Sheet1!N583,"dd/mm/yy")</f>
        <v>MHA/IND/00582,16/08/25</v>
      </c>
      <c r="K583" s="5" t="s">
        <v>5752</v>
      </c>
      <c r="L583" s="31" t="s">
        <v>14</v>
      </c>
      <c r="M583" s="31" t="s">
        <v>15</v>
      </c>
      <c r="N583" s="31" t="s">
        <v>16</v>
      </c>
    </row>
    <row r="584" spans="1:14" x14ac:dyDescent="0.25">
      <c r="A584" s="4" t="str">
        <f>Sheet1!A584 &amp; "/" &amp; "2025"</f>
        <v>583/2025</v>
      </c>
      <c r="B584" s="5" t="str">
        <f>Sheet1!E584</f>
        <v>IND/MEL/00583</v>
      </c>
      <c r="C584" s="6" t="str">
        <f>UPPER(Sheet1!B584)</f>
        <v>KIRAN SHARMA</v>
      </c>
      <c r="D584" s="7" t="str">
        <f>IF(Sheet1!F584="F","FEMALE","MALE")</f>
        <v>MALE</v>
      </c>
      <c r="E584" s="6" t="str">
        <f>UPPER(Sheet1!G584)</f>
        <v>ROHIT SHARMA</v>
      </c>
      <c r="F584" s="6" t="str">
        <f>UPPER(Sheet1!H584)</f>
        <v>ANYA SHARMA</v>
      </c>
      <c r="G584" s="5" t="str">
        <f>TEXT(Sheet1!C584,"dd/mm/yyyy") &amp; "," &amp; Sheet1!D584</f>
        <v>25/04/2025,BOX HILL</v>
      </c>
      <c r="H584" s="39" t="str">
        <f>UPPER(Sheet1!J584 &amp; "," &amp; Sheet1!K584 &amp; "," &amp; Sheet1!L584)</f>
        <v>177 BIRCHWOOD LANE,EMERALD ROAD,PIN:240679 BOX HILL</v>
      </c>
      <c r="I584" s="8">
        <f>Sheet1!I584</f>
        <v>45866</v>
      </c>
      <c r="J584" s="5" t="str">
        <f>Sheet1!M584 &amp; "," &amp; TEXT(Sheet1!N584,"dd/mm/yy")</f>
        <v>MHA/IND/00583,02/08/25</v>
      </c>
      <c r="K584" s="5" t="s">
        <v>5752</v>
      </c>
      <c r="L584" s="31" t="s">
        <v>14</v>
      </c>
      <c r="M584" s="31" t="s">
        <v>15</v>
      </c>
      <c r="N584" s="31" t="s">
        <v>16</v>
      </c>
    </row>
    <row r="585" spans="1:14" x14ac:dyDescent="0.25">
      <c r="A585" s="4" t="str">
        <f>Sheet1!A585 &amp; "/" &amp; "2025"</f>
        <v>584/2025</v>
      </c>
      <c r="B585" s="5" t="str">
        <f>Sheet1!E585</f>
        <v>IND/MEL/00584</v>
      </c>
      <c r="C585" s="6" t="str">
        <f>UPPER(Sheet1!B585)</f>
        <v>KIRAN KALEON</v>
      </c>
      <c r="D585" s="7" t="str">
        <f>IF(Sheet1!F585="F","FEMALE","MALE")</f>
        <v>MALE</v>
      </c>
      <c r="E585" s="6" t="str">
        <f>UPPER(Sheet1!G585)</f>
        <v>NEIL KALEON</v>
      </c>
      <c r="F585" s="6" t="str">
        <f>UPPER(Sheet1!H585)</f>
        <v>ALYA KALEON</v>
      </c>
      <c r="G585" s="5" t="str">
        <f>TEXT(Sheet1!C585,"dd/mm/yyyy") &amp; "," &amp; Sheet1!D585</f>
        <v>08/08/2025,ARMADALE</v>
      </c>
      <c r="H585" s="39" t="str">
        <f>UPPER(Sheet1!J585 &amp; "," &amp; Sheet1!K585 &amp; "," &amp; Sheet1!L585)</f>
        <v>129 BIRCHWOOD LANE,EMERALD ROAD,PIN:586924 ARMADALE</v>
      </c>
      <c r="I585" s="8">
        <f>Sheet1!I585</f>
        <v>45911</v>
      </c>
      <c r="J585" s="5" t="str">
        <f>Sheet1!M585 &amp; "," &amp; TEXT(Sheet1!N585,"dd/mm/yy")</f>
        <v>MHA/IND/00584,23/07/25</v>
      </c>
      <c r="K585" s="5" t="s">
        <v>5752</v>
      </c>
      <c r="L585" s="31" t="s">
        <v>14</v>
      </c>
      <c r="M585" s="31" t="s">
        <v>15</v>
      </c>
      <c r="N585" s="31" t="s">
        <v>16</v>
      </c>
    </row>
    <row r="586" spans="1:14" x14ac:dyDescent="0.25">
      <c r="A586" s="4" t="str">
        <f>Sheet1!A586 &amp; "/" &amp; "2025"</f>
        <v>585/2025</v>
      </c>
      <c r="B586" s="5" t="str">
        <f>Sheet1!E586</f>
        <v>IND/MEL/00585</v>
      </c>
      <c r="C586" s="6" t="str">
        <f>UPPER(Sheet1!B586)</f>
        <v>TARA SINDALE</v>
      </c>
      <c r="D586" s="7" t="str">
        <f>IF(Sheet1!F586="F","FEMALE","MALE")</f>
        <v>FEMALE</v>
      </c>
      <c r="E586" s="6" t="str">
        <f>UPPER(Sheet1!G586)</f>
        <v>KIRAN SINDALE</v>
      </c>
      <c r="F586" s="6" t="str">
        <f>UPPER(Sheet1!H586)</f>
        <v>RIYA SINDALE</v>
      </c>
      <c r="G586" s="5" t="str">
        <f>TEXT(Sheet1!C586,"dd/mm/yyyy") &amp; "," &amp; Sheet1!D586</f>
        <v>03/03/2025,BUNDABERG</v>
      </c>
      <c r="H586" s="39" t="str">
        <f>UPPER(Sheet1!J586 &amp; "," &amp; Sheet1!K586 &amp; "," &amp; Sheet1!L586)</f>
        <v>16 BIRCHWOOD LANE,EMERALD ROAD,PIN:282096 BUNDABERG</v>
      </c>
      <c r="I586" s="8">
        <f>Sheet1!I586</f>
        <v>45770</v>
      </c>
      <c r="J586" s="5" t="str">
        <f>Sheet1!M586 &amp; "," &amp; TEXT(Sheet1!N586,"dd/mm/yy")</f>
        <v>MHA/IND/00585,04/08/25</v>
      </c>
      <c r="K586" s="5" t="s">
        <v>5752</v>
      </c>
      <c r="L586" s="31" t="s">
        <v>14</v>
      </c>
      <c r="M586" s="31" t="s">
        <v>15</v>
      </c>
      <c r="N586" s="31" t="s">
        <v>16</v>
      </c>
    </row>
    <row r="587" spans="1:14" x14ac:dyDescent="0.25">
      <c r="A587" s="4" t="str">
        <f>Sheet1!A587 &amp; "/" &amp; "2025"</f>
        <v>586/2025</v>
      </c>
      <c r="B587" s="5" t="str">
        <f>Sheet1!E587</f>
        <v>IND/MEL/00586</v>
      </c>
      <c r="C587" s="6" t="str">
        <f>UPPER(Sheet1!B587)</f>
        <v>DEV RAO</v>
      </c>
      <c r="D587" s="7" t="str">
        <f>IF(Sheet1!F587="F","FEMALE","MALE")</f>
        <v>MALE</v>
      </c>
      <c r="E587" s="6" t="str">
        <f>UPPER(Sheet1!G587)</f>
        <v>ARJUN RAO</v>
      </c>
      <c r="F587" s="6" t="str">
        <f>UPPER(Sheet1!H587)</f>
        <v>SARA RAO</v>
      </c>
      <c r="G587" s="5" t="str">
        <f>TEXT(Sheet1!C587,"dd/mm/yyyy") &amp; "," &amp; Sheet1!D587</f>
        <v>28/03/2025,CANBERRA</v>
      </c>
      <c r="H587" s="39" t="str">
        <f>UPPER(Sheet1!J587 &amp; "," &amp; Sheet1!K587 &amp; "," &amp; Sheet1!L587)</f>
        <v>41 BIRCHWOOD LANE,EMERALD ROAD,PIN:342753 CANBERRA</v>
      </c>
      <c r="I587" s="8">
        <f>Sheet1!I587</f>
        <v>45788</v>
      </c>
      <c r="J587" s="5" t="str">
        <f>Sheet1!M587 &amp; "," &amp; TEXT(Sheet1!N587,"dd/mm/yy")</f>
        <v>MHA/IND/00586,15/07/25</v>
      </c>
      <c r="K587" s="5" t="s">
        <v>5752</v>
      </c>
      <c r="L587" s="31" t="s">
        <v>14</v>
      </c>
      <c r="M587" s="31" t="s">
        <v>15</v>
      </c>
      <c r="N587" s="31" t="s">
        <v>16</v>
      </c>
    </row>
    <row r="588" spans="1:14" x14ac:dyDescent="0.25">
      <c r="A588" s="4" t="str">
        <f>Sheet1!A588 &amp; "/" &amp; "2025"</f>
        <v>587/2025</v>
      </c>
      <c r="B588" s="5" t="str">
        <f>Sheet1!E588</f>
        <v>IND/MEL/00587</v>
      </c>
      <c r="C588" s="6" t="str">
        <f>UPPER(Sheet1!B588)</f>
        <v>ISHAN RISHKAN</v>
      </c>
      <c r="D588" s="7" t="str">
        <f>IF(Sheet1!F588="F","FEMALE","MALE")</f>
        <v>MALE</v>
      </c>
      <c r="E588" s="6" t="str">
        <f>UPPER(Sheet1!G588)</f>
        <v>ARJUN RISHKAN</v>
      </c>
      <c r="F588" s="6" t="str">
        <f>UPPER(Sheet1!H588)</f>
        <v>SARA RISHKAN</v>
      </c>
      <c r="G588" s="5" t="str">
        <f>TEXT(Sheet1!C588,"dd/mm/yyyy") &amp; "," &amp; Sheet1!D588</f>
        <v>17/06/2025,DALBY</v>
      </c>
      <c r="H588" s="39" t="str">
        <f>UPPER(Sheet1!J588 &amp; "," &amp; Sheet1!K588 &amp; "," &amp; Sheet1!L588)</f>
        <v>153 BIRCHWOOD LANE,EMERALD ROAD,PIN:321233 DALBY</v>
      </c>
      <c r="I588" s="8">
        <f>Sheet1!I588</f>
        <v>45852</v>
      </c>
      <c r="J588" s="5" t="str">
        <f>Sheet1!M588 &amp; "," &amp; TEXT(Sheet1!N588,"dd/mm/yy")</f>
        <v>MHA/IND/00587,27/07/25</v>
      </c>
      <c r="K588" s="5" t="s">
        <v>5752</v>
      </c>
      <c r="L588" s="31" t="s">
        <v>14</v>
      </c>
      <c r="M588" s="31" t="s">
        <v>15</v>
      </c>
      <c r="N588" s="31" t="s">
        <v>16</v>
      </c>
    </row>
    <row r="589" spans="1:14" x14ac:dyDescent="0.25">
      <c r="A589" s="4" t="str">
        <f>Sheet1!A589 &amp; "/" &amp; "2025"</f>
        <v>588/2025</v>
      </c>
      <c r="B589" s="5" t="str">
        <f>Sheet1!E589</f>
        <v>IND/MEL/00588</v>
      </c>
      <c r="C589" s="6" t="str">
        <f>UPPER(Sheet1!B589)</f>
        <v>KABIR SINDALE</v>
      </c>
      <c r="D589" s="7" t="str">
        <f>IF(Sheet1!F589="F","FEMALE","MALE")</f>
        <v>MALE</v>
      </c>
      <c r="E589" s="6" t="str">
        <f>UPPER(Sheet1!G589)</f>
        <v>DEV SINDALE</v>
      </c>
      <c r="F589" s="6" t="str">
        <f>UPPER(Sheet1!H589)</f>
        <v>MIRA SINDALE</v>
      </c>
      <c r="G589" s="5" t="str">
        <f>TEXT(Sheet1!C589,"dd/mm/yyyy") &amp; "," &amp; Sheet1!D589</f>
        <v>17/09/2025,FREMANTLE</v>
      </c>
      <c r="H589" s="39" t="str">
        <f>UPPER(Sheet1!J589 &amp; "," &amp; Sheet1!K589 &amp; "," &amp; Sheet1!L589)</f>
        <v>85 BIRCHWOOD LANE,EMERALD ROAD,PIN:895271 FREMANTLE</v>
      </c>
      <c r="I589" s="8">
        <f>Sheet1!I589</f>
        <v>46021</v>
      </c>
      <c r="J589" s="5" t="str">
        <f>Sheet1!M589 &amp; "," &amp; TEXT(Sheet1!N589,"dd/mm/yy")</f>
        <v>MHA/IND/00588,02/07/25</v>
      </c>
      <c r="K589" s="5" t="s">
        <v>5752</v>
      </c>
      <c r="L589" s="31" t="s">
        <v>14</v>
      </c>
      <c r="M589" s="31" t="s">
        <v>15</v>
      </c>
      <c r="N589" s="31" t="s">
        <v>16</v>
      </c>
    </row>
    <row r="590" spans="1:14" x14ac:dyDescent="0.25">
      <c r="A590" s="4" t="str">
        <f>Sheet1!A590 &amp; "/" &amp; "2025"</f>
        <v>589/2025</v>
      </c>
      <c r="B590" s="5" t="str">
        <f>Sheet1!E590</f>
        <v>IND/MEL/00589</v>
      </c>
      <c r="C590" s="6" t="str">
        <f>UPPER(Sheet1!B590)</f>
        <v>KABIR SINDALE</v>
      </c>
      <c r="D590" s="7" t="str">
        <f>IF(Sheet1!F590="F","FEMALE","MALE")</f>
        <v>MALE</v>
      </c>
      <c r="E590" s="6" t="str">
        <f>UPPER(Sheet1!G590)</f>
        <v>ROHIT SINDALE</v>
      </c>
      <c r="F590" s="6" t="str">
        <f>UPPER(Sheet1!H590)</f>
        <v>RIYA SINDALE</v>
      </c>
      <c r="G590" s="5" t="str">
        <f>TEXT(Sheet1!C590,"dd/mm/yyyy") &amp; "," &amp; Sheet1!D590</f>
        <v>03/08/2025,MILDURA</v>
      </c>
      <c r="H590" s="39" t="str">
        <f>UPPER(Sheet1!J590 &amp; "," &amp; Sheet1!K590 &amp; "," &amp; Sheet1!L590)</f>
        <v>79 BIRCHWOOD LANE,EMERALD ROAD,PIN:922144 MILDURA</v>
      </c>
      <c r="I590" s="8">
        <f>Sheet1!I590</f>
        <v>45939</v>
      </c>
      <c r="J590" s="5" t="str">
        <f>Sheet1!M590 &amp; "," &amp; TEXT(Sheet1!N590,"dd/mm/yy")</f>
        <v>MHA/IND/00589,09/08/25</v>
      </c>
      <c r="K590" s="5" t="s">
        <v>5752</v>
      </c>
      <c r="L590" s="31" t="s">
        <v>14</v>
      </c>
      <c r="M590" s="31" t="s">
        <v>15</v>
      </c>
      <c r="N590" s="31" t="s">
        <v>16</v>
      </c>
    </row>
    <row r="591" spans="1:14" x14ac:dyDescent="0.25">
      <c r="A591" s="4" t="str">
        <f>Sheet1!A591 &amp; "/" &amp; "2025"</f>
        <v>590/2025</v>
      </c>
      <c r="B591" s="5" t="str">
        <f>Sheet1!E591</f>
        <v>IND/MEL/00590</v>
      </c>
      <c r="C591" s="6" t="str">
        <f>UPPER(Sheet1!B591)</f>
        <v>AREN RAO</v>
      </c>
      <c r="D591" s="7" t="str">
        <f>IF(Sheet1!F591="F","FEMALE","MALE")</f>
        <v>MALE</v>
      </c>
      <c r="E591" s="6" t="str">
        <f>UPPER(Sheet1!G591)</f>
        <v>ROHIT RAO</v>
      </c>
      <c r="F591" s="6" t="str">
        <f>UPPER(Sheet1!H591)</f>
        <v>ALYA RAO</v>
      </c>
      <c r="G591" s="5" t="str">
        <f>TEXT(Sheet1!C591,"dd/mm/yyyy") &amp; "," &amp; Sheet1!D591</f>
        <v>21/01/2025,BENDIGO</v>
      </c>
      <c r="H591" s="39" t="str">
        <f>UPPER(Sheet1!J591 &amp; "," &amp; Sheet1!K591 &amp; "," &amp; Sheet1!L591)</f>
        <v>196 BIRCHWOOD LANE,EMERALD ROAD,PIN:670585 BENDIGO</v>
      </c>
      <c r="I591" s="8">
        <f>Sheet1!I591</f>
        <v>45741</v>
      </c>
      <c r="J591" s="5" t="str">
        <f>Sheet1!M591 &amp; "," &amp; TEXT(Sheet1!N591,"dd/mm/yy")</f>
        <v>MHA/IND/00590,07/07/25</v>
      </c>
      <c r="K591" s="5" t="s">
        <v>5752</v>
      </c>
      <c r="L591" s="31" t="s">
        <v>14</v>
      </c>
      <c r="M591" s="31" t="s">
        <v>15</v>
      </c>
      <c r="N591" s="31" t="s">
        <v>16</v>
      </c>
    </row>
    <row r="592" spans="1:14" x14ac:dyDescent="0.25">
      <c r="A592" s="4" t="str">
        <f>Sheet1!A592 &amp; "/" &amp; "2025"</f>
        <v>591/2025</v>
      </c>
      <c r="B592" s="5" t="str">
        <f>Sheet1!E592</f>
        <v>IND/MEL/00591</v>
      </c>
      <c r="C592" s="6" t="str">
        <f>UPPER(Sheet1!B592)</f>
        <v>ANYA KALEON</v>
      </c>
      <c r="D592" s="7" t="str">
        <f>IF(Sheet1!F592="F","FEMALE","MALE")</f>
        <v>FEMALE</v>
      </c>
      <c r="E592" s="6" t="str">
        <f>UPPER(Sheet1!G592)</f>
        <v>ARJUN KALEON</v>
      </c>
      <c r="F592" s="6" t="str">
        <f>UPPER(Sheet1!H592)</f>
        <v>DIYA KALEON</v>
      </c>
      <c r="G592" s="5" t="str">
        <f>TEXT(Sheet1!C592,"dd/mm/yyyy") &amp; "," &amp; Sheet1!D592</f>
        <v>02/08/2025,ELIZABETH VALE</v>
      </c>
      <c r="H592" s="39" t="str">
        <f>UPPER(Sheet1!J592 &amp; "," &amp; Sheet1!K592 &amp; "," &amp; Sheet1!L592)</f>
        <v>21 BIRCHWOOD LANE,EMERALD ROAD,PIN:270043 ELIZABETH VALE</v>
      </c>
      <c r="I592" s="8">
        <f>Sheet1!I592</f>
        <v>45877</v>
      </c>
      <c r="J592" s="5" t="str">
        <f>Sheet1!M592 &amp; "," &amp; TEXT(Sheet1!N592,"dd/mm/yy")</f>
        <v>MHA/IND/00591,20/07/25</v>
      </c>
      <c r="K592" s="5" t="s">
        <v>5752</v>
      </c>
      <c r="L592" s="31" t="s">
        <v>14</v>
      </c>
      <c r="M592" s="31" t="s">
        <v>15</v>
      </c>
      <c r="N592" s="31" t="s">
        <v>16</v>
      </c>
    </row>
    <row r="593" spans="1:14" x14ac:dyDescent="0.25">
      <c r="A593" s="4" t="str">
        <f>Sheet1!A593 &amp; "/" &amp; "2025"</f>
        <v>592/2025</v>
      </c>
      <c r="B593" s="5" t="str">
        <f>Sheet1!E593</f>
        <v>IND/MEL/00592</v>
      </c>
      <c r="C593" s="6" t="str">
        <f>UPPER(Sheet1!B593)</f>
        <v>TARA SHARMA</v>
      </c>
      <c r="D593" s="7" t="str">
        <f>IF(Sheet1!F593="F","FEMALE","MALE")</f>
        <v>FEMALE</v>
      </c>
      <c r="E593" s="6" t="str">
        <f>UPPER(Sheet1!G593)</f>
        <v>ISHAN SHARMA</v>
      </c>
      <c r="F593" s="6" t="str">
        <f>UPPER(Sheet1!H593)</f>
        <v>ALYA SHARMA</v>
      </c>
      <c r="G593" s="5" t="str">
        <f>TEXT(Sheet1!C593,"dd/mm/yyyy") &amp; "," &amp; Sheet1!D593</f>
        <v>21/01/2025,ROCKHAMPTON</v>
      </c>
      <c r="H593" s="39" t="str">
        <f>UPPER(Sheet1!J593 &amp; "," &amp; Sheet1!K593 &amp; "," &amp; Sheet1!L593)</f>
        <v>18 BIRCHWOOD LANE,EMERALD ROAD,PIN:303591 ROCKHAMPTON</v>
      </c>
      <c r="I593" s="8">
        <f>Sheet1!I593</f>
        <v>45723</v>
      </c>
      <c r="J593" s="5" t="str">
        <f>Sheet1!M593 &amp; "," &amp; TEXT(Sheet1!N593,"dd/mm/yy")</f>
        <v>MHA/IND/00592,27/07/25</v>
      </c>
      <c r="K593" s="5" t="s">
        <v>5752</v>
      </c>
      <c r="L593" s="31" t="s">
        <v>14</v>
      </c>
      <c r="M593" s="31" t="s">
        <v>15</v>
      </c>
      <c r="N593" s="31" t="s">
        <v>16</v>
      </c>
    </row>
    <row r="594" spans="1:14" x14ac:dyDescent="0.25">
      <c r="A594" s="4" t="str">
        <f>Sheet1!A594 &amp; "/" &amp; "2025"</f>
        <v>593/2025</v>
      </c>
      <c r="B594" s="5" t="str">
        <f>Sheet1!E594</f>
        <v>IND/MEL/00593</v>
      </c>
      <c r="C594" s="6" t="str">
        <f>UPPER(Sheet1!B594)</f>
        <v>NINA RISHKAN</v>
      </c>
      <c r="D594" s="7" t="str">
        <f>IF(Sheet1!F594="F","FEMALE","MALE")</f>
        <v>FEMALE</v>
      </c>
      <c r="E594" s="6" t="str">
        <f>UPPER(Sheet1!G594)</f>
        <v>ROHIT RISHKAN</v>
      </c>
      <c r="F594" s="6" t="str">
        <f>UPPER(Sheet1!H594)</f>
        <v>DIYA RISHKAN</v>
      </c>
      <c r="G594" s="5" t="str">
        <f>TEXT(Sheet1!C594,"dd/mm/yyyy") &amp; "," &amp; Sheet1!D594</f>
        <v>12/04/2025,PENRITH</v>
      </c>
      <c r="H594" s="39" t="str">
        <f>UPPER(Sheet1!J594 &amp; "," &amp; Sheet1!K594 &amp; "," &amp; Sheet1!L594)</f>
        <v>15 BIRCHWOOD LANE,EMERALD ROAD,PIN:224030 PENRITH</v>
      </c>
      <c r="I594" s="8">
        <f>Sheet1!I594</f>
        <v>45784</v>
      </c>
      <c r="J594" s="5" t="str">
        <f>Sheet1!M594 &amp; "," &amp; TEXT(Sheet1!N594,"dd/mm/yy")</f>
        <v>MHA/IND/00593,16/08/25</v>
      </c>
      <c r="K594" s="5" t="s">
        <v>5752</v>
      </c>
      <c r="L594" s="31" t="s">
        <v>14</v>
      </c>
      <c r="M594" s="31" t="s">
        <v>15</v>
      </c>
      <c r="N594" s="31" t="s">
        <v>16</v>
      </c>
    </row>
    <row r="595" spans="1:14" x14ac:dyDescent="0.25">
      <c r="A595" s="4" t="str">
        <f>Sheet1!A595 &amp; "/" &amp; "2025"</f>
        <v>594/2025</v>
      </c>
      <c r="B595" s="5" t="str">
        <f>Sheet1!E595</f>
        <v>IND/MEL/00594</v>
      </c>
      <c r="C595" s="6" t="str">
        <f>UPPER(Sheet1!B595)</f>
        <v>ISHAN SHARMA</v>
      </c>
      <c r="D595" s="7" t="str">
        <f>IF(Sheet1!F595="F","FEMALE","MALE")</f>
        <v>MALE</v>
      </c>
      <c r="E595" s="6" t="str">
        <f>UPPER(Sheet1!G595)</f>
        <v>KIRAN SHARMA</v>
      </c>
      <c r="F595" s="6" t="str">
        <f>UPPER(Sheet1!H595)</f>
        <v>ANYA SHARMA</v>
      </c>
      <c r="G595" s="5" t="str">
        <f>TEXT(Sheet1!C595,"dd/mm/yyyy") &amp; "," &amp; Sheet1!D595</f>
        <v>22/09/2025,SHEPPARTON</v>
      </c>
      <c r="H595" s="39" t="str">
        <f>UPPER(Sheet1!J595 &amp; "," &amp; Sheet1!K595 &amp; "," &amp; Sheet1!L595)</f>
        <v>80 BIRCHWOOD LANE,EMERALD ROAD,PIN:482859 SHEPPARTON</v>
      </c>
      <c r="I595" s="8">
        <f>Sheet1!I595</f>
        <v>46001</v>
      </c>
      <c r="J595" s="5" t="str">
        <f>Sheet1!M595 &amp; "," &amp; TEXT(Sheet1!N595,"dd/mm/yy")</f>
        <v>MHA/IND/00594,29/07/25</v>
      </c>
      <c r="K595" s="5" t="s">
        <v>5752</v>
      </c>
      <c r="L595" s="31" t="s">
        <v>14</v>
      </c>
      <c r="M595" s="31" t="s">
        <v>15</v>
      </c>
      <c r="N595" s="31" t="s">
        <v>16</v>
      </c>
    </row>
    <row r="596" spans="1:14" x14ac:dyDescent="0.25">
      <c r="A596" s="4" t="str">
        <f>Sheet1!A596 &amp; "/" &amp; "2025"</f>
        <v>595/2025</v>
      </c>
      <c r="B596" s="5" t="str">
        <f>Sheet1!E596</f>
        <v>IND/MEL/00595</v>
      </c>
      <c r="C596" s="6" t="str">
        <f>UPPER(Sheet1!B596)</f>
        <v>DIYA KALEON</v>
      </c>
      <c r="D596" s="7" t="str">
        <f>IF(Sheet1!F596="F","FEMALE","MALE")</f>
        <v>FEMALE</v>
      </c>
      <c r="E596" s="6" t="str">
        <f>UPPER(Sheet1!G596)</f>
        <v>ROHIT KALEON</v>
      </c>
      <c r="F596" s="6" t="str">
        <f>UPPER(Sheet1!H596)</f>
        <v>TARA KALEON</v>
      </c>
      <c r="G596" s="5" t="str">
        <f>TEXT(Sheet1!C596,"dd/mm/yyyy") &amp; "," &amp; Sheet1!D596</f>
        <v>21/10/2025,CANBERRA</v>
      </c>
      <c r="H596" s="39" t="str">
        <f>UPPER(Sheet1!J596 &amp; "," &amp; Sheet1!K596 &amp; "," &amp; Sheet1!L596)</f>
        <v>125 BIRCHWOOD LANE,EMERALD ROAD,PIN:924013 CANBERRA</v>
      </c>
      <c r="I596" s="8">
        <f>Sheet1!I596</f>
        <v>45996</v>
      </c>
      <c r="J596" s="5" t="str">
        <f>Sheet1!M596 &amp; "," &amp; TEXT(Sheet1!N596,"dd/mm/yy")</f>
        <v>MHA/IND/00595,26/08/25</v>
      </c>
      <c r="K596" s="5" t="s">
        <v>5752</v>
      </c>
      <c r="L596" s="31" t="s">
        <v>14</v>
      </c>
      <c r="M596" s="31" t="s">
        <v>15</v>
      </c>
      <c r="N596" s="31" t="s">
        <v>16</v>
      </c>
    </row>
    <row r="597" spans="1:14" x14ac:dyDescent="0.25">
      <c r="A597" s="4" t="str">
        <f>Sheet1!A597 &amp; "/" &amp; "2025"</f>
        <v>596/2025</v>
      </c>
      <c r="B597" s="5" t="str">
        <f>Sheet1!E597</f>
        <v>IND/MEL/00596</v>
      </c>
      <c r="C597" s="6" t="str">
        <f>UPPER(Sheet1!B597)</f>
        <v>SARA SINDALE</v>
      </c>
      <c r="D597" s="7" t="str">
        <f>IF(Sheet1!F597="F","FEMALE","MALE")</f>
        <v>FEMALE</v>
      </c>
      <c r="E597" s="6" t="str">
        <f>UPPER(Sheet1!G597)</f>
        <v>DEV SINDALE</v>
      </c>
      <c r="F597" s="6" t="str">
        <f>UPPER(Sheet1!H597)</f>
        <v>SARA SINDALE</v>
      </c>
      <c r="G597" s="5" t="str">
        <f>TEXT(Sheet1!C597,"dd/mm/yyyy") &amp; "," &amp; Sheet1!D597</f>
        <v>02/06/2025,KINGSWOOD</v>
      </c>
      <c r="H597" s="39" t="str">
        <f>UPPER(Sheet1!J597 &amp; "," &amp; Sheet1!K597 &amp; "," &amp; Sheet1!L597)</f>
        <v>41 BIRCHWOOD LANE,EMERALD ROAD,PIN:781777 KINGSWOOD</v>
      </c>
      <c r="I597" s="8">
        <f>Sheet1!I597</f>
        <v>45883</v>
      </c>
      <c r="J597" s="5" t="str">
        <f>Sheet1!M597 &amp; "," &amp; TEXT(Sheet1!N597,"dd/mm/yy")</f>
        <v>MHA/IND/00596,09/07/25</v>
      </c>
      <c r="K597" s="5" t="s">
        <v>5752</v>
      </c>
      <c r="L597" s="31" t="s">
        <v>14</v>
      </c>
      <c r="M597" s="31" t="s">
        <v>15</v>
      </c>
      <c r="N597" s="31" t="s">
        <v>16</v>
      </c>
    </row>
    <row r="598" spans="1:14" x14ac:dyDescent="0.25">
      <c r="A598" s="4" t="str">
        <f>Sheet1!A598 &amp; "/" &amp; "2025"</f>
        <v>597/2025</v>
      </c>
      <c r="B598" s="5" t="str">
        <f>Sheet1!E598</f>
        <v>IND/MEL/00597</v>
      </c>
      <c r="C598" s="6" t="str">
        <f>UPPER(Sheet1!B598)</f>
        <v>ANYA RISHKAN</v>
      </c>
      <c r="D598" s="7" t="str">
        <f>IF(Sheet1!F598="F","FEMALE","MALE")</f>
        <v>FEMALE</v>
      </c>
      <c r="E598" s="6" t="str">
        <f>UPPER(Sheet1!G598)</f>
        <v>ISHAN RISHKAN</v>
      </c>
      <c r="F598" s="6" t="str">
        <f>UPPER(Sheet1!H598)</f>
        <v>NINA RISHKAN</v>
      </c>
      <c r="G598" s="5" t="str">
        <f>TEXT(Sheet1!C598,"dd/mm/yyyy") &amp; "," &amp; Sheet1!D598</f>
        <v>26/05/2025,LOGAN</v>
      </c>
      <c r="H598" s="39" t="str">
        <f>UPPER(Sheet1!J598 &amp; "," &amp; Sheet1!K598 &amp; "," &amp; Sheet1!L598)</f>
        <v>185 BIRCHWOOD LANE,EMERALD ROAD,PIN:787279 LOGAN</v>
      </c>
      <c r="I598" s="8">
        <f>Sheet1!I598</f>
        <v>45810</v>
      </c>
      <c r="J598" s="5" t="str">
        <f>Sheet1!M598 &amp; "," &amp; TEXT(Sheet1!N598,"dd/mm/yy")</f>
        <v>MHA/IND/00597,27/08/25</v>
      </c>
      <c r="K598" s="5" t="s">
        <v>5752</v>
      </c>
      <c r="L598" s="31" t="s">
        <v>14</v>
      </c>
      <c r="M598" s="31" t="s">
        <v>15</v>
      </c>
      <c r="N598" s="31" t="s">
        <v>16</v>
      </c>
    </row>
    <row r="599" spans="1:14" x14ac:dyDescent="0.25">
      <c r="A599" s="4" t="str">
        <f>Sheet1!A599 &amp; "/" &amp; "2025"</f>
        <v>598/2025</v>
      </c>
      <c r="B599" s="5" t="str">
        <f>Sheet1!E599</f>
        <v>IND/MEL/00598</v>
      </c>
      <c r="C599" s="6" t="str">
        <f>UPPER(Sheet1!B599)</f>
        <v>ISHAN VALZARI</v>
      </c>
      <c r="D599" s="7" t="str">
        <f>IF(Sheet1!F599="F","FEMALE","MALE")</f>
        <v>MALE</v>
      </c>
      <c r="E599" s="6" t="str">
        <f>UPPER(Sheet1!G599)</f>
        <v>ROHIT VALZARI</v>
      </c>
      <c r="F599" s="6" t="str">
        <f>UPPER(Sheet1!H599)</f>
        <v>ANYA VALZARI</v>
      </c>
      <c r="G599" s="5" t="str">
        <f>TEXT(Sheet1!C599,"dd/mm/yyyy") &amp; "," &amp; Sheet1!D599</f>
        <v>29/03/2025,WOLLONGONG</v>
      </c>
      <c r="H599" s="39" t="str">
        <f>UPPER(Sheet1!J599 &amp; "," &amp; Sheet1!K599 &amp; "," &amp; Sheet1!L599)</f>
        <v>164 BIRCHWOOD LANE,EMERALD ROAD,PIN:587534 WOLLONGONG</v>
      </c>
      <c r="I599" s="8">
        <f>Sheet1!I599</f>
        <v>45765</v>
      </c>
      <c r="J599" s="5" t="str">
        <f>Sheet1!M599 &amp; "," &amp; TEXT(Sheet1!N599,"dd/mm/yy")</f>
        <v>MHA/IND/00598,20/07/25</v>
      </c>
      <c r="K599" s="5" t="s">
        <v>5752</v>
      </c>
      <c r="L599" s="31" t="s">
        <v>14</v>
      </c>
      <c r="M599" s="31" t="s">
        <v>15</v>
      </c>
      <c r="N599" s="31" t="s">
        <v>16</v>
      </c>
    </row>
    <row r="600" spans="1:14" x14ac:dyDescent="0.25">
      <c r="A600" s="4" t="str">
        <f>Sheet1!A600 &amp; "/" &amp; "2025"</f>
        <v>599/2025</v>
      </c>
      <c r="B600" s="5" t="str">
        <f>Sheet1!E600</f>
        <v>IND/MEL/00599</v>
      </c>
      <c r="C600" s="6" t="str">
        <f>UPPER(Sheet1!B600)</f>
        <v>ANYA SHARMA</v>
      </c>
      <c r="D600" s="7" t="str">
        <f>IF(Sheet1!F600="F","FEMALE","MALE")</f>
        <v>FEMALE</v>
      </c>
      <c r="E600" s="6" t="str">
        <f>UPPER(Sheet1!G600)</f>
        <v>ISHAN SHARMA</v>
      </c>
      <c r="F600" s="6" t="str">
        <f>UPPER(Sheet1!H600)</f>
        <v>MIRA SHARMA</v>
      </c>
      <c r="G600" s="5" t="str">
        <f>TEXT(Sheet1!C600,"dd/mm/yyyy") &amp; "," &amp; Sheet1!D600</f>
        <v>22/02/2025,LENAH VALLEY</v>
      </c>
      <c r="H600" s="39" t="str">
        <f>UPPER(Sheet1!J600 &amp; "," &amp; Sheet1!K600 &amp; "," &amp; Sheet1!L600)</f>
        <v>173 BIRCHWOOD LANE,EMERALD ROAD,PIN:603275 LENAH VALLEY</v>
      </c>
      <c r="I600" s="8">
        <f>Sheet1!I600</f>
        <v>45826</v>
      </c>
      <c r="J600" s="5" t="str">
        <f>Sheet1!M600 &amp; "," &amp; TEXT(Sheet1!N600,"dd/mm/yy")</f>
        <v>MHA/IND/00599,31/07/25</v>
      </c>
      <c r="K600" s="5" t="s">
        <v>5752</v>
      </c>
      <c r="L600" s="31" t="s">
        <v>14</v>
      </c>
      <c r="M600" s="31" t="s">
        <v>15</v>
      </c>
      <c r="N600" s="31" t="s">
        <v>16</v>
      </c>
    </row>
    <row r="601" spans="1:14" x14ac:dyDescent="0.25">
      <c r="A601" s="4" t="str">
        <f>Sheet1!A601 &amp; "/" &amp; "2025"</f>
        <v>600/2025</v>
      </c>
      <c r="B601" s="5" t="str">
        <f>Sheet1!E601</f>
        <v>IND/MEL/00600</v>
      </c>
      <c r="C601" s="6" t="str">
        <f>UPPER(Sheet1!B601)</f>
        <v>AREN SHARMA</v>
      </c>
      <c r="D601" s="7" t="str">
        <f>IF(Sheet1!F601="F","FEMALE","MALE")</f>
        <v>MALE</v>
      </c>
      <c r="E601" s="6" t="str">
        <f>UPPER(Sheet1!G601)</f>
        <v>ISHAN SHARMA</v>
      </c>
      <c r="F601" s="6" t="str">
        <f>UPPER(Sheet1!H601)</f>
        <v>SARA SHARMA</v>
      </c>
      <c r="G601" s="5" t="str">
        <f>TEXT(Sheet1!C601,"dd/mm/yyyy") &amp; "," &amp; Sheet1!D601</f>
        <v>24/09/2025,ST ALBANS</v>
      </c>
      <c r="H601" s="39" t="str">
        <f>UPPER(Sheet1!J601 &amp; "," &amp; Sheet1!K601 &amp; "," &amp; Sheet1!L601)</f>
        <v>185 BIRCHWOOD LANE,EMERALD ROAD,PIN:267223 ST ALBANS</v>
      </c>
      <c r="I601" s="8">
        <f>Sheet1!I601</f>
        <v>45978</v>
      </c>
      <c r="J601" s="5" t="str">
        <f>Sheet1!M601 &amp; "," &amp; TEXT(Sheet1!N601,"dd/mm/yy")</f>
        <v>MHA/IND/00600,15/07/25</v>
      </c>
      <c r="K601" s="5" t="s">
        <v>5752</v>
      </c>
      <c r="L601" s="31" t="s">
        <v>14</v>
      </c>
      <c r="M601" s="31" t="s">
        <v>15</v>
      </c>
      <c r="N601" s="31" t="s">
        <v>16</v>
      </c>
    </row>
    <row r="602" spans="1:14" x14ac:dyDescent="0.25">
      <c r="A602" s="4" t="str">
        <f>Sheet1!A602 &amp; "/" &amp; "2025"</f>
        <v>601/2025</v>
      </c>
      <c r="B602" s="5" t="str">
        <f>Sheet1!E602</f>
        <v>IND/MEL/00601</v>
      </c>
      <c r="C602" s="6" t="str">
        <f>UPPER(Sheet1!B602)</f>
        <v>KIRAN RAO</v>
      </c>
      <c r="D602" s="7" t="str">
        <f>IF(Sheet1!F602="F","FEMALE","MALE")</f>
        <v>MALE</v>
      </c>
      <c r="E602" s="6" t="str">
        <f>UPPER(Sheet1!G602)</f>
        <v>ARJUN RAO</v>
      </c>
      <c r="F602" s="6" t="str">
        <f>UPPER(Sheet1!H602)</f>
        <v>NINA RAO</v>
      </c>
      <c r="G602" s="5" t="str">
        <f>TEXT(Sheet1!C602,"dd/mm/yyyy") &amp; "," &amp; Sheet1!D602</f>
        <v>15/08/2025,MOUNT BARKER</v>
      </c>
      <c r="H602" s="39" t="str">
        <f>UPPER(Sheet1!J602 &amp; "," &amp; Sheet1!K602 &amp; "," &amp; Sheet1!L602)</f>
        <v>34 BIRCHWOOD LANE,EMERALD ROAD,PIN:714417 MOUNT BARKER</v>
      </c>
      <c r="I602" s="8">
        <f>Sheet1!I602</f>
        <v>45993</v>
      </c>
      <c r="J602" s="5" t="str">
        <f>Sheet1!M602 &amp; "," &amp; TEXT(Sheet1!N602,"dd/mm/yy")</f>
        <v>MHA/IND/00601,24/08/25</v>
      </c>
      <c r="K602" s="5" t="s">
        <v>5752</v>
      </c>
      <c r="L602" s="31" t="s">
        <v>14</v>
      </c>
      <c r="M602" s="31" t="s">
        <v>15</v>
      </c>
      <c r="N602" s="31" t="s">
        <v>16</v>
      </c>
    </row>
    <row r="603" spans="1:14" ht="30" customHeight="1" x14ac:dyDescent="0.25">
      <c r="A603" s="4" t="str">
        <f>Sheet1!A603 &amp; "/" &amp; "2025"</f>
        <v>602/2025</v>
      </c>
      <c r="B603" s="5" t="str">
        <f>Sheet1!E603</f>
        <v>IND/MEL/00602</v>
      </c>
      <c r="C603" s="6" t="str">
        <f>UPPER(Sheet1!B603)</f>
        <v>DIYA MYRTHOS</v>
      </c>
      <c r="D603" s="7" t="str">
        <f>IF(Sheet1!F603="F","FEMALE","MALE")</f>
        <v>FEMALE</v>
      </c>
      <c r="E603" s="6" t="str">
        <f>UPPER(Sheet1!G603)</f>
        <v>DEV MYRTHOS</v>
      </c>
      <c r="F603" s="6" t="str">
        <f>UPPER(Sheet1!H603)</f>
        <v>ANYA MYRTHOS</v>
      </c>
      <c r="G603" s="5" t="str">
        <f>TEXT(Sheet1!C603,"dd/mm/yyyy") &amp; "," &amp; Sheet1!D603</f>
        <v>11/07/2025,WAGGA WAGGA</v>
      </c>
      <c r="H603" s="39" t="str">
        <f>UPPER(Sheet1!J603 &amp; "," &amp; Sheet1!K603 &amp; "," &amp; Sheet1!L603)</f>
        <v>180 BIRCHWOOD LANE,EMERALD ROAD,PIN:547163 WAGGA WAGGA</v>
      </c>
      <c r="I603" s="8">
        <f>Sheet1!I603</f>
        <v>45947</v>
      </c>
      <c r="J603" s="5" t="str">
        <f>Sheet1!M603 &amp; "," &amp; TEXT(Sheet1!N603,"dd/mm/yy")</f>
        <v>MHA/IND/00602,30/07/25</v>
      </c>
      <c r="K603" s="5" t="s">
        <v>5752</v>
      </c>
      <c r="L603" s="31" t="s">
        <v>14</v>
      </c>
      <c r="M603" s="31" t="s">
        <v>15</v>
      </c>
      <c r="N603" s="31" t="s">
        <v>16</v>
      </c>
    </row>
    <row r="604" spans="1:14" x14ac:dyDescent="0.25">
      <c r="A604" s="4" t="str">
        <f>Sheet1!A604 &amp; "/" &amp; "2025"</f>
        <v>603/2025</v>
      </c>
      <c r="B604" s="5" t="str">
        <f>Sheet1!E604</f>
        <v>IND/MEL/00603</v>
      </c>
      <c r="C604" s="6" t="str">
        <f>UPPER(Sheet1!B604)</f>
        <v>RIYA KALEON</v>
      </c>
      <c r="D604" s="7" t="str">
        <f>IF(Sheet1!F604="F","FEMALE","MALE")</f>
        <v>FEMALE</v>
      </c>
      <c r="E604" s="6" t="str">
        <f>UPPER(Sheet1!G604)</f>
        <v>KIRAN KALEON</v>
      </c>
      <c r="F604" s="6" t="str">
        <f>UPPER(Sheet1!H604)</f>
        <v>DIYA KALEON</v>
      </c>
      <c r="G604" s="5" t="str">
        <f>TEXT(Sheet1!C604,"dd/mm/yyyy") &amp; "," &amp; Sheet1!D604</f>
        <v>20/06/2025,MANDURAH</v>
      </c>
      <c r="H604" s="39" t="str">
        <f>UPPER(Sheet1!J604 &amp; "," &amp; Sheet1!K604 &amp; "," &amp; Sheet1!L604)</f>
        <v>175 BIRCHWOOD LANE,EMERALD ROAD,PIN:580720 MANDURAH</v>
      </c>
      <c r="I604" s="8">
        <f>Sheet1!I604</f>
        <v>45920</v>
      </c>
      <c r="J604" s="5" t="str">
        <f>Sheet1!M604 &amp; "," &amp; TEXT(Sheet1!N604,"dd/mm/yy")</f>
        <v>MHA/IND/00603,16/08/25</v>
      </c>
      <c r="K604" s="5" t="s">
        <v>5752</v>
      </c>
      <c r="L604" s="31" t="s">
        <v>14</v>
      </c>
      <c r="M604" s="31" t="s">
        <v>15</v>
      </c>
      <c r="N604" s="31" t="s">
        <v>16</v>
      </c>
    </row>
    <row r="605" spans="1:14" x14ac:dyDescent="0.25">
      <c r="A605" s="4" t="str">
        <f>Sheet1!A605 &amp; "/" &amp; "2025"</f>
        <v>604/2025</v>
      </c>
      <c r="B605" s="5" t="str">
        <f>Sheet1!E605</f>
        <v>IND/MEL/00604</v>
      </c>
      <c r="C605" s="6" t="str">
        <f>UPPER(Sheet1!B605)</f>
        <v>AREN VALZARI</v>
      </c>
      <c r="D605" s="7" t="str">
        <f>IF(Sheet1!F605="F","FEMALE","MALE")</f>
        <v>MALE</v>
      </c>
      <c r="E605" s="6" t="str">
        <f>UPPER(Sheet1!G605)</f>
        <v>KABIR VALZARI</v>
      </c>
      <c r="F605" s="6" t="str">
        <f>UPPER(Sheet1!H605)</f>
        <v>ANYA VALZARI</v>
      </c>
      <c r="G605" s="5" t="str">
        <f>TEXT(Sheet1!C605,"dd/mm/yyyy") &amp; "," &amp; Sheet1!D605</f>
        <v>08/07/2025,BERWICK</v>
      </c>
      <c r="H605" s="39" t="str">
        <f>UPPER(Sheet1!J605 &amp; "," &amp; Sheet1!K605 &amp; "," &amp; Sheet1!L605)</f>
        <v>172 BIRCHWOOD LANE,EMERALD ROAD,PIN:562388 BERWICK</v>
      </c>
      <c r="I605" s="8">
        <f>Sheet1!I605</f>
        <v>45910</v>
      </c>
      <c r="J605" s="5" t="str">
        <f>Sheet1!M605 &amp; "," &amp; TEXT(Sheet1!N605,"dd/mm/yy")</f>
        <v>MHA/IND/00604,09/08/25</v>
      </c>
      <c r="K605" s="5" t="s">
        <v>5752</v>
      </c>
      <c r="L605" s="31" t="s">
        <v>14</v>
      </c>
      <c r="M605" s="31" t="s">
        <v>15</v>
      </c>
      <c r="N605" s="31" t="s">
        <v>16</v>
      </c>
    </row>
    <row r="606" spans="1:14" x14ac:dyDescent="0.25">
      <c r="A606" s="4" t="str">
        <f>Sheet1!A606 &amp; "/" &amp; "2025"</f>
        <v>605/2025</v>
      </c>
      <c r="B606" s="5" t="str">
        <f>Sheet1!E606</f>
        <v>IND/MEL/00605</v>
      </c>
      <c r="C606" s="6" t="str">
        <f>UPPER(Sheet1!B606)</f>
        <v>SARA VALZARI</v>
      </c>
      <c r="D606" s="7" t="str">
        <f>IF(Sheet1!F606="F","FEMALE","MALE")</f>
        <v>FEMALE</v>
      </c>
      <c r="E606" s="6" t="str">
        <f>UPPER(Sheet1!G606)</f>
        <v>ARJUN VALZARI</v>
      </c>
      <c r="F606" s="6" t="str">
        <f>UPPER(Sheet1!H606)</f>
        <v>RIYA VALZARI</v>
      </c>
      <c r="G606" s="5" t="str">
        <f>TEXT(Sheet1!C606,"dd/mm/yyyy") &amp; "," &amp; Sheet1!D606</f>
        <v>03/07/2025,BERWICK</v>
      </c>
      <c r="H606" s="39" t="str">
        <f>UPPER(Sheet1!J606 &amp; "," &amp; Sheet1!K606 &amp; "," &amp; Sheet1!L606)</f>
        <v>82 BIRCHWOOD LANE,EMERALD ROAD,PIN:894635 BERWICK</v>
      </c>
      <c r="I606" s="8">
        <f>Sheet1!I606</f>
        <v>45873</v>
      </c>
      <c r="J606" s="5" t="str">
        <f>Sheet1!M606 &amp; "," &amp; TEXT(Sheet1!N606,"dd/mm/yy")</f>
        <v>MHA/IND/00605,16/07/25</v>
      </c>
      <c r="K606" s="5" t="s">
        <v>5752</v>
      </c>
      <c r="L606" s="31" t="s">
        <v>14</v>
      </c>
      <c r="M606" s="31" t="s">
        <v>15</v>
      </c>
      <c r="N606" s="31" t="s">
        <v>16</v>
      </c>
    </row>
    <row r="607" spans="1:14" x14ac:dyDescent="0.25">
      <c r="A607" s="4" t="str">
        <f>Sheet1!A607 &amp; "/" &amp; "2025"</f>
        <v>606/2025</v>
      </c>
      <c r="B607" s="5" t="str">
        <f>Sheet1!E607</f>
        <v>IND/MEL/00606</v>
      </c>
      <c r="C607" s="6" t="str">
        <f>UPPER(Sheet1!B607)</f>
        <v>KABIR MYRTHOS</v>
      </c>
      <c r="D607" s="7" t="str">
        <f>IF(Sheet1!F607="F","FEMALE","MALE")</f>
        <v>MALE</v>
      </c>
      <c r="E607" s="6" t="str">
        <f>UPPER(Sheet1!G607)</f>
        <v>DEV MYRTHOS</v>
      </c>
      <c r="F607" s="6" t="str">
        <f>UPPER(Sheet1!H607)</f>
        <v>RIYA MYRTHOS</v>
      </c>
      <c r="G607" s="5" t="str">
        <f>TEXT(Sheet1!C607,"dd/mm/yyyy") &amp; "," &amp; Sheet1!D607</f>
        <v>22/09/2025,LIVERPOOL</v>
      </c>
      <c r="H607" s="39" t="str">
        <f>UPPER(Sheet1!J607 &amp; "," &amp; Sheet1!K607 &amp; "," &amp; Sheet1!L607)</f>
        <v>164 BIRCHWOOD LANE,EMERALD ROAD,PIN:165275 LIVERPOOL</v>
      </c>
      <c r="I607" s="8">
        <f>Sheet1!I607</f>
        <v>45983</v>
      </c>
      <c r="J607" s="5" t="str">
        <f>Sheet1!M607 &amp; "," &amp; TEXT(Sheet1!N607,"dd/mm/yy")</f>
        <v>MHA/IND/00606,06/07/25</v>
      </c>
      <c r="K607" s="5" t="s">
        <v>5752</v>
      </c>
      <c r="L607" s="31" t="s">
        <v>14</v>
      </c>
      <c r="M607" s="31" t="s">
        <v>15</v>
      </c>
      <c r="N607" s="31" t="s">
        <v>16</v>
      </c>
    </row>
    <row r="608" spans="1:14" x14ac:dyDescent="0.25">
      <c r="A608" s="4" t="str">
        <f>Sheet1!A608 &amp; "/" &amp; "2025"</f>
        <v>607/2025</v>
      </c>
      <c r="B608" s="5" t="str">
        <f>Sheet1!E608</f>
        <v>IND/MEL/00607</v>
      </c>
      <c r="C608" s="6" t="str">
        <f>UPPER(Sheet1!B608)</f>
        <v>KIRAN SHARMA</v>
      </c>
      <c r="D608" s="7" t="str">
        <f>IF(Sheet1!F608="F","FEMALE","MALE")</f>
        <v>MALE</v>
      </c>
      <c r="E608" s="6" t="str">
        <f>UPPER(Sheet1!G608)</f>
        <v>AREN SHARMA</v>
      </c>
      <c r="F608" s="6" t="str">
        <f>UPPER(Sheet1!H608)</f>
        <v>DIYA SHARMA</v>
      </c>
      <c r="G608" s="5" t="str">
        <f>TEXT(Sheet1!C608,"dd/mm/yyyy") &amp; "," &amp; Sheet1!D608</f>
        <v>05/03/2025,NEWCASTLE</v>
      </c>
      <c r="H608" s="39" t="str">
        <f>UPPER(Sheet1!J608 &amp; "," &amp; Sheet1!K608 &amp; "," &amp; Sheet1!L608)</f>
        <v>151 BIRCHWOOD LANE,EMERALD ROAD,PIN:313133 NEWCASTLE</v>
      </c>
      <c r="I608" s="8">
        <f>Sheet1!I608</f>
        <v>45744</v>
      </c>
      <c r="J608" s="5" t="str">
        <f>Sheet1!M608 &amp; "," &amp; TEXT(Sheet1!N608,"dd/mm/yy")</f>
        <v>MHA/IND/00607,16/08/25</v>
      </c>
      <c r="K608" s="5" t="s">
        <v>5752</v>
      </c>
      <c r="L608" s="31" t="s">
        <v>14</v>
      </c>
      <c r="M608" s="31" t="s">
        <v>15</v>
      </c>
      <c r="N608" s="31" t="s">
        <v>16</v>
      </c>
    </row>
    <row r="609" spans="1:14" x14ac:dyDescent="0.25">
      <c r="A609" s="4" t="str">
        <f>Sheet1!A609 &amp; "/" &amp; "2025"</f>
        <v>608/2025</v>
      </c>
      <c r="B609" s="5" t="str">
        <f>Sheet1!E609</f>
        <v>IND/MEL/00608</v>
      </c>
      <c r="C609" s="6" t="str">
        <f>UPPER(Sheet1!B609)</f>
        <v>TARA SINDALE</v>
      </c>
      <c r="D609" s="7" t="str">
        <f>IF(Sheet1!F609="F","FEMALE","MALE")</f>
        <v>FEMALE</v>
      </c>
      <c r="E609" s="6" t="str">
        <f>UPPER(Sheet1!G609)</f>
        <v>AREN SINDALE</v>
      </c>
      <c r="F609" s="6" t="str">
        <f>UPPER(Sheet1!H609)</f>
        <v>RIYA SINDALE</v>
      </c>
      <c r="G609" s="5" t="str">
        <f>TEXT(Sheet1!C609,"dd/mm/yyyy") &amp; "," &amp; Sheet1!D609</f>
        <v>04/04/2025,LIVERPOOL</v>
      </c>
      <c r="H609" s="39" t="str">
        <f>UPPER(Sheet1!J609 &amp; "," &amp; Sheet1!K609 &amp; "," &amp; Sheet1!L609)</f>
        <v>29 BIRCHWOOD LANE,EMERALD ROAD,PIN:978049 LIVERPOOL</v>
      </c>
      <c r="I609" s="8">
        <f>Sheet1!I609</f>
        <v>45763</v>
      </c>
      <c r="J609" s="5" t="str">
        <f>Sheet1!M609 &amp; "," &amp; TEXT(Sheet1!N609,"dd/mm/yy")</f>
        <v>MHA/IND/00608,22/08/25</v>
      </c>
      <c r="K609" s="5" t="s">
        <v>5752</v>
      </c>
      <c r="L609" s="31" t="s">
        <v>14</v>
      </c>
      <c r="M609" s="31" t="s">
        <v>15</v>
      </c>
      <c r="N609" s="31" t="s">
        <v>16</v>
      </c>
    </row>
    <row r="610" spans="1:14" x14ac:dyDescent="0.25">
      <c r="A610" s="4" t="str">
        <f>Sheet1!A610 &amp; "/" &amp; "2025"</f>
        <v>609/2025</v>
      </c>
      <c r="B610" s="5" t="str">
        <f>Sheet1!E610</f>
        <v>IND/MEL/00609</v>
      </c>
      <c r="C610" s="6" t="str">
        <f>UPPER(Sheet1!B610)</f>
        <v>ARJUN KALEON</v>
      </c>
      <c r="D610" s="7" t="str">
        <f>IF(Sheet1!F610="F","FEMALE","MALE")</f>
        <v>MALE</v>
      </c>
      <c r="E610" s="6" t="str">
        <f>UPPER(Sheet1!G610)</f>
        <v>ARJUN KALEON</v>
      </c>
      <c r="F610" s="6" t="str">
        <f>UPPER(Sheet1!H610)</f>
        <v>ALYA KALEON</v>
      </c>
      <c r="G610" s="5" t="str">
        <f>TEXT(Sheet1!C610,"dd/mm/yyyy") &amp; "," &amp; Sheet1!D610</f>
        <v>25/07/2025,NEWCASTLE</v>
      </c>
      <c r="H610" s="39" t="str">
        <f>UPPER(Sheet1!J610 &amp; "," &amp; Sheet1!K610 &amp; "," &amp; Sheet1!L610)</f>
        <v>62 BIRCHWOOD LANE,EMERALD ROAD,PIN:759250 NEWCASTLE</v>
      </c>
      <c r="I610" s="8">
        <f>Sheet1!I610</f>
        <v>45879</v>
      </c>
      <c r="J610" s="5" t="str">
        <f>Sheet1!M610 &amp; "," &amp; TEXT(Sheet1!N610,"dd/mm/yy")</f>
        <v>MHA/IND/00609,09/07/25</v>
      </c>
      <c r="K610" s="5" t="s">
        <v>5752</v>
      </c>
      <c r="L610" s="31" t="s">
        <v>14</v>
      </c>
      <c r="M610" s="31" t="s">
        <v>15</v>
      </c>
      <c r="N610" s="31" t="s">
        <v>16</v>
      </c>
    </row>
    <row r="611" spans="1:14" x14ac:dyDescent="0.25">
      <c r="A611" s="4" t="str">
        <f>Sheet1!A611 &amp; "/" &amp; "2025"</f>
        <v>610/2025</v>
      </c>
      <c r="B611" s="5" t="str">
        <f>Sheet1!E611</f>
        <v>IND/MEL/00610</v>
      </c>
      <c r="C611" s="6" t="str">
        <f>UPPER(Sheet1!B611)</f>
        <v>DEV SHARMA</v>
      </c>
      <c r="D611" s="7" t="str">
        <f>IF(Sheet1!F611="F","FEMALE","MALE")</f>
        <v>MALE</v>
      </c>
      <c r="E611" s="6" t="str">
        <f>UPPER(Sheet1!G611)</f>
        <v>ROHIT SHARMA</v>
      </c>
      <c r="F611" s="6" t="str">
        <f>UPPER(Sheet1!H611)</f>
        <v>ALYA SHARMA</v>
      </c>
      <c r="G611" s="5" t="str">
        <f>TEXT(Sheet1!C611,"dd/mm/yyyy") &amp; "," &amp; Sheet1!D611</f>
        <v>21/01/2025,LIVERPOOL</v>
      </c>
      <c r="H611" s="39" t="str">
        <f>UPPER(Sheet1!J611 &amp; "," &amp; Sheet1!K611 &amp; "," &amp; Sheet1!L611)</f>
        <v>136 BIRCHWOOD LANE,EMERALD ROAD,PIN:265684 LIVERPOOL</v>
      </c>
      <c r="I611" s="8">
        <f>Sheet1!I611</f>
        <v>45709</v>
      </c>
      <c r="J611" s="5" t="str">
        <f>Sheet1!M611 &amp; "," &amp; TEXT(Sheet1!N611,"dd/mm/yy")</f>
        <v>MHA/IND/00610,15/08/25</v>
      </c>
      <c r="K611" s="5" t="s">
        <v>5752</v>
      </c>
      <c r="L611" s="31" t="s">
        <v>14</v>
      </c>
      <c r="M611" s="31" t="s">
        <v>15</v>
      </c>
      <c r="N611" s="31" t="s">
        <v>16</v>
      </c>
    </row>
    <row r="612" spans="1:14" x14ac:dyDescent="0.25">
      <c r="A612" s="4" t="str">
        <f>Sheet1!A612 &amp; "/" &amp; "2025"</f>
        <v>611/2025</v>
      </c>
      <c r="B612" s="5" t="str">
        <f>Sheet1!E612</f>
        <v>IND/MEL/00611</v>
      </c>
      <c r="C612" s="6" t="str">
        <f>UPPER(Sheet1!B612)</f>
        <v>KABIR KALEON</v>
      </c>
      <c r="D612" s="7" t="str">
        <f>IF(Sheet1!F612="F","FEMALE","MALE")</f>
        <v>MALE</v>
      </c>
      <c r="E612" s="6" t="str">
        <f>UPPER(Sheet1!G612)</f>
        <v>DEV KALEON</v>
      </c>
      <c r="F612" s="6" t="str">
        <f>UPPER(Sheet1!H612)</f>
        <v>TARA KALEON</v>
      </c>
      <c r="G612" s="5" t="str">
        <f>TEXT(Sheet1!C612,"dd/mm/yyyy") &amp; "," &amp; Sheet1!D612</f>
        <v>07/06/2025,BENDIGO</v>
      </c>
      <c r="H612" s="39" t="str">
        <f>UPPER(Sheet1!J612 &amp; "," &amp; Sheet1!K612 &amp; "," &amp; Sheet1!L612)</f>
        <v>70 BIRCHWOOD LANE,EMERALD ROAD,PIN:669525 BENDIGO</v>
      </c>
      <c r="I612" s="8">
        <f>Sheet1!I612</f>
        <v>45869</v>
      </c>
      <c r="J612" s="5" t="str">
        <f>Sheet1!M612 &amp; "," &amp; TEXT(Sheet1!N612,"dd/mm/yy")</f>
        <v>MHA/IND/00611,04/08/25</v>
      </c>
      <c r="K612" s="5" t="s">
        <v>5752</v>
      </c>
      <c r="L612" s="31" t="s">
        <v>14</v>
      </c>
      <c r="M612" s="31" t="s">
        <v>15</v>
      </c>
      <c r="N612" s="31" t="s">
        <v>16</v>
      </c>
    </row>
    <row r="613" spans="1:14" x14ac:dyDescent="0.25">
      <c r="A613" s="4" t="str">
        <f>Sheet1!A613 &amp; "/" &amp; "2025"</f>
        <v>612/2025</v>
      </c>
      <c r="B613" s="5" t="str">
        <f>Sheet1!E613</f>
        <v>IND/MEL/00612</v>
      </c>
      <c r="C613" s="6" t="str">
        <f>UPPER(Sheet1!B613)</f>
        <v>ALYA SINDALE</v>
      </c>
      <c r="D613" s="7" t="str">
        <f>IF(Sheet1!F613="F","FEMALE","MALE")</f>
        <v>FEMALE</v>
      </c>
      <c r="E613" s="6" t="str">
        <f>UPPER(Sheet1!G613)</f>
        <v>ROHIT SINDALE</v>
      </c>
      <c r="F613" s="6" t="str">
        <f>UPPER(Sheet1!H613)</f>
        <v>NINA SINDALE</v>
      </c>
      <c r="G613" s="5" t="str">
        <f>TEXT(Sheet1!C613,"dd/mm/yyyy") &amp; "," &amp; Sheet1!D613</f>
        <v>13/07/2025,WOLLONGONG</v>
      </c>
      <c r="H613" s="39" t="str">
        <f>UPPER(Sheet1!J613 &amp; "," &amp; Sheet1!K613 &amp; "," &amp; Sheet1!L613)</f>
        <v>71 BIRCHWOOD LANE,EMERALD ROAD,PIN:806096 WOLLONGONG</v>
      </c>
      <c r="I613" s="8">
        <f>Sheet1!I613</f>
        <v>45889</v>
      </c>
      <c r="J613" s="5" t="str">
        <f>Sheet1!M613 &amp; "," &amp; TEXT(Sheet1!N613,"dd/mm/yy")</f>
        <v>MHA/IND/00612,06/07/25</v>
      </c>
      <c r="K613" s="5" t="s">
        <v>5752</v>
      </c>
      <c r="L613" s="31" t="s">
        <v>14</v>
      </c>
      <c r="M613" s="31" t="s">
        <v>15</v>
      </c>
      <c r="N613" s="31" t="s">
        <v>16</v>
      </c>
    </row>
    <row r="614" spans="1:14" x14ac:dyDescent="0.25">
      <c r="A614" s="4" t="str">
        <f>Sheet1!A614 &amp; "/" &amp; "2025"</f>
        <v>613/2025</v>
      </c>
      <c r="B614" s="5" t="str">
        <f>Sheet1!E614</f>
        <v>IND/MEL/00613</v>
      </c>
      <c r="C614" s="6" t="str">
        <f>UPPER(Sheet1!B614)</f>
        <v>MIRA KALEON</v>
      </c>
      <c r="D614" s="7" t="str">
        <f>IF(Sheet1!F614="F","FEMALE","MALE")</f>
        <v>FEMALE</v>
      </c>
      <c r="E614" s="6" t="str">
        <f>UPPER(Sheet1!G614)</f>
        <v>KABIR KALEON</v>
      </c>
      <c r="F614" s="6" t="str">
        <f>UPPER(Sheet1!H614)</f>
        <v>ALYA KALEON</v>
      </c>
      <c r="G614" s="5" t="str">
        <f>TEXT(Sheet1!C614,"dd/mm/yyyy") &amp; "," &amp; Sheet1!D614</f>
        <v>17/06/2025,DALBY</v>
      </c>
      <c r="H614" s="39" t="str">
        <f>UPPER(Sheet1!J614 &amp; "," &amp; Sheet1!K614 &amp; "," &amp; Sheet1!L614)</f>
        <v>123 BIRCHWOOD LANE,EMERALD ROAD,PIN:836079 DALBY</v>
      </c>
      <c r="I614" s="8">
        <f>Sheet1!I614</f>
        <v>45844</v>
      </c>
      <c r="J614" s="5" t="str">
        <f>Sheet1!M614 &amp; "," &amp; TEXT(Sheet1!N614,"dd/mm/yy")</f>
        <v>MHA/IND/00613,18/08/25</v>
      </c>
      <c r="K614" s="5" t="s">
        <v>5752</v>
      </c>
      <c r="L614" s="31" t="s">
        <v>14</v>
      </c>
      <c r="M614" s="31" t="s">
        <v>15</v>
      </c>
      <c r="N614" s="31" t="s">
        <v>16</v>
      </c>
    </row>
    <row r="615" spans="1:14" x14ac:dyDescent="0.25">
      <c r="A615" s="4" t="str">
        <f>Sheet1!A615 &amp; "/" &amp; "2025"</f>
        <v>614/2025</v>
      </c>
      <c r="B615" s="5" t="str">
        <f>Sheet1!E615</f>
        <v>IND/MEL/00614</v>
      </c>
      <c r="C615" s="6" t="str">
        <f>UPPER(Sheet1!B615)</f>
        <v>ROHIT MYRTHOS</v>
      </c>
      <c r="D615" s="7" t="str">
        <f>IF(Sheet1!F615="F","FEMALE","MALE")</f>
        <v>MALE</v>
      </c>
      <c r="E615" s="6" t="str">
        <f>UPPER(Sheet1!G615)</f>
        <v>KABIR MYRTHOS</v>
      </c>
      <c r="F615" s="6" t="str">
        <f>UPPER(Sheet1!H615)</f>
        <v>MIRA MYRTHOS</v>
      </c>
      <c r="G615" s="5" t="str">
        <f>TEXT(Sheet1!C615,"dd/mm/yyyy") &amp; "," &amp; Sheet1!D615</f>
        <v>28/01/2025,CLAYTON</v>
      </c>
      <c r="H615" s="39" t="str">
        <f>UPPER(Sheet1!J615 &amp; "," &amp; Sheet1!K615 &amp; "," &amp; Sheet1!L615)</f>
        <v>106 BIRCHWOOD LANE,EMERALD ROAD,PIN:528267 CLAYTON</v>
      </c>
      <c r="I615" s="8">
        <f>Sheet1!I615</f>
        <v>45709</v>
      </c>
      <c r="J615" s="5" t="str">
        <f>Sheet1!M615 &amp; "," &amp; TEXT(Sheet1!N615,"dd/mm/yy")</f>
        <v>MHA/IND/00614,20/07/25</v>
      </c>
      <c r="K615" s="5" t="s">
        <v>5752</v>
      </c>
      <c r="L615" s="31" t="s">
        <v>14</v>
      </c>
      <c r="M615" s="31" t="s">
        <v>15</v>
      </c>
      <c r="N615" s="31" t="s">
        <v>16</v>
      </c>
    </row>
    <row r="616" spans="1:14" x14ac:dyDescent="0.25">
      <c r="A616" s="4" t="str">
        <f>Sheet1!A616 &amp; "/" &amp; "2025"</f>
        <v>615/2025</v>
      </c>
      <c r="B616" s="5" t="str">
        <f>Sheet1!E616</f>
        <v>IND/MEL/00615</v>
      </c>
      <c r="C616" s="6" t="str">
        <f>UPPER(Sheet1!B616)</f>
        <v>TARA SINDALE</v>
      </c>
      <c r="D616" s="7" t="str">
        <f>IF(Sheet1!F616="F","FEMALE","MALE")</f>
        <v>FEMALE</v>
      </c>
      <c r="E616" s="6" t="str">
        <f>UPPER(Sheet1!G616)</f>
        <v>DEV SINDALE</v>
      </c>
      <c r="F616" s="6" t="str">
        <f>UPPER(Sheet1!H616)</f>
        <v>NINA SINDALE</v>
      </c>
      <c r="G616" s="5" t="str">
        <f>TEXT(Sheet1!C616,"dd/mm/yyyy") &amp; "," &amp; Sheet1!D616</f>
        <v>03/07/2025,MANDURAH</v>
      </c>
      <c r="H616" s="39" t="str">
        <f>UPPER(Sheet1!J616 &amp; "," &amp; Sheet1!K616 &amp; "," &amp; Sheet1!L616)</f>
        <v>163 BIRCHWOOD LANE,EMERALD ROAD,PIN:587920 MANDURAH</v>
      </c>
      <c r="I616" s="8">
        <f>Sheet1!I616</f>
        <v>45884</v>
      </c>
      <c r="J616" s="5" t="str">
        <f>Sheet1!M616 &amp; "," &amp; TEXT(Sheet1!N616,"dd/mm/yy")</f>
        <v>MHA/IND/00615,22/07/25</v>
      </c>
      <c r="K616" s="5" t="s">
        <v>5752</v>
      </c>
      <c r="L616" s="31" t="s">
        <v>14</v>
      </c>
      <c r="M616" s="31" t="s">
        <v>15</v>
      </c>
      <c r="N616" s="31" t="s">
        <v>16</v>
      </c>
    </row>
    <row r="617" spans="1:14" x14ac:dyDescent="0.25">
      <c r="A617" s="4" t="str">
        <f>Sheet1!A617 &amp; "/" &amp; "2025"</f>
        <v>616/2025</v>
      </c>
      <c r="B617" s="5" t="str">
        <f>Sheet1!E617</f>
        <v>IND/MEL/00616</v>
      </c>
      <c r="C617" s="6" t="str">
        <f>UPPER(Sheet1!B617)</f>
        <v>ANYA RAO</v>
      </c>
      <c r="D617" s="7" t="str">
        <f>IF(Sheet1!F617="F","FEMALE","MALE")</f>
        <v>FEMALE</v>
      </c>
      <c r="E617" s="6" t="str">
        <f>UPPER(Sheet1!G617)</f>
        <v>KIRAN RAO</v>
      </c>
      <c r="F617" s="6" t="str">
        <f>UPPER(Sheet1!H617)</f>
        <v>TARA RAO</v>
      </c>
      <c r="G617" s="5" t="str">
        <f>TEXT(Sheet1!C617,"dd/mm/yyyy") &amp; "," &amp; Sheet1!D617</f>
        <v>07/06/2025,BUNDOORA</v>
      </c>
      <c r="H617" s="39" t="str">
        <f>UPPER(Sheet1!J617 &amp; "," &amp; Sheet1!K617 &amp; "," &amp; Sheet1!L617)</f>
        <v>166 BIRCHWOOD LANE,EMERALD ROAD,PIN:443245 BUNDOORA</v>
      </c>
      <c r="I617" s="8">
        <f>Sheet1!I617</f>
        <v>45833</v>
      </c>
      <c r="J617" s="5" t="str">
        <f>Sheet1!M617 &amp; "," &amp; TEXT(Sheet1!N617,"dd/mm/yy")</f>
        <v>MHA/IND/00616,01/08/25</v>
      </c>
      <c r="K617" s="5" t="s">
        <v>5752</v>
      </c>
      <c r="L617" s="31" t="s">
        <v>14</v>
      </c>
      <c r="M617" s="31" t="s">
        <v>15</v>
      </c>
      <c r="N617" s="31" t="s">
        <v>16</v>
      </c>
    </row>
    <row r="618" spans="1:14" x14ac:dyDescent="0.25">
      <c r="A618" s="4" t="str">
        <f>Sheet1!A618 &amp; "/" &amp; "2025"</f>
        <v>617/2025</v>
      </c>
      <c r="B618" s="5" t="str">
        <f>Sheet1!E618</f>
        <v>IND/MEL/00617</v>
      </c>
      <c r="C618" s="6" t="str">
        <f>UPPER(Sheet1!B618)</f>
        <v>TARA RISHKAN</v>
      </c>
      <c r="D618" s="7" t="str">
        <f>IF(Sheet1!F618="F","FEMALE","MALE")</f>
        <v>FEMALE</v>
      </c>
      <c r="E618" s="6" t="str">
        <f>UPPER(Sheet1!G618)</f>
        <v>ROHIT RISHKAN</v>
      </c>
      <c r="F618" s="6" t="str">
        <f>UPPER(Sheet1!H618)</f>
        <v>SARA RISHKAN</v>
      </c>
      <c r="G618" s="5" t="str">
        <f>TEXT(Sheet1!C618,"dd/mm/yyyy") &amp; "," &amp; Sheet1!D618</f>
        <v>26/05/2025,BRISBANE</v>
      </c>
      <c r="H618" s="39" t="str">
        <f>UPPER(Sheet1!J618 &amp; "," &amp; Sheet1!K618 &amp; "," &amp; Sheet1!L618)</f>
        <v>130 BIRCHWOOD LANE,EMERALD ROAD,PIN:854044 BRISBANE</v>
      </c>
      <c r="I618" s="8">
        <f>Sheet1!I618</f>
        <v>45882</v>
      </c>
      <c r="J618" s="5" t="str">
        <f>Sheet1!M618 &amp; "," &amp; TEXT(Sheet1!N618,"dd/mm/yy")</f>
        <v>MHA/IND/00617,28/07/25</v>
      </c>
      <c r="K618" s="5" t="s">
        <v>5752</v>
      </c>
      <c r="L618" s="31" t="s">
        <v>14</v>
      </c>
      <c r="M618" s="31" t="s">
        <v>15</v>
      </c>
      <c r="N618" s="31" t="s">
        <v>16</v>
      </c>
    </row>
    <row r="619" spans="1:14" x14ac:dyDescent="0.25">
      <c r="A619" s="4" t="str">
        <f>Sheet1!A619 &amp; "/" &amp; "2025"</f>
        <v>618/2025</v>
      </c>
      <c r="B619" s="5" t="str">
        <f>Sheet1!E619</f>
        <v>IND/MEL/00618</v>
      </c>
      <c r="C619" s="6" t="str">
        <f>UPPER(Sheet1!B619)</f>
        <v>KABIR SINDALE</v>
      </c>
      <c r="D619" s="7" t="str">
        <f>IF(Sheet1!F619="F","FEMALE","MALE")</f>
        <v>MALE</v>
      </c>
      <c r="E619" s="6" t="str">
        <f>UPPER(Sheet1!G619)</f>
        <v>NEIL SINDALE</v>
      </c>
      <c r="F619" s="6" t="str">
        <f>UPPER(Sheet1!H619)</f>
        <v>RIYA SINDALE</v>
      </c>
      <c r="G619" s="5" t="str">
        <f>TEXT(Sheet1!C619,"dd/mm/yyyy") &amp; "," &amp; Sheet1!D619</f>
        <v>13/03/2025,BERWICK</v>
      </c>
      <c r="H619" s="39" t="str">
        <f>UPPER(Sheet1!J619 &amp; "," &amp; Sheet1!K619 &amp; "," &amp; Sheet1!L619)</f>
        <v>90 BIRCHWOOD LANE,EMERALD ROAD,PIN:146112 BERWICK</v>
      </c>
      <c r="I619" s="8">
        <f>Sheet1!I619</f>
        <v>45792</v>
      </c>
      <c r="J619" s="5" t="str">
        <f>Sheet1!M619 &amp; "," &amp; TEXT(Sheet1!N619,"dd/mm/yy")</f>
        <v>MHA/IND/00618,20/07/25</v>
      </c>
      <c r="K619" s="5" t="s">
        <v>5752</v>
      </c>
      <c r="L619" s="31" t="s">
        <v>14</v>
      </c>
      <c r="M619" s="31" t="s">
        <v>15</v>
      </c>
      <c r="N619" s="31" t="s">
        <v>16</v>
      </c>
    </row>
    <row r="620" spans="1:14" x14ac:dyDescent="0.25">
      <c r="A620" s="4" t="str">
        <f>Sheet1!A620 &amp; "/" &amp; "2025"</f>
        <v>619/2025</v>
      </c>
      <c r="B620" s="5" t="str">
        <f>Sheet1!E620</f>
        <v>IND/MEL/00619</v>
      </c>
      <c r="C620" s="6" t="str">
        <f>UPPER(Sheet1!B620)</f>
        <v>MIRA SHARMA</v>
      </c>
      <c r="D620" s="7" t="str">
        <f>IF(Sheet1!F620="F","FEMALE","MALE")</f>
        <v>FEMALE</v>
      </c>
      <c r="E620" s="6" t="str">
        <f>UPPER(Sheet1!G620)</f>
        <v>KIRAN SHARMA</v>
      </c>
      <c r="F620" s="6" t="str">
        <f>UPPER(Sheet1!H620)</f>
        <v>DIYA SHARMA</v>
      </c>
      <c r="G620" s="5" t="str">
        <f>TEXT(Sheet1!C620,"dd/mm/yyyy") &amp; "," &amp; Sheet1!D620</f>
        <v>17/05/2025,GOSFORD</v>
      </c>
      <c r="H620" s="39" t="str">
        <f>UPPER(Sheet1!J620 &amp; "," &amp; Sheet1!K620 &amp; "," &amp; Sheet1!L620)</f>
        <v>187 BIRCHWOOD LANE,EMERALD ROAD,PIN:116116 GOSFORD</v>
      </c>
      <c r="I620" s="8">
        <f>Sheet1!I620</f>
        <v>45856</v>
      </c>
      <c r="J620" s="5" t="str">
        <f>Sheet1!M620 &amp; "," &amp; TEXT(Sheet1!N620,"dd/mm/yy")</f>
        <v>MHA/IND/00619,11/08/25</v>
      </c>
      <c r="K620" s="5" t="s">
        <v>5752</v>
      </c>
      <c r="L620" s="31" t="s">
        <v>14</v>
      </c>
      <c r="M620" s="31" t="s">
        <v>15</v>
      </c>
      <c r="N620" s="31" t="s">
        <v>16</v>
      </c>
    </row>
    <row r="621" spans="1:14" x14ac:dyDescent="0.25">
      <c r="A621" s="4" t="str">
        <f>Sheet1!A621 &amp; "/" &amp; "2025"</f>
        <v>620/2025</v>
      </c>
      <c r="B621" s="5" t="str">
        <f>Sheet1!E621</f>
        <v>IND/MEL/00620</v>
      </c>
      <c r="C621" s="6" t="str">
        <f>UPPER(Sheet1!B621)</f>
        <v>ANYA KALEON</v>
      </c>
      <c r="D621" s="7" t="str">
        <f>IF(Sheet1!F621="F","FEMALE","MALE")</f>
        <v>FEMALE</v>
      </c>
      <c r="E621" s="6" t="str">
        <f>UPPER(Sheet1!G621)</f>
        <v>ROHIT KALEON</v>
      </c>
      <c r="F621" s="6" t="str">
        <f>UPPER(Sheet1!H621)</f>
        <v>TARA KALEON</v>
      </c>
      <c r="G621" s="5" t="str">
        <f>TEXT(Sheet1!C621,"dd/mm/yyyy") &amp; "," &amp; Sheet1!D621</f>
        <v>12/10/2025,ARMADALE</v>
      </c>
      <c r="H621" s="39" t="str">
        <f>UPPER(Sheet1!J621 &amp; "," &amp; Sheet1!K621 &amp; "," &amp; Sheet1!L621)</f>
        <v>146 BIRCHWOOD LANE,EMERALD ROAD,PIN:698609 ARMADALE</v>
      </c>
      <c r="I621" s="8">
        <f>Sheet1!I621</f>
        <v>45968</v>
      </c>
      <c r="J621" s="5" t="str">
        <f>Sheet1!M621 &amp; "," &amp; TEXT(Sheet1!N621,"dd/mm/yy")</f>
        <v>MHA/IND/00620,09/08/25</v>
      </c>
      <c r="K621" s="5" t="s">
        <v>5752</v>
      </c>
      <c r="L621" s="31" t="s">
        <v>14</v>
      </c>
      <c r="M621" s="31" t="s">
        <v>15</v>
      </c>
      <c r="N621" s="31" t="s">
        <v>16</v>
      </c>
    </row>
    <row r="622" spans="1:14" x14ac:dyDescent="0.25">
      <c r="A622" s="4" t="str">
        <f>Sheet1!A622 &amp; "/" &amp; "2025"</f>
        <v>621/2025</v>
      </c>
      <c r="B622" s="5" t="str">
        <f>Sheet1!E622</f>
        <v>IND/MEL/00621</v>
      </c>
      <c r="C622" s="6" t="str">
        <f>UPPER(Sheet1!B622)</f>
        <v>ALYA KALEON</v>
      </c>
      <c r="D622" s="7" t="str">
        <f>IF(Sheet1!F622="F","FEMALE","MALE")</f>
        <v>FEMALE</v>
      </c>
      <c r="E622" s="6" t="str">
        <f>UPPER(Sheet1!G622)</f>
        <v>ISHAN KALEON</v>
      </c>
      <c r="F622" s="6" t="str">
        <f>UPPER(Sheet1!H622)</f>
        <v>NINA KALEON</v>
      </c>
      <c r="G622" s="5" t="str">
        <f>TEXT(Sheet1!C622,"dd/mm/yyyy") &amp; "," &amp; Sheet1!D622</f>
        <v>10/09/2025,PARKVILLE</v>
      </c>
      <c r="H622" s="39" t="str">
        <f>UPPER(Sheet1!J622 &amp; "," &amp; Sheet1!K622 &amp; "," &amp; Sheet1!L622)</f>
        <v>94 BIRCHWOOD LANE,EMERALD ROAD,PIN:243403 PARKVILLE</v>
      </c>
      <c r="I622" s="8">
        <f>Sheet1!I622</f>
        <v>45999</v>
      </c>
      <c r="J622" s="5" t="str">
        <f>Sheet1!M622 &amp; "," &amp; TEXT(Sheet1!N622,"dd/mm/yy")</f>
        <v>MHA/IND/00621,26/08/25</v>
      </c>
      <c r="K622" s="5" t="s">
        <v>5752</v>
      </c>
      <c r="L622" s="31" t="s">
        <v>14</v>
      </c>
      <c r="M622" s="31" t="s">
        <v>15</v>
      </c>
      <c r="N622" s="31" t="s">
        <v>16</v>
      </c>
    </row>
    <row r="623" spans="1:14" x14ac:dyDescent="0.25">
      <c r="A623" s="4" t="str">
        <f>Sheet1!A623 &amp; "/" &amp; "2025"</f>
        <v>622/2025</v>
      </c>
      <c r="B623" s="5" t="str">
        <f>Sheet1!E623</f>
        <v>IND/MEL/00622</v>
      </c>
      <c r="C623" s="6" t="str">
        <f>UPPER(Sheet1!B623)</f>
        <v>ANYA MYRTHOS</v>
      </c>
      <c r="D623" s="7" t="str">
        <f>IF(Sheet1!F623="F","FEMALE","MALE")</f>
        <v>FEMALE</v>
      </c>
      <c r="E623" s="6" t="str">
        <f>UPPER(Sheet1!G623)</f>
        <v>ROHIT MYRTHOS</v>
      </c>
      <c r="F623" s="6" t="str">
        <f>UPPER(Sheet1!H623)</f>
        <v>MIRA MYRTHOS</v>
      </c>
      <c r="G623" s="5" t="str">
        <f>TEXT(Sheet1!C623,"dd/mm/yyyy") &amp; "," &amp; Sheet1!D623</f>
        <v>12/09/2025,LIVERPOOL</v>
      </c>
      <c r="H623" s="39" t="str">
        <f>UPPER(Sheet1!J623 &amp; "," &amp; Sheet1!K623 &amp; "," &amp; Sheet1!L623)</f>
        <v>61 BIRCHWOOD LANE,EMERALD ROAD,PIN:333036 LIVERPOOL</v>
      </c>
      <c r="I623" s="8">
        <f>Sheet1!I623</f>
        <v>45979</v>
      </c>
      <c r="J623" s="5" t="str">
        <f>Sheet1!M623 &amp; "," &amp; TEXT(Sheet1!N623,"dd/mm/yy")</f>
        <v>MHA/IND/00622,25/08/25</v>
      </c>
      <c r="K623" s="5" t="s">
        <v>5752</v>
      </c>
      <c r="L623" s="31" t="s">
        <v>14</v>
      </c>
      <c r="M623" s="31" t="s">
        <v>15</v>
      </c>
      <c r="N623" s="31" t="s">
        <v>16</v>
      </c>
    </row>
    <row r="624" spans="1:14" x14ac:dyDescent="0.25">
      <c r="A624" s="4" t="str">
        <f>Sheet1!A624 &amp; "/" &amp; "2025"</f>
        <v>623/2025</v>
      </c>
      <c r="B624" s="5" t="str">
        <f>Sheet1!E624</f>
        <v>IND/MEL/00623</v>
      </c>
      <c r="C624" s="6" t="str">
        <f>UPPER(Sheet1!B624)</f>
        <v>ROHIT VALZARI</v>
      </c>
      <c r="D624" s="7" t="str">
        <f>IF(Sheet1!F624="F","FEMALE","MALE")</f>
        <v>MALE</v>
      </c>
      <c r="E624" s="6" t="str">
        <f>UPPER(Sheet1!G624)</f>
        <v>AREN VALZARI</v>
      </c>
      <c r="F624" s="6" t="str">
        <f>UPPER(Sheet1!H624)</f>
        <v>RIYA VALZARI</v>
      </c>
      <c r="G624" s="5" t="str">
        <f>TEXT(Sheet1!C624,"dd/mm/yyyy") &amp; "," &amp; Sheet1!D624</f>
        <v>27/03/2025,BEDFORD PARK</v>
      </c>
      <c r="H624" s="39" t="str">
        <f>UPPER(Sheet1!J624 &amp; "," &amp; Sheet1!K624 &amp; "," &amp; Sheet1!L624)</f>
        <v>69 BIRCHWOOD LANE,EMERALD ROAD,PIN:974106 BEDFORD PARK</v>
      </c>
      <c r="I624" s="8">
        <f>Sheet1!I624</f>
        <v>45808</v>
      </c>
      <c r="J624" s="5" t="str">
        <f>Sheet1!M624 &amp; "," &amp; TEXT(Sheet1!N624,"dd/mm/yy")</f>
        <v>MHA/IND/00623,08/07/25</v>
      </c>
      <c r="K624" s="5" t="s">
        <v>5752</v>
      </c>
      <c r="L624" s="31" t="s">
        <v>14</v>
      </c>
      <c r="M624" s="31" t="s">
        <v>15</v>
      </c>
      <c r="N624" s="31" t="s">
        <v>16</v>
      </c>
    </row>
    <row r="625" spans="1:14" x14ac:dyDescent="0.25">
      <c r="A625" s="4" t="str">
        <f>Sheet1!A625 &amp; "/" &amp; "2025"</f>
        <v>624/2025</v>
      </c>
      <c r="B625" s="5" t="str">
        <f>Sheet1!E625</f>
        <v>IND/MEL/00624</v>
      </c>
      <c r="C625" s="6" t="str">
        <f>UPPER(Sheet1!B625)</f>
        <v>KIRAN VALZARI</v>
      </c>
      <c r="D625" s="7" t="str">
        <f>IF(Sheet1!F625="F","FEMALE","MALE")</f>
        <v>MALE</v>
      </c>
      <c r="E625" s="6" t="str">
        <f>UPPER(Sheet1!G625)</f>
        <v>ROHIT VALZARI</v>
      </c>
      <c r="F625" s="6" t="str">
        <f>UPPER(Sheet1!H625)</f>
        <v>ALYA VALZARI</v>
      </c>
      <c r="G625" s="5" t="str">
        <f>TEXT(Sheet1!C625,"dd/mm/yyyy") &amp; "," &amp; Sheet1!D625</f>
        <v>02/04/2025,WODONGA</v>
      </c>
      <c r="H625" s="39" t="str">
        <f>UPPER(Sheet1!J625 &amp; "," &amp; Sheet1!K625 &amp; "," &amp; Sheet1!L625)</f>
        <v>130 BIRCHWOOD LANE,EMERALD ROAD,PIN:903256 WODONGA</v>
      </c>
      <c r="I625" s="8">
        <f>Sheet1!I625</f>
        <v>45786</v>
      </c>
      <c r="J625" s="5" t="str">
        <f>Sheet1!M625 &amp; "," &amp; TEXT(Sheet1!N625,"dd/mm/yy")</f>
        <v>MHA/IND/00624,24/07/25</v>
      </c>
      <c r="K625" s="5" t="s">
        <v>5752</v>
      </c>
      <c r="L625" s="31" t="s">
        <v>14</v>
      </c>
      <c r="M625" s="31" t="s">
        <v>15</v>
      </c>
      <c r="N625" s="31" t="s">
        <v>16</v>
      </c>
    </row>
    <row r="626" spans="1:14" x14ac:dyDescent="0.25">
      <c r="A626" s="4" t="str">
        <f>Sheet1!A626 &amp; "/" &amp; "2025"</f>
        <v>625/2025</v>
      </c>
      <c r="B626" s="5" t="str">
        <f>Sheet1!E626</f>
        <v>IND/MEL/00625</v>
      </c>
      <c r="C626" s="6" t="str">
        <f>UPPER(Sheet1!B626)</f>
        <v>DEV SINDALE</v>
      </c>
      <c r="D626" s="7" t="str">
        <f>IF(Sheet1!F626="F","FEMALE","MALE")</f>
        <v>MALE</v>
      </c>
      <c r="E626" s="6" t="str">
        <f>UPPER(Sheet1!G626)</f>
        <v>AREN SINDALE</v>
      </c>
      <c r="F626" s="6" t="str">
        <f>UPPER(Sheet1!H626)</f>
        <v>RIYA SINDALE</v>
      </c>
      <c r="G626" s="5" t="str">
        <f>TEXT(Sheet1!C626,"dd/mm/yyyy") &amp; "," &amp; Sheet1!D626</f>
        <v>23/05/2025,FRANKSTON</v>
      </c>
      <c r="H626" s="39" t="str">
        <f>UPPER(Sheet1!J626 &amp; "," &amp; Sheet1!K626 &amp; "," &amp; Sheet1!L626)</f>
        <v>161 BIRCHWOOD LANE,EMERALD ROAD,PIN:724180 FRANKSTON</v>
      </c>
      <c r="I626" s="8">
        <f>Sheet1!I626</f>
        <v>45873</v>
      </c>
      <c r="J626" s="5" t="str">
        <f>Sheet1!M626 &amp; "," &amp; TEXT(Sheet1!N626,"dd/mm/yy")</f>
        <v>MHA/IND/00625,09/08/25</v>
      </c>
      <c r="K626" s="5" t="s">
        <v>5752</v>
      </c>
      <c r="L626" s="31" t="s">
        <v>14</v>
      </c>
      <c r="M626" s="31" t="s">
        <v>15</v>
      </c>
      <c r="N626" s="31" t="s">
        <v>16</v>
      </c>
    </row>
    <row r="627" spans="1:14" x14ac:dyDescent="0.25">
      <c r="A627" s="4" t="str">
        <f>Sheet1!A627 &amp; "/" &amp; "2025"</f>
        <v>626/2025</v>
      </c>
      <c r="B627" s="5" t="str">
        <f>Sheet1!E627</f>
        <v>IND/MEL/00626</v>
      </c>
      <c r="C627" s="6" t="str">
        <f>UPPER(Sheet1!B627)</f>
        <v>KIRAN SHARMA</v>
      </c>
      <c r="D627" s="7" t="str">
        <f>IF(Sheet1!F627="F","FEMALE","MALE")</f>
        <v>MALE</v>
      </c>
      <c r="E627" s="6" t="str">
        <f>UPPER(Sheet1!G627)</f>
        <v>DEV SHARMA</v>
      </c>
      <c r="F627" s="6" t="str">
        <f>UPPER(Sheet1!H627)</f>
        <v>NINA SHARMA</v>
      </c>
      <c r="G627" s="5" t="str">
        <f>TEXT(Sheet1!C627,"dd/mm/yyyy") &amp; "," &amp; Sheet1!D627</f>
        <v>11/06/2025,TUGGERANONG</v>
      </c>
      <c r="H627" s="39" t="str">
        <f>UPPER(Sheet1!J627 &amp; "," &amp; Sheet1!K627 &amp; "," &amp; Sheet1!L627)</f>
        <v>29 BIRCHWOOD LANE,EMERALD ROAD,PIN:696956 TUGGERANONG</v>
      </c>
      <c r="I627" s="8">
        <f>Sheet1!I627</f>
        <v>45937</v>
      </c>
      <c r="J627" s="5" t="str">
        <f>Sheet1!M627 &amp; "," &amp; TEXT(Sheet1!N627,"dd/mm/yy")</f>
        <v>MHA/IND/00626,26/08/25</v>
      </c>
      <c r="K627" s="5" t="s">
        <v>5752</v>
      </c>
      <c r="L627" s="31" t="s">
        <v>14</v>
      </c>
      <c r="M627" s="31" t="s">
        <v>15</v>
      </c>
      <c r="N627" s="31" t="s">
        <v>16</v>
      </c>
    </row>
    <row r="628" spans="1:14" ht="30" customHeight="1" x14ac:dyDescent="0.25">
      <c r="A628" s="4" t="str">
        <f>Sheet1!A628 &amp; "/" &amp; "2025"</f>
        <v>627/2025</v>
      </c>
      <c r="B628" s="5" t="str">
        <f>Sheet1!E628</f>
        <v>IND/MEL/00627</v>
      </c>
      <c r="C628" s="6" t="str">
        <f>UPPER(Sheet1!B628)</f>
        <v>MIRA SHARMA</v>
      </c>
      <c r="D628" s="7" t="str">
        <f>IF(Sheet1!F628="F","FEMALE","MALE")</f>
        <v>FEMALE</v>
      </c>
      <c r="E628" s="6" t="str">
        <f>UPPER(Sheet1!G628)</f>
        <v>ROHIT SHARMA</v>
      </c>
      <c r="F628" s="6" t="str">
        <f>UPPER(Sheet1!H628)</f>
        <v>MIRA SHARMA</v>
      </c>
      <c r="G628" s="5" t="str">
        <f>TEXT(Sheet1!C628,"dd/mm/yyyy") &amp; "," &amp; Sheet1!D628</f>
        <v>01/05/2025,LAUNCESTON</v>
      </c>
      <c r="H628" s="39" t="str">
        <f>UPPER(Sheet1!J628 &amp; "," &amp; Sheet1!K628 &amp; "," &amp; Sheet1!L628)</f>
        <v>193 BIRCHWOOD LANE,EMERALD ROAD,PIN:866652 LAUNCESTON</v>
      </c>
      <c r="I628" s="8">
        <f>Sheet1!I628</f>
        <v>45790</v>
      </c>
      <c r="J628" s="5" t="str">
        <f>Sheet1!M628 &amp; "," &amp; TEXT(Sheet1!N628,"dd/mm/yy")</f>
        <v>MHA/IND/00627,06/07/25</v>
      </c>
      <c r="K628" s="5" t="s">
        <v>5752</v>
      </c>
      <c r="L628" s="31" t="s">
        <v>14</v>
      </c>
      <c r="M628" s="31" t="s">
        <v>15</v>
      </c>
      <c r="N628" s="31" t="s">
        <v>16</v>
      </c>
    </row>
    <row r="629" spans="1:14" x14ac:dyDescent="0.25">
      <c r="A629" s="4" t="str">
        <f>Sheet1!A629 &amp; "/" &amp; "2025"</f>
        <v>628/2025</v>
      </c>
      <c r="B629" s="5" t="str">
        <f>Sheet1!E629</f>
        <v>IND/MEL/00628</v>
      </c>
      <c r="C629" s="6" t="str">
        <f>UPPER(Sheet1!B629)</f>
        <v>SARA KALEON</v>
      </c>
      <c r="D629" s="7" t="str">
        <f>IF(Sheet1!F629="F","FEMALE","MALE")</f>
        <v>FEMALE</v>
      </c>
      <c r="E629" s="6" t="str">
        <f>UPPER(Sheet1!G629)</f>
        <v>ROHIT KALEON</v>
      </c>
      <c r="F629" s="6" t="str">
        <f>UPPER(Sheet1!H629)</f>
        <v>ANYA KALEON</v>
      </c>
      <c r="G629" s="5" t="str">
        <f>TEXT(Sheet1!C629,"dd/mm/yyyy") &amp; "," &amp; Sheet1!D629</f>
        <v>19/03/2025,NORTH ADELAIDE</v>
      </c>
      <c r="H629" s="39" t="str">
        <f>UPPER(Sheet1!J629 &amp; "," &amp; Sheet1!K629 &amp; "," &amp; Sheet1!L629)</f>
        <v>141 BIRCHWOOD LANE,EMERALD ROAD,PIN:277862 NORTH ADELAIDE</v>
      </c>
      <c r="I629" s="8">
        <f>Sheet1!I629</f>
        <v>45767</v>
      </c>
      <c r="J629" s="5" t="str">
        <f>Sheet1!M629 &amp; "," &amp; TEXT(Sheet1!N629,"dd/mm/yy")</f>
        <v>MHA/IND/00628,03/08/25</v>
      </c>
      <c r="K629" s="5" t="s">
        <v>5752</v>
      </c>
      <c r="L629" s="31" t="s">
        <v>14</v>
      </c>
      <c r="M629" s="31" t="s">
        <v>15</v>
      </c>
      <c r="N629" s="31" t="s">
        <v>16</v>
      </c>
    </row>
    <row r="630" spans="1:14" x14ac:dyDescent="0.25">
      <c r="A630" s="4" t="str">
        <f>Sheet1!A630 &amp; "/" &amp; "2025"</f>
        <v>629/2025</v>
      </c>
      <c r="B630" s="5" t="str">
        <f>Sheet1!E630</f>
        <v>IND/MEL/00629</v>
      </c>
      <c r="C630" s="6" t="str">
        <f>UPPER(Sheet1!B630)</f>
        <v>RIYA RISHKAN</v>
      </c>
      <c r="D630" s="7" t="str">
        <f>IF(Sheet1!F630="F","FEMALE","MALE")</f>
        <v>FEMALE</v>
      </c>
      <c r="E630" s="6" t="str">
        <f>UPPER(Sheet1!G630)</f>
        <v>NEIL RISHKAN</v>
      </c>
      <c r="F630" s="6" t="str">
        <f>UPPER(Sheet1!H630)</f>
        <v>ALYA RISHKAN</v>
      </c>
      <c r="G630" s="5" t="str">
        <f>TEXT(Sheet1!C630,"dd/mm/yyyy") &amp; "," &amp; Sheet1!D630</f>
        <v>27/07/2025,TUGGERANONG</v>
      </c>
      <c r="H630" s="39" t="str">
        <f>UPPER(Sheet1!J630 &amp; "," &amp; Sheet1!K630 &amp; "," &amp; Sheet1!L630)</f>
        <v>57 BIRCHWOOD LANE,EMERALD ROAD,PIN:771839 TUGGERANONG</v>
      </c>
      <c r="I630" s="8">
        <f>Sheet1!I630</f>
        <v>45873</v>
      </c>
      <c r="J630" s="5" t="str">
        <f>Sheet1!M630 &amp; "," &amp; TEXT(Sheet1!N630,"dd/mm/yy")</f>
        <v>MHA/IND/00629,14/07/25</v>
      </c>
      <c r="K630" s="5" t="s">
        <v>5752</v>
      </c>
      <c r="L630" s="31" t="s">
        <v>14</v>
      </c>
      <c r="M630" s="31" t="s">
        <v>15</v>
      </c>
      <c r="N630" s="31" t="s">
        <v>16</v>
      </c>
    </row>
    <row r="631" spans="1:14" x14ac:dyDescent="0.25">
      <c r="A631" s="4" t="str">
        <f>Sheet1!A631 &amp; "/" &amp; "2025"</f>
        <v>630/2025</v>
      </c>
      <c r="B631" s="5" t="str">
        <f>Sheet1!E631</f>
        <v>IND/MEL/00630</v>
      </c>
      <c r="C631" s="6" t="str">
        <f>UPPER(Sheet1!B631)</f>
        <v>ANYA SHARMA</v>
      </c>
      <c r="D631" s="7" t="str">
        <f>IF(Sheet1!F631="F","FEMALE","MALE")</f>
        <v>FEMALE</v>
      </c>
      <c r="E631" s="6" t="str">
        <f>UPPER(Sheet1!G631)</f>
        <v>DEV SHARMA</v>
      </c>
      <c r="F631" s="6" t="str">
        <f>UPPER(Sheet1!H631)</f>
        <v>ANYA SHARMA</v>
      </c>
      <c r="G631" s="5" t="str">
        <f>TEXT(Sheet1!C631,"dd/mm/yyyy") &amp; "," &amp; Sheet1!D631</f>
        <v>05/08/2025,LIVERPOOL</v>
      </c>
      <c r="H631" s="39" t="str">
        <f>UPPER(Sheet1!J631 &amp; "," &amp; Sheet1!K631 &amp; "," &amp; Sheet1!L631)</f>
        <v>65 BIRCHWOOD LANE,EMERALD ROAD,PIN:587081 LIVERPOOL</v>
      </c>
      <c r="I631" s="8">
        <f>Sheet1!I631</f>
        <v>45926</v>
      </c>
      <c r="J631" s="5" t="str">
        <f>Sheet1!M631 &amp; "," &amp; TEXT(Sheet1!N631,"dd/mm/yy")</f>
        <v>MHA/IND/00630,04/08/25</v>
      </c>
      <c r="K631" s="5" t="s">
        <v>5752</v>
      </c>
      <c r="L631" s="31" t="s">
        <v>14</v>
      </c>
      <c r="M631" s="31" t="s">
        <v>15</v>
      </c>
      <c r="N631" s="31" t="s">
        <v>16</v>
      </c>
    </row>
    <row r="632" spans="1:14" x14ac:dyDescent="0.25">
      <c r="A632" s="4" t="str">
        <f>Sheet1!A632 &amp; "/" &amp; "2025"</f>
        <v>631/2025</v>
      </c>
      <c r="B632" s="5" t="str">
        <f>Sheet1!E632</f>
        <v>IND/MEL/00631</v>
      </c>
      <c r="C632" s="6" t="str">
        <f>UPPER(Sheet1!B632)</f>
        <v>ANYA VALZARI</v>
      </c>
      <c r="D632" s="7" t="str">
        <f>IF(Sheet1!F632="F","FEMALE","MALE")</f>
        <v>FEMALE</v>
      </c>
      <c r="E632" s="6" t="str">
        <f>UPPER(Sheet1!G632)</f>
        <v>AREN VALZARI</v>
      </c>
      <c r="F632" s="6" t="str">
        <f>UPPER(Sheet1!H632)</f>
        <v>ANYA VALZARI</v>
      </c>
      <c r="G632" s="5" t="str">
        <f>TEXT(Sheet1!C632,"dd/mm/yyyy") &amp; "," &amp; Sheet1!D632</f>
        <v>13/01/2025,BALLARAT CENTRAL</v>
      </c>
      <c r="H632" s="39" t="str">
        <f>UPPER(Sheet1!J632 &amp; "," &amp; Sheet1!K632 &amp; "," &amp; Sheet1!L632)</f>
        <v>74 BIRCHWOOD LANE,EMERALD ROAD,PIN:832571 BALLARAT CENTRAL</v>
      </c>
      <c r="I632" s="8">
        <f>Sheet1!I632</f>
        <v>45679</v>
      </c>
      <c r="J632" s="5" t="str">
        <f>Sheet1!M632 &amp; "," &amp; TEXT(Sheet1!N632,"dd/mm/yy")</f>
        <v>MHA/IND/00631,06/07/25</v>
      </c>
      <c r="K632" s="5" t="s">
        <v>5752</v>
      </c>
      <c r="L632" s="31" t="s">
        <v>14</v>
      </c>
      <c r="M632" s="31" t="s">
        <v>15</v>
      </c>
      <c r="N632" s="31" t="s">
        <v>16</v>
      </c>
    </row>
    <row r="633" spans="1:14" x14ac:dyDescent="0.25">
      <c r="A633" s="4" t="str">
        <f>Sheet1!A633 &amp; "/" &amp; "2025"</f>
        <v>632/2025</v>
      </c>
      <c r="B633" s="5" t="str">
        <f>Sheet1!E633</f>
        <v>IND/MEL/00632</v>
      </c>
      <c r="C633" s="6" t="str">
        <f>UPPER(Sheet1!B633)</f>
        <v>ARJUN SINDALE</v>
      </c>
      <c r="D633" s="7" t="str">
        <f>IF(Sheet1!F633="F","FEMALE","MALE")</f>
        <v>MALE</v>
      </c>
      <c r="E633" s="6" t="str">
        <f>UPPER(Sheet1!G633)</f>
        <v>ISHAN SINDALE</v>
      </c>
      <c r="F633" s="6" t="str">
        <f>UPPER(Sheet1!H633)</f>
        <v>NINA SINDALE</v>
      </c>
      <c r="G633" s="5" t="str">
        <f>TEXT(Sheet1!C633,"dd/mm/yyyy") &amp; "," &amp; Sheet1!D633</f>
        <v>05/08/2025,FREMANTLE</v>
      </c>
      <c r="H633" s="39" t="str">
        <f>UPPER(Sheet1!J633 &amp; "," &amp; Sheet1!K633 &amp; "," &amp; Sheet1!L633)</f>
        <v>26 BIRCHWOOD LANE,EMERALD ROAD,PIN:919321 FREMANTLE</v>
      </c>
      <c r="I633" s="8">
        <f>Sheet1!I633</f>
        <v>45982</v>
      </c>
      <c r="J633" s="5" t="str">
        <f>Sheet1!M633 &amp; "," &amp; TEXT(Sheet1!N633,"dd/mm/yy")</f>
        <v>MHA/IND/00632,28/08/25</v>
      </c>
      <c r="K633" s="5" t="s">
        <v>5752</v>
      </c>
      <c r="L633" s="31" t="s">
        <v>14</v>
      </c>
      <c r="M633" s="31" t="s">
        <v>15</v>
      </c>
      <c r="N633" s="31" t="s">
        <v>16</v>
      </c>
    </row>
    <row r="634" spans="1:14" x14ac:dyDescent="0.25">
      <c r="A634" s="4" t="str">
        <f>Sheet1!A634 &amp; "/" &amp; "2025"</f>
        <v>633/2025</v>
      </c>
      <c r="B634" s="5" t="str">
        <f>Sheet1!E634</f>
        <v>IND/MEL/00633</v>
      </c>
      <c r="C634" s="6" t="str">
        <f>UPPER(Sheet1!B634)</f>
        <v>TARA KALEON</v>
      </c>
      <c r="D634" s="7" t="str">
        <f>IF(Sheet1!F634="F","FEMALE","MALE")</f>
        <v>FEMALE</v>
      </c>
      <c r="E634" s="6" t="str">
        <f>UPPER(Sheet1!G634)</f>
        <v>KABIR RISHKAN</v>
      </c>
      <c r="F634" s="6" t="str">
        <f>UPPER(Sheet1!H634)</f>
        <v>NINA RISHKAN</v>
      </c>
      <c r="G634" s="5" t="str">
        <f>TEXT(Sheet1!C634,"dd/mm/yyyy") &amp; "," &amp; Sheet1!D634</f>
        <v>17/10/2025,WOLLONGONG</v>
      </c>
      <c r="H634" s="39" t="str">
        <f>UPPER(Sheet1!J634 &amp; "," &amp; Sheet1!K634 &amp; "," &amp; Sheet1!L634)</f>
        <v>77 BIRCHWOOD LANE,EMERALD ROAD,PIN:990720 WOLLONGONG</v>
      </c>
      <c r="I634" s="8">
        <f>Sheet1!I634</f>
        <v>46053</v>
      </c>
      <c r="J634" s="5" t="str">
        <f>Sheet1!M634 &amp; "," &amp; TEXT(Sheet1!N634,"dd/mm/yy")</f>
        <v>MHA/IND/00637,24/07/25</v>
      </c>
      <c r="K634" s="5" t="s">
        <v>5752</v>
      </c>
      <c r="L634" s="31" t="s">
        <v>14</v>
      </c>
      <c r="M634" s="31" t="s">
        <v>15</v>
      </c>
      <c r="N634" s="31" t="s">
        <v>16</v>
      </c>
    </row>
    <row r="635" spans="1:14" x14ac:dyDescent="0.25">
      <c r="A635" s="4" t="str">
        <f>Sheet1!A635 &amp; "/" &amp; "2025"</f>
        <v>634/2025</v>
      </c>
      <c r="B635" s="5" t="str">
        <f>Sheet1!E635</f>
        <v>IND/MEL/00634</v>
      </c>
      <c r="C635" s="6" t="str">
        <f>UPPER(Sheet1!B635)</f>
        <v>KIRAN SHARMA</v>
      </c>
      <c r="D635" s="7" t="str">
        <f>IF(Sheet1!F635="F","FEMALE","MALE")</f>
        <v>FEMALE</v>
      </c>
      <c r="E635" s="6" t="str">
        <f>UPPER(Sheet1!G635)</f>
        <v>NEIL VALZARI</v>
      </c>
      <c r="F635" s="6" t="str">
        <f>UPPER(Sheet1!H635)</f>
        <v>DIYA VALZARI</v>
      </c>
      <c r="G635" s="5" t="str">
        <f>TEXT(Sheet1!C635,"dd/mm/yyyy") &amp; "," &amp; Sheet1!D635</f>
        <v>18/04/2025,WERRIBEE</v>
      </c>
      <c r="H635" s="39" t="str">
        <f>UPPER(Sheet1!J635 &amp; "," &amp; Sheet1!K635 &amp; "," &amp; Sheet1!L635)</f>
        <v>59 BIRCHWOOD LANE,EMERALD ROAD,PIN:686666 WERRIBEE</v>
      </c>
      <c r="I635" s="8">
        <f>Sheet1!I635</f>
        <v>45824</v>
      </c>
      <c r="J635" s="5" t="str">
        <f>Sheet1!M635 &amp; "," &amp; TEXT(Sheet1!N635,"dd/mm/yy")</f>
        <v>MHA/IND/00638,12/07/25</v>
      </c>
      <c r="K635" s="5" t="s">
        <v>5752</v>
      </c>
      <c r="L635" s="31" t="s">
        <v>14</v>
      </c>
      <c r="M635" s="31" t="s">
        <v>15</v>
      </c>
      <c r="N635" s="31" t="s">
        <v>16</v>
      </c>
    </row>
    <row r="636" spans="1:14" x14ac:dyDescent="0.25">
      <c r="A636" s="4" t="str">
        <f>Sheet1!A636 &amp; "/" &amp; "2025"</f>
        <v>635/2025</v>
      </c>
      <c r="B636" s="5" t="str">
        <f>Sheet1!E636</f>
        <v>IND/MEL/00635</v>
      </c>
      <c r="C636" s="6" t="str">
        <f>UPPER(Sheet1!B636)</f>
        <v>ANYA RAO</v>
      </c>
      <c r="D636" s="7" t="str">
        <f>IF(Sheet1!F636="F","FEMALE","MALE")</f>
        <v>MALE</v>
      </c>
      <c r="E636" s="6" t="str">
        <f>UPPER(Sheet1!G636)</f>
        <v>KABIR MYRTHOS</v>
      </c>
      <c r="F636" s="6" t="str">
        <f>UPPER(Sheet1!H636)</f>
        <v>MIRA MYRTHOS</v>
      </c>
      <c r="G636" s="5" t="str">
        <f>TEXT(Sheet1!C636,"dd/mm/yyyy") &amp; "," &amp; Sheet1!D636</f>
        <v>18/08/2025,MIDLAND</v>
      </c>
      <c r="H636" s="39" t="str">
        <f>UPPER(Sheet1!J636 &amp; "," &amp; Sheet1!K636 &amp; "," &amp; Sheet1!L636)</f>
        <v>68 BIRCHWOOD LANE,EMERALD ROAD,PIN:921614 MIDLAND</v>
      </c>
      <c r="I636" s="8">
        <f>Sheet1!I636</f>
        <v>45936</v>
      </c>
      <c r="J636" s="5" t="str">
        <f>Sheet1!M636 &amp; "," &amp; TEXT(Sheet1!N636,"dd/mm/yy")</f>
        <v>MHA/IND/00639,19/08/25</v>
      </c>
      <c r="K636" s="5" t="s">
        <v>5752</v>
      </c>
      <c r="L636" s="31" t="s">
        <v>14</v>
      </c>
      <c r="M636" s="31" t="s">
        <v>15</v>
      </c>
      <c r="N636" s="31" t="s">
        <v>16</v>
      </c>
    </row>
    <row r="637" spans="1:14" x14ac:dyDescent="0.25">
      <c r="A637" s="4" t="str">
        <f>Sheet1!A637 &amp; "/" &amp; "2025"</f>
        <v>636/2025</v>
      </c>
      <c r="B637" s="5" t="str">
        <f>Sheet1!E637</f>
        <v>IND/MEL/00636</v>
      </c>
      <c r="C637" s="6" t="str">
        <f>UPPER(Sheet1!B637)</f>
        <v>DIYA MYRTHOS</v>
      </c>
      <c r="D637" s="7" t="str">
        <f>IF(Sheet1!F637="F","FEMALE","MALE")</f>
        <v>FEMALE</v>
      </c>
      <c r="E637" s="6" t="str">
        <f>UPPER(Sheet1!G637)</f>
        <v>ISHAN MYRTHOS</v>
      </c>
      <c r="F637" s="6" t="str">
        <f>UPPER(Sheet1!H637)</f>
        <v>ALYA MYRTHOS</v>
      </c>
      <c r="G637" s="5" t="str">
        <f>TEXT(Sheet1!C637,"dd/mm/yyyy") &amp; "," &amp; Sheet1!D637</f>
        <v>29/01/2025,BUNDOORA</v>
      </c>
      <c r="H637" s="39" t="str">
        <f>UPPER(Sheet1!J637 &amp; "," &amp; Sheet1!K637 &amp; "," &amp; Sheet1!L637)</f>
        <v>191 BIRCHWOOD LANE,EMERALD ROAD,PIN:383372 BUNDOORA</v>
      </c>
      <c r="I637" s="8">
        <f>Sheet1!I637</f>
        <v>45704</v>
      </c>
      <c r="J637" s="5" t="str">
        <f>Sheet1!M637 &amp; "," &amp; TEXT(Sheet1!N637,"dd/mm/yy")</f>
        <v>MHA/IND/00640,12/08/25</v>
      </c>
      <c r="K637" s="5" t="s">
        <v>5752</v>
      </c>
      <c r="L637" s="31" t="s">
        <v>14</v>
      </c>
      <c r="M637" s="31" t="s">
        <v>15</v>
      </c>
      <c r="N637" s="31" t="s">
        <v>16</v>
      </c>
    </row>
    <row r="638" spans="1:14" x14ac:dyDescent="0.25">
      <c r="A638" s="4" t="str">
        <f>Sheet1!A638 &amp; "/" &amp; "2025"</f>
        <v>637/2025</v>
      </c>
      <c r="B638" s="5" t="str">
        <f>Sheet1!E638</f>
        <v>IND/MEL/00637</v>
      </c>
      <c r="C638" s="6" t="str">
        <f>UPPER(Sheet1!B638)</f>
        <v>DIYA RISHKAN</v>
      </c>
      <c r="D638" s="7" t="str">
        <f>IF(Sheet1!F638="F","FEMALE","MALE")</f>
        <v>MALE</v>
      </c>
      <c r="E638" s="6" t="str">
        <f>UPPER(Sheet1!G638)</f>
        <v>AREN SINDALE</v>
      </c>
      <c r="F638" s="6" t="str">
        <f>UPPER(Sheet1!H638)</f>
        <v>ALYA SINDALE</v>
      </c>
      <c r="G638" s="5" t="str">
        <f>TEXT(Sheet1!C638,"dd/mm/yyyy") &amp; "," &amp; Sheet1!D638</f>
        <v>21/04/2025,ADELAIDE</v>
      </c>
      <c r="H638" s="39" t="str">
        <f>UPPER(Sheet1!J638 &amp; "," &amp; Sheet1!K638 &amp; "," &amp; Sheet1!L638)</f>
        <v>28 BIRCHWOOD LANE,EMERALD ROAD,PIN:703922 ADELAIDE</v>
      </c>
      <c r="I638" s="8">
        <f>Sheet1!I638</f>
        <v>45805</v>
      </c>
      <c r="J638" s="5" t="str">
        <f>Sheet1!M638 &amp; "," &amp; TEXT(Sheet1!N638,"dd/mm/yy")</f>
        <v>MHA/IND/00641,01/08/25</v>
      </c>
      <c r="K638" s="5" t="s">
        <v>5752</v>
      </c>
      <c r="L638" s="31" t="s">
        <v>14</v>
      </c>
      <c r="M638" s="31" t="s">
        <v>15</v>
      </c>
      <c r="N638" s="31" t="s">
        <v>16</v>
      </c>
    </row>
    <row r="639" spans="1:14" x14ac:dyDescent="0.25">
      <c r="A639" s="4" t="str">
        <f>Sheet1!A639 &amp; "/" &amp; "2025"</f>
        <v>638/2025</v>
      </c>
      <c r="B639" s="5" t="str">
        <f>Sheet1!E639</f>
        <v>IND/MEL/00638</v>
      </c>
      <c r="C639" s="6" t="str">
        <f>UPPER(Sheet1!B639)</f>
        <v>ANYA VALZARI</v>
      </c>
      <c r="D639" s="7" t="str">
        <f>IF(Sheet1!F639="F","FEMALE","MALE")</f>
        <v>FEMALE</v>
      </c>
      <c r="E639" s="6" t="str">
        <f>UPPER(Sheet1!G639)</f>
        <v>ARJUN SHARMA</v>
      </c>
      <c r="F639" s="6" t="str">
        <f>UPPER(Sheet1!H639)</f>
        <v>ALYA SHARMA</v>
      </c>
      <c r="G639" s="5" t="str">
        <f>TEXT(Sheet1!C639,"dd/mm/yyyy") &amp; "," &amp; Sheet1!D639</f>
        <v>13/02/2025,TOOWOOMBA</v>
      </c>
      <c r="H639" s="39" t="str">
        <f>UPPER(Sheet1!J639 &amp; "," &amp; Sheet1!K639 &amp; "," &amp; Sheet1!L639)</f>
        <v>185 BIRCHWOOD LANE,EMERALD ROAD,PIN:926264 TOOWOOMBA</v>
      </c>
      <c r="I639" s="8">
        <f>Sheet1!I639</f>
        <v>45738</v>
      </c>
      <c r="J639" s="5" t="str">
        <f>Sheet1!M639 &amp; "," &amp; TEXT(Sheet1!N639,"dd/mm/yy")</f>
        <v>MHA/IND/00642,10/08/25</v>
      </c>
      <c r="K639" s="5" t="s">
        <v>5752</v>
      </c>
      <c r="L639" s="31" t="s">
        <v>14</v>
      </c>
      <c r="M639" s="31" t="s">
        <v>15</v>
      </c>
      <c r="N639" s="31" t="s">
        <v>16</v>
      </c>
    </row>
    <row r="640" spans="1:14" x14ac:dyDescent="0.25">
      <c r="A640" s="4" t="str">
        <f>Sheet1!A640 &amp; "/" &amp; "2025"</f>
        <v>639/2025</v>
      </c>
      <c r="B640" s="5" t="str">
        <f>Sheet1!E640</f>
        <v>IND/MEL/00639</v>
      </c>
      <c r="C640" s="6" t="str">
        <f>UPPER(Sheet1!B640)</f>
        <v>DEV MYRTHOS</v>
      </c>
      <c r="D640" s="7" t="str">
        <f>IF(Sheet1!F640="F","FEMALE","MALE")</f>
        <v>MALE</v>
      </c>
      <c r="E640" s="6" t="str">
        <f>UPPER(Sheet1!G640)</f>
        <v>ARJUN SINDALE</v>
      </c>
      <c r="F640" s="6" t="str">
        <f>UPPER(Sheet1!H640)</f>
        <v>SARA SINDALE</v>
      </c>
      <c r="G640" s="5" t="str">
        <f>TEXT(Sheet1!C640,"dd/mm/yyyy") &amp; "," &amp; Sheet1!D640</f>
        <v>21/02/2025,PERTH</v>
      </c>
      <c r="H640" s="39" t="str">
        <f>UPPER(Sheet1!J640 &amp; "," &amp; Sheet1!K640 &amp; "," &amp; Sheet1!L640)</f>
        <v>166 BIRCHWOOD LANE,EMERALD ROAD,PIN:836568 PERTH</v>
      </c>
      <c r="I640" s="8">
        <f>Sheet1!I640</f>
        <v>45797</v>
      </c>
      <c r="J640" s="5" t="str">
        <f>Sheet1!M640 &amp; "," &amp; TEXT(Sheet1!N640,"dd/mm/yy")</f>
        <v>MHA/IND/00643,06/07/25</v>
      </c>
      <c r="K640" s="5" t="s">
        <v>5752</v>
      </c>
      <c r="L640" s="31" t="s">
        <v>14</v>
      </c>
      <c r="M640" s="31" t="s">
        <v>15</v>
      </c>
      <c r="N640" s="31" t="s">
        <v>16</v>
      </c>
    </row>
    <row r="641" spans="1:14" x14ac:dyDescent="0.25">
      <c r="A641" s="4" t="str">
        <f>Sheet1!A641 &amp; "/" &amp; "2025"</f>
        <v>640/2025</v>
      </c>
      <c r="B641" s="5" t="str">
        <f>Sheet1!E641</f>
        <v>IND/MEL/00640</v>
      </c>
      <c r="C641" s="6" t="str">
        <f>UPPER(Sheet1!B641)</f>
        <v>NINA MYRTHOS</v>
      </c>
      <c r="D641" s="7" t="str">
        <f>IF(Sheet1!F641="F","FEMALE","MALE")</f>
        <v>FEMALE</v>
      </c>
      <c r="E641" s="6" t="str">
        <f>UPPER(Sheet1!G641)</f>
        <v>ISHAN RAO</v>
      </c>
      <c r="F641" s="6" t="str">
        <f>UPPER(Sheet1!H641)</f>
        <v>DIYA RAO</v>
      </c>
      <c r="G641" s="5" t="str">
        <f>TEXT(Sheet1!C641,"dd/mm/yyyy") &amp; "," &amp; Sheet1!D641</f>
        <v>03/06/2025,NEWCASTLE</v>
      </c>
      <c r="H641" s="39" t="str">
        <f>UPPER(Sheet1!J641 &amp; "," &amp; Sheet1!K641 &amp; "," &amp; Sheet1!L641)</f>
        <v>190 BIRCHWOOD LANE,EMERALD ROAD,PIN:596001 NEWCASTLE</v>
      </c>
      <c r="I641" s="8">
        <f>Sheet1!I641</f>
        <v>45898</v>
      </c>
      <c r="J641" s="5" t="str">
        <f>Sheet1!M641 &amp; "," &amp; TEXT(Sheet1!N641,"dd/mm/yy")</f>
        <v>MHA/IND/00644,29/08/25</v>
      </c>
      <c r="K641" s="5" t="s">
        <v>5752</v>
      </c>
      <c r="L641" s="31" t="s">
        <v>14</v>
      </c>
      <c r="M641" s="31" t="s">
        <v>15</v>
      </c>
      <c r="N641" s="31" t="s">
        <v>16</v>
      </c>
    </row>
    <row r="642" spans="1:14" x14ac:dyDescent="0.25">
      <c r="A642" s="4" t="str">
        <f>Sheet1!A642 &amp; "/" &amp; "2025"</f>
        <v>641/2025</v>
      </c>
      <c r="B642" s="5" t="str">
        <f>Sheet1!E642</f>
        <v>IND/MEL/00641</v>
      </c>
      <c r="C642" s="6" t="str">
        <f>UPPER(Sheet1!B642)</f>
        <v>ARJUN SINDALE</v>
      </c>
      <c r="D642" s="7" t="str">
        <f>IF(Sheet1!F642="F","FEMALE","MALE")</f>
        <v>MALE</v>
      </c>
      <c r="E642" s="6" t="str">
        <f>UPPER(Sheet1!G642)</f>
        <v>KABIR SINDALE</v>
      </c>
      <c r="F642" s="6" t="str">
        <f>UPPER(Sheet1!H642)</f>
        <v>TARA SINDALE</v>
      </c>
      <c r="G642" s="5" t="str">
        <f>TEXT(Sheet1!C642,"dd/mm/yyyy") &amp; "," &amp; Sheet1!D642</f>
        <v>11/02/2025,SHEPPARTON</v>
      </c>
      <c r="H642" s="39" t="str">
        <f>UPPER(Sheet1!J642 &amp; "," &amp; Sheet1!K642 &amp; "," &amp; Sheet1!L642)</f>
        <v>189 BIRCHWOOD LANE,EMERALD ROAD,PIN:454480 SHEPPARTON</v>
      </c>
      <c r="I642" s="8">
        <f>Sheet1!I642</f>
        <v>45721</v>
      </c>
      <c r="J642" s="5" t="str">
        <f>Sheet1!M642 &amp; "," &amp; TEXT(Sheet1!N642,"dd/mm/yy")</f>
        <v>MHA/IND/00645,15/07/25</v>
      </c>
      <c r="K642" s="5" t="s">
        <v>5752</v>
      </c>
      <c r="L642" s="31" t="s">
        <v>14</v>
      </c>
      <c r="M642" s="31" t="s">
        <v>15</v>
      </c>
      <c r="N642" s="31" t="s">
        <v>16</v>
      </c>
    </row>
    <row r="643" spans="1:14" x14ac:dyDescent="0.25">
      <c r="A643" s="4" t="str">
        <f>Sheet1!A643 &amp; "/" &amp; "2025"</f>
        <v>642/2025</v>
      </c>
      <c r="B643" s="5" t="str">
        <f>Sheet1!E643</f>
        <v>IND/MEL/00642</v>
      </c>
      <c r="C643" s="6" t="str">
        <f>UPPER(Sheet1!B643)</f>
        <v>DIYA SHARMA</v>
      </c>
      <c r="D643" s="7" t="str">
        <f>IF(Sheet1!F643="F","FEMALE","MALE")</f>
        <v>MALE</v>
      </c>
      <c r="E643" s="6" t="str">
        <f>UPPER(Sheet1!G643)</f>
        <v>AREN KALEON</v>
      </c>
      <c r="F643" s="6" t="str">
        <f>UPPER(Sheet1!H643)</f>
        <v>NINA KALEON</v>
      </c>
      <c r="G643" s="5" t="str">
        <f>TEXT(Sheet1!C643,"dd/mm/yyyy") &amp; "," &amp; Sheet1!D643</f>
        <v>15/10/2025,MOUNT WAVERLEY</v>
      </c>
      <c r="H643" s="39" t="str">
        <f>UPPER(Sheet1!J643 &amp; "," &amp; Sheet1!K643 &amp; "," &amp; Sheet1!L643)</f>
        <v>137 BIRCHWOOD LANE,EMERALD ROAD,PIN:600100 MOUNT WAVERLEY</v>
      </c>
      <c r="I643" s="8">
        <f>Sheet1!I643</f>
        <v>46061</v>
      </c>
      <c r="J643" s="5" t="str">
        <f>Sheet1!M643 &amp; "," &amp; TEXT(Sheet1!N643,"dd/mm/yy")</f>
        <v>MHA/IND/00646,03/07/25</v>
      </c>
      <c r="K643" s="5" t="s">
        <v>5752</v>
      </c>
      <c r="L643" s="31" t="s">
        <v>14</v>
      </c>
      <c r="M643" s="31" t="s">
        <v>15</v>
      </c>
      <c r="N643" s="31" t="s">
        <v>16</v>
      </c>
    </row>
    <row r="644" spans="1:14" x14ac:dyDescent="0.25">
      <c r="A644" s="4" t="str">
        <f>Sheet1!A644 &amp; "/" &amp; "2025"</f>
        <v>643/2025</v>
      </c>
      <c r="B644" s="5" t="str">
        <f>Sheet1!E644</f>
        <v>IND/MEL/00643</v>
      </c>
      <c r="C644" s="6" t="str">
        <f>UPPER(Sheet1!B644)</f>
        <v>ISHAN SINDALE</v>
      </c>
      <c r="D644" s="7" t="str">
        <f>IF(Sheet1!F644="F","FEMALE","MALE")</f>
        <v>MALE</v>
      </c>
      <c r="E644" s="6" t="str">
        <f>UPPER(Sheet1!G644)</f>
        <v>ARJUN MYRTHOS</v>
      </c>
      <c r="F644" s="6" t="str">
        <f>UPPER(Sheet1!H644)</f>
        <v>MIRA MYRTHOS</v>
      </c>
      <c r="G644" s="5" t="str">
        <f>TEXT(Sheet1!C644,"dd/mm/yyyy") &amp; "," &amp; Sheet1!D644</f>
        <v>20/03/2025,DEVONPORT</v>
      </c>
      <c r="H644" s="39" t="str">
        <f>UPPER(Sheet1!J644 &amp; "," &amp; Sheet1!K644 &amp; "," &amp; Sheet1!L644)</f>
        <v>125 BIRCHWOOD LANE,EMERALD ROAD,PIN:206474 DEVONPORT</v>
      </c>
      <c r="I644" s="8">
        <f>Sheet1!I644</f>
        <v>45837</v>
      </c>
      <c r="J644" s="5" t="str">
        <f>Sheet1!M644 &amp; "," &amp; TEXT(Sheet1!N644,"dd/mm/yy")</f>
        <v>MHA/IND/00647,13/07/25</v>
      </c>
      <c r="K644" s="5" t="s">
        <v>5752</v>
      </c>
      <c r="L644" s="31" t="s">
        <v>14</v>
      </c>
      <c r="M644" s="31" t="s">
        <v>15</v>
      </c>
      <c r="N644" s="31" t="s">
        <v>16</v>
      </c>
    </row>
    <row r="645" spans="1:14" x14ac:dyDescent="0.25">
      <c r="A645" s="4" t="str">
        <f>Sheet1!A645 &amp; "/" &amp; "2025"</f>
        <v>644/2025</v>
      </c>
      <c r="B645" s="5" t="str">
        <f>Sheet1!E645</f>
        <v>IND/MEL/00644</v>
      </c>
      <c r="C645" s="6" t="str">
        <f>UPPER(Sheet1!B645)</f>
        <v>ALYA RAO</v>
      </c>
      <c r="D645" s="7" t="str">
        <f>IF(Sheet1!F645="F","FEMALE","MALE")</f>
        <v>MALE</v>
      </c>
      <c r="E645" s="6" t="str">
        <f>UPPER(Sheet1!G645)</f>
        <v>AREN MYRTHOS</v>
      </c>
      <c r="F645" s="6" t="str">
        <f>UPPER(Sheet1!H645)</f>
        <v>ANYA MYRTHOS</v>
      </c>
      <c r="G645" s="5" t="str">
        <f>TEXT(Sheet1!C645,"dd/mm/yyyy") &amp; "," &amp; Sheet1!D645</f>
        <v>20/06/2025,BENDIGO</v>
      </c>
      <c r="H645" s="39" t="str">
        <f>UPPER(Sheet1!J645 &amp; "," &amp; Sheet1!K645 &amp; "," &amp; Sheet1!L645)</f>
        <v>153 BIRCHWOOD LANE,EMERALD ROAD,PIN:734089 BENDIGO</v>
      </c>
      <c r="I645" s="8">
        <f>Sheet1!I645</f>
        <v>45844</v>
      </c>
      <c r="J645" s="5" t="str">
        <f>Sheet1!M645 &amp; "," &amp; TEXT(Sheet1!N645,"dd/mm/yy")</f>
        <v>MHA/IND/00648,11/07/25</v>
      </c>
      <c r="K645" s="5" t="s">
        <v>5752</v>
      </c>
      <c r="L645" s="31" t="s">
        <v>14</v>
      </c>
      <c r="M645" s="31" t="s">
        <v>15</v>
      </c>
      <c r="N645" s="31" t="s">
        <v>16</v>
      </c>
    </row>
    <row r="646" spans="1:14" x14ac:dyDescent="0.25">
      <c r="A646" s="4" t="str">
        <f>Sheet1!A646 &amp; "/" &amp; "2025"</f>
        <v>645/2025</v>
      </c>
      <c r="B646" s="5" t="str">
        <f>Sheet1!E646</f>
        <v>IND/MEL/00645</v>
      </c>
      <c r="C646" s="6" t="str">
        <f>UPPER(Sheet1!B646)</f>
        <v>ISHAN SINDALE</v>
      </c>
      <c r="D646" s="7" t="str">
        <f>IF(Sheet1!F646="F","FEMALE","MALE")</f>
        <v>MALE</v>
      </c>
      <c r="E646" s="6" t="str">
        <f>UPPER(Sheet1!G646)</f>
        <v>KIRAN SINDALE</v>
      </c>
      <c r="F646" s="6" t="str">
        <f>UPPER(Sheet1!H646)</f>
        <v>TARA SINDALE</v>
      </c>
      <c r="G646" s="5" t="str">
        <f>TEXT(Sheet1!C646,"dd/mm/yyyy") &amp; "," &amp; Sheet1!D646</f>
        <v>30/06/2025,SHEPPARTON</v>
      </c>
      <c r="H646" s="39" t="str">
        <f>UPPER(Sheet1!J646 &amp; "," &amp; Sheet1!K646 &amp; "," &amp; Sheet1!L646)</f>
        <v>62 BIRCHWOOD LANE,EMERALD ROAD,PIN:334715 SHEPPARTON</v>
      </c>
      <c r="I646" s="8">
        <f>Sheet1!I646</f>
        <v>45918</v>
      </c>
      <c r="J646" s="5" t="str">
        <f>Sheet1!M646 &amp; "," &amp; TEXT(Sheet1!N646,"dd/mm/yy")</f>
        <v>MHA/IND/00649,14/08/25</v>
      </c>
      <c r="K646" s="5" t="s">
        <v>5752</v>
      </c>
      <c r="L646" s="31" t="s">
        <v>14</v>
      </c>
      <c r="M646" s="31" t="s">
        <v>15</v>
      </c>
      <c r="N646" s="31" t="s">
        <v>16</v>
      </c>
    </row>
    <row r="647" spans="1:14" x14ac:dyDescent="0.25">
      <c r="A647" s="4" t="str">
        <f>Sheet1!A647 &amp; "/" &amp; "2025"</f>
        <v>646/2025</v>
      </c>
      <c r="B647" s="5" t="str">
        <f>Sheet1!E647</f>
        <v>IND/MEL/00646</v>
      </c>
      <c r="C647" s="6" t="str">
        <f>UPPER(Sheet1!B647)</f>
        <v>ISHAN KALEON</v>
      </c>
      <c r="D647" s="7" t="str">
        <f>IF(Sheet1!F647="F","FEMALE","MALE")</f>
        <v>MALE</v>
      </c>
      <c r="E647" s="6" t="str">
        <f>UPPER(Sheet1!G647)</f>
        <v>DEV SHARMA</v>
      </c>
      <c r="F647" s="6" t="str">
        <f>UPPER(Sheet1!H647)</f>
        <v>RIYA SHARMA</v>
      </c>
      <c r="G647" s="5" t="str">
        <f>TEXT(Sheet1!C647,"dd/mm/yyyy") &amp; "," &amp; Sheet1!D647</f>
        <v>31/08/2025,WODONGA</v>
      </c>
      <c r="H647" s="39" t="str">
        <f>UPPER(Sheet1!J647 &amp; "," &amp; Sheet1!K647 &amp; "," &amp; Sheet1!L647)</f>
        <v>93 BIRCHWOOD LANE,EMERALD ROAD,PIN:490957 WODONGA</v>
      </c>
      <c r="I647" s="8">
        <f>Sheet1!I647</f>
        <v>45984</v>
      </c>
      <c r="J647" s="5" t="str">
        <f>Sheet1!M647 &amp; "," &amp; TEXT(Sheet1!N647,"dd/mm/yy")</f>
        <v>MHA/IND/00650,05/07/25</v>
      </c>
      <c r="K647" s="5" t="s">
        <v>5752</v>
      </c>
      <c r="L647" s="31" t="s">
        <v>14</v>
      </c>
      <c r="M647" s="31" t="s">
        <v>15</v>
      </c>
      <c r="N647" s="31" t="s">
        <v>16</v>
      </c>
    </row>
    <row r="648" spans="1:14" x14ac:dyDescent="0.25">
      <c r="A648" s="4" t="str">
        <f>Sheet1!A648 &amp; "/" &amp; "2025"</f>
        <v>647/2025</v>
      </c>
      <c r="B648" s="5" t="str">
        <f>Sheet1!E648</f>
        <v>IND/MEL/00647</v>
      </c>
      <c r="C648" s="6" t="str">
        <f>UPPER(Sheet1!B648)</f>
        <v>KIRAN MYRTHOS</v>
      </c>
      <c r="D648" s="7" t="str">
        <f>IF(Sheet1!F648="F","FEMALE","MALE")</f>
        <v>FEMALE</v>
      </c>
      <c r="E648" s="6" t="str">
        <f>UPPER(Sheet1!G648)</f>
        <v>NEIL RAO</v>
      </c>
      <c r="F648" s="6" t="str">
        <f>UPPER(Sheet1!H648)</f>
        <v>MIRA RAO</v>
      </c>
      <c r="G648" s="5" t="str">
        <f>TEXT(Sheet1!C648,"dd/mm/yyyy") &amp; "," &amp; Sheet1!D648</f>
        <v>23/10/2025,PENRITH</v>
      </c>
      <c r="H648" s="39" t="str">
        <f>UPPER(Sheet1!J648 &amp; "," &amp; Sheet1!K648 &amp; "," &amp; Sheet1!L648)</f>
        <v>159 BIRCHWOOD LANE,EMERALD ROAD,PIN:895389 PENRITH</v>
      </c>
      <c r="I648" s="8">
        <f>Sheet1!I648</f>
        <v>45959</v>
      </c>
      <c r="J648" s="5" t="str">
        <f>Sheet1!M648 &amp; "," &amp; TEXT(Sheet1!N648,"dd/mm/yy")</f>
        <v>MHA/IND/00651,24/07/25</v>
      </c>
      <c r="K648" s="5" t="s">
        <v>5752</v>
      </c>
      <c r="L648" s="31" t="s">
        <v>14</v>
      </c>
      <c r="M648" s="31" t="s">
        <v>15</v>
      </c>
      <c r="N648" s="31" t="s">
        <v>16</v>
      </c>
    </row>
    <row r="649" spans="1:14" x14ac:dyDescent="0.25">
      <c r="A649" s="4" t="str">
        <f>Sheet1!A649 &amp; "/" &amp; "2025"</f>
        <v>648/2025</v>
      </c>
      <c r="B649" s="5" t="str">
        <f>Sheet1!E649</f>
        <v>IND/MEL/00648</v>
      </c>
      <c r="C649" s="6" t="str">
        <f>UPPER(Sheet1!B649)</f>
        <v>ISHAN MYRTHOS</v>
      </c>
      <c r="D649" s="7" t="str">
        <f>IF(Sheet1!F649="F","FEMALE","MALE")</f>
        <v>FEMALE</v>
      </c>
      <c r="E649" s="6" t="str">
        <f>UPPER(Sheet1!G649)</f>
        <v>ISHAN KALEON</v>
      </c>
      <c r="F649" s="6" t="str">
        <f>UPPER(Sheet1!H649)</f>
        <v>ALYA KALEON</v>
      </c>
      <c r="G649" s="5" t="str">
        <f>TEXT(Sheet1!C649,"dd/mm/yyyy") &amp; "," &amp; Sheet1!D649</f>
        <v>27/04/2025,WODONGA</v>
      </c>
      <c r="H649" s="39" t="str">
        <f>UPPER(Sheet1!J649 &amp; "," &amp; Sheet1!K649 &amp; "," &amp; Sheet1!L649)</f>
        <v>21 BIRCHWOOD LANE,EMERALD ROAD,PIN:899035 WODONGA</v>
      </c>
      <c r="I649" s="8">
        <f>Sheet1!I649</f>
        <v>45805</v>
      </c>
      <c r="J649" s="5" t="str">
        <f>Sheet1!M649 &amp; "," &amp; TEXT(Sheet1!N649,"dd/mm/yy")</f>
        <v>MHA/IND/00652,06/07/25</v>
      </c>
      <c r="K649" s="5" t="s">
        <v>5752</v>
      </c>
      <c r="L649" s="31" t="s">
        <v>14</v>
      </c>
      <c r="M649" s="31" t="s">
        <v>15</v>
      </c>
      <c r="N649" s="31" t="s">
        <v>16</v>
      </c>
    </row>
    <row r="650" spans="1:14" x14ac:dyDescent="0.25">
      <c r="A650" s="4" t="str">
        <f>Sheet1!A650 &amp; "/" &amp; "2025"</f>
        <v>649/2025</v>
      </c>
      <c r="B650" s="5" t="str">
        <f>Sheet1!E650</f>
        <v>IND/MEL/00649</v>
      </c>
      <c r="C650" s="6" t="str">
        <f>UPPER(Sheet1!B650)</f>
        <v>AREN SINDALE</v>
      </c>
      <c r="D650" s="7" t="str">
        <f>IF(Sheet1!F650="F","FEMALE","MALE")</f>
        <v>FEMALE</v>
      </c>
      <c r="E650" s="6" t="str">
        <f>UPPER(Sheet1!G650)</f>
        <v>NEIL RAO</v>
      </c>
      <c r="F650" s="6" t="str">
        <f>UPPER(Sheet1!H650)</f>
        <v>DIYA RAO</v>
      </c>
      <c r="G650" s="5" t="str">
        <f>TEXT(Sheet1!C650,"dd/mm/yyyy") &amp; "," &amp; Sheet1!D650</f>
        <v>06/10/2025,IPSWICH</v>
      </c>
      <c r="H650" s="39" t="str">
        <f>UPPER(Sheet1!J650 &amp; "," &amp; Sheet1!K650 &amp; "," &amp; Sheet1!L650)</f>
        <v>125 BIRCHWOOD LANE,EMERALD ROAD,PIN:344922 IPSWICH</v>
      </c>
      <c r="I650" s="8">
        <f>Sheet1!I650</f>
        <v>45992</v>
      </c>
      <c r="J650" s="5" t="str">
        <f>Sheet1!M650 &amp; "," &amp; TEXT(Sheet1!N650,"dd/mm/yy")</f>
        <v>MHA/IND/00653,21/08/25</v>
      </c>
      <c r="K650" s="5" t="s">
        <v>5752</v>
      </c>
      <c r="L650" s="31" t="s">
        <v>14</v>
      </c>
      <c r="M650" s="31" t="s">
        <v>15</v>
      </c>
      <c r="N650" s="31" t="s">
        <v>16</v>
      </c>
    </row>
    <row r="651" spans="1:14" x14ac:dyDescent="0.25">
      <c r="A651" s="4" t="str">
        <f>Sheet1!A651 &amp; "/" &amp; "2025"</f>
        <v>650/2025</v>
      </c>
      <c r="B651" s="5" t="str">
        <f>Sheet1!E651</f>
        <v>IND/MEL/00650</v>
      </c>
      <c r="C651" s="6" t="str">
        <f>UPPER(Sheet1!B651)</f>
        <v>ARJUN SHARMA</v>
      </c>
      <c r="D651" s="7" t="str">
        <f>IF(Sheet1!F651="F","FEMALE","MALE")</f>
        <v>FEMALE</v>
      </c>
      <c r="E651" s="6" t="str">
        <f>UPPER(Sheet1!G651)</f>
        <v>ARJUN KALEON</v>
      </c>
      <c r="F651" s="6" t="str">
        <f>UPPER(Sheet1!H651)</f>
        <v>ANYA KALEON</v>
      </c>
      <c r="G651" s="5" t="str">
        <f>TEXT(Sheet1!C651,"dd/mm/yyyy") &amp; "," &amp; Sheet1!D651</f>
        <v>27/03/2025,BERWICK</v>
      </c>
      <c r="H651" s="39" t="str">
        <f>UPPER(Sheet1!J651 &amp; "," &amp; Sheet1!K651 &amp; "," &amp; Sheet1!L651)</f>
        <v>68 BIRCHWOOD LANE,EMERALD ROAD,PIN:360661 BERWICK</v>
      </c>
      <c r="I651" s="8">
        <f>Sheet1!I651</f>
        <v>45754</v>
      </c>
      <c r="J651" s="5" t="str">
        <f>Sheet1!M651 &amp; "," &amp; TEXT(Sheet1!N651,"dd/mm/yy")</f>
        <v>MHA/IND/00654,08/07/25</v>
      </c>
      <c r="K651" s="5" t="s">
        <v>5752</v>
      </c>
      <c r="L651" s="31" t="s">
        <v>14</v>
      </c>
      <c r="M651" s="31" t="s">
        <v>15</v>
      </c>
      <c r="N651" s="31" t="s">
        <v>16</v>
      </c>
    </row>
    <row r="652" spans="1:14" x14ac:dyDescent="0.25">
      <c r="A652" s="4" t="str">
        <f>Sheet1!A652 &amp; "/" &amp; "2025"</f>
        <v>651/2025</v>
      </c>
      <c r="B652" s="5" t="str">
        <f>Sheet1!E652</f>
        <v>IND/MEL/00651</v>
      </c>
      <c r="C652" s="6" t="str">
        <f>UPPER(Sheet1!B652)</f>
        <v>ALYA RAO</v>
      </c>
      <c r="D652" s="7" t="str">
        <f>IF(Sheet1!F652="F","FEMALE","MALE")</f>
        <v>FEMALE</v>
      </c>
      <c r="E652" s="6" t="str">
        <f>UPPER(Sheet1!G652)</f>
        <v>ARJUN MYRTHOS</v>
      </c>
      <c r="F652" s="6" t="str">
        <f>UPPER(Sheet1!H652)</f>
        <v>NINA MYRTHOS</v>
      </c>
      <c r="G652" s="5" t="str">
        <f>TEXT(Sheet1!C652,"dd/mm/yyyy") &amp; "," &amp; Sheet1!D652</f>
        <v>20/10/2025,CANBERRA</v>
      </c>
      <c r="H652" s="39" t="str">
        <f>UPPER(Sheet1!J652 &amp; "," &amp; Sheet1!K652 &amp; "," &amp; Sheet1!L652)</f>
        <v>196 BIRCHWOOD LANE,EMERALD ROAD,PIN:308984 CANBERRA</v>
      </c>
      <c r="I652" s="8">
        <f>Sheet1!I652</f>
        <v>45969</v>
      </c>
      <c r="J652" s="5" t="str">
        <f>Sheet1!M652 &amp; "," &amp; TEXT(Sheet1!N652,"dd/mm/yy")</f>
        <v>MHA/IND/00655,07/07/25</v>
      </c>
      <c r="K652" s="5" t="s">
        <v>5752</v>
      </c>
      <c r="L652" s="31" t="s">
        <v>14</v>
      </c>
      <c r="M652" s="31" t="s">
        <v>15</v>
      </c>
      <c r="N652" s="31" t="s">
        <v>16</v>
      </c>
    </row>
    <row r="653" spans="1:14" x14ac:dyDescent="0.25">
      <c r="A653" s="4" t="str">
        <f>Sheet1!A653 &amp; "/" &amp; "2025"</f>
        <v>652/2025</v>
      </c>
      <c r="B653" s="5" t="str">
        <f>Sheet1!E653</f>
        <v>IND/MEL/00652</v>
      </c>
      <c r="C653" s="6" t="str">
        <f>UPPER(Sheet1!B653)</f>
        <v>DIYA KALEON</v>
      </c>
      <c r="D653" s="7" t="str">
        <f>IF(Sheet1!F653="F","FEMALE","MALE")</f>
        <v>FEMALE</v>
      </c>
      <c r="E653" s="6" t="str">
        <f>UPPER(Sheet1!G653)</f>
        <v>AREN KALEON</v>
      </c>
      <c r="F653" s="6" t="str">
        <f>UPPER(Sheet1!H653)</f>
        <v>ALYA KALEON</v>
      </c>
      <c r="G653" s="5" t="str">
        <f>TEXT(Sheet1!C653,"dd/mm/yyyy") &amp; "," &amp; Sheet1!D653</f>
        <v>02/01/2025,CLAYTON</v>
      </c>
      <c r="H653" s="39" t="str">
        <f>UPPER(Sheet1!J653 &amp; "," &amp; Sheet1!K653 &amp; "," &amp; Sheet1!L653)</f>
        <v>37 BIRCHWOOD LANE,EMERALD ROAD,PIN:907143 CLAYTON</v>
      </c>
      <c r="I653" s="8">
        <f>Sheet1!I653</f>
        <v>45686</v>
      </c>
      <c r="J653" s="5" t="str">
        <f>Sheet1!M653 &amp; "," &amp; TEXT(Sheet1!N653,"dd/mm/yy")</f>
        <v>MHA/IND/00656,29/08/25</v>
      </c>
      <c r="K653" s="5" t="s">
        <v>5752</v>
      </c>
      <c r="L653" s="31" t="s">
        <v>14</v>
      </c>
      <c r="M653" s="31" t="s">
        <v>15</v>
      </c>
      <c r="N653" s="31" t="s">
        <v>16</v>
      </c>
    </row>
    <row r="654" spans="1:14" x14ac:dyDescent="0.25">
      <c r="A654" s="4" t="str">
        <f>Sheet1!A654 &amp; "/" &amp; "2025"</f>
        <v>653/2025</v>
      </c>
      <c r="B654" s="5" t="str">
        <f>Sheet1!E654</f>
        <v>IND/MEL/00653</v>
      </c>
      <c r="C654" s="6" t="str">
        <f>UPPER(Sheet1!B654)</f>
        <v>ANYA RAO</v>
      </c>
      <c r="D654" s="7" t="str">
        <f>IF(Sheet1!F654="F","FEMALE","MALE")</f>
        <v>FEMALE</v>
      </c>
      <c r="E654" s="6" t="str">
        <f>UPPER(Sheet1!G654)</f>
        <v>AREN MYRTHOS</v>
      </c>
      <c r="F654" s="6" t="str">
        <f>UPPER(Sheet1!H654)</f>
        <v>SARA MYRTHOS</v>
      </c>
      <c r="G654" s="5" t="str">
        <f>TEXT(Sheet1!C654,"dd/mm/yyyy") &amp; "," &amp; Sheet1!D654</f>
        <v>03/07/2025,BRISBANE</v>
      </c>
      <c r="H654" s="39" t="str">
        <f>UPPER(Sheet1!J654 &amp; "," &amp; Sheet1!K654 &amp; "," &amp; Sheet1!L654)</f>
        <v>78 BIRCHWOOD LANE,EMERALD ROAD,PIN:350260 BRISBANE</v>
      </c>
      <c r="I654" s="8">
        <f>Sheet1!I654</f>
        <v>45924</v>
      </c>
      <c r="J654" s="5" t="str">
        <f>Sheet1!M654 &amp; "," &amp; TEXT(Sheet1!N654,"dd/mm/yy")</f>
        <v>MHA/IND/00657,08/08/25</v>
      </c>
      <c r="K654" s="5" t="s">
        <v>5752</v>
      </c>
      <c r="L654" s="31" t="s">
        <v>14</v>
      </c>
      <c r="M654" s="31" t="s">
        <v>15</v>
      </c>
      <c r="N654" s="31" t="s">
        <v>16</v>
      </c>
    </row>
    <row r="655" spans="1:14" x14ac:dyDescent="0.25">
      <c r="A655" s="4" t="str">
        <f>Sheet1!A655 &amp; "/" &amp; "2025"</f>
        <v>654/2025</v>
      </c>
      <c r="B655" s="5" t="str">
        <f>Sheet1!E655</f>
        <v>IND/MEL/00654</v>
      </c>
      <c r="C655" s="6" t="str">
        <f>UPPER(Sheet1!B655)</f>
        <v>NINA KALEON</v>
      </c>
      <c r="D655" s="7" t="str">
        <f>IF(Sheet1!F655="F","FEMALE","MALE")</f>
        <v>MALE</v>
      </c>
      <c r="E655" s="6" t="str">
        <f>UPPER(Sheet1!G655)</f>
        <v>KIRAN KALEON</v>
      </c>
      <c r="F655" s="6" t="str">
        <f>UPPER(Sheet1!H655)</f>
        <v>DIYA KALEON</v>
      </c>
      <c r="G655" s="5" t="str">
        <f>TEXT(Sheet1!C655,"dd/mm/yyyy") &amp; "," &amp; Sheet1!D655</f>
        <v>27/06/2025,KINGSWOOD</v>
      </c>
      <c r="H655" s="39" t="str">
        <f>UPPER(Sheet1!J655 &amp; "," &amp; Sheet1!K655 &amp; "," &amp; Sheet1!L655)</f>
        <v>112 BIRCHWOOD LANE,EMERALD ROAD,PIN:337234 KINGSWOOD</v>
      </c>
      <c r="I655" s="8">
        <f>Sheet1!I655</f>
        <v>45893</v>
      </c>
      <c r="J655" s="5" t="str">
        <f>Sheet1!M655 &amp; "," &amp; TEXT(Sheet1!N655,"dd/mm/yy")</f>
        <v>MHA/IND/00658,03/08/25</v>
      </c>
      <c r="K655" s="5" t="s">
        <v>5752</v>
      </c>
      <c r="L655" s="31" t="s">
        <v>14</v>
      </c>
      <c r="M655" s="31" t="s">
        <v>15</v>
      </c>
      <c r="N655" s="31" t="s">
        <v>16</v>
      </c>
    </row>
    <row r="656" spans="1:14" x14ac:dyDescent="0.25">
      <c r="A656" s="4" t="str">
        <f>Sheet1!A656 &amp; "/" &amp; "2025"</f>
        <v>655/2025</v>
      </c>
      <c r="B656" s="5" t="str">
        <f>Sheet1!E656</f>
        <v>IND/MEL/00655</v>
      </c>
      <c r="C656" s="6" t="str">
        <f>UPPER(Sheet1!B656)</f>
        <v>ANYA MYRTHOS</v>
      </c>
      <c r="D656" s="7" t="str">
        <f>IF(Sheet1!F656="F","FEMALE","MALE")</f>
        <v>MALE</v>
      </c>
      <c r="E656" s="6" t="str">
        <f>UPPER(Sheet1!G656)</f>
        <v>ARJUN SHARMA</v>
      </c>
      <c r="F656" s="6" t="str">
        <f>UPPER(Sheet1!H656)</f>
        <v>MIRA SHARMA</v>
      </c>
      <c r="G656" s="5" t="str">
        <f>TEXT(Sheet1!C656,"dd/mm/yyyy") &amp; "," &amp; Sheet1!D656</f>
        <v>26/09/2025,CAMPBELLTOWN</v>
      </c>
      <c r="H656" s="39" t="str">
        <f>UPPER(Sheet1!J656 &amp; "," &amp; Sheet1!K656 &amp; "," &amp; Sheet1!L656)</f>
        <v>84 BIRCHWOOD LANE,EMERALD ROAD,PIN:403707 CAMPBELLTOWN</v>
      </c>
      <c r="I656" s="8">
        <f>Sheet1!I656</f>
        <v>45969</v>
      </c>
      <c r="J656" s="5" t="str">
        <f>Sheet1!M656 &amp; "," &amp; TEXT(Sheet1!N656,"dd/mm/yy")</f>
        <v>MHA/IND/00659,02/07/25</v>
      </c>
      <c r="K656" s="5" t="s">
        <v>5752</v>
      </c>
      <c r="L656" s="31" t="s">
        <v>14</v>
      </c>
      <c r="M656" s="31" t="s">
        <v>15</v>
      </c>
      <c r="N656" s="31" t="s">
        <v>16</v>
      </c>
    </row>
    <row r="657" spans="1:14" x14ac:dyDescent="0.25">
      <c r="A657" s="4" t="str">
        <f>Sheet1!A657 &amp; "/" &amp; "2025"</f>
        <v>656/2025</v>
      </c>
      <c r="B657" s="5" t="str">
        <f>Sheet1!E657</f>
        <v>IND/MEL/00656</v>
      </c>
      <c r="C657" s="6" t="str">
        <f>UPPER(Sheet1!B657)</f>
        <v>ANYA KALEON</v>
      </c>
      <c r="D657" s="7" t="str">
        <f>IF(Sheet1!F657="F","FEMALE","MALE")</f>
        <v>FEMALE</v>
      </c>
      <c r="E657" s="6" t="str">
        <f>UPPER(Sheet1!G657)</f>
        <v>ARJUN RISHKAN</v>
      </c>
      <c r="F657" s="6" t="str">
        <f>UPPER(Sheet1!H657)</f>
        <v>MIRA RISHKAN</v>
      </c>
      <c r="G657" s="5" t="str">
        <f>TEXT(Sheet1!C657,"dd/mm/yyyy") &amp; "," &amp; Sheet1!D657</f>
        <v>06/01/2025,BERWICK</v>
      </c>
      <c r="H657" s="39" t="str">
        <f>UPPER(Sheet1!J657 &amp; "," &amp; Sheet1!K657 &amp; "," &amp; Sheet1!L657)</f>
        <v>61 BIRCHWOOD LANE,EMERALD ROAD,PIN:379882 BERWICK</v>
      </c>
      <c r="I657" s="8">
        <f>Sheet1!I657</f>
        <v>45730</v>
      </c>
      <c r="J657" s="5" t="str">
        <f>Sheet1!M657 &amp; "," &amp; TEXT(Sheet1!N657,"dd/mm/yy")</f>
        <v>MHA/IND/00660,20/07/25</v>
      </c>
      <c r="K657" s="5" t="s">
        <v>5752</v>
      </c>
      <c r="L657" s="31" t="s">
        <v>14</v>
      </c>
      <c r="M657" s="31" t="s">
        <v>15</v>
      </c>
      <c r="N657" s="31" t="s">
        <v>16</v>
      </c>
    </row>
    <row r="658" spans="1:14" x14ac:dyDescent="0.25">
      <c r="A658" s="4" t="str">
        <f>Sheet1!A658 &amp; "/" &amp; "2025"</f>
        <v>657/2025</v>
      </c>
      <c r="B658" s="5" t="str">
        <f>Sheet1!E658</f>
        <v>IND/MEL/00657</v>
      </c>
      <c r="C658" s="6" t="str">
        <f>UPPER(Sheet1!B658)</f>
        <v>RIYA MYRTHOS</v>
      </c>
      <c r="D658" s="7" t="str">
        <f>IF(Sheet1!F658="F","FEMALE","MALE")</f>
        <v>MALE</v>
      </c>
      <c r="E658" s="6" t="str">
        <f>UPPER(Sheet1!G658)</f>
        <v>ARJUN RAO</v>
      </c>
      <c r="F658" s="6" t="str">
        <f>UPPER(Sheet1!H658)</f>
        <v>MIRA RAO</v>
      </c>
      <c r="G658" s="5" t="str">
        <f>TEXT(Sheet1!C658,"dd/mm/yyyy") &amp; "," &amp; Sheet1!D658</f>
        <v>18/02/2025,PERTH</v>
      </c>
      <c r="H658" s="39" t="str">
        <f>UPPER(Sheet1!J658 &amp; "," &amp; Sheet1!K658 &amp; "," &amp; Sheet1!L658)</f>
        <v>15 BIRCHWOOD LANE,EMERALD ROAD,PIN:909065 PERTH</v>
      </c>
      <c r="I658" s="8">
        <f>Sheet1!I658</f>
        <v>45815</v>
      </c>
      <c r="J658" s="5" t="str">
        <f>Sheet1!M658 &amp; "," &amp; TEXT(Sheet1!N658,"dd/mm/yy")</f>
        <v>MHA/IND/00661,21/07/25</v>
      </c>
      <c r="K658" s="5" t="s">
        <v>5752</v>
      </c>
      <c r="L658" s="1" t="s">
        <v>14</v>
      </c>
      <c r="M658" s="31" t="s">
        <v>15</v>
      </c>
      <c r="N658" s="1" t="s">
        <v>16</v>
      </c>
    </row>
    <row r="659" spans="1:14" x14ac:dyDescent="0.25">
      <c r="A659" s="4" t="str">
        <f>Sheet1!A659 &amp; "/" &amp; "2025"</f>
        <v>658/2025</v>
      </c>
      <c r="B659" s="5" t="str">
        <f>Sheet1!E659</f>
        <v>IND/MEL/00658</v>
      </c>
      <c r="C659" s="6" t="str">
        <f>UPPER(Sheet1!B659)</f>
        <v>NEIL KALEON</v>
      </c>
      <c r="D659" s="7" t="str">
        <f>IF(Sheet1!F659="F","FEMALE","MALE")</f>
        <v>FEMALE</v>
      </c>
      <c r="E659" s="6" t="str">
        <f>UPPER(Sheet1!G659)</f>
        <v>ROHIT SHARMA</v>
      </c>
      <c r="F659" s="6" t="str">
        <f>UPPER(Sheet1!H659)</f>
        <v>ANYA SHARMA</v>
      </c>
      <c r="G659" s="5" t="str">
        <f>TEXT(Sheet1!C659,"dd/mm/yyyy") &amp; "," &amp; Sheet1!D659</f>
        <v>16/07/2025,TRARALGON</v>
      </c>
      <c r="H659" s="39" t="str">
        <f>UPPER(Sheet1!J659 &amp; "," &amp; Sheet1!K659 &amp; "," &amp; Sheet1!L659)</f>
        <v>105 BIRCHWOOD LANE,EMERALD ROAD,PIN:749689 TRARALGON</v>
      </c>
      <c r="I659" s="8">
        <f>Sheet1!I659</f>
        <v>45971</v>
      </c>
      <c r="J659" s="5" t="str">
        <f>Sheet1!M659 &amp; "," &amp; TEXT(Sheet1!N659,"dd/mm/yy")</f>
        <v>MHA/IND/00662,08/07/25</v>
      </c>
      <c r="K659" s="5" t="s">
        <v>5752</v>
      </c>
      <c r="L659" s="1" t="s">
        <v>14</v>
      </c>
      <c r="M659" s="31" t="s">
        <v>15</v>
      </c>
      <c r="N659" s="1" t="s">
        <v>16</v>
      </c>
    </row>
    <row r="660" spans="1:14" x14ac:dyDescent="0.25">
      <c r="A660" s="4" t="str">
        <f>Sheet1!A660 &amp; "/" &amp; "2025"</f>
        <v>659/2025</v>
      </c>
      <c r="B660" s="5" t="str">
        <f>Sheet1!E660</f>
        <v>IND/MEL/00659</v>
      </c>
      <c r="C660" s="6" t="str">
        <f>UPPER(Sheet1!B660)</f>
        <v>KABIR SHARMA</v>
      </c>
      <c r="D660" s="7" t="str">
        <f>IF(Sheet1!F660="F","FEMALE","MALE")</f>
        <v>FEMALE</v>
      </c>
      <c r="E660" s="6" t="str">
        <f>UPPER(Sheet1!G660)</f>
        <v>ISHAN KALEON</v>
      </c>
      <c r="F660" s="6" t="str">
        <f>UPPER(Sheet1!H660)</f>
        <v>NINA KALEON</v>
      </c>
      <c r="G660" s="5" t="str">
        <f>TEXT(Sheet1!C660,"dd/mm/yyyy") &amp; "," &amp; Sheet1!D660</f>
        <v>16/10/2025,BRISBANE</v>
      </c>
      <c r="H660" s="39" t="str">
        <f>UPPER(Sheet1!J660 &amp; "," &amp; Sheet1!K660 &amp; "," &amp; Sheet1!L660)</f>
        <v>151 BIRCHWOOD LANE,EMERALD ROAD,PIN:690803 BRISBANE</v>
      </c>
      <c r="I660" s="8">
        <f>Sheet1!I660</f>
        <v>46009</v>
      </c>
      <c r="J660" s="5" t="str">
        <f>Sheet1!M660 &amp; "," &amp; TEXT(Sheet1!N660,"dd/mm/yy")</f>
        <v>MHA/IND/00663,27/08/25</v>
      </c>
      <c r="K660" s="5" t="s">
        <v>5752</v>
      </c>
      <c r="L660" s="1" t="s">
        <v>14</v>
      </c>
      <c r="M660" s="31" t="s">
        <v>15</v>
      </c>
      <c r="N660" s="1" t="s">
        <v>16</v>
      </c>
    </row>
    <row r="661" spans="1:14" x14ac:dyDescent="0.25">
      <c r="A661" s="4" t="str">
        <f>Sheet1!A661 &amp; "/" &amp; "2025"</f>
        <v>660/2025</v>
      </c>
      <c r="B661" s="5" t="str">
        <f>Sheet1!E661</f>
        <v>IND/MEL/00660</v>
      </c>
      <c r="C661" s="6" t="str">
        <f>UPPER(Sheet1!B661)</f>
        <v>ANYA RISHKAN</v>
      </c>
      <c r="D661" s="7" t="str">
        <f>IF(Sheet1!F661="F","FEMALE","MALE")</f>
        <v>MALE</v>
      </c>
      <c r="E661" s="6" t="str">
        <f>UPPER(Sheet1!G661)</f>
        <v>NEIL RAO</v>
      </c>
      <c r="F661" s="6" t="str">
        <f>UPPER(Sheet1!H661)</f>
        <v>RIYA RAO</v>
      </c>
      <c r="G661" s="5" t="str">
        <f>TEXT(Sheet1!C661,"dd/mm/yyyy") &amp; "," &amp; Sheet1!D661</f>
        <v>10/10/2025,GEELONG</v>
      </c>
      <c r="H661" s="39" t="str">
        <f>UPPER(Sheet1!J661 &amp; "," &amp; Sheet1!K661 &amp; "," &amp; Sheet1!L661)</f>
        <v>28 BIRCHWOOD LANE,EMERALD ROAD,PIN:862049 GEELONG</v>
      </c>
      <c r="I661" s="8">
        <f>Sheet1!I661</f>
        <v>46053</v>
      </c>
      <c r="J661" s="5" t="str">
        <f>Sheet1!M661 &amp; "," &amp; TEXT(Sheet1!N661,"dd/mm/yy")</f>
        <v>MHA/IND/00664,10/07/25</v>
      </c>
      <c r="K661" s="5" t="s">
        <v>5752</v>
      </c>
      <c r="L661" s="1" t="s">
        <v>14</v>
      </c>
      <c r="M661" s="31" t="s">
        <v>15</v>
      </c>
      <c r="N661" s="1" t="s">
        <v>16</v>
      </c>
    </row>
    <row r="662" spans="1:14" x14ac:dyDescent="0.25">
      <c r="A662" s="4" t="str">
        <f>Sheet1!A662 &amp; "/" &amp; "2025"</f>
        <v>661/2025</v>
      </c>
      <c r="B662" s="5" t="str">
        <f>Sheet1!E662</f>
        <v>IND/MEL/00661</v>
      </c>
      <c r="C662" s="6" t="str">
        <f>UPPER(Sheet1!B662)</f>
        <v>ISHAN RAO</v>
      </c>
      <c r="D662" s="7" t="str">
        <f>IF(Sheet1!F662="F","FEMALE","MALE")</f>
        <v>MALE</v>
      </c>
      <c r="E662" s="6" t="str">
        <f>UPPER(Sheet1!G662)</f>
        <v>AREN SHARMA</v>
      </c>
      <c r="F662" s="6" t="str">
        <f>UPPER(Sheet1!H662)</f>
        <v>TARA SHARMA</v>
      </c>
      <c r="G662" s="5" t="str">
        <f>TEXT(Sheet1!C662,"dd/mm/yyyy") &amp; "," &amp; Sheet1!D662</f>
        <v>10/02/2025,WONTHAGGI</v>
      </c>
      <c r="H662" s="39" t="str">
        <f>UPPER(Sheet1!J662 &amp; "," &amp; Sheet1!K662 &amp; "," &amp; Sheet1!L662)</f>
        <v>49 BIRCHWOOD LANE,EMERALD ROAD,PIN:481640 WONTHAGGI</v>
      </c>
      <c r="I662" s="8">
        <f>Sheet1!I662</f>
        <v>45746</v>
      </c>
      <c r="J662" s="5" t="str">
        <f>Sheet1!M662 &amp; "," &amp; TEXT(Sheet1!N662,"dd/mm/yy")</f>
        <v>MHA/IND/00665,15/08/25</v>
      </c>
      <c r="K662" s="5" t="s">
        <v>5752</v>
      </c>
      <c r="L662" s="1" t="s">
        <v>14</v>
      </c>
      <c r="M662" s="31" t="s">
        <v>15</v>
      </c>
      <c r="N662" s="1" t="s">
        <v>16</v>
      </c>
    </row>
    <row r="663" spans="1:14" x14ac:dyDescent="0.25">
      <c r="A663" s="4" t="str">
        <f>Sheet1!A663 &amp; "/" &amp; "2025"</f>
        <v>662/2025</v>
      </c>
      <c r="B663" s="5" t="str">
        <f>Sheet1!E663</f>
        <v>IND/MEL/00662</v>
      </c>
      <c r="C663" s="6" t="str">
        <f>UPPER(Sheet1!B663)</f>
        <v>DIYA SHARMA</v>
      </c>
      <c r="D663" s="7" t="str">
        <f>IF(Sheet1!F663="F","FEMALE","MALE")</f>
        <v>FEMALE</v>
      </c>
      <c r="E663" s="6" t="str">
        <f>UPPER(Sheet1!G663)</f>
        <v>NEIL RAO</v>
      </c>
      <c r="F663" s="6" t="str">
        <f>UPPER(Sheet1!H663)</f>
        <v>ANYA RAO</v>
      </c>
      <c r="G663" s="5" t="str">
        <f>TEXT(Sheet1!C663,"dd/mm/yyyy") &amp; "," &amp; Sheet1!D663</f>
        <v>09/05/2025,BELCONNEN</v>
      </c>
      <c r="H663" s="39" t="str">
        <f>UPPER(Sheet1!J663 &amp; "," &amp; Sheet1!K663 &amp; "," &amp; Sheet1!L663)</f>
        <v>139 BIRCHWOOD LANE,EMERALD ROAD,PIN:562907 BELCONNEN</v>
      </c>
      <c r="I663" s="8">
        <f>Sheet1!I663</f>
        <v>45815</v>
      </c>
      <c r="J663" s="5" t="str">
        <f>Sheet1!M663 &amp; "," &amp; TEXT(Sheet1!N663,"dd/mm/yy")</f>
        <v>MHA/IND/00666,03/08/25</v>
      </c>
      <c r="K663" s="5" t="s">
        <v>5752</v>
      </c>
      <c r="L663" s="1" t="s">
        <v>14</v>
      </c>
      <c r="M663" s="31" t="s">
        <v>15</v>
      </c>
      <c r="N663" s="1" t="s">
        <v>16</v>
      </c>
    </row>
    <row r="664" spans="1:14" x14ac:dyDescent="0.25">
      <c r="A664" s="4" t="str">
        <f>Sheet1!A664 &amp; "/" &amp; "2025"</f>
        <v>663/2025</v>
      </c>
      <c r="B664" s="5" t="str">
        <f>Sheet1!E664</f>
        <v>IND/MEL/00663</v>
      </c>
      <c r="C664" s="6" t="str">
        <f>UPPER(Sheet1!B664)</f>
        <v>SARA KALEON</v>
      </c>
      <c r="D664" s="7" t="str">
        <f>IF(Sheet1!F664="F","FEMALE","MALE")</f>
        <v>FEMALE</v>
      </c>
      <c r="E664" s="6" t="str">
        <f>UPPER(Sheet1!G664)</f>
        <v>DEV VALZARI</v>
      </c>
      <c r="F664" s="6" t="str">
        <f>UPPER(Sheet1!H664)</f>
        <v>TARA VALZARI</v>
      </c>
      <c r="G664" s="5" t="str">
        <f>TEXT(Sheet1!C664,"dd/mm/yyyy") &amp; "," &amp; Sheet1!D664</f>
        <v>20/06/2025,ST ALBANS</v>
      </c>
      <c r="H664" s="39" t="str">
        <f>UPPER(Sheet1!J664 &amp; "," &amp; Sheet1!K664 &amp; "," &amp; Sheet1!L664)</f>
        <v>121 BIRCHWOOD LANE,EMERALD ROAD,PIN:447933 ST ALBANS</v>
      </c>
      <c r="I664" s="8">
        <f>Sheet1!I664</f>
        <v>45852</v>
      </c>
      <c r="J664" s="5" t="str">
        <f>Sheet1!M664 &amp; "," &amp; TEXT(Sheet1!N664,"dd/mm/yy")</f>
        <v>MHA/IND/00667,03/07/25</v>
      </c>
      <c r="K664" s="5" t="s">
        <v>5752</v>
      </c>
      <c r="L664" s="1" t="s">
        <v>14</v>
      </c>
      <c r="M664" s="31" t="s">
        <v>15</v>
      </c>
      <c r="N664" s="1" t="s">
        <v>16</v>
      </c>
    </row>
    <row r="665" spans="1:14" x14ac:dyDescent="0.25">
      <c r="A665" s="4" t="str">
        <f>Sheet1!A665 &amp; "/" &amp; "2025"</f>
        <v>664/2025</v>
      </c>
      <c r="B665" s="5" t="str">
        <f>Sheet1!E665</f>
        <v>IND/MEL/00664</v>
      </c>
      <c r="C665" s="6" t="str">
        <f>UPPER(Sheet1!B665)</f>
        <v>KABIR RAO</v>
      </c>
      <c r="D665" s="7" t="str">
        <f>IF(Sheet1!F665="F","FEMALE","MALE")</f>
        <v>FEMALE</v>
      </c>
      <c r="E665" s="6" t="str">
        <f>UPPER(Sheet1!G665)</f>
        <v>ROHIT RISHKAN</v>
      </c>
      <c r="F665" s="6" t="str">
        <f>UPPER(Sheet1!H665)</f>
        <v>DIYA RISHKAN</v>
      </c>
      <c r="G665" s="5" t="str">
        <f>TEXT(Sheet1!C665,"dd/mm/yyyy") &amp; "," &amp; Sheet1!D665</f>
        <v>11/02/2025,TOWNSVILLE</v>
      </c>
      <c r="H665" s="39" t="str">
        <f>UPPER(Sheet1!J665 &amp; "," &amp; Sheet1!K665 &amp; "," &amp; Sheet1!L665)</f>
        <v>13 BIRCHWOOD LANE,EMERALD ROAD,PIN:803740 TOWNSVILLE</v>
      </c>
      <c r="I665" s="8">
        <f>Sheet1!I665</f>
        <v>45809</v>
      </c>
      <c r="J665" s="5" t="str">
        <f>Sheet1!M665 &amp; "," &amp; TEXT(Sheet1!N665,"dd/mm/yy")</f>
        <v>MHA/IND/00668,07/07/25</v>
      </c>
      <c r="K665" s="5" t="s">
        <v>5752</v>
      </c>
      <c r="L665" s="1" t="s">
        <v>14</v>
      </c>
      <c r="M665" s="31" t="s">
        <v>15</v>
      </c>
      <c r="N665" s="1" t="s">
        <v>16</v>
      </c>
    </row>
    <row r="666" spans="1:14" x14ac:dyDescent="0.25">
      <c r="A666" s="4" t="str">
        <f>Sheet1!A666 &amp; "/" &amp; "2025"</f>
        <v>665/2025</v>
      </c>
      <c r="B666" s="5" t="str">
        <f>Sheet1!E666</f>
        <v>IND/MEL/00665</v>
      </c>
      <c r="C666" s="6" t="str">
        <f>UPPER(Sheet1!B666)</f>
        <v>NEIL SHARMA</v>
      </c>
      <c r="D666" s="7" t="str">
        <f>IF(Sheet1!F666="F","FEMALE","MALE")</f>
        <v>FEMALE</v>
      </c>
      <c r="E666" s="6" t="str">
        <f>UPPER(Sheet1!G666)</f>
        <v>KABIR KALEON</v>
      </c>
      <c r="F666" s="6" t="str">
        <f>UPPER(Sheet1!H666)</f>
        <v>RIYA KALEON</v>
      </c>
      <c r="G666" s="5" t="str">
        <f>TEXT(Sheet1!C666,"dd/mm/yyyy") &amp; "," &amp; Sheet1!D666</f>
        <v>15/02/2025,WOLLONGONG</v>
      </c>
      <c r="H666" s="39" t="str">
        <f>UPPER(Sheet1!J666 &amp; "," &amp; Sheet1!K666 &amp; "," &amp; Sheet1!L666)</f>
        <v>31 BIRCHWOOD LANE,EMERALD ROAD,PIN:595547 WOLLONGONG</v>
      </c>
      <c r="I666" s="8">
        <f>Sheet1!I666</f>
        <v>45820</v>
      </c>
      <c r="J666" s="5" t="str">
        <f>Sheet1!M666 &amp; "," &amp; TEXT(Sheet1!N666,"dd/mm/yy")</f>
        <v>MHA/IND/00669,07/08/25</v>
      </c>
      <c r="K666" s="5" t="s">
        <v>5752</v>
      </c>
      <c r="L666" s="1" t="s">
        <v>14</v>
      </c>
      <c r="M666" s="31" t="s">
        <v>15</v>
      </c>
      <c r="N666" s="1" t="s">
        <v>16</v>
      </c>
    </row>
    <row r="667" spans="1:14" x14ac:dyDescent="0.25">
      <c r="A667" s="4" t="str">
        <f>Sheet1!A667 &amp; "/" &amp; "2025"</f>
        <v>666/2025</v>
      </c>
      <c r="B667" s="5" t="str">
        <f>Sheet1!E667</f>
        <v>IND/MEL/00666</v>
      </c>
      <c r="C667" s="6" t="str">
        <f>UPPER(Sheet1!B667)</f>
        <v>NINA RAO</v>
      </c>
      <c r="D667" s="7" t="str">
        <f>IF(Sheet1!F667="F","FEMALE","MALE")</f>
        <v>MALE</v>
      </c>
      <c r="E667" s="6" t="str">
        <f>UPPER(Sheet1!G667)</f>
        <v>ROHIT MYRTHOS</v>
      </c>
      <c r="F667" s="6" t="str">
        <f>UPPER(Sheet1!H667)</f>
        <v>ALYA MYRTHOS</v>
      </c>
      <c r="G667" s="5" t="str">
        <f>TEXT(Sheet1!C667,"dd/mm/yyyy") &amp; "," &amp; Sheet1!D667</f>
        <v>21/03/2025,CAMPBELLTOWN</v>
      </c>
      <c r="H667" s="39" t="str">
        <f>UPPER(Sheet1!J667 &amp; "," &amp; Sheet1!K667 &amp; "," &amp; Sheet1!L667)</f>
        <v>59 BIRCHWOOD LANE,EMERALD ROAD,PIN:475285 CAMPBELLTOWN</v>
      </c>
      <c r="I667" s="8">
        <f>Sheet1!I667</f>
        <v>45800</v>
      </c>
      <c r="J667" s="5" t="str">
        <f>Sheet1!M667 &amp; "," &amp; TEXT(Sheet1!N667,"dd/mm/yy")</f>
        <v>MHA/IND/00670,21/08/25</v>
      </c>
      <c r="K667" s="5" t="s">
        <v>5752</v>
      </c>
      <c r="L667" s="1" t="s">
        <v>14</v>
      </c>
      <c r="M667" s="31" t="s">
        <v>15</v>
      </c>
      <c r="N667" s="1" t="s">
        <v>16</v>
      </c>
    </row>
    <row r="668" spans="1:14" x14ac:dyDescent="0.25">
      <c r="A668" s="4" t="str">
        <f>Sheet1!A668 &amp; "/" &amp; "2025"</f>
        <v>667/2025</v>
      </c>
      <c r="B668" s="5" t="str">
        <f>Sheet1!E668</f>
        <v>IND/MEL/00667</v>
      </c>
      <c r="C668" s="6" t="str">
        <f>UPPER(Sheet1!B668)</f>
        <v>ANYA VALZARI</v>
      </c>
      <c r="D668" s="7" t="str">
        <f>IF(Sheet1!F668="F","FEMALE","MALE")</f>
        <v>MALE</v>
      </c>
      <c r="E668" s="6" t="str">
        <f>UPPER(Sheet1!G668)</f>
        <v>DEV SHARMA</v>
      </c>
      <c r="F668" s="6" t="str">
        <f>UPPER(Sheet1!H668)</f>
        <v>RIYA SHARMA</v>
      </c>
      <c r="G668" s="5" t="str">
        <f>TEXT(Sheet1!C668,"dd/mm/yyyy") &amp; "," &amp; Sheet1!D668</f>
        <v>25/10/2025,LENAH VALLEY</v>
      </c>
      <c r="H668" s="39" t="str">
        <f>UPPER(Sheet1!J668 &amp; "," &amp; Sheet1!K668 &amp; "," &amp; Sheet1!L668)</f>
        <v>55 BIRCHWOOD LANE,EMERALD ROAD,PIN:883192 LENAH VALLEY</v>
      </c>
      <c r="I668" s="8">
        <f>Sheet1!I668</f>
        <v>45983</v>
      </c>
      <c r="J668" s="5" t="str">
        <f>Sheet1!M668 &amp; "," &amp; TEXT(Sheet1!N668,"dd/mm/yy")</f>
        <v>MHA/IND/00671,29/08/25</v>
      </c>
      <c r="K668" s="5" t="s">
        <v>5752</v>
      </c>
      <c r="L668" s="1" t="s">
        <v>14</v>
      </c>
      <c r="M668" s="31" t="s">
        <v>15</v>
      </c>
      <c r="N668" s="1" t="s">
        <v>16</v>
      </c>
    </row>
    <row r="669" spans="1:14" x14ac:dyDescent="0.25">
      <c r="A669" s="4" t="str">
        <f>Sheet1!A669 &amp; "/" &amp; "2025"</f>
        <v>668/2025</v>
      </c>
      <c r="B669" s="5" t="str">
        <f>Sheet1!E669</f>
        <v>IND/MEL/00668</v>
      </c>
      <c r="C669" s="6" t="str">
        <f>UPPER(Sheet1!B669)</f>
        <v>NINA RISHKAN</v>
      </c>
      <c r="D669" s="7" t="str">
        <f>IF(Sheet1!F669="F","FEMALE","MALE")</f>
        <v>MALE</v>
      </c>
      <c r="E669" s="6" t="str">
        <f>UPPER(Sheet1!G669)</f>
        <v>KABIR VALZARI</v>
      </c>
      <c r="F669" s="6" t="str">
        <f>UPPER(Sheet1!H669)</f>
        <v>ANYA VALZARI</v>
      </c>
      <c r="G669" s="5" t="str">
        <f>TEXT(Sheet1!C669,"dd/mm/yyyy") &amp; "," &amp; Sheet1!D669</f>
        <v>18/06/2025,PARRAMATTA</v>
      </c>
      <c r="H669" s="39" t="str">
        <f>UPPER(Sheet1!J669 &amp; "," &amp; Sheet1!K669 &amp; "," &amp; Sheet1!L669)</f>
        <v>18 BIRCHWOOD LANE,EMERALD ROAD,PIN:623840 PARRAMATTA</v>
      </c>
      <c r="I669" s="8">
        <f>Sheet1!I669</f>
        <v>45840</v>
      </c>
      <c r="J669" s="5" t="str">
        <f>Sheet1!M669 &amp; "," &amp; TEXT(Sheet1!N669,"dd/mm/yy")</f>
        <v>MHA/IND/00672,28/07/25</v>
      </c>
      <c r="K669" s="5" t="s">
        <v>5752</v>
      </c>
      <c r="L669" s="1" t="s">
        <v>14</v>
      </c>
      <c r="M669" s="31" t="s">
        <v>15</v>
      </c>
      <c r="N669" s="1" t="s">
        <v>16</v>
      </c>
    </row>
    <row r="670" spans="1:14" x14ac:dyDescent="0.25">
      <c r="A670" s="4" t="str">
        <f>Sheet1!A670 &amp; "/" &amp; "2025"</f>
        <v>669/2025</v>
      </c>
      <c r="B670" s="5" t="str">
        <f>Sheet1!E670</f>
        <v>IND/MEL/00669</v>
      </c>
      <c r="C670" s="6" t="str">
        <f>UPPER(Sheet1!B670)</f>
        <v>MIRA KALEON</v>
      </c>
      <c r="D670" s="7" t="str">
        <f>IF(Sheet1!F670="F","FEMALE","MALE")</f>
        <v>FEMALE</v>
      </c>
      <c r="E670" s="6" t="str">
        <f>UPPER(Sheet1!G670)</f>
        <v>ROHIT RAO</v>
      </c>
      <c r="F670" s="6" t="str">
        <f>UPPER(Sheet1!H670)</f>
        <v>ALYA RAO</v>
      </c>
      <c r="G670" s="5" t="str">
        <f>TEXT(Sheet1!C670,"dd/mm/yyyy") &amp; "," &amp; Sheet1!D670</f>
        <v>05/05/2025,GEELONG</v>
      </c>
      <c r="H670" s="39" t="str">
        <f>UPPER(Sheet1!J670 &amp; "," &amp; Sheet1!K670 &amp; "," &amp; Sheet1!L670)</f>
        <v>112 BIRCHWOOD LANE,EMERALD ROAD,PIN:153426 GEELONG</v>
      </c>
      <c r="I670" s="8">
        <f>Sheet1!I670</f>
        <v>45787</v>
      </c>
      <c r="J670" s="5" t="str">
        <f>Sheet1!M670 &amp; "," &amp; TEXT(Sheet1!N670,"dd/mm/yy")</f>
        <v>MHA/IND/00673,28/08/25</v>
      </c>
      <c r="K670" s="5" t="s">
        <v>5752</v>
      </c>
      <c r="L670" s="1" t="s">
        <v>14</v>
      </c>
      <c r="M670" s="31" t="s">
        <v>15</v>
      </c>
      <c r="N670" s="1" t="s">
        <v>16</v>
      </c>
    </row>
    <row r="671" spans="1:14" x14ac:dyDescent="0.25">
      <c r="A671" s="4" t="str">
        <f>Sheet1!A671 &amp; "/" &amp; "2025"</f>
        <v>670/2025</v>
      </c>
      <c r="B671" s="5" t="str">
        <f>Sheet1!E671</f>
        <v>IND/MEL/00670</v>
      </c>
      <c r="C671" s="6" t="str">
        <f>UPPER(Sheet1!B671)</f>
        <v>ROHIT MYRTHOS</v>
      </c>
      <c r="D671" s="7" t="str">
        <f>IF(Sheet1!F671="F","FEMALE","MALE")</f>
        <v>MALE</v>
      </c>
      <c r="E671" s="6" t="str">
        <f>UPPER(Sheet1!G671)</f>
        <v>AREN VALZARI</v>
      </c>
      <c r="F671" s="6" t="str">
        <f>UPPER(Sheet1!H671)</f>
        <v>ANYA VALZARI</v>
      </c>
      <c r="G671" s="5" t="str">
        <f>TEXT(Sheet1!C671,"dd/mm/yyyy") &amp; "," &amp; Sheet1!D671</f>
        <v>07/04/2025,PALMERSTON</v>
      </c>
      <c r="H671" s="39" t="str">
        <f>UPPER(Sheet1!J671 &amp; "," &amp; Sheet1!K671 &amp; "," &amp; Sheet1!L671)</f>
        <v>20 BIRCHWOOD LANE,EMERALD ROAD,PIN:548726 PALMERSTON</v>
      </c>
      <c r="I671" s="8">
        <f>Sheet1!I671</f>
        <v>45765</v>
      </c>
      <c r="J671" s="5" t="str">
        <f>Sheet1!M671 &amp; "," &amp; TEXT(Sheet1!N671,"dd/mm/yy")</f>
        <v>MHA/IND/00674,16/08/25</v>
      </c>
      <c r="K671" s="5" t="s">
        <v>5752</v>
      </c>
      <c r="L671" s="1" t="s">
        <v>14</v>
      </c>
      <c r="M671" s="31" t="s">
        <v>15</v>
      </c>
      <c r="N671" s="1" t="s">
        <v>16</v>
      </c>
    </row>
    <row r="672" spans="1:14" x14ac:dyDescent="0.25">
      <c r="A672" s="4" t="str">
        <f>Sheet1!A672 &amp; "/" &amp; "2025"</f>
        <v>671/2025</v>
      </c>
      <c r="B672" s="5" t="str">
        <f>Sheet1!E672</f>
        <v>IND/MEL/00671</v>
      </c>
      <c r="C672" s="6" t="str">
        <f>UPPER(Sheet1!B672)</f>
        <v>ISHAN SHARMA</v>
      </c>
      <c r="D672" s="7" t="str">
        <f>IF(Sheet1!F672="F","FEMALE","MALE")</f>
        <v>MALE</v>
      </c>
      <c r="E672" s="6" t="str">
        <f>UPPER(Sheet1!G672)</f>
        <v>KABIR KALEON</v>
      </c>
      <c r="F672" s="6" t="str">
        <f>UPPER(Sheet1!H672)</f>
        <v>RIYA KALEON</v>
      </c>
      <c r="G672" s="5" t="str">
        <f>TEXT(Sheet1!C672,"dd/mm/yyyy") &amp; "," &amp; Sheet1!D672</f>
        <v>21/10/2025,LENAH VALLEY</v>
      </c>
      <c r="H672" s="39" t="str">
        <f>UPPER(Sheet1!J672 &amp; "," &amp; Sheet1!K672 &amp; "," &amp; Sheet1!L672)</f>
        <v>163 BIRCHWOOD LANE,EMERALD ROAD,PIN:398774 LENAH VALLEY</v>
      </c>
      <c r="I672" s="8">
        <f>Sheet1!I672</f>
        <v>46031</v>
      </c>
      <c r="J672" s="5" t="str">
        <f>Sheet1!M672 &amp; "," &amp; TEXT(Sheet1!N672,"dd/mm/yy")</f>
        <v>MHA/IND/00675,30/07/25</v>
      </c>
      <c r="K672" s="5" t="s">
        <v>5752</v>
      </c>
      <c r="L672" s="1" t="s">
        <v>14</v>
      </c>
      <c r="M672" s="31" t="s">
        <v>15</v>
      </c>
      <c r="N672" s="1" t="s">
        <v>16</v>
      </c>
    </row>
    <row r="673" spans="1:14" x14ac:dyDescent="0.25">
      <c r="A673" s="4" t="str">
        <f>Sheet1!A673 &amp; "/" &amp; "2025"</f>
        <v>672/2025</v>
      </c>
      <c r="B673" s="5" t="str">
        <f>Sheet1!E673</f>
        <v>IND/MEL/00672</v>
      </c>
      <c r="C673" s="6" t="str">
        <f>UPPER(Sheet1!B673)</f>
        <v>DEV VALZARI</v>
      </c>
      <c r="D673" s="7" t="str">
        <f>IF(Sheet1!F673="F","FEMALE","MALE")</f>
        <v>MALE</v>
      </c>
      <c r="E673" s="6" t="str">
        <f>UPPER(Sheet1!G673)</f>
        <v>KABIR MYRTHOS</v>
      </c>
      <c r="F673" s="6" t="str">
        <f>UPPER(Sheet1!H673)</f>
        <v>NINA MYRTHOS</v>
      </c>
      <c r="G673" s="5" t="str">
        <f>TEXT(Sheet1!C673,"dd/mm/yyyy") &amp; "," &amp; Sheet1!D673</f>
        <v>27/05/2025,MIDLAND</v>
      </c>
      <c r="H673" s="39" t="str">
        <f>UPPER(Sheet1!J673 &amp; "," &amp; Sheet1!K673 &amp; "," &amp; Sheet1!L673)</f>
        <v>179 BIRCHWOOD LANE,EMERALD ROAD,PIN:688803 MIDLAND</v>
      </c>
      <c r="I673" s="8">
        <f>Sheet1!I673</f>
        <v>45918</v>
      </c>
      <c r="J673" s="5" t="str">
        <f>Sheet1!M673 &amp; "," &amp; TEXT(Sheet1!N673,"dd/mm/yy")</f>
        <v>MHA/IND/00676,20/07/25</v>
      </c>
      <c r="K673" s="5" t="s">
        <v>5752</v>
      </c>
      <c r="L673" s="1" t="s">
        <v>14</v>
      </c>
      <c r="M673" s="31" t="s">
        <v>15</v>
      </c>
      <c r="N673" s="1" t="s">
        <v>16</v>
      </c>
    </row>
    <row r="674" spans="1:14" ht="30" customHeight="1" x14ac:dyDescent="0.25">
      <c r="A674" s="4" t="str">
        <f>Sheet1!A674 &amp; "/" &amp; "2025"</f>
        <v>673/2025</v>
      </c>
      <c r="B674" s="5" t="str">
        <f>Sheet1!E674</f>
        <v>IND/MEL/00673</v>
      </c>
      <c r="C674" s="6" t="str">
        <f>UPPER(Sheet1!B674)</f>
        <v>ANYA RAO</v>
      </c>
      <c r="D674" s="7" t="str">
        <f>IF(Sheet1!F674="F","FEMALE","MALE")</f>
        <v>FEMALE</v>
      </c>
      <c r="E674" s="6" t="str">
        <f>UPPER(Sheet1!G674)</f>
        <v>ISHAN SINDALE</v>
      </c>
      <c r="F674" s="6" t="str">
        <f>UPPER(Sheet1!H674)</f>
        <v>ANYA SINDALE</v>
      </c>
      <c r="G674" s="5" t="str">
        <f>TEXT(Sheet1!C674,"dd/mm/yyyy") &amp; "," &amp; Sheet1!D674</f>
        <v>08/09/2025,ROCKHAMPTON</v>
      </c>
      <c r="H674" s="39" t="str">
        <f>UPPER(Sheet1!J674 &amp; "," &amp; Sheet1!K674 &amp; "," &amp; Sheet1!L674)</f>
        <v>11 BIRCHWOOD LANE,EMERALD ROAD,PIN:572879 ROCKHAMPTON</v>
      </c>
      <c r="I674" s="8">
        <f>Sheet1!I674</f>
        <v>45915</v>
      </c>
      <c r="J674" s="5" t="str">
        <f>Sheet1!M674 &amp; "," &amp; TEXT(Sheet1!N674,"dd/mm/yy")</f>
        <v>MHA/IND/00677,14/07/25</v>
      </c>
      <c r="K674" s="5" t="s">
        <v>5752</v>
      </c>
      <c r="L674" s="1" t="s">
        <v>14</v>
      </c>
      <c r="M674" s="31" t="s">
        <v>15</v>
      </c>
      <c r="N674" s="1" t="s">
        <v>16</v>
      </c>
    </row>
    <row r="675" spans="1:14" x14ac:dyDescent="0.25">
      <c r="A675" s="4" t="str">
        <f>Sheet1!A675 &amp; "/" &amp; "2025"</f>
        <v>674/2025</v>
      </c>
      <c r="B675" s="5" t="str">
        <f>Sheet1!E675</f>
        <v>IND/MEL/00674</v>
      </c>
      <c r="C675" s="6" t="str">
        <f>UPPER(Sheet1!B675)</f>
        <v>ROHIT VALZARI</v>
      </c>
      <c r="D675" s="7" t="str">
        <f>IF(Sheet1!F675="F","FEMALE","MALE")</f>
        <v>FEMALE</v>
      </c>
      <c r="E675" s="6" t="str">
        <f>UPPER(Sheet1!G675)</f>
        <v>DEV VALZARI</v>
      </c>
      <c r="F675" s="6" t="str">
        <f>UPPER(Sheet1!H675)</f>
        <v>ALYA VALZARI</v>
      </c>
      <c r="G675" s="5" t="str">
        <f>TEXT(Sheet1!C675,"dd/mm/yyyy") &amp; "," &amp; Sheet1!D675</f>
        <v>04/02/2025,MANDURAH</v>
      </c>
      <c r="H675" s="39" t="str">
        <f>UPPER(Sheet1!J675 &amp; "," &amp; Sheet1!K675 &amp; "," &amp; Sheet1!L675)</f>
        <v>69 BIRCHWOOD LANE,EMERALD ROAD,PIN:775685 MANDURAH</v>
      </c>
      <c r="I675" s="8">
        <f>Sheet1!I675</f>
        <v>45717</v>
      </c>
      <c r="J675" s="5" t="str">
        <f>Sheet1!M675 &amp; "," &amp; TEXT(Sheet1!N675,"dd/mm/yy")</f>
        <v>MHA/IND/00678,17/07/25</v>
      </c>
      <c r="K675" s="5" t="s">
        <v>5752</v>
      </c>
      <c r="L675" s="1" t="s">
        <v>14</v>
      </c>
      <c r="M675" s="31" t="s">
        <v>15</v>
      </c>
      <c r="N675" s="1" t="s">
        <v>16</v>
      </c>
    </row>
    <row r="676" spans="1:14" x14ac:dyDescent="0.25">
      <c r="A676" s="4" t="str">
        <f>Sheet1!A676 &amp; "/" &amp; "2025"</f>
        <v>675/2025</v>
      </c>
      <c r="B676" s="5" t="str">
        <f>Sheet1!E676</f>
        <v>IND/MEL/00675</v>
      </c>
      <c r="C676" s="6" t="str">
        <f>UPPER(Sheet1!B676)</f>
        <v>ARJUN KALEON</v>
      </c>
      <c r="D676" s="7" t="str">
        <f>IF(Sheet1!F676="F","FEMALE","MALE")</f>
        <v>MALE</v>
      </c>
      <c r="E676" s="6" t="str">
        <f>UPPER(Sheet1!G676)</f>
        <v>ARJUN RISHKAN</v>
      </c>
      <c r="F676" s="6" t="str">
        <f>UPPER(Sheet1!H676)</f>
        <v>RIYA RISHKAN</v>
      </c>
      <c r="G676" s="5" t="str">
        <f>TEXT(Sheet1!C676,"dd/mm/yyyy") &amp; "," &amp; Sheet1!D676</f>
        <v>07/02/2025,DALBY</v>
      </c>
      <c r="H676" s="39" t="str">
        <f>UPPER(Sheet1!J676 &amp; "," &amp; Sheet1!K676 &amp; "," &amp; Sheet1!L676)</f>
        <v>16 BIRCHWOOD LANE,EMERALD ROAD,PIN:294333 DALBY</v>
      </c>
      <c r="I676" s="8">
        <f>Sheet1!I676</f>
        <v>45747</v>
      </c>
      <c r="J676" s="5" t="str">
        <f>Sheet1!M676 &amp; "," &amp; TEXT(Sheet1!N676,"dd/mm/yy")</f>
        <v>MHA/IND/00679,11/08/25</v>
      </c>
      <c r="K676" s="5" t="s">
        <v>5752</v>
      </c>
      <c r="L676" s="1" t="s">
        <v>14</v>
      </c>
      <c r="M676" s="31" t="s">
        <v>15</v>
      </c>
      <c r="N676" s="1" t="s">
        <v>16</v>
      </c>
    </row>
    <row r="677" spans="1:14" x14ac:dyDescent="0.25">
      <c r="A677" s="4" t="str">
        <f>Sheet1!A677 &amp; "/" &amp; "2025"</f>
        <v>676/2025</v>
      </c>
      <c r="B677" s="5" t="str">
        <f>Sheet1!E677</f>
        <v>IND/MEL/00676</v>
      </c>
      <c r="C677" s="6" t="str">
        <f>UPPER(Sheet1!B677)</f>
        <v>AREN MYRTHOS</v>
      </c>
      <c r="D677" s="7" t="str">
        <f>IF(Sheet1!F677="F","FEMALE","MALE")</f>
        <v>FEMALE</v>
      </c>
      <c r="E677" s="6" t="str">
        <f>UPPER(Sheet1!G677)</f>
        <v>ISHAN RAO</v>
      </c>
      <c r="F677" s="6" t="str">
        <f>UPPER(Sheet1!H677)</f>
        <v>RIYA RAO</v>
      </c>
      <c r="G677" s="5" t="str">
        <f>TEXT(Sheet1!C677,"dd/mm/yyyy") &amp; "," &amp; Sheet1!D677</f>
        <v>25/06/2025,PARKVILLE</v>
      </c>
      <c r="H677" s="39" t="str">
        <f>UPPER(Sheet1!J677 &amp; "," &amp; Sheet1!K677 &amp; "," &amp; Sheet1!L677)</f>
        <v>89 BIRCHWOOD LANE,EMERALD ROAD,PIN:778480 PARKVILLE</v>
      </c>
      <c r="I677" s="8">
        <f>Sheet1!I677</f>
        <v>45856</v>
      </c>
      <c r="J677" s="5" t="str">
        <f>Sheet1!M677 &amp; "," &amp; TEXT(Sheet1!N677,"dd/mm/yy")</f>
        <v>MHA/IND/00680,21/07/25</v>
      </c>
      <c r="K677" s="5" t="s">
        <v>5752</v>
      </c>
      <c r="L677" s="1" t="s">
        <v>14</v>
      </c>
      <c r="M677" s="31" t="s">
        <v>15</v>
      </c>
      <c r="N677" s="1" t="s">
        <v>16</v>
      </c>
    </row>
    <row r="678" spans="1:14" x14ac:dyDescent="0.25">
      <c r="A678" s="4" t="str">
        <f>Sheet1!A678 &amp; "/" &amp; "2025"</f>
        <v>677/2025</v>
      </c>
      <c r="B678" s="5" t="str">
        <f>Sheet1!E678</f>
        <v>IND/MEL/00677</v>
      </c>
      <c r="C678" s="6" t="str">
        <f>UPPER(Sheet1!B678)</f>
        <v>MIRA SINDALE</v>
      </c>
      <c r="D678" s="7" t="str">
        <f>IF(Sheet1!F678="F","FEMALE","MALE")</f>
        <v>FEMALE</v>
      </c>
      <c r="E678" s="6" t="str">
        <f>UPPER(Sheet1!G678)</f>
        <v>KABIR RISHKAN</v>
      </c>
      <c r="F678" s="6" t="str">
        <f>UPPER(Sheet1!H678)</f>
        <v>SARA RISHKAN</v>
      </c>
      <c r="G678" s="5" t="str">
        <f>TEXT(Sheet1!C678,"dd/mm/yyyy") &amp; "," &amp; Sheet1!D678</f>
        <v>04/06/2025,ADELAIDE</v>
      </c>
      <c r="H678" s="39" t="str">
        <f>UPPER(Sheet1!J678 &amp; "," &amp; Sheet1!K678 &amp; "," &amp; Sheet1!L678)</f>
        <v>77 BIRCHWOOD LANE,EMERALD ROAD,PIN:952963 ADELAIDE</v>
      </c>
      <c r="I678" s="8">
        <f>Sheet1!I678</f>
        <v>45931</v>
      </c>
      <c r="J678" s="5" t="str">
        <f>Sheet1!M678 &amp; "," &amp; TEXT(Sheet1!N678,"dd/mm/yy")</f>
        <v>MHA/IND/00681,04/07/25</v>
      </c>
      <c r="K678" s="5" t="s">
        <v>5752</v>
      </c>
      <c r="L678" s="1" t="s">
        <v>14</v>
      </c>
      <c r="M678" s="31" t="s">
        <v>15</v>
      </c>
      <c r="N678" s="1" t="s">
        <v>16</v>
      </c>
    </row>
    <row r="679" spans="1:14" x14ac:dyDescent="0.25">
      <c r="A679" s="4" t="str">
        <f>Sheet1!A679 &amp; "/" &amp; "2025"</f>
        <v>678/2025</v>
      </c>
      <c r="B679" s="5" t="str">
        <f>Sheet1!E679</f>
        <v>IND/MEL/00678</v>
      </c>
      <c r="C679" s="6" t="str">
        <f>UPPER(Sheet1!B679)</f>
        <v>ALYA VALZARI</v>
      </c>
      <c r="D679" s="7" t="str">
        <f>IF(Sheet1!F679="F","FEMALE","MALE")</f>
        <v>MALE</v>
      </c>
      <c r="E679" s="6" t="str">
        <f>UPPER(Sheet1!G679)</f>
        <v>ARJUN RAO</v>
      </c>
      <c r="F679" s="6" t="str">
        <f>UPPER(Sheet1!H679)</f>
        <v>NINA RAO</v>
      </c>
      <c r="G679" s="5" t="str">
        <f>TEXT(Sheet1!C679,"dd/mm/yyyy") &amp; "," &amp; Sheet1!D679</f>
        <v>25/06/2025,LOGAN</v>
      </c>
      <c r="H679" s="39" t="str">
        <f>UPPER(Sheet1!J679 &amp; "," &amp; Sheet1!K679 &amp; "," &amp; Sheet1!L679)</f>
        <v>190 BIRCHWOOD LANE,EMERALD ROAD,PIN:921501 LOGAN</v>
      </c>
      <c r="I679" s="8">
        <f>Sheet1!I679</f>
        <v>45935</v>
      </c>
      <c r="J679" s="5" t="str">
        <f>Sheet1!M679 &amp; "," &amp; TEXT(Sheet1!N679,"dd/mm/yy")</f>
        <v>MHA/IND/00682,17/08/25</v>
      </c>
      <c r="K679" s="5" t="s">
        <v>5752</v>
      </c>
      <c r="L679" s="1" t="s">
        <v>14</v>
      </c>
      <c r="M679" s="31" t="s">
        <v>15</v>
      </c>
      <c r="N679" s="1" t="s">
        <v>16</v>
      </c>
    </row>
    <row r="680" spans="1:14" x14ac:dyDescent="0.25">
      <c r="A680" s="4" t="str">
        <f>Sheet1!A680 &amp; "/" &amp; "2025"</f>
        <v>679/2025</v>
      </c>
      <c r="B680" s="5" t="str">
        <f>Sheet1!E680</f>
        <v>IND/MEL/00679</v>
      </c>
      <c r="C680" s="6" t="str">
        <f>UPPER(Sheet1!B680)</f>
        <v>ARJUN RISHKAN</v>
      </c>
      <c r="D680" s="7" t="str">
        <f>IF(Sheet1!F680="F","FEMALE","MALE")</f>
        <v>MALE</v>
      </c>
      <c r="E680" s="6" t="str">
        <f>UPPER(Sheet1!G680)</f>
        <v>NEIL RISHKAN</v>
      </c>
      <c r="F680" s="6" t="str">
        <f>UPPER(Sheet1!H680)</f>
        <v>TARA RISHKAN</v>
      </c>
      <c r="G680" s="5" t="str">
        <f>TEXT(Sheet1!C680,"dd/mm/yyyy") &amp; "," &amp; Sheet1!D680</f>
        <v>26/06/2025,FRANKSTON</v>
      </c>
      <c r="H680" s="39" t="str">
        <f>UPPER(Sheet1!J680 &amp; "," &amp; Sheet1!K680 &amp; "," &amp; Sheet1!L680)</f>
        <v>135 BIRCHWOOD LANE,EMERALD ROAD,PIN:461997 FRANKSTON</v>
      </c>
      <c r="I680" s="8">
        <f>Sheet1!I680</f>
        <v>45866</v>
      </c>
      <c r="J680" s="5" t="str">
        <f>Sheet1!M680 &amp; "," &amp; TEXT(Sheet1!N680,"dd/mm/yy")</f>
        <v>MHA/IND/00683,23/08/25</v>
      </c>
      <c r="K680" s="5" t="s">
        <v>5752</v>
      </c>
      <c r="L680" s="1" t="s">
        <v>14</v>
      </c>
      <c r="M680" s="31" t="s">
        <v>15</v>
      </c>
      <c r="N680" s="1" t="s">
        <v>16</v>
      </c>
    </row>
    <row r="681" spans="1:14" x14ac:dyDescent="0.25">
      <c r="A681" s="4" t="str">
        <f>Sheet1!A681 &amp; "/" &amp; "2025"</f>
        <v>680/2025</v>
      </c>
      <c r="B681" s="5" t="str">
        <f>Sheet1!E681</f>
        <v>IND/MEL/00680</v>
      </c>
      <c r="C681" s="6" t="str">
        <f>UPPER(Sheet1!B681)</f>
        <v>ANYA RAO</v>
      </c>
      <c r="D681" s="7" t="str">
        <f>IF(Sheet1!F681="F","FEMALE","MALE")</f>
        <v>MALE</v>
      </c>
      <c r="E681" s="6" t="str">
        <f>UPPER(Sheet1!G681)</f>
        <v>ARJUN MYRTHOS</v>
      </c>
      <c r="F681" s="6" t="str">
        <f>UPPER(Sheet1!H681)</f>
        <v>SARA MYRTHOS</v>
      </c>
      <c r="G681" s="5" t="str">
        <f>TEXT(Sheet1!C681,"dd/mm/yyyy") &amp; "," &amp; Sheet1!D681</f>
        <v>10/05/2025,ST ALBANS</v>
      </c>
      <c r="H681" s="39" t="str">
        <f>UPPER(Sheet1!J681 &amp; "," &amp; Sheet1!K681 &amp; "," &amp; Sheet1!L681)</f>
        <v>118 BIRCHWOOD LANE,EMERALD ROAD,PIN:541304 ST ALBANS</v>
      </c>
      <c r="I681" s="8">
        <f>Sheet1!I681</f>
        <v>45833</v>
      </c>
      <c r="J681" s="5" t="str">
        <f>Sheet1!M681 &amp; "," &amp; TEXT(Sheet1!N681,"dd/mm/yy")</f>
        <v>MHA/IND/00684,24/08/25</v>
      </c>
      <c r="K681" s="5" t="s">
        <v>5752</v>
      </c>
      <c r="L681" s="1" t="s">
        <v>14</v>
      </c>
      <c r="M681" s="31" t="s">
        <v>15</v>
      </c>
      <c r="N681" s="1" t="s">
        <v>16</v>
      </c>
    </row>
    <row r="682" spans="1:14" x14ac:dyDescent="0.25">
      <c r="A682" s="4" t="str">
        <f>Sheet1!A682 &amp; "/" &amp; "2025"</f>
        <v>681/2025</v>
      </c>
      <c r="B682" s="5" t="str">
        <f>Sheet1!E682</f>
        <v>IND/MEL/00681</v>
      </c>
      <c r="C682" s="6" t="str">
        <f>UPPER(Sheet1!B682)</f>
        <v>TARA RISHKAN</v>
      </c>
      <c r="D682" s="7" t="str">
        <f>IF(Sheet1!F682="F","FEMALE","MALE")</f>
        <v>MALE</v>
      </c>
      <c r="E682" s="6" t="str">
        <f>UPPER(Sheet1!G682)</f>
        <v>ARJUN RISHKAN</v>
      </c>
      <c r="F682" s="6" t="str">
        <f>UPPER(Sheet1!H682)</f>
        <v>SARA RISHKAN</v>
      </c>
      <c r="G682" s="5" t="str">
        <f>TEXT(Sheet1!C682,"dd/mm/yyyy") &amp; "," &amp; Sheet1!D682</f>
        <v>10/01/2025,MANDURAH</v>
      </c>
      <c r="H682" s="39" t="str">
        <f>UPPER(Sheet1!J682 &amp; "," &amp; Sheet1!K682 &amp; "," &amp; Sheet1!L682)</f>
        <v>10 BIRCHWOOD LANE,EMERALD ROAD,PIN:613365 MANDURAH</v>
      </c>
      <c r="I682" s="8">
        <f>Sheet1!I682</f>
        <v>45721</v>
      </c>
      <c r="J682" s="5" t="str">
        <f>Sheet1!M682 &amp; "," &amp; TEXT(Sheet1!N682,"dd/mm/yy")</f>
        <v>MHA/IND/00685,08/08/25</v>
      </c>
      <c r="K682" s="5" t="s">
        <v>5752</v>
      </c>
      <c r="L682" s="1" t="s">
        <v>14</v>
      </c>
      <c r="M682" s="31" t="s">
        <v>15</v>
      </c>
      <c r="N682" s="1" t="s">
        <v>16</v>
      </c>
    </row>
    <row r="683" spans="1:14" x14ac:dyDescent="0.25">
      <c r="A683" s="4" t="str">
        <f>Sheet1!A683 &amp; "/" &amp; "2025"</f>
        <v>682/2025</v>
      </c>
      <c r="B683" s="5" t="str">
        <f>Sheet1!E683</f>
        <v>IND/MEL/00682</v>
      </c>
      <c r="C683" s="6" t="str">
        <f>UPPER(Sheet1!B683)</f>
        <v>ISHAN RAO</v>
      </c>
      <c r="D683" s="7" t="str">
        <f>IF(Sheet1!F683="F","FEMALE","MALE")</f>
        <v>FEMALE</v>
      </c>
      <c r="E683" s="6" t="str">
        <f>UPPER(Sheet1!G683)</f>
        <v>ARJUN VALZARI</v>
      </c>
      <c r="F683" s="6" t="str">
        <f>UPPER(Sheet1!H683)</f>
        <v>DIYA VALZARI</v>
      </c>
      <c r="G683" s="5" t="str">
        <f>TEXT(Sheet1!C683,"dd/mm/yyyy") &amp; "," &amp; Sheet1!D683</f>
        <v>26/10/2025,BEDFORD PARK</v>
      </c>
      <c r="H683" s="39" t="str">
        <f>UPPER(Sheet1!J683 &amp; "," &amp; Sheet1!K683 &amp; "," &amp; Sheet1!L683)</f>
        <v>184 BIRCHWOOD LANE,EMERALD ROAD,PIN:462170 BEDFORD PARK</v>
      </c>
      <c r="I683" s="8">
        <f>Sheet1!I683</f>
        <v>45962</v>
      </c>
      <c r="J683" s="5" t="str">
        <f>Sheet1!M683 &amp; "," &amp; TEXT(Sheet1!N683,"dd/mm/yy")</f>
        <v>MHA/IND/00686,10/07/25</v>
      </c>
      <c r="K683" s="5" t="s">
        <v>5752</v>
      </c>
      <c r="L683" s="1" t="s">
        <v>14</v>
      </c>
      <c r="M683" s="31" t="s">
        <v>15</v>
      </c>
      <c r="N683" s="1" t="s">
        <v>16</v>
      </c>
    </row>
    <row r="684" spans="1:14" x14ac:dyDescent="0.25">
      <c r="A684" s="4" t="str">
        <f>Sheet1!A684 &amp; "/" &amp; "2025"</f>
        <v>683/2025</v>
      </c>
      <c r="B684" s="5" t="str">
        <f>Sheet1!E684</f>
        <v>IND/MEL/00683</v>
      </c>
      <c r="C684" s="6" t="str">
        <f>UPPER(Sheet1!B684)</f>
        <v>NEIL RISHKAN</v>
      </c>
      <c r="D684" s="7" t="str">
        <f>IF(Sheet1!F684="F","FEMALE","MALE")</f>
        <v>MALE</v>
      </c>
      <c r="E684" s="6" t="str">
        <f>UPPER(Sheet1!G684)</f>
        <v>ARJUN MYRTHOS</v>
      </c>
      <c r="F684" s="6" t="str">
        <f>UPPER(Sheet1!H684)</f>
        <v>NINA MYRTHOS</v>
      </c>
      <c r="G684" s="5" t="str">
        <f>TEXT(Sheet1!C684,"dd/mm/yyyy") &amp; "," &amp; Sheet1!D684</f>
        <v>01/09/2025,WERRIBEE</v>
      </c>
      <c r="H684" s="39" t="str">
        <f>UPPER(Sheet1!J684 &amp; "," &amp; Sheet1!K684 &amp; "," &amp; Sheet1!L684)</f>
        <v>35 BIRCHWOOD LANE,EMERALD ROAD,PIN:345085 WERRIBEE</v>
      </c>
      <c r="I684" s="8">
        <f>Sheet1!I684</f>
        <v>45941</v>
      </c>
      <c r="J684" s="5" t="str">
        <f>Sheet1!M684 &amp; "," &amp; TEXT(Sheet1!N684,"dd/mm/yy")</f>
        <v>MHA/IND/00687,12/08/25</v>
      </c>
      <c r="K684" s="5" t="s">
        <v>5752</v>
      </c>
      <c r="L684" s="1" t="s">
        <v>14</v>
      </c>
      <c r="M684" s="31" t="s">
        <v>15</v>
      </c>
      <c r="N684" s="1" t="s">
        <v>16</v>
      </c>
    </row>
    <row r="685" spans="1:14" x14ac:dyDescent="0.25">
      <c r="A685" s="4" t="str">
        <f>Sheet1!A685 &amp; "/" &amp; "2025"</f>
        <v>684/2025</v>
      </c>
      <c r="B685" s="5" t="str">
        <f>Sheet1!E685</f>
        <v>IND/MEL/00684</v>
      </c>
      <c r="C685" s="6" t="str">
        <f>UPPER(Sheet1!B685)</f>
        <v>KIRAN MYRTHOS</v>
      </c>
      <c r="D685" s="7" t="str">
        <f>IF(Sheet1!F685="F","FEMALE","MALE")</f>
        <v>MALE</v>
      </c>
      <c r="E685" s="6" t="str">
        <f>UPPER(Sheet1!G685)</f>
        <v>NEIL RAO</v>
      </c>
      <c r="F685" s="6" t="str">
        <f>UPPER(Sheet1!H685)</f>
        <v>SARA RAO</v>
      </c>
      <c r="G685" s="5" t="str">
        <f>TEXT(Sheet1!C685,"dd/mm/yyyy") &amp; "," &amp; Sheet1!D685</f>
        <v>22/07/2025,BUNDABERG</v>
      </c>
      <c r="H685" s="39" t="str">
        <f>UPPER(Sheet1!J685 &amp; "," &amp; Sheet1!K685 &amp; "," &amp; Sheet1!L685)</f>
        <v>131 BIRCHWOOD LANE,EMERALD ROAD,PIN:834366 BUNDABERG</v>
      </c>
      <c r="I685" s="8">
        <f>Sheet1!I685</f>
        <v>45905</v>
      </c>
      <c r="J685" s="5" t="str">
        <f>Sheet1!M685 &amp; "," &amp; TEXT(Sheet1!N685,"dd/mm/yy")</f>
        <v>MHA/IND/00688,09/08/25</v>
      </c>
      <c r="K685" s="5" t="s">
        <v>5752</v>
      </c>
      <c r="L685" s="1" t="s">
        <v>14</v>
      </c>
      <c r="M685" s="31" t="s">
        <v>15</v>
      </c>
      <c r="N685" s="1" t="s">
        <v>16</v>
      </c>
    </row>
    <row r="686" spans="1:14" x14ac:dyDescent="0.25">
      <c r="A686" s="4" t="str">
        <f>Sheet1!A686 &amp; "/" &amp; "2025"</f>
        <v>685/2025</v>
      </c>
      <c r="B686" s="5" t="str">
        <f>Sheet1!E686</f>
        <v>IND/MEL/00685</v>
      </c>
      <c r="C686" s="6" t="str">
        <f>UPPER(Sheet1!B686)</f>
        <v>DEV RISHKAN</v>
      </c>
      <c r="D686" s="7" t="str">
        <f>IF(Sheet1!F686="F","FEMALE","MALE")</f>
        <v>FEMALE</v>
      </c>
      <c r="E686" s="6" t="str">
        <f>UPPER(Sheet1!G686)</f>
        <v>NEIL RAO</v>
      </c>
      <c r="F686" s="6" t="str">
        <f>UPPER(Sheet1!H686)</f>
        <v>RIYA RAO</v>
      </c>
      <c r="G686" s="5" t="str">
        <f>TEXT(Sheet1!C686,"dd/mm/yyyy") &amp; "," &amp; Sheet1!D686</f>
        <v>20/06/2025,PERTH</v>
      </c>
      <c r="H686" s="39" t="str">
        <f>UPPER(Sheet1!J686 &amp; "," &amp; Sheet1!K686 &amp; "," &amp; Sheet1!L686)</f>
        <v>32 BIRCHWOOD LANE,EMERALD ROAD,PIN:127602 PERTH</v>
      </c>
      <c r="I686" s="8">
        <f>Sheet1!I686</f>
        <v>45872</v>
      </c>
      <c r="J686" s="5" t="str">
        <f>Sheet1!M686 &amp; "," &amp; TEXT(Sheet1!N686,"dd/mm/yy")</f>
        <v>MHA/IND/00689,08/08/25</v>
      </c>
      <c r="K686" s="5" t="s">
        <v>5752</v>
      </c>
      <c r="L686" s="1" t="s">
        <v>14</v>
      </c>
      <c r="M686" s="31" t="s">
        <v>15</v>
      </c>
      <c r="N686" s="1" t="s">
        <v>16</v>
      </c>
    </row>
    <row r="687" spans="1:14" x14ac:dyDescent="0.25">
      <c r="A687" s="4" t="str">
        <f>Sheet1!A687 &amp; "/" &amp; "2025"</f>
        <v>686/2025</v>
      </c>
      <c r="B687" s="5" t="str">
        <f>Sheet1!E687</f>
        <v>IND/MEL/00686</v>
      </c>
      <c r="C687" s="6" t="str">
        <f>UPPER(Sheet1!B687)</f>
        <v>SARA VALZARI</v>
      </c>
      <c r="D687" s="7" t="str">
        <f>IF(Sheet1!F687="F","FEMALE","MALE")</f>
        <v>MALE</v>
      </c>
      <c r="E687" s="6" t="str">
        <f>UPPER(Sheet1!G687)</f>
        <v>ISHAN MYRTHOS</v>
      </c>
      <c r="F687" s="6" t="str">
        <f>UPPER(Sheet1!H687)</f>
        <v>ANYA MYRTHOS</v>
      </c>
      <c r="G687" s="5" t="str">
        <f>TEXT(Sheet1!C687,"dd/mm/yyyy") &amp; "," &amp; Sheet1!D687</f>
        <v>28/04/2025,NEWCASTLE</v>
      </c>
      <c r="H687" s="39" t="str">
        <f>UPPER(Sheet1!J687 &amp; "," &amp; Sheet1!K687 &amp; "," &amp; Sheet1!L687)</f>
        <v>139 BIRCHWOOD LANE,EMERALD ROAD,PIN:884260 NEWCASTLE</v>
      </c>
      <c r="I687" s="8">
        <f>Sheet1!I687</f>
        <v>45873</v>
      </c>
      <c r="J687" s="5" t="str">
        <f>Sheet1!M687 &amp; "," &amp; TEXT(Sheet1!N687,"dd/mm/yy")</f>
        <v>MHA/IND/00690,26/07/25</v>
      </c>
      <c r="K687" s="5" t="s">
        <v>5752</v>
      </c>
      <c r="L687" s="1" t="s">
        <v>14</v>
      </c>
      <c r="M687" s="31" t="s">
        <v>15</v>
      </c>
      <c r="N687" s="1" t="s">
        <v>16</v>
      </c>
    </row>
    <row r="688" spans="1:14" x14ac:dyDescent="0.25">
      <c r="A688" s="4" t="str">
        <f>Sheet1!A688 &amp; "/" &amp; "2025"</f>
        <v>687/2025</v>
      </c>
      <c r="B688" s="5" t="str">
        <f>Sheet1!E688</f>
        <v>IND/MEL/00687</v>
      </c>
      <c r="C688" s="6" t="str">
        <f>UPPER(Sheet1!B688)</f>
        <v>ROHIT MYRTHOS</v>
      </c>
      <c r="D688" s="7" t="str">
        <f>IF(Sheet1!F688="F","FEMALE","MALE")</f>
        <v>MALE</v>
      </c>
      <c r="E688" s="6" t="str">
        <f>UPPER(Sheet1!G688)</f>
        <v>KABIR SINDALE</v>
      </c>
      <c r="F688" s="6" t="str">
        <f>UPPER(Sheet1!H688)</f>
        <v>SARA SINDALE</v>
      </c>
      <c r="G688" s="5" t="str">
        <f>TEXT(Sheet1!C688,"dd/mm/yyyy") &amp; "," &amp; Sheet1!D688</f>
        <v>17/03/2025,PARKVILLE</v>
      </c>
      <c r="H688" s="39" t="str">
        <f>UPPER(Sheet1!J688 &amp; "," &amp; Sheet1!K688 &amp; "," &amp; Sheet1!L688)</f>
        <v>164 BIRCHWOOD LANE,EMERALD ROAD,PIN:603548 PARKVILLE</v>
      </c>
      <c r="I688" s="8">
        <f>Sheet1!I688</f>
        <v>45786</v>
      </c>
      <c r="J688" s="5" t="str">
        <f>Sheet1!M688 &amp; "," &amp; TEXT(Sheet1!N688,"dd/mm/yy")</f>
        <v>MHA/IND/00691,19/07/25</v>
      </c>
      <c r="K688" s="5" t="s">
        <v>5752</v>
      </c>
      <c r="L688" s="1" t="s">
        <v>14</v>
      </c>
      <c r="M688" s="31" t="s">
        <v>15</v>
      </c>
      <c r="N688" s="1" t="s">
        <v>16</v>
      </c>
    </row>
    <row r="689" spans="1:14" x14ac:dyDescent="0.25">
      <c r="A689" s="4" t="str">
        <f>Sheet1!A689 &amp; "/" &amp; "2025"</f>
        <v>688/2025</v>
      </c>
      <c r="B689" s="5" t="str">
        <f>Sheet1!E689</f>
        <v>IND/MEL/00688</v>
      </c>
      <c r="C689" s="6" t="str">
        <f>UPPER(Sheet1!B689)</f>
        <v>KABIR RAO</v>
      </c>
      <c r="D689" s="7" t="str">
        <f>IF(Sheet1!F689="F","FEMALE","MALE")</f>
        <v>FEMALE</v>
      </c>
      <c r="E689" s="6" t="str">
        <f>UPPER(Sheet1!G689)</f>
        <v>ARJUN RISHKAN</v>
      </c>
      <c r="F689" s="6" t="str">
        <f>UPPER(Sheet1!H689)</f>
        <v>RIYA RISHKAN</v>
      </c>
      <c r="G689" s="5" t="str">
        <f>TEXT(Sheet1!C689,"dd/mm/yyyy") &amp; "," &amp; Sheet1!D689</f>
        <v>05/06/2025,CLAYTON</v>
      </c>
      <c r="H689" s="39" t="str">
        <f>UPPER(Sheet1!J689 &amp; "," &amp; Sheet1!K689 &amp; "," &amp; Sheet1!L689)</f>
        <v>115 BIRCHWOOD LANE,EMERALD ROAD,PIN:420167 CLAYTON</v>
      </c>
      <c r="I689" s="8">
        <f>Sheet1!I689</f>
        <v>45881</v>
      </c>
      <c r="J689" s="5" t="str">
        <f>Sheet1!M689 &amp; "," &amp; TEXT(Sheet1!N689,"dd/mm/yy")</f>
        <v>MHA/IND/00692,06/07/25</v>
      </c>
      <c r="K689" s="5" t="s">
        <v>5752</v>
      </c>
      <c r="L689" s="1" t="s">
        <v>14</v>
      </c>
      <c r="M689" s="31" t="s">
        <v>15</v>
      </c>
      <c r="N689" s="1" t="s">
        <v>16</v>
      </c>
    </row>
    <row r="690" spans="1:14" x14ac:dyDescent="0.25">
      <c r="A690" s="4" t="str">
        <f>Sheet1!A690 &amp; "/" &amp; "2025"</f>
        <v>689/2025</v>
      </c>
      <c r="B690" s="5" t="str">
        <f>Sheet1!E690</f>
        <v>IND/MEL/00689</v>
      </c>
      <c r="C690" s="6" t="str">
        <f>UPPER(Sheet1!B690)</f>
        <v>DIYA RAO</v>
      </c>
      <c r="D690" s="7" t="str">
        <f>IF(Sheet1!F690="F","FEMALE","MALE")</f>
        <v>MALE</v>
      </c>
      <c r="E690" s="6" t="str">
        <f>UPPER(Sheet1!G690)</f>
        <v>ROHIT MYRTHOS</v>
      </c>
      <c r="F690" s="6" t="str">
        <f>UPPER(Sheet1!H690)</f>
        <v>SARA MYRTHOS</v>
      </c>
      <c r="G690" s="5" t="str">
        <f>TEXT(Sheet1!C690,"dd/mm/yyyy") &amp; "," &amp; Sheet1!D690</f>
        <v>15/08/2025,SYDNEY</v>
      </c>
      <c r="H690" s="39" t="str">
        <f>UPPER(Sheet1!J690 &amp; "," &amp; Sheet1!K690 &amp; "," &amp; Sheet1!L690)</f>
        <v>87 BIRCHWOOD LANE,EMERALD ROAD,PIN:467770 SYDNEY</v>
      </c>
      <c r="I690" s="8">
        <f>Sheet1!I690</f>
        <v>45929</v>
      </c>
      <c r="J690" s="5" t="str">
        <f>Sheet1!M690 &amp; "," &amp; TEXT(Sheet1!N690,"dd/mm/yy")</f>
        <v>MHA/IND/00693,26/07/25</v>
      </c>
      <c r="K690" s="5" t="s">
        <v>5752</v>
      </c>
      <c r="L690" s="1" t="s">
        <v>14</v>
      </c>
      <c r="M690" s="31" t="s">
        <v>15</v>
      </c>
      <c r="N690" s="1" t="s">
        <v>16</v>
      </c>
    </row>
    <row r="691" spans="1:14" x14ac:dyDescent="0.25">
      <c r="A691" s="4" t="str">
        <f>Sheet1!A691 &amp; "/" &amp; "2025"</f>
        <v>690/2025</v>
      </c>
      <c r="B691" s="5" t="str">
        <f>Sheet1!E691</f>
        <v>IND/MEL/00690</v>
      </c>
      <c r="C691" s="6" t="str">
        <f>UPPER(Sheet1!B691)</f>
        <v>KIRAN MYRTHOS</v>
      </c>
      <c r="D691" s="7" t="str">
        <f>IF(Sheet1!F691="F","FEMALE","MALE")</f>
        <v>MALE</v>
      </c>
      <c r="E691" s="6" t="str">
        <f>UPPER(Sheet1!G691)</f>
        <v>ARJUN KALEON</v>
      </c>
      <c r="F691" s="6" t="str">
        <f>UPPER(Sheet1!H691)</f>
        <v>NINA KALEON</v>
      </c>
      <c r="G691" s="5" t="str">
        <f>TEXT(Sheet1!C691,"dd/mm/yyyy") &amp; "," &amp; Sheet1!D691</f>
        <v>22/09/2025,SHEPPARTON</v>
      </c>
      <c r="H691" s="39" t="str">
        <f>UPPER(Sheet1!J691 &amp; "," &amp; Sheet1!K691 &amp; "," &amp; Sheet1!L691)</f>
        <v>77 BIRCHWOOD LANE,EMERALD ROAD,PIN:757926 SHEPPARTON</v>
      </c>
      <c r="I691" s="8">
        <f>Sheet1!I691</f>
        <v>46024</v>
      </c>
      <c r="J691" s="5" t="str">
        <f>Sheet1!M691 &amp; "," &amp; TEXT(Sheet1!N691,"dd/mm/yy")</f>
        <v>MHA/IND/00694,02/07/25</v>
      </c>
      <c r="K691" s="5" t="s">
        <v>5752</v>
      </c>
      <c r="L691" s="1" t="s">
        <v>14</v>
      </c>
      <c r="M691" s="31" t="s">
        <v>15</v>
      </c>
      <c r="N691" s="1" t="s">
        <v>16</v>
      </c>
    </row>
    <row r="692" spans="1:14" ht="30" customHeight="1" x14ac:dyDescent="0.25">
      <c r="A692" s="4" t="str">
        <f>Sheet1!A692 &amp; "/" &amp; "2025"</f>
        <v>691/2025</v>
      </c>
      <c r="B692" s="5" t="str">
        <f>Sheet1!E692</f>
        <v>IND/MEL/00691</v>
      </c>
      <c r="C692" s="6" t="str">
        <f>UPPER(Sheet1!B692)</f>
        <v>NEIL SINDALE</v>
      </c>
      <c r="D692" s="7" t="str">
        <f>IF(Sheet1!F692="F","FEMALE","MALE")</f>
        <v>MALE</v>
      </c>
      <c r="E692" s="6" t="str">
        <f>UPPER(Sheet1!G692)</f>
        <v>ROHIT KALEON</v>
      </c>
      <c r="F692" s="6" t="str">
        <f>UPPER(Sheet1!H692)</f>
        <v>DIYA KALEON</v>
      </c>
      <c r="G692" s="5" t="str">
        <f>TEXT(Sheet1!C692,"dd/mm/yyyy") &amp; "," &amp; Sheet1!D692</f>
        <v>21/04/2025,WERRIBEE</v>
      </c>
      <c r="H692" s="39" t="str">
        <f>UPPER(Sheet1!J692 &amp; "," &amp; Sheet1!K692 &amp; "," &amp; Sheet1!L692)</f>
        <v>59 BIRCHWOOD LANE,EMERALD ROAD,PIN:445229 WERRIBEE</v>
      </c>
      <c r="I692" s="8">
        <f>Sheet1!I692</f>
        <v>45776</v>
      </c>
      <c r="J692" s="5" t="str">
        <f>Sheet1!M692 &amp; "," &amp; TEXT(Sheet1!N692,"dd/mm/yy")</f>
        <v>MHA/IND/00695,30/07/25</v>
      </c>
      <c r="K692" s="5" t="s">
        <v>5752</v>
      </c>
      <c r="L692" s="1" t="s">
        <v>14</v>
      </c>
      <c r="M692" s="31" t="s">
        <v>15</v>
      </c>
      <c r="N692" s="1" t="s">
        <v>16</v>
      </c>
    </row>
    <row r="693" spans="1:14" x14ac:dyDescent="0.25">
      <c r="A693" s="4" t="str">
        <f>Sheet1!A693 &amp; "/" &amp; "2025"</f>
        <v>692/2025</v>
      </c>
      <c r="B693" s="5" t="str">
        <f>Sheet1!E693</f>
        <v>IND/MEL/00692</v>
      </c>
      <c r="C693" s="6" t="str">
        <f>UPPER(Sheet1!B693)</f>
        <v>ANYA RISHKAN</v>
      </c>
      <c r="D693" s="7" t="str">
        <f>IF(Sheet1!F693="F","FEMALE","MALE")</f>
        <v>FEMALE</v>
      </c>
      <c r="E693" s="6" t="str">
        <f>UPPER(Sheet1!G693)</f>
        <v>ARJUN KALEON</v>
      </c>
      <c r="F693" s="6" t="str">
        <f>UPPER(Sheet1!H693)</f>
        <v>DIYA KALEON</v>
      </c>
      <c r="G693" s="5" t="str">
        <f>TEXT(Sheet1!C693,"dd/mm/yyyy") &amp; "," &amp; Sheet1!D693</f>
        <v>27/10/2025,MOUNT WAVERLEY</v>
      </c>
      <c r="H693" s="39" t="str">
        <f>UPPER(Sheet1!J693 &amp; "," &amp; Sheet1!K693 &amp; "," &amp; Sheet1!L693)</f>
        <v>97 BIRCHWOOD LANE,EMERALD ROAD,PIN:563405 MOUNT WAVERLEY</v>
      </c>
      <c r="I693" s="8">
        <f>Sheet1!I693</f>
        <v>45976</v>
      </c>
      <c r="J693" s="5" t="str">
        <f>Sheet1!M693 &amp; "," &amp; TEXT(Sheet1!N693,"dd/mm/yy")</f>
        <v>MHA/IND/00696,11/07/25</v>
      </c>
      <c r="K693" s="5" t="s">
        <v>5752</v>
      </c>
      <c r="L693" s="1" t="s">
        <v>14</v>
      </c>
      <c r="M693" s="31" t="s">
        <v>15</v>
      </c>
      <c r="N693" s="1" t="s">
        <v>16</v>
      </c>
    </row>
    <row r="694" spans="1:14" x14ac:dyDescent="0.25">
      <c r="A694" s="4" t="str">
        <f>Sheet1!A694 &amp; "/" &amp; "2025"</f>
        <v>693/2025</v>
      </c>
      <c r="B694" s="5" t="str">
        <f>Sheet1!E694</f>
        <v>IND/MEL/00693</v>
      </c>
      <c r="C694" s="6" t="str">
        <f>UPPER(Sheet1!B694)</f>
        <v>ISHAN MYRTHOS</v>
      </c>
      <c r="D694" s="7" t="str">
        <f>IF(Sheet1!F694="F","FEMALE","MALE")</f>
        <v>FEMALE</v>
      </c>
      <c r="E694" s="6" t="str">
        <f>UPPER(Sheet1!G694)</f>
        <v>DEV KALEON</v>
      </c>
      <c r="F694" s="6" t="str">
        <f>UPPER(Sheet1!H694)</f>
        <v>ANYA KALEON</v>
      </c>
      <c r="G694" s="5" t="str">
        <f>TEXT(Sheet1!C694,"dd/mm/yyyy") &amp; "," &amp; Sheet1!D694</f>
        <v>11/07/2025,BRISBANE</v>
      </c>
      <c r="H694" s="39" t="str">
        <f>UPPER(Sheet1!J694 &amp; "," &amp; Sheet1!K694 &amp; "," &amp; Sheet1!L694)</f>
        <v>27 BIRCHWOOD LANE,EMERALD ROAD,PIN:220650 BRISBANE</v>
      </c>
      <c r="I694" s="8">
        <f>Sheet1!I694</f>
        <v>45956</v>
      </c>
      <c r="J694" s="5" t="str">
        <f>Sheet1!M694 &amp; "," &amp; TEXT(Sheet1!N694,"dd/mm/yy")</f>
        <v>MHA/IND/00697,17/07/25</v>
      </c>
      <c r="K694" s="5" t="s">
        <v>5752</v>
      </c>
      <c r="L694" s="1" t="s">
        <v>14</v>
      </c>
      <c r="M694" s="31" t="s">
        <v>15</v>
      </c>
      <c r="N694" s="1" t="s">
        <v>16</v>
      </c>
    </row>
    <row r="695" spans="1:14" x14ac:dyDescent="0.25">
      <c r="A695" s="4" t="str">
        <f>Sheet1!A695 &amp; "/" &amp; "2025"</f>
        <v>694/2025</v>
      </c>
      <c r="B695" s="5" t="str">
        <f>Sheet1!E695</f>
        <v>IND/MEL/00694</v>
      </c>
      <c r="C695" s="6" t="str">
        <f>UPPER(Sheet1!B695)</f>
        <v>ROHIT KALEON</v>
      </c>
      <c r="D695" s="7" t="str">
        <f>IF(Sheet1!F695="F","FEMALE","MALE")</f>
        <v>MALE</v>
      </c>
      <c r="E695" s="6" t="str">
        <f>UPPER(Sheet1!G695)</f>
        <v>KIRAN MYRTHOS</v>
      </c>
      <c r="F695" s="6" t="str">
        <f>UPPER(Sheet1!H695)</f>
        <v>SARA MYRTHOS</v>
      </c>
      <c r="G695" s="5" t="str">
        <f>TEXT(Sheet1!C695,"dd/mm/yyyy") &amp; "," &amp; Sheet1!D695</f>
        <v>16/02/2025,MILDURA</v>
      </c>
      <c r="H695" s="39" t="str">
        <f>UPPER(Sheet1!J695 &amp; "," &amp; Sheet1!K695 &amp; "," &amp; Sheet1!L695)</f>
        <v>198 BIRCHWOOD LANE,EMERALD ROAD,PIN:462004 MILDURA</v>
      </c>
      <c r="I695" s="8">
        <f>Sheet1!I695</f>
        <v>45773</v>
      </c>
      <c r="J695" s="5" t="str">
        <f>Sheet1!M695 &amp; "," &amp; TEXT(Sheet1!N695,"dd/mm/yy")</f>
        <v>MHA/IND/00698,10/08/25</v>
      </c>
      <c r="K695" s="5" t="s">
        <v>5752</v>
      </c>
      <c r="L695" s="1" t="s">
        <v>14</v>
      </c>
      <c r="M695" s="31" t="s">
        <v>15</v>
      </c>
      <c r="N695" s="1" t="s">
        <v>16</v>
      </c>
    </row>
    <row r="696" spans="1:14" x14ac:dyDescent="0.25">
      <c r="A696" s="4" t="str">
        <f>Sheet1!A696 &amp; "/" &amp; "2025"</f>
        <v>695/2025</v>
      </c>
      <c r="B696" s="5" t="str">
        <f>Sheet1!E696</f>
        <v>IND/MEL/00695</v>
      </c>
      <c r="C696" s="6" t="str">
        <f>UPPER(Sheet1!B696)</f>
        <v>NEIL KALEON</v>
      </c>
      <c r="D696" s="7" t="str">
        <f>IF(Sheet1!F696="F","FEMALE","MALE")</f>
        <v>MALE</v>
      </c>
      <c r="E696" s="6" t="str">
        <f>UPPER(Sheet1!G696)</f>
        <v>ARJUN RISHKAN</v>
      </c>
      <c r="F696" s="6" t="str">
        <f>UPPER(Sheet1!H696)</f>
        <v>ANYA RISHKAN</v>
      </c>
      <c r="G696" s="5" t="str">
        <f>TEXT(Sheet1!C696,"dd/mm/yyyy") &amp; "," &amp; Sheet1!D696</f>
        <v>14/02/2025,KINGSWOOD</v>
      </c>
      <c r="H696" s="39" t="str">
        <f>UPPER(Sheet1!J696 &amp; "," &amp; Sheet1!K696 &amp; "," &amp; Sheet1!L696)</f>
        <v>83 BIRCHWOOD LANE,EMERALD ROAD,PIN:270087 KINGSWOOD</v>
      </c>
      <c r="I696" s="8">
        <f>Sheet1!I696</f>
        <v>45741</v>
      </c>
      <c r="J696" s="5" t="str">
        <f>Sheet1!M696 &amp; "," &amp; TEXT(Sheet1!N696,"dd/mm/yy")</f>
        <v>MHA/IND/00699,28/08/25</v>
      </c>
      <c r="K696" s="5" t="s">
        <v>5752</v>
      </c>
      <c r="L696" s="1" t="s">
        <v>14</v>
      </c>
      <c r="M696" s="31" t="s">
        <v>15</v>
      </c>
      <c r="N696" s="1" t="s">
        <v>16</v>
      </c>
    </row>
    <row r="697" spans="1:14" x14ac:dyDescent="0.25">
      <c r="A697" s="4" t="str">
        <f>Sheet1!A697 &amp; "/" &amp; "2025"</f>
        <v>696/2025</v>
      </c>
      <c r="B697" s="5" t="str">
        <f>Sheet1!E697</f>
        <v>IND/MEL/00696</v>
      </c>
      <c r="C697" s="6" t="str">
        <f>UPPER(Sheet1!B697)</f>
        <v>MIRA KALEON</v>
      </c>
      <c r="D697" s="7" t="str">
        <f>IF(Sheet1!F697="F","FEMALE","MALE")</f>
        <v>MALE</v>
      </c>
      <c r="E697" s="6" t="str">
        <f>UPPER(Sheet1!G697)</f>
        <v>NEIL MYRTHOS</v>
      </c>
      <c r="F697" s="6" t="str">
        <f>UPPER(Sheet1!H697)</f>
        <v>RIYA MYRTHOS</v>
      </c>
      <c r="G697" s="5" t="str">
        <f>TEXT(Sheet1!C697,"dd/mm/yyyy") &amp; "," &amp; Sheet1!D697</f>
        <v>17/09/2025,TUGGERANONG</v>
      </c>
      <c r="H697" s="39" t="str">
        <f>UPPER(Sheet1!J697 &amp; "," &amp; Sheet1!K697 &amp; "," &amp; Sheet1!L697)</f>
        <v>97 BIRCHWOOD LANE,EMERALD ROAD,PIN:639992 TUGGERANONG</v>
      </c>
      <c r="I697" s="8">
        <f>Sheet1!I697</f>
        <v>45969</v>
      </c>
      <c r="J697" s="5" t="str">
        <f>Sheet1!M697 &amp; "," &amp; TEXT(Sheet1!N697,"dd/mm/yy")</f>
        <v>MHA/IND/00700,01/07/25</v>
      </c>
      <c r="K697" s="5" t="s">
        <v>5752</v>
      </c>
      <c r="L697" s="1" t="s">
        <v>14</v>
      </c>
      <c r="M697" s="31" t="s">
        <v>15</v>
      </c>
      <c r="N697" s="1" t="s">
        <v>16</v>
      </c>
    </row>
    <row r="698" spans="1:14" x14ac:dyDescent="0.25">
      <c r="A698" s="4" t="str">
        <f>Sheet1!A698 &amp; "/" &amp; "2025"</f>
        <v>697/2025</v>
      </c>
      <c r="B698" s="5" t="str">
        <f>Sheet1!E698</f>
        <v>IND/MEL/00697</v>
      </c>
      <c r="C698" s="6" t="str">
        <f>UPPER(Sheet1!B698)</f>
        <v>DIYA KALEON</v>
      </c>
      <c r="D698" s="7" t="str">
        <f>IF(Sheet1!F698="F","FEMALE","MALE")</f>
        <v>FEMALE</v>
      </c>
      <c r="E698" s="6" t="str">
        <f>UPPER(Sheet1!G698)</f>
        <v>ROHIT RAO</v>
      </c>
      <c r="F698" s="6" t="str">
        <f>UPPER(Sheet1!H698)</f>
        <v>ALYA RAO</v>
      </c>
      <c r="G698" s="5" t="str">
        <f>TEXT(Sheet1!C698,"dd/mm/yyyy") &amp; "," &amp; Sheet1!D698</f>
        <v>14/01/2025,HEIDELBERG</v>
      </c>
      <c r="H698" s="39" t="str">
        <f>UPPER(Sheet1!J698 &amp; "," &amp; Sheet1!K698 &amp; "," &amp; Sheet1!L698)</f>
        <v>140 BIRCHWOOD LANE,EMERALD ROAD,PIN:499471 HEIDELBERG</v>
      </c>
      <c r="I698" s="8">
        <f>Sheet1!I698</f>
        <v>45780</v>
      </c>
      <c r="J698" s="5" t="str">
        <f>Sheet1!M698 &amp; "," &amp; TEXT(Sheet1!N698,"dd/mm/yy")</f>
        <v>MHA/IND/00701,24/08/25</v>
      </c>
      <c r="K698" s="5" t="s">
        <v>5752</v>
      </c>
      <c r="L698" s="1" t="s">
        <v>14</v>
      </c>
      <c r="M698" s="31" t="s">
        <v>15</v>
      </c>
      <c r="N698" s="1" t="s">
        <v>16</v>
      </c>
    </row>
    <row r="699" spans="1:14" x14ac:dyDescent="0.25">
      <c r="A699" s="4" t="str">
        <f>Sheet1!A699 &amp; "/" &amp; "2025"</f>
        <v>698/2025</v>
      </c>
      <c r="B699" s="5" t="str">
        <f>Sheet1!E699</f>
        <v>IND/MEL/00698</v>
      </c>
      <c r="C699" s="6" t="str">
        <f>UPPER(Sheet1!B699)</f>
        <v>KABIR MYRTHOS</v>
      </c>
      <c r="D699" s="7" t="str">
        <f>IF(Sheet1!F699="F","FEMALE","MALE")</f>
        <v>MALE</v>
      </c>
      <c r="E699" s="6" t="str">
        <f>UPPER(Sheet1!G699)</f>
        <v>NEIL RISHKAN</v>
      </c>
      <c r="F699" s="6" t="str">
        <f>UPPER(Sheet1!H699)</f>
        <v>NINA RISHKAN</v>
      </c>
      <c r="G699" s="5" t="str">
        <f>TEXT(Sheet1!C699,"dd/mm/yyyy") &amp; "," &amp; Sheet1!D699</f>
        <v>23/05/2025,BALLARAT CENTRAL</v>
      </c>
      <c r="H699" s="39" t="str">
        <f>UPPER(Sheet1!J699 &amp; "," &amp; Sheet1!K699 &amp; "," &amp; Sheet1!L699)</f>
        <v>80 BIRCHWOOD LANE,EMERALD ROAD,PIN:295625 BALLARAT CENTRAL</v>
      </c>
      <c r="I699" s="8">
        <f>Sheet1!I699</f>
        <v>45822</v>
      </c>
      <c r="J699" s="5" t="str">
        <f>Sheet1!M699 &amp; "," &amp; TEXT(Sheet1!N699,"dd/mm/yy")</f>
        <v>MHA/IND/00702,12/08/25</v>
      </c>
      <c r="K699" s="5" t="s">
        <v>5752</v>
      </c>
      <c r="L699" s="1" t="s">
        <v>14</v>
      </c>
      <c r="M699" s="31" t="s">
        <v>15</v>
      </c>
      <c r="N699" s="1" t="s">
        <v>16</v>
      </c>
    </row>
    <row r="700" spans="1:14" x14ac:dyDescent="0.25">
      <c r="A700" s="4" t="str">
        <f>Sheet1!A700 &amp; "/" &amp; "2025"</f>
        <v>699/2025</v>
      </c>
      <c r="B700" s="5" t="str">
        <f>Sheet1!E700</f>
        <v>IND/MEL/00699</v>
      </c>
      <c r="C700" s="6" t="str">
        <f>UPPER(Sheet1!B700)</f>
        <v>ROHIT RISHKAN</v>
      </c>
      <c r="D700" s="7" t="str">
        <f>IF(Sheet1!F700="F","FEMALE","MALE")</f>
        <v>FEMALE</v>
      </c>
      <c r="E700" s="6" t="str">
        <f>UPPER(Sheet1!G700)</f>
        <v>KABIR SHARMA</v>
      </c>
      <c r="F700" s="6" t="str">
        <f>UPPER(Sheet1!H700)</f>
        <v>ALYA SHARMA</v>
      </c>
      <c r="G700" s="5" t="str">
        <f>TEXT(Sheet1!C700,"dd/mm/yyyy") &amp; "," &amp; Sheet1!D700</f>
        <v>02/10/2025,BUNDABERG</v>
      </c>
      <c r="H700" s="39" t="str">
        <f>UPPER(Sheet1!J700 &amp; "," &amp; Sheet1!K700 &amp; "," &amp; Sheet1!L700)</f>
        <v>164 BIRCHWOOD LANE,EMERALD ROAD,PIN:842372 BUNDABERG</v>
      </c>
      <c r="I700" s="8">
        <f>Sheet1!I700</f>
        <v>45950</v>
      </c>
      <c r="J700" s="5" t="str">
        <f>Sheet1!M700 &amp; "," &amp; TEXT(Sheet1!N700,"dd/mm/yy")</f>
        <v>MHA/IND/00703,24/07/25</v>
      </c>
      <c r="K700" s="5" t="s">
        <v>5752</v>
      </c>
      <c r="L700" s="1" t="s">
        <v>14</v>
      </c>
      <c r="M700" s="31" t="s">
        <v>15</v>
      </c>
      <c r="N700" s="1" t="s">
        <v>16</v>
      </c>
    </row>
    <row r="701" spans="1:14" x14ac:dyDescent="0.25">
      <c r="A701" s="4" t="str">
        <f>Sheet1!A701 &amp; "/" &amp; "2025"</f>
        <v>700/2025</v>
      </c>
      <c r="B701" s="5" t="str">
        <f>Sheet1!E701</f>
        <v>IND/MEL/00700</v>
      </c>
      <c r="C701" s="6" t="str">
        <f>UPPER(Sheet1!B701)</f>
        <v>ROHIT MYRTHOS</v>
      </c>
      <c r="D701" s="7" t="str">
        <f>IF(Sheet1!F701="F","FEMALE","MALE")</f>
        <v>FEMALE</v>
      </c>
      <c r="E701" s="6" t="str">
        <f>UPPER(Sheet1!G701)</f>
        <v>KABIR SHARMA</v>
      </c>
      <c r="F701" s="6" t="str">
        <f>UPPER(Sheet1!H701)</f>
        <v>ALYA SHARMA</v>
      </c>
      <c r="G701" s="5" t="str">
        <f>TEXT(Sheet1!C701,"dd/mm/yyyy") &amp; "," &amp; Sheet1!D701</f>
        <v>28/04/2025,LAUNCESTON</v>
      </c>
      <c r="H701" s="39" t="str">
        <f>UPPER(Sheet1!J701 &amp; "," &amp; Sheet1!K701 &amp; "," &amp; Sheet1!L701)</f>
        <v>15 BIRCHWOOD LANE,EMERALD ROAD,PIN:931268 LAUNCESTON</v>
      </c>
      <c r="I701" s="8">
        <f>Sheet1!I701</f>
        <v>45864</v>
      </c>
      <c r="J701" s="5" t="str">
        <f>Sheet1!M701 &amp; "," &amp; TEXT(Sheet1!N701,"dd/mm/yy")</f>
        <v>MHA/IND/00704,17/08/25</v>
      </c>
      <c r="K701" s="5" t="s">
        <v>5752</v>
      </c>
      <c r="L701" s="1" t="s">
        <v>14</v>
      </c>
      <c r="M701" s="31" t="s">
        <v>15</v>
      </c>
      <c r="N701" s="1" t="s">
        <v>16</v>
      </c>
    </row>
    <row r="702" spans="1:14" x14ac:dyDescent="0.25">
      <c r="A702" s="4" t="str">
        <f>Sheet1!A702 &amp; "/" &amp; "2025"</f>
        <v>701/2025</v>
      </c>
      <c r="B702" s="5" t="str">
        <f>Sheet1!E702</f>
        <v>IND/MEL/00701</v>
      </c>
      <c r="C702" s="6" t="str">
        <f>UPPER(Sheet1!B702)</f>
        <v>ALYA RAO</v>
      </c>
      <c r="D702" s="7" t="str">
        <f>IF(Sheet1!F702="F","FEMALE","MALE")</f>
        <v>FEMALE</v>
      </c>
      <c r="E702" s="6" t="str">
        <f>UPPER(Sheet1!G702)</f>
        <v>KABIR KALEON</v>
      </c>
      <c r="F702" s="6" t="str">
        <f>UPPER(Sheet1!H702)</f>
        <v>MIRA KALEON</v>
      </c>
      <c r="G702" s="5" t="str">
        <f>TEXT(Sheet1!C702,"dd/mm/yyyy") &amp; "," &amp; Sheet1!D702</f>
        <v>12/10/2025,BUNDOORA</v>
      </c>
      <c r="H702" s="39" t="str">
        <f>UPPER(Sheet1!J702 &amp; "," &amp; Sheet1!K702 &amp; "," &amp; Sheet1!L702)</f>
        <v>100 BIRCHWOOD LANE,EMERALD ROAD,PIN:115514 BUNDOORA</v>
      </c>
      <c r="I702" s="8">
        <f>Sheet1!I702</f>
        <v>45975</v>
      </c>
      <c r="J702" s="5" t="str">
        <f>Sheet1!M702 &amp; "," &amp; TEXT(Sheet1!N702,"dd/mm/yy")</f>
        <v>MHA/IND/00705,28/07/25</v>
      </c>
      <c r="K702" s="5" t="s">
        <v>5752</v>
      </c>
      <c r="L702" s="1" t="s">
        <v>14</v>
      </c>
      <c r="M702" s="31" t="s">
        <v>15</v>
      </c>
      <c r="N702" s="1" t="s">
        <v>16</v>
      </c>
    </row>
    <row r="703" spans="1:14" ht="30" customHeight="1" x14ac:dyDescent="0.25">
      <c r="A703" s="4" t="str">
        <f>Sheet1!A703 &amp; "/" &amp; "2025"</f>
        <v>702/2025</v>
      </c>
      <c r="B703" s="5" t="str">
        <f>Sheet1!E703</f>
        <v>IND/MEL/00702</v>
      </c>
      <c r="C703" s="6" t="str">
        <f>UPPER(Sheet1!B703)</f>
        <v>NEIL RISHKAN</v>
      </c>
      <c r="D703" s="7" t="str">
        <f>IF(Sheet1!F703="F","FEMALE","MALE")</f>
        <v>MALE</v>
      </c>
      <c r="E703" s="6" t="str">
        <f>UPPER(Sheet1!G703)</f>
        <v>ARJUN VALZARI</v>
      </c>
      <c r="F703" s="6" t="str">
        <f>UPPER(Sheet1!H703)</f>
        <v>ALYA VALZARI</v>
      </c>
      <c r="G703" s="5" t="str">
        <f>TEXT(Sheet1!C703,"dd/mm/yyyy") &amp; "," &amp; Sheet1!D703</f>
        <v>07/01/2025,ST ALBANS</v>
      </c>
      <c r="H703" s="39" t="str">
        <f>UPPER(Sheet1!J703 &amp; "," &amp; Sheet1!K703 &amp; "," &amp; Sheet1!L703)</f>
        <v>140 BIRCHWOOD LANE,EMERALD ROAD,PIN:979619 ST ALBANS</v>
      </c>
      <c r="I703" s="8">
        <f>Sheet1!I703</f>
        <v>45725</v>
      </c>
      <c r="J703" s="5" t="str">
        <f>Sheet1!M703 &amp; "," &amp; TEXT(Sheet1!N703,"dd/mm/yy")</f>
        <v>MHA/IND/00706,13/07/25</v>
      </c>
      <c r="K703" s="5" t="s">
        <v>5752</v>
      </c>
      <c r="L703" s="1" t="s">
        <v>14</v>
      </c>
      <c r="M703" s="31" t="s">
        <v>15</v>
      </c>
      <c r="N703" s="1" t="s">
        <v>16</v>
      </c>
    </row>
    <row r="704" spans="1:14" x14ac:dyDescent="0.25">
      <c r="A704" s="4" t="str">
        <f>Sheet1!A704 &amp; "/" &amp; "2025"</f>
        <v>703/2025</v>
      </c>
      <c r="B704" s="5" t="str">
        <f>Sheet1!E704</f>
        <v>IND/MEL/00703</v>
      </c>
      <c r="C704" s="6" t="str">
        <f>UPPER(Sheet1!B704)</f>
        <v>RIYA SHARMA</v>
      </c>
      <c r="D704" s="7" t="str">
        <f>IF(Sheet1!F704="F","FEMALE","MALE")</f>
        <v>MALE</v>
      </c>
      <c r="E704" s="6" t="str">
        <f>UPPER(Sheet1!G704)</f>
        <v>ISHAN VALZARI</v>
      </c>
      <c r="F704" s="6" t="str">
        <f>UPPER(Sheet1!H704)</f>
        <v>SARA VALZARI</v>
      </c>
      <c r="G704" s="5" t="str">
        <f>TEXT(Sheet1!C704,"dd/mm/yyyy") &amp; "," &amp; Sheet1!D704</f>
        <v>25/08/2025,BLACKTOWN</v>
      </c>
      <c r="H704" s="39" t="str">
        <f>UPPER(Sheet1!J704 &amp; "," &amp; Sheet1!K704 &amp; "," &amp; Sheet1!L704)</f>
        <v>59 BIRCHWOOD LANE,EMERALD ROAD,PIN:338900 BLACKTOWN</v>
      </c>
      <c r="I704" s="8">
        <f>Sheet1!I704</f>
        <v>45951</v>
      </c>
      <c r="J704" s="5" t="str">
        <f>Sheet1!M704 &amp; "," &amp; TEXT(Sheet1!N704,"dd/mm/yy")</f>
        <v>MHA/IND/00707,16/08/25</v>
      </c>
      <c r="K704" s="5" t="s">
        <v>5752</v>
      </c>
      <c r="L704" s="1" t="s">
        <v>14</v>
      </c>
      <c r="M704" s="31" t="s">
        <v>15</v>
      </c>
      <c r="N704" s="1" t="s">
        <v>16</v>
      </c>
    </row>
    <row r="705" spans="1:14" x14ac:dyDescent="0.25">
      <c r="A705" s="4" t="str">
        <f>Sheet1!A705 &amp; "/" &amp; "2025"</f>
        <v>704/2025</v>
      </c>
      <c r="B705" s="5" t="str">
        <f>Sheet1!E705</f>
        <v>IND/MEL/00704</v>
      </c>
      <c r="C705" s="6" t="str">
        <f>UPPER(Sheet1!B705)</f>
        <v>ALYA SHARMA</v>
      </c>
      <c r="D705" s="7" t="str">
        <f>IF(Sheet1!F705="F","FEMALE","MALE")</f>
        <v>FEMALE</v>
      </c>
      <c r="E705" s="6" t="str">
        <f>UPPER(Sheet1!G705)</f>
        <v>ROHIT RISHKAN</v>
      </c>
      <c r="F705" s="6" t="str">
        <f>UPPER(Sheet1!H705)</f>
        <v>MIRA RISHKAN</v>
      </c>
      <c r="G705" s="5" t="str">
        <f>TEXT(Sheet1!C705,"dd/mm/yyyy") &amp; "," &amp; Sheet1!D705</f>
        <v>22/08/2025,DARWIN</v>
      </c>
      <c r="H705" s="39" t="str">
        <f>UPPER(Sheet1!J705 &amp; "," &amp; Sheet1!K705 &amp; "," &amp; Sheet1!L705)</f>
        <v>125 BIRCHWOOD LANE,EMERALD ROAD,PIN:311709 DARWIN</v>
      </c>
      <c r="I705" s="8">
        <f>Sheet1!I705</f>
        <v>45934</v>
      </c>
      <c r="J705" s="5" t="str">
        <f>Sheet1!M705 &amp; "," &amp; TEXT(Sheet1!N705,"dd/mm/yy")</f>
        <v>MHA/IND/00708,28/08/25</v>
      </c>
      <c r="K705" s="5" t="s">
        <v>5752</v>
      </c>
      <c r="L705" s="1" t="s">
        <v>14</v>
      </c>
      <c r="M705" s="31" t="s">
        <v>15</v>
      </c>
      <c r="N705" s="1" t="s">
        <v>16</v>
      </c>
    </row>
    <row r="706" spans="1:14" x14ac:dyDescent="0.25">
      <c r="A706" s="4" t="str">
        <f>Sheet1!A706 &amp; "/" &amp; "2025"</f>
        <v>705/2025</v>
      </c>
      <c r="B706" s="5" t="str">
        <f>Sheet1!E706</f>
        <v>IND/MEL/00705</v>
      </c>
      <c r="C706" s="6" t="str">
        <f>UPPER(Sheet1!B706)</f>
        <v>SARA KALEON</v>
      </c>
      <c r="D706" s="7" t="str">
        <f>IF(Sheet1!F706="F","FEMALE","MALE")</f>
        <v>FEMALE</v>
      </c>
      <c r="E706" s="6" t="str">
        <f>UPPER(Sheet1!G706)</f>
        <v>KIRAN VALZARI</v>
      </c>
      <c r="F706" s="6" t="str">
        <f>UPPER(Sheet1!H706)</f>
        <v>RIYA VALZARI</v>
      </c>
      <c r="G706" s="5" t="str">
        <f>TEXT(Sheet1!C706,"dd/mm/yyyy") &amp; "," &amp; Sheet1!D706</f>
        <v>24/01/2025,TOWNSVILLE</v>
      </c>
      <c r="H706" s="39" t="str">
        <f>UPPER(Sheet1!J706 &amp; "," &amp; Sheet1!K706 &amp; "," &amp; Sheet1!L706)</f>
        <v>66 BIRCHWOOD LANE,EMERALD ROAD,PIN:614427 TOWNSVILLE</v>
      </c>
      <c r="I706" s="8">
        <f>Sheet1!I706</f>
        <v>45731</v>
      </c>
      <c r="J706" s="5" t="str">
        <f>Sheet1!M706 &amp; "," &amp; TEXT(Sheet1!N706,"dd/mm/yy")</f>
        <v>MHA/IND/00709,20/07/25</v>
      </c>
      <c r="K706" s="5" t="s">
        <v>5752</v>
      </c>
      <c r="L706" s="1" t="s">
        <v>14</v>
      </c>
      <c r="M706" s="31" t="s">
        <v>15</v>
      </c>
      <c r="N706" s="1" t="s">
        <v>16</v>
      </c>
    </row>
    <row r="707" spans="1:14" x14ac:dyDescent="0.25">
      <c r="A707" s="4" t="str">
        <f>Sheet1!A707 &amp; "/" &amp; "2025"</f>
        <v>706/2025</v>
      </c>
      <c r="B707" s="5" t="str">
        <f>Sheet1!E707</f>
        <v>IND/MEL/00706</v>
      </c>
      <c r="C707" s="6" t="str">
        <f>UPPER(Sheet1!B707)</f>
        <v>ARJUN VALZARI</v>
      </c>
      <c r="D707" s="7" t="str">
        <f>IF(Sheet1!F707="F","FEMALE","MALE")</f>
        <v>FEMALE</v>
      </c>
      <c r="E707" s="6" t="str">
        <f>UPPER(Sheet1!G707)</f>
        <v>NEIL MYRTHOS</v>
      </c>
      <c r="F707" s="6" t="str">
        <f>UPPER(Sheet1!H707)</f>
        <v>MIRA MYRTHOS</v>
      </c>
      <c r="G707" s="5" t="str">
        <f>TEXT(Sheet1!C707,"dd/mm/yyyy") &amp; "," &amp; Sheet1!D707</f>
        <v>15/05/2025,MANDURAH</v>
      </c>
      <c r="H707" s="39" t="str">
        <f>UPPER(Sheet1!J707 &amp; "," &amp; Sheet1!K707 &amp; "," &amp; Sheet1!L707)</f>
        <v>141 BIRCHWOOD LANE,EMERALD ROAD,PIN:221704 MANDURAH</v>
      </c>
      <c r="I707" s="8">
        <f>Sheet1!I707</f>
        <v>45804</v>
      </c>
      <c r="J707" s="5" t="str">
        <f>Sheet1!M707 &amp; "," &amp; TEXT(Sheet1!N707,"dd/mm/yy")</f>
        <v>MHA/IND/00710,21/07/25</v>
      </c>
      <c r="K707" s="5" t="s">
        <v>5752</v>
      </c>
      <c r="L707" s="1" t="s">
        <v>14</v>
      </c>
      <c r="M707" s="31" t="s">
        <v>15</v>
      </c>
      <c r="N707" s="1" t="s">
        <v>16</v>
      </c>
    </row>
    <row r="708" spans="1:14" x14ac:dyDescent="0.25">
      <c r="A708" s="4" t="str">
        <f>Sheet1!A708 &amp; "/" &amp; "2025"</f>
        <v>707/2025</v>
      </c>
      <c r="B708" s="5" t="str">
        <f>Sheet1!E708</f>
        <v>IND/MEL/00707</v>
      </c>
      <c r="C708" s="6" t="str">
        <f>UPPER(Sheet1!B708)</f>
        <v>NEIL VALZARI</v>
      </c>
      <c r="D708" s="7" t="str">
        <f>IF(Sheet1!F708="F","FEMALE","MALE")</f>
        <v>MALE</v>
      </c>
      <c r="E708" s="6" t="str">
        <f>UPPER(Sheet1!G708)</f>
        <v>KABIR KALEON</v>
      </c>
      <c r="F708" s="6" t="str">
        <f>UPPER(Sheet1!H708)</f>
        <v>TARA KALEON</v>
      </c>
      <c r="G708" s="5" t="str">
        <f>TEXT(Sheet1!C708,"dd/mm/yyyy") &amp; "," &amp; Sheet1!D708</f>
        <v>04/03/2025,CLAYTON</v>
      </c>
      <c r="H708" s="39" t="str">
        <f>UPPER(Sheet1!J708 &amp; "," &amp; Sheet1!K708 &amp; "," &amp; Sheet1!L708)</f>
        <v>185 BIRCHWOOD LANE,EMERALD ROAD,PIN:746995 CLAYTON</v>
      </c>
      <c r="I708" s="8">
        <f>Sheet1!I708</f>
        <v>45828</v>
      </c>
      <c r="J708" s="5" t="str">
        <f>Sheet1!M708 &amp; "," &amp; TEXT(Sheet1!N708,"dd/mm/yy")</f>
        <v>MHA/IND/00711,26/08/25</v>
      </c>
      <c r="K708" s="5" t="s">
        <v>5752</v>
      </c>
      <c r="L708" s="1" t="s">
        <v>14</v>
      </c>
      <c r="M708" s="31" t="s">
        <v>15</v>
      </c>
      <c r="N708" s="1" t="s">
        <v>16</v>
      </c>
    </row>
    <row r="709" spans="1:14" x14ac:dyDescent="0.25">
      <c r="A709" s="4" t="str">
        <f>Sheet1!A709 &amp; "/" &amp; "2025"</f>
        <v>708/2025</v>
      </c>
      <c r="B709" s="5" t="str">
        <f>Sheet1!E709</f>
        <v>IND/MEL/00708</v>
      </c>
      <c r="C709" s="6" t="str">
        <f>UPPER(Sheet1!B709)</f>
        <v>ANYA RISHKAN</v>
      </c>
      <c r="D709" s="7" t="str">
        <f>IF(Sheet1!F709="F","FEMALE","MALE")</f>
        <v>FEMALE</v>
      </c>
      <c r="E709" s="6" t="str">
        <f>UPPER(Sheet1!G709)</f>
        <v>KIRAN MYRTHOS</v>
      </c>
      <c r="F709" s="6" t="str">
        <f>UPPER(Sheet1!H709)</f>
        <v>SARA MYRTHOS</v>
      </c>
      <c r="G709" s="5" t="str">
        <f>TEXT(Sheet1!C709,"dd/mm/yyyy") &amp; "," &amp; Sheet1!D709</f>
        <v>02/09/2025,WAGGA WAGGA</v>
      </c>
      <c r="H709" s="39" t="str">
        <f>UPPER(Sheet1!J709 &amp; "," &amp; Sheet1!K709 &amp; "," &amp; Sheet1!L709)</f>
        <v>91 BIRCHWOOD LANE,EMERALD ROAD,PIN:224333 WAGGA WAGGA</v>
      </c>
      <c r="I709" s="8">
        <f>Sheet1!I709</f>
        <v>45948</v>
      </c>
      <c r="J709" s="5" t="str">
        <f>Sheet1!M709 &amp; "," &amp; TEXT(Sheet1!N709,"dd/mm/yy")</f>
        <v>MHA/IND/00712,15/08/25</v>
      </c>
      <c r="K709" s="5" t="s">
        <v>5752</v>
      </c>
      <c r="L709" s="1" t="s">
        <v>14</v>
      </c>
      <c r="M709" s="31" t="s">
        <v>15</v>
      </c>
      <c r="N709" s="1" t="s">
        <v>16</v>
      </c>
    </row>
    <row r="710" spans="1:14" x14ac:dyDescent="0.25">
      <c r="A710" s="4" t="str">
        <f>Sheet1!A710 &amp; "/" &amp; "2025"</f>
        <v>709/2025</v>
      </c>
      <c r="B710" s="5" t="str">
        <f>Sheet1!E710</f>
        <v>IND/MEL/00709</v>
      </c>
      <c r="C710" s="6" t="str">
        <f>UPPER(Sheet1!B710)</f>
        <v>RIYA VALZARI</v>
      </c>
      <c r="D710" s="7" t="str">
        <f>IF(Sheet1!F710="F","FEMALE","MALE")</f>
        <v>MALE</v>
      </c>
      <c r="E710" s="6" t="str">
        <f>UPPER(Sheet1!G710)</f>
        <v>ROHIT SHARMA</v>
      </c>
      <c r="F710" s="6" t="str">
        <f>UPPER(Sheet1!H710)</f>
        <v>ANYA SHARMA</v>
      </c>
      <c r="G710" s="5" t="str">
        <f>TEXT(Sheet1!C710,"dd/mm/yyyy") &amp; "," &amp; Sheet1!D710</f>
        <v>25/04/2025,BOX HILL</v>
      </c>
      <c r="H710" s="39" t="str">
        <f>UPPER(Sheet1!J710 &amp; "," &amp; Sheet1!K710 &amp; "," &amp; Sheet1!L710)</f>
        <v>177 BIRCHWOOD LANE,EMERALD ROAD,PIN:240679 BOX HILL</v>
      </c>
      <c r="I710" s="8">
        <f>Sheet1!I710</f>
        <v>45866</v>
      </c>
      <c r="J710" s="5" t="str">
        <f>Sheet1!M710 &amp; "," &amp; TEXT(Sheet1!N710,"dd/mm/yy")</f>
        <v>MHA/IND/00713,19/07/25</v>
      </c>
      <c r="K710" s="5" t="s">
        <v>5752</v>
      </c>
      <c r="L710" s="1" t="s">
        <v>14</v>
      </c>
      <c r="M710" s="31" t="s">
        <v>15</v>
      </c>
      <c r="N710" s="1" t="s">
        <v>16</v>
      </c>
    </row>
    <row r="711" spans="1:14" x14ac:dyDescent="0.25">
      <c r="A711" s="4" t="str">
        <f>Sheet1!A711 &amp; "/" &amp; "2025"</f>
        <v>710/2025</v>
      </c>
      <c r="B711" s="5" t="str">
        <f>Sheet1!E711</f>
        <v>IND/MEL/00710</v>
      </c>
      <c r="C711" s="6" t="str">
        <f>UPPER(Sheet1!B711)</f>
        <v>NINA MYRTHOS</v>
      </c>
      <c r="D711" s="7" t="str">
        <f>IF(Sheet1!F711="F","FEMALE","MALE")</f>
        <v>MALE</v>
      </c>
      <c r="E711" s="6" t="str">
        <f>UPPER(Sheet1!G711)</f>
        <v>NEIL KALEON</v>
      </c>
      <c r="F711" s="6" t="str">
        <f>UPPER(Sheet1!H711)</f>
        <v>ALYA KALEON</v>
      </c>
      <c r="G711" s="5" t="str">
        <f>TEXT(Sheet1!C711,"dd/mm/yyyy") &amp; "," &amp; Sheet1!D711</f>
        <v>08/08/2025,ARMADALE</v>
      </c>
      <c r="H711" s="39" t="str">
        <f>UPPER(Sheet1!J711 &amp; "," &amp; Sheet1!K711 &amp; "," &amp; Sheet1!L711)</f>
        <v>129 BIRCHWOOD LANE,EMERALD ROAD,PIN:586924 ARMADALE</v>
      </c>
      <c r="I711" s="8">
        <f>Sheet1!I711</f>
        <v>45911</v>
      </c>
      <c r="J711" s="5" t="str">
        <f>Sheet1!M711 &amp; "," &amp; TEXT(Sheet1!N711,"dd/mm/yy")</f>
        <v>MHA/IND/00714,18/07/25</v>
      </c>
      <c r="K711" s="5" t="s">
        <v>5752</v>
      </c>
      <c r="L711" s="1" t="s">
        <v>14</v>
      </c>
      <c r="M711" s="31" t="s">
        <v>15</v>
      </c>
      <c r="N711" s="1" t="s">
        <v>16</v>
      </c>
    </row>
    <row r="712" spans="1:14" x14ac:dyDescent="0.25">
      <c r="A712" s="4" t="str">
        <f>Sheet1!A712 &amp; "/" &amp; "2025"</f>
        <v>711/2025</v>
      </c>
      <c r="B712" s="5" t="str">
        <f>Sheet1!E712</f>
        <v>IND/MEL/00711</v>
      </c>
      <c r="C712" s="6" t="str">
        <f>UPPER(Sheet1!B712)</f>
        <v>KABIR KALEON</v>
      </c>
      <c r="D712" s="7" t="str">
        <f>IF(Sheet1!F712="F","FEMALE","MALE")</f>
        <v>FEMALE</v>
      </c>
      <c r="E712" s="6" t="str">
        <f>UPPER(Sheet1!G712)</f>
        <v>KIRAN SINDALE</v>
      </c>
      <c r="F712" s="6" t="str">
        <f>UPPER(Sheet1!H712)</f>
        <v>RIYA SINDALE</v>
      </c>
      <c r="G712" s="5" t="str">
        <f>TEXT(Sheet1!C712,"dd/mm/yyyy") &amp; "," &amp; Sheet1!D712</f>
        <v>03/03/2025,BUNDABERG</v>
      </c>
      <c r="H712" s="39" t="str">
        <f>UPPER(Sheet1!J712 &amp; "," &amp; Sheet1!K712 &amp; "," &amp; Sheet1!L712)</f>
        <v>16 BIRCHWOOD LANE,EMERALD ROAD,PIN:282096 BUNDABERG</v>
      </c>
      <c r="I712" s="8">
        <f>Sheet1!I712</f>
        <v>45770</v>
      </c>
      <c r="J712" s="5" t="str">
        <f>Sheet1!M712 &amp; "," &amp; TEXT(Sheet1!N712,"dd/mm/yy")</f>
        <v>MHA/IND/00715,01/08/25</v>
      </c>
      <c r="K712" s="5" t="s">
        <v>5752</v>
      </c>
      <c r="L712" s="1" t="s">
        <v>14</v>
      </c>
      <c r="M712" s="31" t="s">
        <v>15</v>
      </c>
      <c r="N712" s="1" t="s">
        <v>16</v>
      </c>
    </row>
    <row r="713" spans="1:14" x14ac:dyDescent="0.25">
      <c r="A713" s="4" t="str">
        <f>Sheet1!A713 &amp; "/" &amp; "2025"</f>
        <v>712/2025</v>
      </c>
      <c r="B713" s="5" t="str">
        <f>Sheet1!E713</f>
        <v>IND/MEL/00712</v>
      </c>
      <c r="C713" s="6" t="str">
        <f>UPPER(Sheet1!B713)</f>
        <v>MIRA MYRTHOS</v>
      </c>
      <c r="D713" s="7" t="str">
        <f>IF(Sheet1!F713="F","FEMALE","MALE")</f>
        <v>MALE</v>
      </c>
      <c r="E713" s="6" t="str">
        <f>UPPER(Sheet1!G713)</f>
        <v>ARJUN RAO</v>
      </c>
      <c r="F713" s="6" t="str">
        <f>UPPER(Sheet1!H713)</f>
        <v>SARA RAO</v>
      </c>
      <c r="G713" s="5" t="str">
        <f>TEXT(Sheet1!C713,"dd/mm/yyyy") &amp; "," &amp; Sheet1!D713</f>
        <v>28/03/2025,CANBERRA</v>
      </c>
      <c r="H713" s="39" t="str">
        <f>UPPER(Sheet1!J713 &amp; "," &amp; Sheet1!K713 &amp; "," &amp; Sheet1!L713)</f>
        <v>41 BIRCHWOOD LANE,EMERALD ROAD,PIN:342753 CANBERRA</v>
      </c>
      <c r="I713" s="8">
        <f>Sheet1!I713</f>
        <v>45788</v>
      </c>
      <c r="J713" s="5" t="str">
        <f>Sheet1!M713 &amp; "," &amp; TEXT(Sheet1!N713,"dd/mm/yy")</f>
        <v>MHA/IND/00716,16/08/25</v>
      </c>
      <c r="K713" s="5" t="s">
        <v>5752</v>
      </c>
      <c r="L713" s="1" t="s">
        <v>14</v>
      </c>
      <c r="M713" s="31" t="s">
        <v>15</v>
      </c>
      <c r="N713" s="1" t="s">
        <v>16</v>
      </c>
    </row>
    <row r="714" spans="1:14" x14ac:dyDescent="0.25">
      <c r="A714" s="4" t="str">
        <f>Sheet1!A714 &amp; "/" &amp; "2025"</f>
        <v>713/2025</v>
      </c>
      <c r="B714" s="5" t="str">
        <f>Sheet1!E714</f>
        <v>IND/MEL/00713</v>
      </c>
      <c r="C714" s="6" t="str">
        <f>UPPER(Sheet1!B714)</f>
        <v>KIRAN SHARMA</v>
      </c>
      <c r="D714" s="7" t="str">
        <f>IF(Sheet1!F714="F","FEMALE","MALE")</f>
        <v>MALE</v>
      </c>
      <c r="E714" s="6" t="str">
        <f>UPPER(Sheet1!G714)</f>
        <v>ARJUN RISHKAN</v>
      </c>
      <c r="F714" s="6" t="str">
        <f>UPPER(Sheet1!H714)</f>
        <v>SARA RISHKAN</v>
      </c>
      <c r="G714" s="5" t="str">
        <f>TEXT(Sheet1!C714,"dd/mm/yyyy") &amp; "," &amp; Sheet1!D714</f>
        <v>17/06/2025,DALBY</v>
      </c>
      <c r="H714" s="39" t="str">
        <f>UPPER(Sheet1!J714 &amp; "," &amp; Sheet1!K714 &amp; "," &amp; Sheet1!L714)</f>
        <v>153 BIRCHWOOD LANE,EMERALD ROAD,PIN:321233 DALBY</v>
      </c>
      <c r="I714" s="8">
        <f>Sheet1!I714</f>
        <v>45852</v>
      </c>
      <c r="J714" s="5" t="str">
        <f>Sheet1!M714 &amp; "," &amp; TEXT(Sheet1!N714,"dd/mm/yy")</f>
        <v>MHA/IND/00717,02/08/25</v>
      </c>
      <c r="K714" s="5" t="s">
        <v>5752</v>
      </c>
      <c r="L714" s="1" t="s">
        <v>14</v>
      </c>
      <c r="M714" s="31" t="s">
        <v>15</v>
      </c>
      <c r="N714" s="1" t="s">
        <v>16</v>
      </c>
    </row>
    <row r="715" spans="1:14" x14ac:dyDescent="0.25">
      <c r="A715" s="4" t="str">
        <f>Sheet1!A715 &amp; "/" &amp; "2025"</f>
        <v>714/2025</v>
      </c>
      <c r="B715" s="5" t="str">
        <f>Sheet1!E715</f>
        <v>IND/MEL/00714</v>
      </c>
      <c r="C715" s="6" t="str">
        <f>UPPER(Sheet1!B715)</f>
        <v>KIRAN KALEON</v>
      </c>
      <c r="D715" s="7" t="str">
        <f>IF(Sheet1!F715="F","FEMALE","MALE")</f>
        <v>MALE</v>
      </c>
      <c r="E715" s="6" t="str">
        <f>UPPER(Sheet1!G715)</f>
        <v>DEV SINDALE</v>
      </c>
      <c r="F715" s="6" t="str">
        <f>UPPER(Sheet1!H715)</f>
        <v>MIRA SINDALE</v>
      </c>
      <c r="G715" s="5" t="str">
        <f>TEXT(Sheet1!C715,"dd/mm/yyyy") &amp; "," &amp; Sheet1!D715</f>
        <v>17/09/2025,FREMANTLE</v>
      </c>
      <c r="H715" s="39" t="str">
        <f>UPPER(Sheet1!J715 &amp; "," &amp; Sheet1!K715 &amp; "," &amp; Sheet1!L715)</f>
        <v>85 BIRCHWOOD LANE,EMERALD ROAD,PIN:895271 FREMANTLE</v>
      </c>
      <c r="I715" s="8">
        <f>Sheet1!I715</f>
        <v>46021</v>
      </c>
      <c r="J715" s="5" t="str">
        <f>Sheet1!M715 &amp; "," &amp; TEXT(Sheet1!N715,"dd/mm/yy")</f>
        <v>MHA/IND/00718,23/07/25</v>
      </c>
      <c r="K715" s="5" t="s">
        <v>5752</v>
      </c>
      <c r="L715" s="1" t="s">
        <v>14</v>
      </c>
      <c r="M715" s="31" t="s">
        <v>15</v>
      </c>
      <c r="N715" s="1" t="s">
        <v>16</v>
      </c>
    </row>
    <row r="716" spans="1:14" x14ac:dyDescent="0.25">
      <c r="A716" s="4" t="str">
        <f>Sheet1!A716 &amp; "/" &amp; "2025"</f>
        <v>715/2025</v>
      </c>
      <c r="B716" s="5" t="str">
        <f>Sheet1!E716</f>
        <v>IND/MEL/00715</v>
      </c>
      <c r="C716" s="6" t="str">
        <f>UPPER(Sheet1!B716)</f>
        <v>TARA SINDALE</v>
      </c>
      <c r="D716" s="7" t="str">
        <f>IF(Sheet1!F716="F","FEMALE","MALE")</f>
        <v>MALE</v>
      </c>
      <c r="E716" s="6" t="str">
        <f>UPPER(Sheet1!G716)</f>
        <v>ROHIT SINDALE</v>
      </c>
      <c r="F716" s="6" t="str">
        <f>UPPER(Sheet1!H716)</f>
        <v>RIYA SINDALE</v>
      </c>
      <c r="G716" s="5" t="str">
        <f>TEXT(Sheet1!C716,"dd/mm/yyyy") &amp; "," &amp; Sheet1!D716</f>
        <v>03/08/2025,MILDURA</v>
      </c>
      <c r="H716" s="39" t="str">
        <f>UPPER(Sheet1!J716 &amp; "," &amp; Sheet1!K716 &amp; "," &amp; Sheet1!L716)</f>
        <v>79 BIRCHWOOD LANE,EMERALD ROAD,PIN:922144 MILDURA</v>
      </c>
      <c r="I716" s="8">
        <f>Sheet1!I716</f>
        <v>45939</v>
      </c>
      <c r="J716" s="5" t="str">
        <f>Sheet1!M716 &amp; "," &amp; TEXT(Sheet1!N716,"dd/mm/yy")</f>
        <v>MHA/IND/00719,04/08/25</v>
      </c>
      <c r="K716" s="5" t="s">
        <v>5752</v>
      </c>
      <c r="L716" s="1" t="s">
        <v>14</v>
      </c>
      <c r="M716" s="31" t="s">
        <v>15</v>
      </c>
      <c r="N716" s="1" t="s">
        <v>16</v>
      </c>
    </row>
    <row r="717" spans="1:14" x14ac:dyDescent="0.25">
      <c r="A717" s="4" t="str">
        <f>Sheet1!A717 &amp; "/" &amp; "2025"</f>
        <v>716/2025</v>
      </c>
      <c r="B717" s="5" t="str">
        <f>Sheet1!E717</f>
        <v>IND/MEL/00716</v>
      </c>
      <c r="C717" s="6" t="str">
        <f>UPPER(Sheet1!B717)</f>
        <v>DEV RAO</v>
      </c>
      <c r="D717" s="7" t="str">
        <f>IF(Sheet1!F717="F","FEMALE","MALE")</f>
        <v>MALE</v>
      </c>
      <c r="E717" s="6" t="str">
        <f>UPPER(Sheet1!G717)</f>
        <v>ROHIT RAO</v>
      </c>
      <c r="F717" s="6" t="str">
        <f>UPPER(Sheet1!H717)</f>
        <v>ALYA RAO</v>
      </c>
      <c r="G717" s="5" t="str">
        <f>TEXT(Sheet1!C717,"dd/mm/yyyy") &amp; "," &amp; Sheet1!D717</f>
        <v>21/01/2025,BENDIGO</v>
      </c>
      <c r="H717" s="39" t="str">
        <f>UPPER(Sheet1!J717 &amp; "," &amp; Sheet1!K717 &amp; "," &amp; Sheet1!L717)</f>
        <v>196 BIRCHWOOD LANE,EMERALD ROAD,PIN:670585 BENDIGO</v>
      </c>
      <c r="I717" s="8">
        <f>Sheet1!I717</f>
        <v>45741</v>
      </c>
      <c r="J717" s="5" t="str">
        <f>Sheet1!M717 &amp; "," &amp; TEXT(Sheet1!N717,"dd/mm/yy")</f>
        <v>MHA/IND/00720,15/07/25</v>
      </c>
      <c r="K717" s="5" t="s">
        <v>5752</v>
      </c>
      <c r="L717" s="1" t="s">
        <v>14</v>
      </c>
      <c r="M717" s="31" t="s">
        <v>15</v>
      </c>
      <c r="N717" s="1" t="s">
        <v>16</v>
      </c>
    </row>
    <row r="718" spans="1:14" x14ac:dyDescent="0.25">
      <c r="A718" s="4" t="str">
        <f>Sheet1!A718 &amp; "/" &amp; "2025"</f>
        <v>717/2025</v>
      </c>
      <c r="B718" s="5" t="str">
        <f>Sheet1!E718</f>
        <v>IND/MEL/00717</v>
      </c>
      <c r="C718" s="6" t="str">
        <f>UPPER(Sheet1!B718)</f>
        <v>ISHAN RISHKAN</v>
      </c>
      <c r="D718" s="7" t="str">
        <f>IF(Sheet1!F718="F","FEMALE","MALE")</f>
        <v>FEMALE</v>
      </c>
      <c r="E718" s="6" t="str">
        <f>UPPER(Sheet1!G718)</f>
        <v>ARJUN KALEON</v>
      </c>
      <c r="F718" s="6" t="str">
        <f>UPPER(Sheet1!H718)</f>
        <v>DIYA KALEON</v>
      </c>
      <c r="G718" s="5" t="str">
        <f>TEXT(Sheet1!C718,"dd/mm/yyyy") &amp; "," &amp; Sheet1!D718</f>
        <v>02/08/2025,ELIZABETH VALE</v>
      </c>
      <c r="H718" s="39" t="str">
        <f>UPPER(Sheet1!J718 &amp; "," &amp; Sheet1!K718 &amp; "," &amp; Sheet1!L718)</f>
        <v>21 BIRCHWOOD LANE,EMERALD ROAD,PIN:270043 ELIZABETH VALE</v>
      </c>
      <c r="I718" s="8">
        <f>Sheet1!I718</f>
        <v>45877</v>
      </c>
      <c r="J718" s="5" t="str">
        <f>Sheet1!M718 &amp; "," &amp; TEXT(Sheet1!N718,"dd/mm/yy")</f>
        <v>MHA/IND/00721,27/07/25</v>
      </c>
      <c r="K718" s="5" t="s">
        <v>5752</v>
      </c>
      <c r="L718" s="1" t="s">
        <v>14</v>
      </c>
      <c r="M718" s="31" t="s">
        <v>15</v>
      </c>
      <c r="N718" s="1" t="s">
        <v>16</v>
      </c>
    </row>
    <row r="719" spans="1:14" x14ac:dyDescent="0.25">
      <c r="A719" s="4" t="str">
        <f>Sheet1!A719 &amp; "/" &amp; "2025"</f>
        <v>718/2025</v>
      </c>
      <c r="B719" s="5" t="str">
        <f>Sheet1!E719</f>
        <v>IND/MEL/00718</v>
      </c>
      <c r="C719" s="6" t="str">
        <f>UPPER(Sheet1!B719)</f>
        <v>KABIR SINDALE</v>
      </c>
      <c r="D719" s="7" t="str">
        <f>IF(Sheet1!F719="F","FEMALE","MALE")</f>
        <v>FEMALE</v>
      </c>
      <c r="E719" s="6" t="str">
        <f>UPPER(Sheet1!G719)</f>
        <v>ISHAN SHARMA</v>
      </c>
      <c r="F719" s="6" t="str">
        <f>UPPER(Sheet1!H719)</f>
        <v>ALYA SHARMA</v>
      </c>
      <c r="G719" s="5" t="str">
        <f>TEXT(Sheet1!C719,"dd/mm/yyyy") &amp; "," &amp; Sheet1!D719</f>
        <v>21/01/2025,ROCKHAMPTON</v>
      </c>
      <c r="H719" s="39" t="str">
        <f>UPPER(Sheet1!J719 &amp; "," &amp; Sheet1!K719 &amp; "," &amp; Sheet1!L719)</f>
        <v>18 BIRCHWOOD LANE,EMERALD ROAD,PIN:303591 ROCKHAMPTON</v>
      </c>
      <c r="I719" s="8">
        <f>Sheet1!I719</f>
        <v>45723</v>
      </c>
      <c r="J719" s="5" t="str">
        <f>Sheet1!M719 &amp; "," &amp; TEXT(Sheet1!N719,"dd/mm/yy")</f>
        <v>MHA/IND/00722,02/07/25</v>
      </c>
      <c r="K719" s="5" t="s">
        <v>5752</v>
      </c>
      <c r="L719" s="1" t="s">
        <v>14</v>
      </c>
      <c r="M719" s="31" t="s">
        <v>15</v>
      </c>
      <c r="N719" s="1" t="s">
        <v>16</v>
      </c>
    </row>
    <row r="720" spans="1:14" x14ac:dyDescent="0.25">
      <c r="A720" s="4" t="str">
        <f>Sheet1!A720 &amp; "/" &amp; "2025"</f>
        <v>719/2025</v>
      </c>
      <c r="B720" s="5" t="str">
        <f>Sheet1!E720</f>
        <v>IND/MEL/00719</v>
      </c>
      <c r="C720" s="6" t="str">
        <f>UPPER(Sheet1!B720)</f>
        <v>KABIR SINDALE</v>
      </c>
      <c r="D720" s="7" t="str">
        <f>IF(Sheet1!F720="F","FEMALE","MALE")</f>
        <v>FEMALE</v>
      </c>
      <c r="E720" s="6" t="str">
        <f>UPPER(Sheet1!G720)</f>
        <v>ROHIT RISHKAN</v>
      </c>
      <c r="F720" s="6" t="str">
        <f>UPPER(Sheet1!H720)</f>
        <v>DIYA RISHKAN</v>
      </c>
      <c r="G720" s="5" t="str">
        <f>TEXT(Sheet1!C720,"dd/mm/yyyy") &amp; "," &amp; Sheet1!D720</f>
        <v>12/04/2025,PENRITH</v>
      </c>
      <c r="H720" s="39" t="str">
        <f>UPPER(Sheet1!J720 &amp; "," &amp; Sheet1!K720 &amp; "," &amp; Sheet1!L720)</f>
        <v>15 BIRCHWOOD LANE,EMERALD ROAD,PIN:224030 PENRITH</v>
      </c>
      <c r="I720" s="8">
        <f>Sheet1!I720</f>
        <v>45784</v>
      </c>
      <c r="J720" s="5" t="str">
        <f>Sheet1!M720 &amp; "," &amp; TEXT(Sheet1!N720,"dd/mm/yy")</f>
        <v>MHA/IND/00723,09/08/25</v>
      </c>
      <c r="K720" s="5" t="s">
        <v>5752</v>
      </c>
      <c r="L720" s="1" t="s">
        <v>14</v>
      </c>
      <c r="M720" s="31" t="s">
        <v>15</v>
      </c>
      <c r="N720" s="1" t="s">
        <v>16</v>
      </c>
    </row>
    <row r="721" spans="1:14" x14ac:dyDescent="0.25">
      <c r="A721" s="4" t="str">
        <f>Sheet1!A721 &amp; "/" &amp; "2025"</f>
        <v>720/2025</v>
      </c>
      <c r="B721" s="5" t="str">
        <f>Sheet1!E721</f>
        <v>IND/MEL/00720</v>
      </c>
      <c r="C721" s="6" t="str">
        <f>UPPER(Sheet1!B721)</f>
        <v>AREN RAO</v>
      </c>
      <c r="D721" s="7" t="str">
        <f>IF(Sheet1!F721="F","FEMALE","MALE")</f>
        <v>MALE</v>
      </c>
      <c r="E721" s="6" t="str">
        <f>UPPER(Sheet1!G721)</f>
        <v>KIRAN SHARMA</v>
      </c>
      <c r="F721" s="6" t="str">
        <f>UPPER(Sheet1!H721)</f>
        <v>ANYA SHARMA</v>
      </c>
      <c r="G721" s="5" t="str">
        <f>TEXT(Sheet1!C721,"dd/mm/yyyy") &amp; "," &amp; Sheet1!D721</f>
        <v>22/09/2025,SHEPPARTON</v>
      </c>
      <c r="H721" s="39" t="str">
        <f>UPPER(Sheet1!J721 &amp; "," &amp; Sheet1!K721 &amp; "," &amp; Sheet1!L721)</f>
        <v>80 BIRCHWOOD LANE,EMERALD ROAD,PIN:482859 SHEPPARTON</v>
      </c>
      <c r="I721" s="8">
        <f>Sheet1!I721</f>
        <v>46001</v>
      </c>
      <c r="J721" s="5" t="str">
        <f>Sheet1!M721 &amp; "," &amp; TEXT(Sheet1!N721,"dd/mm/yy")</f>
        <v>MHA/IND/00724,07/07/25</v>
      </c>
      <c r="K721" s="5" t="s">
        <v>5752</v>
      </c>
      <c r="L721" s="1" t="s">
        <v>14</v>
      </c>
      <c r="M721" s="31" t="s">
        <v>15</v>
      </c>
      <c r="N721" s="1" t="s">
        <v>16</v>
      </c>
    </row>
    <row r="722" spans="1:14" x14ac:dyDescent="0.25">
      <c r="A722" s="4" t="str">
        <f>Sheet1!A722 &amp; "/" &amp; "2025"</f>
        <v>721/2025</v>
      </c>
      <c r="B722" s="5" t="str">
        <f>Sheet1!E722</f>
        <v>IND/MEL/00721</v>
      </c>
      <c r="C722" s="6" t="str">
        <f>UPPER(Sheet1!B722)</f>
        <v>ANYA KALEON</v>
      </c>
      <c r="D722" s="7" t="str">
        <f>IF(Sheet1!F722="F","FEMALE","MALE")</f>
        <v>FEMALE</v>
      </c>
      <c r="E722" s="6" t="str">
        <f>UPPER(Sheet1!G722)</f>
        <v>ROHIT KALEON</v>
      </c>
      <c r="F722" s="6" t="str">
        <f>UPPER(Sheet1!H722)</f>
        <v>TARA KALEON</v>
      </c>
      <c r="G722" s="5" t="str">
        <f>TEXT(Sheet1!C722,"dd/mm/yyyy") &amp; "," &amp; Sheet1!D722</f>
        <v>21/10/2025,CANBERRA</v>
      </c>
      <c r="H722" s="39" t="str">
        <f>UPPER(Sheet1!J722 &amp; "," &amp; Sheet1!K722 &amp; "," &amp; Sheet1!L722)</f>
        <v>125 BIRCHWOOD LANE,EMERALD ROAD,PIN:924013 CANBERRA</v>
      </c>
      <c r="I722" s="8">
        <f>Sheet1!I722</f>
        <v>45996</v>
      </c>
      <c r="J722" s="5" t="str">
        <f>Sheet1!M722 &amp; "," &amp; TEXT(Sheet1!N722,"dd/mm/yy")</f>
        <v>MHA/IND/00725,20/07/25</v>
      </c>
      <c r="K722" s="5" t="s">
        <v>5752</v>
      </c>
      <c r="L722" s="1" t="s">
        <v>14</v>
      </c>
      <c r="M722" s="31" t="s">
        <v>15</v>
      </c>
      <c r="N722" s="1" t="s">
        <v>16</v>
      </c>
    </row>
    <row r="723" spans="1:14" x14ac:dyDescent="0.25">
      <c r="A723" s="4" t="str">
        <f>Sheet1!A723 &amp; "/" &amp; "2025"</f>
        <v>722/2025</v>
      </c>
      <c r="B723" s="5" t="str">
        <f>Sheet1!E723</f>
        <v>IND/MEL/00722</v>
      </c>
      <c r="C723" s="6" t="str">
        <f>UPPER(Sheet1!B723)</f>
        <v>TARA SHARMA</v>
      </c>
      <c r="D723" s="7" t="str">
        <f>IF(Sheet1!F723="F","FEMALE","MALE")</f>
        <v>FEMALE</v>
      </c>
      <c r="E723" s="6" t="str">
        <f>UPPER(Sheet1!G723)</f>
        <v>DEV SINDALE</v>
      </c>
      <c r="F723" s="6" t="str">
        <f>UPPER(Sheet1!H723)</f>
        <v>SARA SINDALE</v>
      </c>
      <c r="G723" s="5" t="str">
        <f>TEXT(Sheet1!C723,"dd/mm/yyyy") &amp; "," &amp; Sheet1!D723</f>
        <v>02/06/2025,KINGSWOOD</v>
      </c>
      <c r="H723" s="39" t="str">
        <f>UPPER(Sheet1!J723 &amp; "," &amp; Sheet1!K723 &amp; "," &amp; Sheet1!L723)</f>
        <v>41 BIRCHWOOD LANE,EMERALD ROAD,PIN:781777 KINGSWOOD</v>
      </c>
      <c r="I723" s="8">
        <f>Sheet1!I723</f>
        <v>45883</v>
      </c>
      <c r="J723" s="5" t="str">
        <f>Sheet1!M723 &amp; "," &amp; TEXT(Sheet1!N723,"dd/mm/yy")</f>
        <v>MHA/IND/00726,27/07/25</v>
      </c>
      <c r="K723" s="5" t="s">
        <v>5752</v>
      </c>
      <c r="L723" s="1" t="s">
        <v>14</v>
      </c>
      <c r="M723" s="31" t="s">
        <v>15</v>
      </c>
      <c r="N723" s="1" t="s">
        <v>16</v>
      </c>
    </row>
    <row r="724" spans="1:14" x14ac:dyDescent="0.25">
      <c r="A724" s="4" t="str">
        <f>Sheet1!A724 &amp; "/" &amp; "2025"</f>
        <v>723/2025</v>
      </c>
      <c r="B724" s="5" t="str">
        <f>Sheet1!E724</f>
        <v>IND/MEL/00723</v>
      </c>
      <c r="C724" s="6" t="str">
        <f>UPPER(Sheet1!B724)</f>
        <v>NINA RISHKAN</v>
      </c>
      <c r="D724" s="7" t="str">
        <f>IF(Sheet1!F724="F","FEMALE","MALE")</f>
        <v>FEMALE</v>
      </c>
      <c r="E724" s="6" t="str">
        <f>UPPER(Sheet1!G724)</f>
        <v>ISHAN RISHKAN</v>
      </c>
      <c r="F724" s="6" t="str">
        <f>UPPER(Sheet1!H724)</f>
        <v>NINA RISHKAN</v>
      </c>
      <c r="G724" s="5" t="str">
        <f>TEXT(Sheet1!C724,"dd/mm/yyyy") &amp; "," &amp; Sheet1!D724</f>
        <v>26/05/2025,LOGAN</v>
      </c>
      <c r="H724" s="39" t="str">
        <f>UPPER(Sheet1!J724 &amp; "," &amp; Sheet1!K724 &amp; "," &amp; Sheet1!L724)</f>
        <v>185 BIRCHWOOD LANE,EMERALD ROAD,PIN:787279 LOGAN</v>
      </c>
      <c r="I724" s="8">
        <f>Sheet1!I724</f>
        <v>45810</v>
      </c>
      <c r="J724" s="5" t="str">
        <f>Sheet1!M724 &amp; "," &amp; TEXT(Sheet1!N724,"dd/mm/yy")</f>
        <v>MHA/IND/00727,16/08/25</v>
      </c>
      <c r="K724" s="5" t="s">
        <v>5752</v>
      </c>
      <c r="L724" s="1" t="s">
        <v>14</v>
      </c>
      <c r="M724" s="31" t="s">
        <v>15</v>
      </c>
      <c r="N724" s="1" t="s">
        <v>16</v>
      </c>
    </row>
    <row r="725" spans="1:14" x14ac:dyDescent="0.25">
      <c r="A725" s="4" t="str">
        <f>Sheet1!A725 &amp; "/" &amp; "2025"</f>
        <v>724/2025</v>
      </c>
      <c r="B725" s="5" t="str">
        <f>Sheet1!E725</f>
        <v>IND/MEL/00724</v>
      </c>
      <c r="C725" s="6" t="str">
        <f>UPPER(Sheet1!B725)</f>
        <v>ISHAN SHARMA</v>
      </c>
      <c r="D725" s="7" t="str">
        <f>IF(Sheet1!F725="F","FEMALE","MALE")</f>
        <v>MALE</v>
      </c>
      <c r="E725" s="6" t="str">
        <f>UPPER(Sheet1!G725)</f>
        <v>ROHIT VALZARI</v>
      </c>
      <c r="F725" s="6" t="str">
        <f>UPPER(Sheet1!H725)</f>
        <v>ANYA VALZARI</v>
      </c>
      <c r="G725" s="5" t="str">
        <f>TEXT(Sheet1!C725,"dd/mm/yyyy") &amp; "," &amp; Sheet1!D725</f>
        <v>29/03/2025,WOLLONGONG</v>
      </c>
      <c r="H725" s="39" t="str">
        <f>UPPER(Sheet1!J725 &amp; "," &amp; Sheet1!K725 &amp; "," &amp; Sheet1!L725)</f>
        <v>164 BIRCHWOOD LANE,EMERALD ROAD,PIN:587534 WOLLONGONG</v>
      </c>
      <c r="I725" s="8">
        <f>Sheet1!I725</f>
        <v>45765</v>
      </c>
      <c r="J725" s="5" t="str">
        <f>Sheet1!M725 &amp; "," &amp; TEXT(Sheet1!N725,"dd/mm/yy")</f>
        <v>MHA/IND/00728,29/07/25</v>
      </c>
      <c r="K725" s="5" t="s">
        <v>5752</v>
      </c>
      <c r="L725" s="1" t="s">
        <v>14</v>
      </c>
      <c r="M725" s="31" t="s">
        <v>15</v>
      </c>
      <c r="N725" s="1" t="s">
        <v>16</v>
      </c>
    </row>
    <row r="726" spans="1:14" x14ac:dyDescent="0.25">
      <c r="A726" s="4" t="str">
        <f>Sheet1!A726 &amp; "/" &amp; "2025"</f>
        <v>725/2025</v>
      </c>
      <c r="B726" s="5" t="str">
        <f>Sheet1!E726</f>
        <v>IND/MEL/00725</v>
      </c>
      <c r="C726" s="6" t="str">
        <f>UPPER(Sheet1!B726)</f>
        <v>DIYA KALEON</v>
      </c>
      <c r="D726" s="7" t="str">
        <f>IF(Sheet1!F726="F","FEMALE","MALE")</f>
        <v>FEMALE</v>
      </c>
      <c r="E726" s="6" t="str">
        <f>UPPER(Sheet1!G726)</f>
        <v>ISHAN SHARMA</v>
      </c>
      <c r="F726" s="6" t="str">
        <f>UPPER(Sheet1!H726)</f>
        <v>MIRA SHARMA</v>
      </c>
      <c r="G726" s="5" t="str">
        <f>TEXT(Sheet1!C726,"dd/mm/yyyy") &amp; "," &amp; Sheet1!D726</f>
        <v>22/02/2025,LENAH VALLEY</v>
      </c>
      <c r="H726" s="39" t="str">
        <f>UPPER(Sheet1!J726 &amp; "," &amp; Sheet1!K726 &amp; "," &amp; Sheet1!L726)</f>
        <v>173 BIRCHWOOD LANE,EMERALD ROAD,PIN:603275 LENAH VALLEY</v>
      </c>
      <c r="I726" s="8">
        <f>Sheet1!I726</f>
        <v>45826</v>
      </c>
      <c r="J726" s="5" t="str">
        <f>Sheet1!M726 &amp; "," &amp; TEXT(Sheet1!N726,"dd/mm/yy")</f>
        <v>MHA/IND/00729,26/08/25</v>
      </c>
      <c r="K726" s="5" t="s">
        <v>5752</v>
      </c>
      <c r="L726" s="1" t="s">
        <v>14</v>
      </c>
      <c r="M726" s="31" t="s">
        <v>15</v>
      </c>
      <c r="N726" s="1" t="s">
        <v>16</v>
      </c>
    </row>
    <row r="727" spans="1:14" x14ac:dyDescent="0.25">
      <c r="A727" s="4" t="str">
        <f>Sheet1!A727 &amp; "/" &amp; "2025"</f>
        <v>726/2025</v>
      </c>
      <c r="B727" s="5" t="str">
        <f>Sheet1!E727</f>
        <v>IND/MEL/00726</v>
      </c>
      <c r="C727" s="6" t="str">
        <f>UPPER(Sheet1!B727)</f>
        <v>SARA SINDALE</v>
      </c>
      <c r="D727" s="7" t="str">
        <f>IF(Sheet1!F727="F","FEMALE","MALE")</f>
        <v>MALE</v>
      </c>
      <c r="E727" s="6" t="str">
        <f>UPPER(Sheet1!G727)</f>
        <v>ISHAN SHARMA</v>
      </c>
      <c r="F727" s="6" t="str">
        <f>UPPER(Sheet1!H727)</f>
        <v>SARA SHARMA</v>
      </c>
      <c r="G727" s="5" t="str">
        <f>TEXT(Sheet1!C727,"dd/mm/yyyy") &amp; "," &amp; Sheet1!D727</f>
        <v>24/09/2025,ST ALBANS</v>
      </c>
      <c r="H727" s="39" t="str">
        <f>UPPER(Sheet1!J727 &amp; "," &amp; Sheet1!K727 &amp; "," &amp; Sheet1!L727)</f>
        <v>185 BIRCHWOOD LANE,EMERALD ROAD,PIN:267223 ST ALBANS</v>
      </c>
      <c r="I727" s="8">
        <f>Sheet1!I727</f>
        <v>45978</v>
      </c>
      <c r="J727" s="5" t="str">
        <f>Sheet1!M727 &amp; "," &amp; TEXT(Sheet1!N727,"dd/mm/yy")</f>
        <v>MHA/IND/00730,09/07/25</v>
      </c>
      <c r="K727" s="5" t="s">
        <v>5752</v>
      </c>
      <c r="L727" s="1" t="s">
        <v>14</v>
      </c>
      <c r="M727" s="31" t="s">
        <v>15</v>
      </c>
      <c r="N727" s="1" t="s">
        <v>16</v>
      </c>
    </row>
    <row r="728" spans="1:14" x14ac:dyDescent="0.25">
      <c r="A728" s="4" t="str">
        <f>Sheet1!A728 &amp; "/" &amp; "2025"</f>
        <v>727/2025</v>
      </c>
      <c r="B728" s="5" t="str">
        <f>Sheet1!E728</f>
        <v>IND/MEL/00727</v>
      </c>
      <c r="C728" s="6" t="str">
        <f>UPPER(Sheet1!B728)</f>
        <v>ANYA RISHKAN</v>
      </c>
      <c r="D728" s="7" t="str">
        <f>IF(Sheet1!F728="F","FEMALE","MALE")</f>
        <v>MALE</v>
      </c>
      <c r="E728" s="6" t="str">
        <f>UPPER(Sheet1!G728)</f>
        <v>ARJUN RAO</v>
      </c>
      <c r="F728" s="6" t="str">
        <f>UPPER(Sheet1!H728)</f>
        <v>NINA RAO</v>
      </c>
      <c r="G728" s="5" t="str">
        <f>TEXT(Sheet1!C728,"dd/mm/yyyy") &amp; "," &amp; Sheet1!D728</f>
        <v>15/08/2025,MOUNT BARKER</v>
      </c>
      <c r="H728" s="39" t="str">
        <f>UPPER(Sheet1!J728 &amp; "," &amp; Sheet1!K728 &amp; "," &amp; Sheet1!L728)</f>
        <v>34 BIRCHWOOD LANE,EMERALD ROAD,PIN:714417 MOUNT BARKER</v>
      </c>
      <c r="I728" s="8">
        <f>Sheet1!I728</f>
        <v>45993</v>
      </c>
      <c r="J728" s="5" t="str">
        <f>Sheet1!M728 &amp; "," &amp; TEXT(Sheet1!N728,"dd/mm/yy")</f>
        <v>MHA/IND/00731,27/08/25</v>
      </c>
      <c r="K728" s="5" t="s">
        <v>5752</v>
      </c>
      <c r="L728" s="1" t="s">
        <v>14</v>
      </c>
      <c r="M728" s="31" t="s">
        <v>15</v>
      </c>
      <c r="N728" s="1" t="s">
        <v>16</v>
      </c>
    </row>
    <row r="729" spans="1:14" x14ac:dyDescent="0.25">
      <c r="A729" s="4" t="str">
        <f>Sheet1!A729 &amp; "/" &amp; "2025"</f>
        <v>728/2025</v>
      </c>
      <c r="B729" s="5" t="str">
        <f>Sheet1!E729</f>
        <v>IND/MEL/00728</v>
      </c>
      <c r="C729" s="6" t="str">
        <f>UPPER(Sheet1!B729)</f>
        <v>ISHAN VALZARI</v>
      </c>
      <c r="D729" s="7" t="str">
        <f>IF(Sheet1!F729="F","FEMALE","MALE")</f>
        <v>FEMALE</v>
      </c>
      <c r="E729" s="6" t="str">
        <f>UPPER(Sheet1!G729)</f>
        <v>DEV MYRTHOS</v>
      </c>
      <c r="F729" s="6" t="str">
        <f>UPPER(Sheet1!H729)</f>
        <v>ANYA MYRTHOS</v>
      </c>
      <c r="G729" s="5" t="str">
        <f>TEXT(Sheet1!C729,"dd/mm/yyyy") &amp; "," &amp; Sheet1!D729</f>
        <v>11/07/2025,WAGGA WAGGA</v>
      </c>
      <c r="H729" s="39" t="str">
        <f>UPPER(Sheet1!J729 &amp; "," &amp; Sheet1!K729 &amp; "," &amp; Sheet1!L729)</f>
        <v>180 BIRCHWOOD LANE,EMERALD ROAD,PIN:547163 WAGGA WAGGA</v>
      </c>
      <c r="I729" s="8">
        <f>Sheet1!I729</f>
        <v>45947</v>
      </c>
      <c r="J729" s="5" t="str">
        <f>Sheet1!M729 &amp; "," &amp; TEXT(Sheet1!N729,"dd/mm/yy")</f>
        <v>MHA/IND/00732,20/07/25</v>
      </c>
      <c r="K729" s="5" t="s">
        <v>5752</v>
      </c>
      <c r="L729" t="s">
        <v>14</v>
      </c>
      <c r="M729" s="31" t="s">
        <v>15</v>
      </c>
      <c r="N729" t="s">
        <v>16</v>
      </c>
    </row>
    <row r="730" spans="1:14" x14ac:dyDescent="0.25">
      <c r="A730" s="4" t="str">
        <f>Sheet1!A730 &amp; "/" &amp; "2025"</f>
        <v>729/2025</v>
      </c>
      <c r="B730" s="5" t="str">
        <f>Sheet1!E730</f>
        <v>IND/MEL/00729</v>
      </c>
      <c r="C730" s="6" t="str">
        <f>UPPER(Sheet1!B730)</f>
        <v>ANYA SHARMA</v>
      </c>
      <c r="D730" s="7" t="str">
        <f>IF(Sheet1!F730="F","FEMALE","MALE")</f>
        <v>FEMALE</v>
      </c>
      <c r="E730" s="6" t="str">
        <f>UPPER(Sheet1!G730)</f>
        <v>KIRAN KALEON</v>
      </c>
      <c r="F730" s="6" t="str">
        <f>UPPER(Sheet1!H730)</f>
        <v>DIYA KALEON</v>
      </c>
      <c r="G730" s="5" t="str">
        <f>TEXT(Sheet1!C730,"dd/mm/yyyy") &amp; "," &amp; Sheet1!D730</f>
        <v>20/06/2025,MANDURAH</v>
      </c>
      <c r="H730" s="39" t="str">
        <f>UPPER(Sheet1!J730 &amp; "," &amp; Sheet1!K730 &amp; "," &amp; Sheet1!L730)</f>
        <v>175 BIRCHWOOD LANE,EMERALD ROAD,PIN:580720 MANDURAH</v>
      </c>
      <c r="I730" s="8">
        <f>Sheet1!I730</f>
        <v>45920</v>
      </c>
      <c r="J730" s="5" t="str">
        <f>Sheet1!M730 &amp; "," &amp; TEXT(Sheet1!N730,"dd/mm/yy")</f>
        <v>MHA/IND/00733,31/07/25</v>
      </c>
      <c r="K730" s="5" t="s">
        <v>5752</v>
      </c>
      <c r="L730" t="s">
        <v>14</v>
      </c>
      <c r="M730" s="31" t="s">
        <v>15</v>
      </c>
      <c r="N730" t="s">
        <v>16</v>
      </c>
    </row>
    <row r="731" spans="1:14" x14ac:dyDescent="0.25">
      <c r="A731" s="4" t="str">
        <f>Sheet1!A731 &amp; "/" &amp; "2025"</f>
        <v>730/2025</v>
      </c>
      <c r="B731" s="5" t="str">
        <f>Sheet1!E731</f>
        <v>IND/MEL/00730</v>
      </c>
      <c r="C731" s="6" t="str">
        <f>UPPER(Sheet1!B731)</f>
        <v>AREN SHARMA</v>
      </c>
      <c r="D731" s="7" t="str">
        <f>IF(Sheet1!F731="F","FEMALE","MALE")</f>
        <v>MALE</v>
      </c>
      <c r="E731" s="6" t="str">
        <f>UPPER(Sheet1!G731)</f>
        <v>KABIR VALZARI</v>
      </c>
      <c r="F731" s="6" t="str">
        <f>UPPER(Sheet1!H731)</f>
        <v>ANYA VALZARI</v>
      </c>
      <c r="G731" s="5" t="str">
        <f>TEXT(Sheet1!C731,"dd/mm/yyyy") &amp; "," &amp; Sheet1!D731</f>
        <v>08/07/2025,BERWICK</v>
      </c>
      <c r="H731" s="39" t="str">
        <f>UPPER(Sheet1!J731 &amp; "," &amp; Sheet1!K731 &amp; "," &amp; Sheet1!L731)</f>
        <v>172 BIRCHWOOD LANE,EMERALD ROAD,PIN:562388 BERWICK</v>
      </c>
      <c r="I731" s="8">
        <f>Sheet1!I731</f>
        <v>45910</v>
      </c>
      <c r="J731" s="5" t="str">
        <f>Sheet1!M731 &amp; "," &amp; TEXT(Sheet1!N731,"dd/mm/yy")</f>
        <v>MHA/IND/00734,15/07/25</v>
      </c>
      <c r="K731" s="5" t="s">
        <v>5752</v>
      </c>
      <c r="L731" t="s">
        <v>14</v>
      </c>
      <c r="M731" s="31" t="s">
        <v>15</v>
      </c>
      <c r="N731" t="s">
        <v>16</v>
      </c>
    </row>
    <row r="732" spans="1:14" x14ac:dyDescent="0.25">
      <c r="A732" s="4" t="str">
        <f>Sheet1!A732 &amp; "/" &amp; "2025"</f>
        <v>731/2025</v>
      </c>
      <c r="B732" s="5" t="str">
        <f>Sheet1!E732</f>
        <v>IND/MEL/00731</v>
      </c>
      <c r="C732" s="6" t="str">
        <f>UPPER(Sheet1!B732)</f>
        <v>KIRAN RAO</v>
      </c>
      <c r="D732" s="7" t="str">
        <f>IF(Sheet1!F732="F","FEMALE","MALE")</f>
        <v>FEMALE</v>
      </c>
      <c r="E732" s="6" t="str">
        <f>UPPER(Sheet1!G732)</f>
        <v>ARJUN VALZARI</v>
      </c>
      <c r="F732" s="6" t="str">
        <f>UPPER(Sheet1!H732)</f>
        <v>RIYA VALZARI</v>
      </c>
      <c r="G732" s="5" t="str">
        <f>TEXT(Sheet1!C732,"dd/mm/yyyy") &amp; "," &amp; Sheet1!D732</f>
        <v>03/07/2025,BERWICK</v>
      </c>
      <c r="H732" s="39" t="str">
        <f>UPPER(Sheet1!J732 &amp; "," &amp; Sheet1!K732 &amp; "," &amp; Sheet1!L732)</f>
        <v>82 BIRCHWOOD LANE,EMERALD ROAD,PIN:894635 BERWICK</v>
      </c>
      <c r="I732" s="8">
        <f>Sheet1!I732</f>
        <v>45873</v>
      </c>
      <c r="J732" s="5" t="str">
        <f>Sheet1!M732 &amp; "," &amp; TEXT(Sheet1!N732,"dd/mm/yy")</f>
        <v>MHA/IND/00735,24/08/25</v>
      </c>
      <c r="K732" s="5" t="s">
        <v>5752</v>
      </c>
      <c r="L732" t="s">
        <v>14</v>
      </c>
      <c r="M732" s="31" t="s">
        <v>15</v>
      </c>
      <c r="N732" t="s">
        <v>16</v>
      </c>
    </row>
    <row r="733" spans="1:14" x14ac:dyDescent="0.25">
      <c r="A733" s="4" t="str">
        <f>Sheet1!A733 &amp; "/" &amp; "2025"</f>
        <v>732/2025</v>
      </c>
      <c r="B733" s="5" t="str">
        <f>Sheet1!E733</f>
        <v>IND/MEL/00732</v>
      </c>
      <c r="C733" s="6" t="str">
        <f>UPPER(Sheet1!B733)</f>
        <v>DIYA MYRTHOS</v>
      </c>
      <c r="D733" s="7" t="str">
        <f>IF(Sheet1!F733="F","FEMALE","MALE")</f>
        <v>MALE</v>
      </c>
      <c r="E733" s="6" t="str">
        <f>UPPER(Sheet1!G733)</f>
        <v>DEV MYRTHOS</v>
      </c>
      <c r="F733" s="6" t="str">
        <f>UPPER(Sheet1!H733)</f>
        <v>RIYA MYRTHOS</v>
      </c>
      <c r="G733" s="5" t="str">
        <f>TEXT(Sheet1!C733,"dd/mm/yyyy") &amp; "," &amp; Sheet1!D733</f>
        <v>22/09/2025,LIVERPOOL</v>
      </c>
      <c r="H733" s="39" t="str">
        <f>UPPER(Sheet1!J733 &amp; "," &amp; Sheet1!K733 &amp; "," &amp; Sheet1!L733)</f>
        <v>164 BIRCHWOOD LANE,EMERALD ROAD,PIN:165275 LIVERPOOL</v>
      </c>
      <c r="I733" s="8">
        <f>Sheet1!I733</f>
        <v>45983</v>
      </c>
      <c r="J733" s="5" t="str">
        <f>Sheet1!M733 &amp; "," &amp; TEXT(Sheet1!N733,"dd/mm/yy")</f>
        <v>MHA/IND/00736,30/07/25</v>
      </c>
      <c r="K733" s="5" t="s">
        <v>5752</v>
      </c>
      <c r="L733" t="s">
        <v>14</v>
      </c>
      <c r="M733" s="31" t="s">
        <v>15</v>
      </c>
      <c r="N733" t="s">
        <v>16</v>
      </c>
    </row>
    <row r="734" spans="1:14" x14ac:dyDescent="0.25">
      <c r="A734" s="4" t="str">
        <f>Sheet1!A734 &amp; "/" &amp; "2025"</f>
        <v>733/2025</v>
      </c>
      <c r="B734" s="5" t="str">
        <f>Sheet1!E734</f>
        <v>IND/MEL/00733</v>
      </c>
      <c r="C734" s="6" t="str">
        <f>UPPER(Sheet1!B734)</f>
        <v>RIYA KALEON</v>
      </c>
      <c r="D734" s="7" t="str">
        <f>IF(Sheet1!F734="F","FEMALE","MALE")</f>
        <v>MALE</v>
      </c>
      <c r="E734" s="6" t="str">
        <f>UPPER(Sheet1!G734)</f>
        <v>AREN SHARMA</v>
      </c>
      <c r="F734" s="6" t="str">
        <f>UPPER(Sheet1!H734)</f>
        <v>DIYA SHARMA</v>
      </c>
      <c r="G734" s="5" t="str">
        <f>TEXT(Sheet1!C734,"dd/mm/yyyy") &amp; "," &amp; Sheet1!D734</f>
        <v>05/03/2025,NEWCASTLE</v>
      </c>
      <c r="H734" s="39" t="str">
        <f>UPPER(Sheet1!J734 &amp; "," &amp; Sheet1!K734 &amp; "," &amp; Sheet1!L734)</f>
        <v>151 BIRCHWOOD LANE,EMERALD ROAD,PIN:313133 NEWCASTLE</v>
      </c>
      <c r="I734" s="8">
        <f>Sheet1!I734</f>
        <v>45744</v>
      </c>
      <c r="J734" s="5" t="str">
        <f>Sheet1!M734 &amp; "," &amp; TEXT(Sheet1!N734,"dd/mm/yy")</f>
        <v>MHA/IND/00737,16/08/25</v>
      </c>
      <c r="K734" s="5" t="s">
        <v>5752</v>
      </c>
      <c r="L734" t="s">
        <v>14</v>
      </c>
      <c r="M734" s="31" t="s">
        <v>15</v>
      </c>
      <c r="N734" t="s">
        <v>16</v>
      </c>
    </row>
    <row r="735" spans="1:14" x14ac:dyDescent="0.25">
      <c r="A735" s="4" t="str">
        <f>Sheet1!A735 &amp; "/" &amp; "2025"</f>
        <v>734/2025</v>
      </c>
      <c r="B735" s="5" t="str">
        <f>Sheet1!E735</f>
        <v>IND/MEL/00734</v>
      </c>
      <c r="C735" s="6" t="str">
        <f>UPPER(Sheet1!B735)</f>
        <v>AREN VALZARI</v>
      </c>
      <c r="D735" s="7" t="str">
        <f>IF(Sheet1!F735="F","FEMALE","MALE")</f>
        <v>FEMALE</v>
      </c>
      <c r="E735" s="6" t="str">
        <f>UPPER(Sheet1!G735)</f>
        <v>AREN SINDALE</v>
      </c>
      <c r="F735" s="6" t="str">
        <f>UPPER(Sheet1!H735)</f>
        <v>RIYA SINDALE</v>
      </c>
      <c r="G735" s="5" t="str">
        <f>TEXT(Sheet1!C735,"dd/mm/yyyy") &amp; "," &amp; Sheet1!D735</f>
        <v>04/04/2025,LIVERPOOL</v>
      </c>
      <c r="H735" s="39" t="str">
        <f>UPPER(Sheet1!J735 &amp; "," &amp; Sheet1!K735 &amp; "," &amp; Sheet1!L735)</f>
        <v>29 BIRCHWOOD LANE,EMERALD ROAD,PIN:978049 LIVERPOOL</v>
      </c>
      <c r="I735" s="8">
        <f>Sheet1!I735</f>
        <v>45763</v>
      </c>
      <c r="J735" s="5" t="str">
        <f>Sheet1!M735 &amp; "," &amp; TEXT(Sheet1!N735,"dd/mm/yy")</f>
        <v>MHA/IND/00738,09/08/25</v>
      </c>
      <c r="K735" s="5" t="s">
        <v>5752</v>
      </c>
      <c r="L735" t="s">
        <v>14</v>
      </c>
      <c r="M735" s="31" t="s">
        <v>15</v>
      </c>
      <c r="N735" t="s">
        <v>16</v>
      </c>
    </row>
    <row r="736" spans="1:14" x14ac:dyDescent="0.25">
      <c r="A736" s="4" t="str">
        <f>Sheet1!A736 &amp; "/" &amp; "2025"</f>
        <v>735/2025</v>
      </c>
      <c r="B736" s="5" t="str">
        <f>Sheet1!E736</f>
        <v>IND/MEL/00735</v>
      </c>
      <c r="C736" s="6" t="str">
        <f>UPPER(Sheet1!B736)</f>
        <v>SARA VALZARI</v>
      </c>
      <c r="D736" s="7" t="str">
        <f>IF(Sheet1!F736="F","FEMALE","MALE")</f>
        <v>MALE</v>
      </c>
      <c r="E736" s="6" t="str">
        <f>UPPER(Sheet1!G736)</f>
        <v>ARJUN KALEON</v>
      </c>
      <c r="F736" s="6" t="str">
        <f>UPPER(Sheet1!H736)</f>
        <v>ALYA KALEON</v>
      </c>
      <c r="G736" s="5" t="str">
        <f>TEXT(Sheet1!C736,"dd/mm/yyyy") &amp; "," &amp; Sheet1!D736</f>
        <v>25/07/2025,NEWCASTLE</v>
      </c>
      <c r="H736" s="39" t="str">
        <f>UPPER(Sheet1!J736 &amp; "," &amp; Sheet1!K736 &amp; "," &amp; Sheet1!L736)</f>
        <v>62 BIRCHWOOD LANE,EMERALD ROAD,PIN:759250 NEWCASTLE</v>
      </c>
      <c r="I736" s="8">
        <f>Sheet1!I736</f>
        <v>45879</v>
      </c>
      <c r="J736" s="5" t="str">
        <f>Sheet1!M736 &amp; "," &amp; TEXT(Sheet1!N736,"dd/mm/yy")</f>
        <v>MHA/IND/00739,16/07/25</v>
      </c>
      <c r="K736" s="5" t="s">
        <v>5752</v>
      </c>
      <c r="L736" t="s">
        <v>14</v>
      </c>
      <c r="M736" s="31" t="s">
        <v>15</v>
      </c>
      <c r="N736" t="s">
        <v>16</v>
      </c>
    </row>
    <row r="737" spans="1:14" x14ac:dyDescent="0.25">
      <c r="A737" s="4" t="str">
        <f>Sheet1!A737 &amp; "/" &amp; "2025"</f>
        <v>736/2025</v>
      </c>
      <c r="B737" s="5" t="str">
        <f>Sheet1!E737</f>
        <v>IND/MEL/00736</v>
      </c>
      <c r="C737" s="6" t="str">
        <f>UPPER(Sheet1!B737)</f>
        <v>KABIR MYRTHOS</v>
      </c>
      <c r="D737" s="7" t="str">
        <f>IF(Sheet1!F737="F","FEMALE","MALE")</f>
        <v>MALE</v>
      </c>
      <c r="E737" s="6" t="str">
        <f>UPPER(Sheet1!G737)</f>
        <v>ROHIT SHARMA</v>
      </c>
      <c r="F737" s="6" t="str">
        <f>UPPER(Sheet1!H737)</f>
        <v>ALYA SHARMA</v>
      </c>
      <c r="G737" s="5" t="str">
        <f>TEXT(Sheet1!C737,"dd/mm/yyyy") &amp; "," &amp; Sheet1!D737</f>
        <v>21/01/2025,LIVERPOOL</v>
      </c>
      <c r="H737" s="39" t="str">
        <f>UPPER(Sheet1!J737 &amp; "," &amp; Sheet1!K737 &amp; "," &amp; Sheet1!L737)</f>
        <v>136 BIRCHWOOD LANE,EMERALD ROAD,PIN:265684 LIVERPOOL</v>
      </c>
      <c r="I737" s="8">
        <f>Sheet1!I737</f>
        <v>45709</v>
      </c>
      <c r="J737" s="5" t="str">
        <f>Sheet1!M737 &amp; "," &amp; TEXT(Sheet1!N737,"dd/mm/yy")</f>
        <v>MHA/IND/00740,06/07/25</v>
      </c>
      <c r="K737" s="5" t="s">
        <v>5752</v>
      </c>
      <c r="L737" t="s">
        <v>14</v>
      </c>
      <c r="M737" s="31" t="s">
        <v>15</v>
      </c>
      <c r="N737" t="s">
        <v>16</v>
      </c>
    </row>
    <row r="738" spans="1:14" ht="30" customHeight="1" x14ac:dyDescent="0.25">
      <c r="A738" s="4" t="str">
        <f>Sheet1!A738 &amp; "/" &amp; "2025"</f>
        <v>737/2025</v>
      </c>
      <c r="B738" s="5" t="str">
        <f>Sheet1!E738</f>
        <v>IND/MEL/00737</v>
      </c>
      <c r="C738" s="6" t="str">
        <f>UPPER(Sheet1!B738)</f>
        <v>KIRAN SHARMA</v>
      </c>
      <c r="D738" s="7" t="str">
        <f>IF(Sheet1!F738="F","FEMALE","MALE")</f>
        <v>MALE</v>
      </c>
      <c r="E738" s="6" t="str">
        <f>UPPER(Sheet1!G738)</f>
        <v>DEV KALEON</v>
      </c>
      <c r="F738" s="6" t="str">
        <f>UPPER(Sheet1!H738)</f>
        <v>TARA KALEON</v>
      </c>
      <c r="G738" s="5" t="str">
        <f>TEXT(Sheet1!C738,"dd/mm/yyyy") &amp; "," &amp; Sheet1!D738</f>
        <v>07/06/2025,BENDIGO</v>
      </c>
      <c r="H738" s="39" t="str">
        <f>UPPER(Sheet1!J738 &amp; "," &amp; Sheet1!K738 &amp; "," &amp; Sheet1!L738)</f>
        <v>70 BIRCHWOOD LANE,EMERALD ROAD,PIN:669525 BENDIGO</v>
      </c>
      <c r="I738" s="8">
        <f>Sheet1!I738</f>
        <v>45869</v>
      </c>
      <c r="J738" s="5" t="str">
        <f>Sheet1!M738 &amp; "," &amp; TEXT(Sheet1!N738,"dd/mm/yy")</f>
        <v>MHA/IND/00741,16/08/25</v>
      </c>
      <c r="K738" s="5" t="s">
        <v>5752</v>
      </c>
      <c r="L738" t="s">
        <v>14</v>
      </c>
      <c r="M738" s="31" t="s">
        <v>15</v>
      </c>
      <c r="N738" t="s">
        <v>16</v>
      </c>
    </row>
    <row r="739" spans="1:14" x14ac:dyDescent="0.25">
      <c r="A739" s="4" t="str">
        <f>Sheet1!A739 &amp; "/" &amp; "2025"</f>
        <v>738/2025</v>
      </c>
      <c r="B739" s="5" t="str">
        <f>Sheet1!E739</f>
        <v>IND/MEL/00738</v>
      </c>
      <c r="C739" s="6" t="str">
        <f>UPPER(Sheet1!B739)</f>
        <v>TARA SINDALE</v>
      </c>
      <c r="D739" s="7" t="str">
        <f>IF(Sheet1!F739="F","FEMALE","MALE")</f>
        <v>FEMALE</v>
      </c>
      <c r="E739" s="6" t="str">
        <f>UPPER(Sheet1!G739)</f>
        <v>ROHIT SINDALE</v>
      </c>
      <c r="F739" s="6" t="str">
        <f>UPPER(Sheet1!H739)</f>
        <v>NINA SINDALE</v>
      </c>
      <c r="G739" s="5" t="str">
        <f>TEXT(Sheet1!C739,"dd/mm/yyyy") &amp; "," &amp; Sheet1!D739</f>
        <v>13/07/2025,WOLLONGONG</v>
      </c>
      <c r="H739" s="39" t="str">
        <f>UPPER(Sheet1!J739 &amp; "," &amp; Sheet1!K739 &amp; "," &amp; Sheet1!L739)</f>
        <v>71 BIRCHWOOD LANE,EMERALD ROAD,PIN:806096 WOLLONGONG</v>
      </c>
      <c r="I739" s="8">
        <f>Sheet1!I739</f>
        <v>45889</v>
      </c>
      <c r="J739" s="5" t="str">
        <f>Sheet1!M739 &amp; "," &amp; TEXT(Sheet1!N739,"dd/mm/yy")</f>
        <v>MHA/IND/00742,22/08/25</v>
      </c>
      <c r="K739" s="5" t="s">
        <v>5752</v>
      </c>
      <c r="L739" t="s">
        <v>14</v>
      </c>
      <c r="M739" s="31" t="s">
        <v>15</v>
      </c>
      <c r="N739" t="s">
        <v>16</v>
      </c>
    </row>
    <row r="740" spans="1:14" x14ac:dyDescent="0.25">
      <c r="A740" s="4" t="str">
        <f>Sheet1!A740 &amp; "/" &amp; "2025"</f>
        <v>739/2025</v>
      </c>
      <c r="B740" s="5" t="str">
        <f>Sheet1!E740</f>
        <v>IND/MEL/00739</v>
      </c>
      <c r="C740" s="6" t="str">
        <f>UPPER(Sheet1!B740)</f>
        <v>ARJUN KALEON</v>
      </c>
      <c r="D740" s="7" t="str">
        <f>IF(Sheet1!F740="F","FEMALE","MALE")</f>
        <v>FEMALE</v>
      </c>
      <c r="E740" s="6" t="str">
        <f>UPPER(Sheet1!G740)</f>
        <v>KABIR KALEON</v>
      </c>
      <c r="F740" s="6" t="str">
        <f>UPPER(Sheet1!H740)</f>
        <v>ALYA KALEON</v>
      </c>
      <c r="G740" s="5" t="str">
        <f>TEXT(Sheet1!C740,"dd/mm/yyyy") &amp; "," &amp; Sheet1!D740</f>
        <v>17/06/2025,DALBY</v>
      </c>
      <c r="H740" s="39" t="str">
        <f>UPPER(Sheet1!J740 &amp; "," &amp; Sheet1!K740 &amp; "," &amp; Sheet1!L740)</f>
        <v>123 BIRCHWOOD LANE,EMERALD ROAD,PIN:836079 DALBY</v>
      </c>
      <c r="I740" s="8">
        <f>Sheet1!I740</f>
        <v>45844</v>
      </c>
      <c r="J740" s="5" t="str">
        <f>Sheet1!M740 &amp; "," &amp; TEXT(Sheet1!N740,"dd/mm/yy")</f>
        <v>MHA/IND/00743,09/07/25</v>
      </c>
      <c r="K740" s="5" t="s">
        <v>5752</v>
      </c>
      <c r="L740" t="s">
        <v>14</v>
      </c>
      <c r="M740" s="31" t="s">
        <v>15</v>
      </c>
      <c r="N740" s="31"/>
    </row>
    <row r="741" spans="1:14" x14ac:dyDescent="0.25">
      <c r="A741" s="4" t="str">
        <f>Sheet1!A741 &amp; "/" &amp; "2025"</f>
        <v>740/2025</v>
      </c>
      <c r="B741" s="5" t="str">
        <f>Sheet1!E741</f>
        <v>IND/MEL/00740</v>
      </c>
      <c r="C741" s="6" t="str">
        <f>UPPER(Sheet1!B741)</f>
        <v>DEV SHARMA</v>
      </c>
      <c r="D741" s="7" t="str">
        <f>IF(Sheet1!F741="F","FEMALE","MALE")</f>
        <v>MALE</v>
      </c>
      <c r="E741" s="6" t="str">
        <f>UPPER(Sheet1!G741)</f>
        <v>KABIR MYRTHOS</v>
      </c>
      <c r="F741" s="6" t="str">
        <f>UPPER(Sheet1!H741)</f>
        <v>MIRA MYRTHOS</v>
      </c>
      <c r="G741" s="5" t="str">
        <f>TEXT(Sheet1!C741,"dd/mm/yyyy") &amp; "," &amp; Sheet1!D741</f>
        <v>28/01/2025,CLAYTON</v>
      </c>
      <c r="H741" s="39" t="str">
        <f>UPPER(Sheet1!J741 &amp; "," &amp; Sheet1!K741 &amp; "," &amp; Sheet1!L741)</f>
        <v>106 BIRCHWOOD LANE,EMERALD ROAD,PIN:528267 CLAYTON</v>
      </c>
      <c r="I741" s="8">
        <f>Sheet1!I741</f>
        <v>45709</v>
      </c>
      <c r="J741" s="5" t="str">
        <f>Sheet1!M741 &amp; "," &amp; TEXT(Sheet1!N741,"dd/mm/yy")</f>
        <v>MHA/IND/00744,15/08/25</v>
      </c>
      <c r="K741" s="5" t="s">
        <v>5752</v>
      </c>
      <c r="L741" t="s">
        <v>14</v>
      </c>
      <c r="M741" s="31" t="s">
        <v>15</v>
      </c>
      <c r="N741" s="31"/>
    </row>
    <row r="742" spans="1:14" x14ac:dyDescent="0.25">
      <c r="A742" s="4" t="str">
        <f>Sheet1!A742 &amp; "/" &amp; "2025"</f>
        <v>741/2025</v>
      </c>
      <c r="B742" s="5" t="str">
        <f>Sheet1!E742</f>
        <v>IND/MEL/00741</v>
      </c>
      <c r="C742" s="6" t="str">
        <f>UPPER(Sheet1!B742)</f>
        <v>KABIR KALEON</v>
      </c>
      <c r="D742" s="7" t="str">
        <f>IF(Sheet1!F742="F","FEMALE","MALE")</f>
        <v>FEMALE</v>
      </c>
      <c r="E742" s="6" t="str">
        <f>UPPER(Sheet1!G742)</f>
        <v>DEV SINDALE</v>
      </c>
      <c r="F742" s="6" t="str">
        <f>UPPER(Sheet1!H742)</f>
        <v>NINA SINDALE</v>
      </c>
      <c r="G742" s="5" t="str">
        <f>TEXT(Sheet1!C742,"dd/mm/yyyy") &amp; "," &amp; Sheet1!D742</f>
        <v>03/07/2025,MANDURAH</v>
      </c>
      <c r="H742" s="39" t="str">
        <f>UPPER(Sheet1!J742 &amp; "," &amp; Sheet1!K742 &amp; "," &amp; Sheet1!L742)</f>
        <v>163 BIRCHWOOD LANE,EMERALD ROAD,PIN:587920 MANDURAH</v>
      </c>
      <c r="I742" s="8">
        <f>Sheet1!I742</f>
        <v>45884</v>
      </c>
      <c r="J742" s="5" t="str">
        <f>Sheet1!M742 &amp; "," &amp; TEXT(Sheet1!N742,"dd/mm/yy")</f>
        <v>MHA/IND/00745,04/08/25</v>
      </c>
      <c r="K742" s="5" t="s">
        <v>5752</v>
      </c>
      <c r="L742" t="s">
        <v>14</v>
      </c>
      <c r="M742" s="31" t="s">
        <v>15</v>
      </c>
      <c r="N742" s="31"/>
    </row>
    <row r="743" spans="1:14" x14ac:dyDescent="0.25">
      <c r="A743" s="4" t="str">
        <f>Sheet1!A743 &amp; "/" &amp; "2025"</f>
        <v>742/2025</v>
      </c>
      <c r="B743" s="5" t="str">
        <f>Sheet1!E743</f>
        <v>IND/MEL/00742</v>
      </c>
      <c r="C743" s="6" t="str">
        <f>UPPER(Sheet1!B743)</f>
        <v>ALYA SINDALE</v>
      </c>
      <c r="D743" s="7" t="str">
        <f>IF(Sheet1!F743="F","FEMALE","MALE")</f>
        <v>FEMALE</v>
      </c>
      <c r="E743" s="6" t="str">
        <f>UPPER(Sheet1!G743)</f>
        <v>KIRAN RAO</v>
      </c>
      <c r="F743" s="6" t="str">
        <f>UPPER(Sheet1!H743)</f>
        <v>TARA RAO</v>
      </c>
      <c r="G743" s="5" t="str">
        <f>TEXT(Sheet1!C743,"dd/mm/yyyy") &amp; "," &amp; Sheet1!D743</f>
        <v>07/06/2025,BUNDOORA</v>
      </c>
      <c r="H743" s="39" t="str">
        <f>UPPER(Sheet1!J743 &amp; "," &amp; Sheet1!K743 &amp; "," &amp; Sheet1!L743)</f>
        <v>166 BIRCHWOOD LANE,EMERALD ROAD,PIN:443245 BUNDOORA</v>
      </c>
      <c r="I743" s="8">
        <f>Sheet1!I743</f>
        <v>45833</v>
      </c>
      <c r="J743" s="5" t="str">
        <f>Sheet1!M743 &amp; "," &amp; TEXT(Sheet1!N743,"dd/mm/yy")</f>
        <v>MHA/IND/00746,06/07/25</v>
      </c>
      <c r="K743" s="5" t="s">
        <v>5752</v>
      </c>
      <c r="L743" t="s">
        <v>14</v>
      </c>
      <c r="M743" s="31" t="s">
        <v>15</v>
      </c>
      <c r="N743" s="31"/>
    </row>
    <row r="744" spans="1:14" x14ac:dyDescent="0.25">
      <c r="A744" s="4" t="str">
        <f>Sheet1!A744 &amp; "/" &amp; "2025"</f>
        <v>743/2025</v>
      </c>
      <c r="B744" s="5" t="str">
        <f>Sheet1!E744</f>
        <v>IND/MEL/00743</v>
      </c>
      <c r="C744" s="6" t="str">
        <f>UPPER(Sheet1!B744)</f>
        <v>MIRA KALEON</v>
      </c>
      <c r="D744" s="7" t="str">
        <f>IF(Sheet1!F744="F","FEMALE","MALE")</f>
        <v>FEMALE</v>
      </c>
      <c r="E744" s="6" t="str">
        <f>UPPER(Sheet1!G744)</f>
        <v>ROHIT RISHKAN</v>
      </c>
      <c r="F744" s="6" t="str">
        <f>UPPER(Sheet1!H744)</f>
        <v>SARA RISHKAN</v>
      </c>
      <c r="G744" s="5" t="str">
        <f>TEXT(Sheet1!C744,"dd/mm/yyyy") &amp; "," &amp; Sheet1!D744</f>
        <v>26/05/2025,BRISBANE</v>
      </c>
      <c r="H744" s="39" t="str">
        <f>UPPER(Sheet1!J744 &amp; "," &amp; Sheet1!K744 &amp; "," &amp; Sheet1!L744)</f>
        <v>130 BIRCHWOOD LANE,EMERALD ROAD,PIN:854044 BRISBANE</v>
      </c>
      <c r="I744" s="8">
        <f>Sheet1!I744</f>
        <v>45882</v>
      </c>
      <c r="J744" s="5" t="str">
        <f>Sheet1!M744 &amp; "," &amp; TEXT(Sheet1!N744,"dd/mm/yy")</f>
        <v>MHA/IND/00747,18/08/25</v>
      </c>
      <c r="K744" s="5" t="s">
        <v>5752</v>
      </c>
      <c r="L744" t="s">
        <v>14</v>
      </c>
      <c r="M744" s="31" t="s">
        <v>15</v>
      </c>
      <c r="N744" s="31"/>
    </row>
    <row r="745" spans="1:14" x14ac:dyDescent="0.25">
      <c r="A745" s="4" t="str">
        <f>Sheet1!A745 &amp; "/" &amp; "2025"</f>
        <v>744/2025</v>
      </c>
      <c r="B745" s="5" t="str">
        <f>Sheet1!E745</f>
        <v>IND/MEL/00744</v>
      </c>
      <c r="C745" s="6" t="str">
        <f>UPPER(Sheet1!B745)</f>
        <v>ROHIT MYRTHOS</v>
      </c>
      <c r="D745" s="7" t="str">
        <f>IF(Sheet1!F745="F","FEMALE","MALE")</f>
        <v>MALE</v>
      </c>
      <c r="E745" s="6" t="str">
        <f>UPPER(Sheet1!G745)</f>
        <v>NEIL SINDALE</v>
      </c>
      <c r="F745" s="6" t="str">
        <f>UPPER(Sheet1!H745)</f>
        <v>RIYA SINDALE</v>
      </c>
      <c r="G745" s="5" t="str">
        <f>TEXT(Sheet1!C745,"dd/mm/yyyy") &amp; "," &amp; Sheet1!D745</f>
        <v>13/03/2025,BERWICK</v>
      </c>
      <c r="H745" s="39" t="str">
        <f>UPPER(Sheet1!J745 &amp; "," &amp; Sheet1!K745 &amp; "," &amp; Sheet1!L745)</f>
        <v>90 BIRCHWOOD LANE,EMERALD ROAD,PIN:146112 BERWICK</v>
      </c>
      <c r="I745" s="8">
        <f>Sheet1!I745</f>
        <v>45792</v>
      </c>
      <c r="J745" s="5" t="str">
        <f>Sheet1!M745 &amp; "," &amp; TEXT(Sheet1!N745,"dd/mm/yy")</f>
        <v>MHA/IND/00748,20/07/25</v>
      </c>
      <c r="K745" s="5" t="s">
        <v>5752</v>
      </c>
      <c r="L745" t="s">
        <v>14</v>
      </c>
      <c r="M745" s="31" t="s">
        <v>15</v>
      </c>
      <c r="N745" s="31"/>
    </row>
    <row r="746" spans="1:14" x14ac:dyDescent="0.25">
      <c r="A746" s="4" t="str">
        <f>Sheet1!A746 &amp; "/" &amp; "2025"</f>
        <v>745/2025</v>
      </c>
      <c r="B746" s="5" t="str">
        <f>Sheet1!E746</f>
        <v>IND/MEL/00745</v>
      </c>
      <c r="C746" s="6" t="str">
        <f>UPPER(Sheet1!B746)</f>
        <v>TARA SINDALE</v>
      </c>
      <c r="D746" s="7" t="str">
        <f>IF(Sheet1!F746="F","FEMALE","MALE")</f>
        <v>FEMALE</v>
      </c>
      <c r="E746" s="6" t="str">
        <f>UPPER(Sheet1!G746)</f>
        <v>KIRAN SHARMA</v>
      </c>
      <c r="F746" s="6" t="str">
        <f>UPPER(Sheet1!H746)</f>
        <v>DIYA SHARMA</v>
      </c>
      <c r="G746" s="5" t="str">
        <f>TEXT(Sheet1!C746,"dd/mm/yyyy") &amp; "," &amp; Sheet1!D746</f>
        <v>17/05/2025,GOSFORD</v>
      </c>
      <c r="H746" s="39" t="str">
        <f>UPPER(Sheet1!J746 &amp; "," &amp; Sheet1!K746 &amp; "," &amp; Sheet1!L746)</f>
        <v>187 BIRCHWOOD LANE,EMERALD ROAD,PIN:116116 GOSFORD</v>
      </c>
      <c r="I746" s="8">
        <f>Sheet1!I746</f>
        <v>45856</v>
      </c>
      <c r="J746" s="5" t="str">
        <f>Sheet1!M746 &amp; "," &amp; TEXT(Sheet1!N746,"dd/mm/yy")</f>
        <v>MHA/IND/00749,22/07/25</v>
      </c>
      <c r="K746" s="5" t="s">
        <v>5752</v>
      </c>
      <c r="L746" t="s">
        <v>14</v>
      </c>
      <c r="M746" s="31" t="s">
        <v>15</v>
      </c>
      <c r="N746" s="31"/>
    </row>
    <row r="747" spans="1:14" x14ac:dyDescent="0.25">
      <c r="A747" s="4" t="str">
        <f>Sheet1!A747 &amp; "/" &amp; "2025"</f>
        <v>746/2025</v>
      </c>
      <c r="B747" s="5" t="str">
        <f>Sheet1!E747</f>
        <v>IND/MEL/00746</v>
      </c>
      <c r="C747" s="6" t="str">
        <f>UPPER(Sheet1!B747)</f>
        <v>ANYA RAO</v>
      </c>
      <c r="D747" s="7" t="str">
        <f>IF(Sheet1!F747="F","FEMALE","MALE")</f>
        <v>FEMALE</v>
      </c>
      <c r="E747" s="6" t="str">
        <f>UPPER(Sheet1!G747)</f>
        <v>ROHIT KALEON</v>
      </c>
      <c r="F747" s="6" t="str">
        <f>UPPER(Sheet1!H747)</f>
        <v>TARA KALEON</v>
      </c>
      <c r="G747" s="5" t="str">
        <f>TEXT(Sheet1!C747,"dd/mm/yyyy") &amp; "," &amp; Sheet1!D747</f>
        <v>12/10/2025,ARMADALE</v>
      </c>
      <c r="H747" s="39" t="str">
        <f>UPPER(Sheet1!J747 &amp; "," &amp; Sheet1!K747 &amp; "," &amp; Sheet1!L747)</f>
        <v>146 BIRCHWOOD LANE,EMERALD ROAD,PIN:698609 ARMADALE</v>
      </c>
      <c r="I747" s="8">
        <f>Sheet1!I747</f>
        <v>45968</v>
      </c>
      <c r="J747" s="5" t="str">
        <f>Sheet1!M747 &amp; "," &amp; TEXT(Sheet1!N747,"dd/mm/yy")</f>
        <v>MHA/IND/00750,01/08/25</v>
      </c>
      <c r="K747" s="5" t="s">
        <v>5752</v>
      </c>
      <c r="L747" t="s">
        <v>14</v>
      </c>
      <c r="M747" s="31" t="s">
        <v>15</v>
      </c>
      <c r="N747" s="31"/>
    </row>
    <row r="748" spans="1:14" x14ac:dyDescent="0.25">
      <c r="A748" s="4" t="str">
        <f>Sheet1!A748 &amp; "/" &amp; "2025"</f>
        <v>747/2025</v>
      </c>
      <c r="B748" s="5" t="str">
        <f>Sheet1!E748</f>
        <v>IND/MEL/00747</v>
      </c>
      <c r="C748" s="6" t="str">
        <f>UPPER(Sheet1!B748)</f>
        <v>TARA RISHKAN</v>
      </c>
      <c r="D748" s="7" t="str">
        <f>IF(Sheet1!F748="F","FEMALE","MALE")</f>
        <v>FEMALE</v>
      </c>
      <c r="E748" s="6" t="str">
        <f>UPPER(Sheet1!G748)</f>
        <v>ISHAN KALEON</v>
      </c>
      <c r="F748" s="6" t="str">
        <f>UPPER(Sheet1!H748)</f>
        <v>NINA KALEON</v>
      </c>
      <c r="G748" s="5" t="str">
        <f>TEXT(Sheet1!C748,"dd/mm/yyyy") &amp; "," &amp; Sheet1!D748</f>
        <v>10/09/2025,PARKVILLE</v>
      </c>
      <c r="H748" s="39" t="str">
        <f>UPPER(Sheet1!J748 &amp; "," &amp; Sheet1!K748 &amp; "," &amp; Sheet1!L748)</f>
        <v>94 BIRCHWOOD LANE,EMERALD ROAD,PIN:243403 PARKVILLE</v>
      </c>
      <c r="I748" s="8">
        <f>Sheet1!I748</f>
        <v>45999</v>
      </c>
      <c r="J748" s="5" t="str">
        <f>Sheet1!M748 &amp; "," &amp; TEXT(Sheet1!N748,"dd/mm/yy")</f>
        <v>MHA/IND/00751,28/07/25</v>
      </c>
      <c r="K748" s="5" t="s">
        <v>5752</v>
      </c>
      <c r="L748" t="s">
        <v>14</v>
      </c>
      <c r="M748" s="31" t="s">
        <v>15</v>
      </c>
      <c r="N748" s="31"/>
    </row>
    <row r="749" spans="1:14" x14ac:dyDescent="0.25">
      <c r="A749" s="4" t="str">
        <f>Sheet1!A749 &amp; "/" &amp; "2025"</f>
        <v>748/2025</v>
      </c>
      <c r="B749" s="5" t="str">
        <f>Sheet1!E749</f>
        <v>IND/MEL/00748</v>
      </c>
      <c r="C749" s="6" t="str">
        <f>UPPER(Sheet1!B749)</f>
        <v>KABIR SINDALE</v>
      </c>
      <c r="D749" s="7" t="str">
        <f>IF(Sheet1!F749="F","FEMALE","MALE")</f>
        <v>FEMALE</v>
      </c>
      <c r="E749" s="6" t="str">
        <f>UPPER(Sheet1!G749)</f>
        <v>ROHIT MYRTHOS</v>
      </c>
      <c r="F749" s="6" t="str">
        <f>UPPER(Sheet1!H749)</f>
        <v>MIRA MYRTHOS</v>
      </c>
      <c r="G749" s="5" t="str">
        <f>TEXT(Sheet1!C749,"dd/mm/yyyy") &amp; "," &amp; Sheet1!D749</f>
        <v>12/09/2025,LIVERPOOL</v>
      </c>
      <c r="H749" s="39" t="str">
        <f>UPPER(Sheet1!J749 &amp; "," &amp; Sheet1!K749 &amp; "," &amp; Sheet1!L749)</f>
        <v>61 BIRCHWOOD LANE,EMERALD ROAD,PIN:333036 LIVERPOOL</v>
      </c>
      <c r="I749" s="8">
        <f>Sheet1!I749</f>
        <v>45979</v>
      </c>
      <c r="J749" s="5" t="str">
        <f>Sheet1!M749 &amp; "," &amp; TEXT(Sheet1!N749,"dd/mm/yy")</f>
        <v>MHA/IND/00752,20/07/25</v>
      </c>
      <c r="K749" s="5" t="s">
        <v>5752</v>
      </c>
      <c r="L749" t="s">
        <v>14</v>
      </c>
      <c r="M749" s="31" t="s">
        <v>15</v>
      </c>
      <c r="N749" s="31"/>
    </row>
    <row r="750" spans="1:14" x14ac:dyDescent="0.25">
      <c r="A750" s="4" t="str">
        <f>Sheet1!A750 &amp; "/" &amp; "2025"</f>
        <v>749/2025</v>
      </c>
      <c r="B750" s="5" t="str">
        <f>Sheet1!E750</f>
        <v>IND/MEL/00749</v>
      </c>
      <c r="C750" s="6" t="str">
        <f>UPPER(Sheet1!B750)</f>
        <v>MIRA SHARMA</v>
      </c>
      <c r="D750" s="7" t="str">
        <f>IF(Sheet1!F750="F","FEMALE","MALE")</f>
        <v>MALE</v>
      </c>
      <c r="E750" s="6" t="str">
        <f>UPPER(Sheet1!G750)</f>
        <v>AREN VALZARI</v>
      </c>
      <c r="F750" s="6" t="str">
        <f>UPPER(Sheet1!H750)</f>
        <v>RIYA VALZARI</v>
      </c>
      <c r="G750" s="5" t="str">
        <f>TEXT(Sheet1!C750,"dd/mm/yyyy") &amp; "," &amp; Sheet1!D750</f>
        <v>27/03/2025,BEDFORD PARK</v>
      </c>
      <c r="H750" s="39" t="str">
        <f>UPPER(Sheet1!J750 &amp; "," &amp; Sheet1!K750 &amp; "," &amp; Sheet1!L750)</f>
        <v>69 BIRCHWOOD LANE,EMERALD ROAD,PIN:974106 BEDFORD PARK</v>
      </c>
      <c r="I750" s="8">
        <f>Sheet1!I750</f>
        <v>45808</v>
      </c>
      <c r="J750" s="5" t="str">
        <f>Sheet1!M750 &amp; "," &amp; TEXT(Sheet1!N750,"dd/mm/yy")</f>
        <v>MHA/IND/00753,11/08/25</v>
      </c>
      <c r="K750" s="5" t="s">
        <v>5752</v>
      </c>
      <c r="L750" t="s">
        <v>14</v>
      </c>
      <c r="M750" s="31" t="s">
        <v>15</v>
      </c>
      <c r="N750" s="31"/>
    </row>
    <row r="751" spans="1:14" x14ac:dyDescent="0.25">
      <c r="A751" s="4" t="str">
        <f>Sheet1!A751 &amp; "/" &amp; "2025"</f>
        <v>750/2025</v>
      </c>
      <c r="B751" s="5" t="str">
        <f>Sheet1!E751</f>
        <v>IND/MEL/00750</v>
      </c>
      <c r="C751" s="6" t="str">
        <f>UPPER(Sheet1!B751)</f>
        <v>ANYA KALEON</v>
      </c>
      <c r="D751" s="7" t="str">
        <f>IF(Sheet1!F751="F","FEMALE","MALE")</f>
        <v>MALE</v>
      </c>
      <c r="E751" s="6" t="str">
        <f>UPPER(Sheet1!G751)</f>
        <v>ROHIT VALZARI</v>
      </c>
      <c r="F751" s="6" t="str">
        <f>UPPER(Sheet1!H751)</f>
        <v>ALYA VALZARI</v>
      </c>
      <c r="G751" s="5" t="str">
        <f>TEXT(Sheet1!C751,"dd/mm/yyyy") &amp; "," &amp; Sheet1!D751</f>
        <v>02/04/2025,WODONGA</v>
      </c>
      <c r="H751" s="39" t="str">
        <f>UPPER(Sheet1!J751 &amp; "," &amp; Sheet1!K751 &amp; "," &amp; Sheet1!L751)</f>
        <v>130 BIRCHWOOD LANE,EMERALD ROAD,PIN:903256 WODONGA</v>
      </c>
      <c r="I751" s="8">
        <f>Sheet1!I751</f>
        <v>45786</v>
      </c>
      <c r="J751" s="5" t="str">
        <f>Sheet1!M751 &amp; "," &amp; TEXT(Sheet1!N751,"dd/mm/yy")</f>
        <v>MHA/IND/00754,09/08/25</v>
      </c>
      <c r="K751" s="5" t="s">
        <v>5752</v>
      </c>
      <c r="L751" t="s">
        <v>14</v>
      </c>
      <c r="M751" s="31" t="s">
        <v>15</v>
      </c>
      <c r="N751" s="31"/>
    </row>
    <row r="752" spans="1:14" x14ac:dyDescent="0.25">
      <c r="A752" s="4" t="str">
        <f>Sheet1!A752 &amp; "/" &amp; "2025"</f>
        <v>751/2025</v>
      </c>
      <c r="B752" s="5" t="str">
        <f>Sheet1!E752</f>
        <v>IND/MEL/00751</v>
      </c>
      <c r="C752" s="6" t="str">
        <f>UPPER(Sheet1!B752)</f>
        <v>ALYA KALEON</v>
      </c>
      <c r="D752" s="7" t="str">
        <f>IF(Sheet1!F752="F","FEMALE","MALE")</f>
        <v>MALE</v>
      </c>
      <c r="E752" s="6" t="str">
        <f>UPPER(Sheet1!G752)</f>
        <v>AREN SINDALE</v>
      </c>
      <c r="F752" s="6" t="str">
        <f>UPPER(Sheet1!H752)</f>
        <v>RIYA SINDALE</v>
      </c>
      <c r="G752" s="5" t="str">
        <f>TEXT(Sheet1!C752,"dd/mm/yyyy") &amp; "," &amp; Sheet1!D752</f>
        <v>23/05/2025,FRANKSTON</v>
      </c>
      <c r="H752" s="39" t="str">
        <f>UPPER(Sheet1!J752 &amp; "," &amp; Sheet1!K752 &amp; "," &amp; Sheet1!L752)</f>
        <v>161 BIRCHWOOD LANE,EMERALD ROAD,PIN:724180 FRANKSTON</v>
      </c>
      <c r="I752" s="8">
        <f>Sheet1!I752</f>
        <v>45873</v>
      </c>
      <c r="J752" s="5" t="str">
        <f>Sheet1!M752 &amp; "," &amp; TEXT(Sheet1!N752,"dd/mm/yy")</f>
        <v>MHA/IND/00755,26/08/25</v>
      </c>
      <c r="K752" s="5" t="s">
        <v>5752</v>
      </c>
      <c r="L752" t="s">
        <v>14</v>
      </c>
      <c r="M752" s="31" t="s">
        <v>15</v>
      </c>
      <c r="N752" s="31"/>
    </row>
    <row r="753" spans="1:14" x14ac:dyDescent="0.25">
      <c r="A753" s="4" t="str">
        <f>Sheet1!A753 &amp; "/" &amp; "2025"</f>
        <v>752/2025</v>
      </c>
      <c r="B753" s="5" t="str">
        <f>Sheet1!E753</f>
        <v>IND/MEL/00752</v>
      </c>
      <c r="C753" s="6" t="str">
        <f>UPPER(Sheet1!B753)</f>
        <v>ANYA MYRTHOS</v>
      </c>
      <c r="D753" s="7" t="str">
        <f>IF(Sheet1!F753="F","FEMALE","MALE")</f>
        <v>MALE</v>
      </c>
      <c r="E753" s="6" t="str">
        <f>UPPER(Sheet1!G753)</f>
        <v>DEV SHARMA</v>
      </c>
      <c r="F753" s="6" t="str">
        <f>UPPER(Sheet1!H753)</f>
        <v>NINA SHARMA</v>
      </c>
      <c r="G753" s="5" t="str">
        <f>TEXT(Sheet1!C753,"dd/mm/yyyy") &amp; "," &amp; Sheet1!D753</f>
        <v>11/06/2025,TUGGERANONG</v>
      </c>
      <c r="H753" s="39" t="str">
        <f>UPPER(Sheet1!J753 &amp; "," &amp; Sheet1!K753 &amp; "," &amp; Sheet1!L753)</f>
        <v>29 BIRCHWOOD LANE,EMERALD ROAD,PIN:696956 TUGGERANONG</v>
      </c>
      <c r="I753" s="8">
        <f>Sheet1!I753</f>
        <v>45937</v>
      </c>
      <c r="J753" s="5" t="str">
        <f>Sheet1!M753 &amp; "," &amp; TEXT(Sheet1!N753,"dd/mm/yy")</f>
        <v>MHA/IND/00756,25/08/25</v>
      </c>
      <c r="K753" s="5" t="s">
        <v>5752</v>
      </c>
      <c r="L753" t="s">
        <v>14</v>
      </c>
      <c r="M753" s="31" t="s">
        <v>15</v>
      </c>
      <c r="N753" s="31"/>
    </row>
    <row r="754" spans="1:14" x14ac:dyDescent="0.25">
      <c r="A754" s="4" t="str">
        <f>Sheet1!A754 &amp; "/" &amp; "2025"</f>
        <v>753/2025</v>
      </c>
      <c r="B754" s="5" t="str">
        <f>Sheet1!E754</f>
        <v>IND/MEL/00753</v>
      </c>
      <c r="C754" s="6" t="str">
        <f>UPPER(Sheet1!B754)</f>
        <v>ROHIT VALZARI</v>
      </c>
      <c r="D754" s="7" t="str">
        <f>IF(Sheet1!F754="F","FEMALE","MALE")</f>
        <v>FEMALE</v>
      </c>
      <c r="E754" s="6" t="str">
        <f>UPPER(Sheet1!G754)</f>
        <v>ROHIT SHARMA</v>
      </c>
      <c r="F754" s="6" t="str">
        <f>UPPER(Sheet1!H754)</f>
        <v>MIRA SHARMA</v>
      </c>
      <c r="G754" s="5" t="str">
        <f>TEXT(Sheet1!C754,"dd/mm/yyyy") &amp; "," &amp; Sheet1!D754</f>
        <v>01/05/2025,LAUNCESTON</v>
      </c>
      <c r="H754" s="39" t="str">
        <f>UPPER(Sheet1!J754 &amp; "," &amp; Sheet1!K754 &amp; "," &amp; Sheet1!L754)</f>
        <v>193 BIRCHWOOD LANE,EMERALD ROAD,PIN:866652 LAUNCESTON</v>
      </c>
      <c r="I754" s="8">
        <f>Sheet1!I754</f>
        <v>45790</v>
      </c>
      <c r="J754" s="5" t="str">
        <f>Sheet1!M754 &amp; "," &amp; TEXT(Sheet1!N754,"dd/mm/yy")</f>
        <v>MHA/IND/00757,08/07/25</v>
      </c>
      <c r="K754" s="5" t="s">
        <v>5752</v>
      </c>
      <c r="L754" t="s">
        <v>14</v>
      </c>
      <c r="M754" s="31" t="s">
        <v>15</v>
      </c>
      <c r="N754" s="31"/>
    </row>
    <row r="755" spans="1:14" x14ac:dyDescent="0.25">
      <c r="A755" s="4" t="str">
        <f>Sheet1!A755 &amp; "/" &amp; "2025"</f>
        <v>754/2025</v>
      </c>
      <c r="B755" s="5" t="str">
        <f>Sheet1!E755</f>
        <v>IND/MEL/00754</v>
      </c>
      <c r="C755" s="6" t="str">
        <f>UPPER(Sheet1!B755)</f>
        <v>KIRAN VALZARI</v>
      </c>
      <c r="D755" s="7" t="str">
        <f>IF(Sheet1!F755="F","FEMALE","MALE")</f>
        <v>FEMALE</v>
      </c>
      <c r="E755" s="6" t="str">
        <f>UPPER(Sheet1!G755)</f>
        <v>ROHIT KALEON</v>
      </c>
      <c r="F755" s="6" t="str">
        <f>UPPER(Sheet1!H755)</f>
        <v>ANYA KALEON</v>
      </c>
      <c r="G755" s="5" t="str">
        <f>TEXT(Sheet1!C755,"dd/mm/yyyy") &amp; "," &amp; Sheet1!D755</f>
        <v>19/03/2025,NORTH ADELAIDE</v>
      </c>
      <c r="H755" s="39" t="str">
        <f>UPPER(Sheet1!J755 &amp; "," &amp; Sheet1!K755 &amp; "," &amp; Sheet1!L755)</f>
        <v>141 BIRCHWOOD LANE,EMERALD ROAD,PIN:277862 NORTH ADELAIDE</v>
      </c>
      <c r="I755" s="8">
        <f>Sheet1!I755</f>
        <v>45767</v>
      </c>
      <c r="J755" s="5" t="str">
        <f>Sheet1!M755 &amp; "," &amp; TEXT(Sheet1!N755,"dd/mm/yy")</f>
        <v>MHA/IND/00758,24/07/25</v>
      </c>
      <c r="K755" s="5" t="s">
        <v>5752</v>
      </c>
      <c r="L755" t="s">
        <v>14</v>
      </c>
      <c r="M755" s="31" t="s">
        <v>15</v>
      </c>
      <c r="N755" s="31"/>
    </row>
    <row r="756" spans="1:14" x14ac:dyDescent="0.25">
      <c r="A756" s="4" t="str">
        <f>Sheet1!A756 &amp; "/" &amp; "2025"</f>
        <v>755/2025</v>
      </c>
      <c r="B756" s="5" t="str">
        <f>Sheet1!E756</f>
        <v>IND/MEL/00755</v>
      </c>
      <c r="C756" s="6" t="str">
        <f>UPPER(Sheet1!B756)</f>
        <v>DEV SINDALE</v>
      </c>
      <c r="D756" s="7" t="str">
        <f>IF(Sheet1!F756="F","FEMALE","MALE")</f>
        <v>FEMALE</v>
      </c>
      <c r="E756" s="6" t="str">
        <f>UPPER(Sheet1!G756)</f>
        <v>NEIL RISHKAN</v>
      </c>
      <c r="F756" s="6" t="str">
        <f>UPPER(Sheet1!H756)</f>
        <v>ALYA RISHKAN</v>
      </c>
      <c r="G756" s="5" t="str">
        <f>TEXT(Sheet1!C756,"dd/mm/yyyy") &amp; "," &amp; Sheet1!D756</f>
        <v>27/07/2025,TUGGERANONG</v>
      </c>
      <c r="H756" s="39" t="str">
        <f>UPPER(Sheet1!J756 &amp; "," &amp; Sheet1!K756 &amp; "," &amp; Sheet1!L756)</f>
        <v>57 BIRCHWOOD LANE,EMERALD ROAD,PIN:771839 TUGGERANONG</v>
      </c>
      <c r="I756" s="8">
        <f>Sheet1!I756</f>
        <v>45873</v>
      </c>
      <c r="J756" s="5" t="str">
        <f>Sheet1!M756 &amp; "," &amp; TEXT(Sheet1!N756,"dd/mm/yy")</f>
        <v>MHA/IND/00759,09/08/25</v>
      </c>
      <c r="K756" s="5" t="s">
        <v>5752</v>
      </c>
      <c r="L756" t="s">
        <v>14</v>
      </c>
      <c r="M756" s="31" t="s">
        <v>15</v>
      </c>
      <c r="N756" s="31"/>
    </row>
    <row r="757" spans="1:14" x14ac:dyDescent="0.25">
      <c r="A757" s="4" t="str">
        <f>Sheet1!A757 &amp; "/" &amp; "2025"</f>
        <v>756/2025</v>
      </c>
      <c r="B757" s="5" t="str">
        <f>Sheet1!E757</f>
        <v>IND/MEL/00756</v>
      </c>
      <c r="C757" s="6" t="str">
        <f>UPPER(Sheet1!B757)</f>
        <v>KIRAN SHARMA</v>
      </c>
      <c r="D757" s="7" t="str">
        <f>IF(Sheet1!F757="F","FEMALE","MALE")</f>
        <v>FEMALE</v>
      </c>
      <c r="E757" s="6" t="str">
        <f>UPPER(Sheet1!G757)</f>
        <v>DEV SHARMA</v>
      </c>
      <c r="F757" s="6" t="str">
        <f>UPPER(Sheet1!H757)</f>
        <v>ANYA SHARMA</v>
      </c>
      <c r="G757" s="5" t="str">
        <f>TEXT(Sheet1!C757,"dd/mm/yyyy") &amp; "," &amp; Sheet1!D757</f>
        <v>05/08/2025,LIVERPOOL</v>
      </c>
      <c r="H757" s="39" t="str">
        <f>UPPER(Sheet1!J757 &amp; "," &amp; Sheet1!K757 &amp; "," &amp; Sheet1!L757)</f>
        <v>65 BIRCHWOOD LANE,EMERALD ROAD,PIN:587081 LIVERPOOL</v>
      </c>
      <c r="I757" s="8">
        <f>Sheet1!I757</f>
        <v>45926</v>
      </c>
      <c r="J757" s="5" t="str">
        <f>Sheet1!M757 &amp; "," &amp; TEXT(Sheet1!N757,"dd/mm/yy")</f>
        <v>MHA/IND/00760,26/08/25</v>
      </c>
      <c r="K757" s="5" t="s">
        <v>5752</v>
      </c>
      <c r="L757" t="s">
        <v>14</v>
      </c>
      <c r="M757" s="31" t="s">
        <v>15</v>
      </c>
      <c r="N757" s="31"/>
    </row>
    <row r="758" spans="1:14" x14ac:dyDescent="0.25">
      <c r="A758" s="4" t="str">
        <f>Sheet1!A758 &amp; "/" &amp; "2025"</f>
        <v>757/2025</v>
      </c>
      <c r="B758" s="5" t="str">
        <f>Sheet1!E758</f>
        <v>IND/MEL/00757</v>
      </c>
      <c r="C758" s="6" t="str">
        <f>UPPER(Sheet1!B758)</f>
        <v>MIRA SHARMA</v>
      </c>
      <c r="D758" s="7" t="str">
        <f>IF(Sheet1!F758="F","FEMALE","MALE")</f>
        <v>FEMALE</v>
      </c>
      <c r="E758" s="6" t="str">
        <f>UPPER(Sheet1!G758)</f>
        <v>AREN VALZARI</v>
      </c>
      <c r="F758" s="6" t="str">
        <f>UPPER(Sheet1!H758)</f>
        <v>ANYA VALZARI</v>
      </c>
      <c r="G758" s="5" t="str">
        <f>TEXT(Sheet1!C758,"dd/mm/yyyy") &amp; "," &amp; Sheet1!D758</f>
        <v>13/01/2025,BALLARAT CENTRAL</v>
      </c>
      <c r="H758" s="39" t="str">
        <f>UPPER(Sheet1!J758 &amp; "," &amp; Sheet1!K758 &amp; "," &amp; Sheet1!L758)</f>
        <v>74 BIRCHWOOD LANE,EMERALD ROAD,PIN:832571 BALLARAT CENTRAL</v>
      </c>
      <c r="I758" s="8">
        <f>Sheet1!I758</f>
        <v>45679</v>
      </c>
      <c r="J758" s="5" t="str">
        <f>Sheet1!M758 &amp; "," &amp; TEXT(Sheet1!N758,"dd/mm/yy")</f>
        <v>MHA/IND/00761,06/07/25</v>
      </c>
      <c r="K758" s="5" t="s">
        <v>5752</v>
      </c>
      <c r="L758" t="s">
        <v>14</v>
      </c>
      <c r="M758" s="31" t="s">
        <v>15</v>
      </c>
      <c r="N758" s="31"/>
    </row>
    <row r="759" spans="1:14" x14ac:dyDescent="0.25">
      <c r="A759" s="4" t="str">
        <f>Sheet1!A759 &amp; "/" &amp; "2025"</f>
        <v>758/2025</v>
      </c>
      <c r="B759" s="5" t="str">
        <f>Sheet1!E759</f>
        <v>IND/MEL/00758</v>
      </c>
      <c r="C759" s="6" t="str">
        <f>UPPER(Sheet1!B759)</f>
        <v>SARA KALEON</v>
      </c>
      <c r="D759" s="7" t="str">
        <f>IF(Sheet1!F759="F","FEMALE","MALE")</f>
        <v>MALE</v>
      </c>
      <c r="E759" s="6" t="str">
        <f>UPPER(Sheet1!G759)</f>
        <v>ISHAN SINDALE</v>
      </c>
      <c r="F759" s="6" t="str">
        <f>UPPER(Sheet1!H759)</f>
        <v>NINA SINDALE</v>
      </c>
      <c r="G759" s="5" t="str">
        <f>TEXT(Sheet1!C759,"dd/mm/yyyy") &amp; "," &amp; Sheet1!D759</f>
        <v>05/08/2025,FREMANTLE</v>
      </c>
      <c r="H759" s="39" t="str">
        <f>UPPER(Sheet1!J759 &amp; "," &amp; Sheet1!K759 &amp; "," &amp; Sheet1!L759)</f>
        <v>26 BIRCHWOOD LANE,EMERALD ROAD,PIN:919321 FREMANTLE</v>
      </c>
      <c r="I759" s="8">
        <f>Sheet1!I759</f>
        <v>45982</v>
      </c>
      <c r="J759" s="5" t="str">
        <f>Sheet1!M759 &amp; "," &amp; TEXT(Sheet1!N759,"dd/mm/yy")</f>
        <v>MHA/IND/00762,03/08/25</v>
      </c>
      <c r="K759" s="5" t="s">
        <v>5752</v>
      </c>
      <c r="L759" t="s">
        <v>14</v>
      </c>
      <c r="M759" s="31" t="s">
        <v>15</v>
      </c>
      <c r="N759" s="31"/>
    </row>
    <row r="760" spans="1:14" x14ac:dyDescent="0.25">
      <c r="A760" s="4" t="str">
        <f>Sheet1!A760 &amp; "/" &amp; "2025"</f>
        <v>759/2025</v>
      </c>
      <c r="B760" s="5" t="str">
        <f>Sheet1!E760</f>
        <v>IND/MEL/00759</v>
      </c>
      <c r="C760" s="6" t="str">
        <f>UPPER(Sheet1!B760)</f>
        <v>RIYA RISHKAN</v>
      </c>
      <c r="D760" s="7" t="str">
        <f>IF(Sheet1!F760="F","FEMALE","MALE")</f>
        <v>FEMALE</v>
      </c>
      <c r="E760" s="6" t="str">
        <f>UPPER(Sheet1!G760)</f>
        <v>ROHIT KALEON</v>
      </c>
      <c r="F760" s="6" t="str">
        <f>UPPER(Sheet1!H760)</f>
        <v>TARA KALEON</v>
      </c>
      <c r="G760" s="5" t="str">
        <f>TEXT(Sheet1!C760,"dd/mm/yyyy") &amp; "," &amp; Sheet1!D760</f>
        <v>06/05/2025,IPSWICH</v>
      </c>
      <c r="H760" s="39" t="str">
        <f>UPPER(Sheet1!J760 &amp; "," &amp; Sheet1!K760 &amp; "," &amp; Sheet1!L760)</f>
        <v>109 BIRCHWOOD LANE,EMERALD ROAD,PIN:713260 IPSWICH</v>
      </c>
      <c r="I760" s="8">
        <f>Sheet1!I760</f>
        <v>45863</v>
      </c>
      <c r="J760" s="5" t="str">
        <f>Sheet1!M760 &amp; "," &amp; TEXT(Sheet1!N760,"dd/mm/yy")</f>
        <v>MHA/IND/00763,14/07/25</v>
      </c>
      <c r="K760" s="5" t="s">
        <v>5752</v>
      </c>
      <c r="L760" t="s">
        <v>14</v>
      </c>
      <c r="M760" s="31" t="s">
        <v>15</v>
      </c>
      <c r="N760" s="31"/>
    </row>
    <row r="761" spans="1:14" x14ac:dyDescent="0.25">
      <c r="A761" s="4" t="str">
        <f>Sheet1!A761 &amp; "/" &amp; "2025"</f>
        <v>760/2025</v>
      </c>
      <c r="B761" s="5" t="str">
        <f>Sheet1!E761</f>
        <v>IND/MEL/00760</v>
      </c>
      <c r="C761" s="6" t="str">
        <f>UPPER(Sheet1!B761)</f>
        <v>ANYA SHARMA</v>
      </c>
      <c r="D761" s="7" t="str">
        <f>IF(Sheet1!F761="F","FEMALE","MALE")</f>
        <v>MALE</v>
      </c>
      <c r="E761" s="6" t="str">
        <f>UPPER(Sheet1!G761)</f>
        <v>ISHAN SHARMA</v>
      </c>
      <c r="F761" s="6" t="str">
        <f>UPPER(Sheet1!H761)</f>
        <v>RIYA SHARMA</v>
      </c>
      <c r="G761" s="5" t="str">
        <f>TEXT(Sheet1!C761,"dd/mm/yyyy") &amp; "," &amp; Sheet1!D761</f>
        <v>15/10/2025,MILDURA</v>
      </c>
      <c r="H761" s="39" t="str">
        <f>UPPER(Sheet1!J761 &amp; "," &amp; Sheet1!K761 &amp; "," &amp; Sheet1!L761)</f>
        <v>21 BIRCHWOOD LANE,EMERALD ROAD,PIN:384008 MILDURA</v>
      </c>
      <c r="I761" s="8">
        <f>Sheet1!I761</f>
        <v>45955</v>
      </c>
      <c r="J761" s="5" t="str">
        <f>Sheet1!M761 &amp; "," &amp; TEXT(Sheet1!N761,"dd/mm/yy")</f>
        <v>MHA/IND/00764,04/08/25</v>
      </c>
      <c r="K761" s="5" t="s">
        <v>5752</v>
      </c>
      <c r="L761" t="s">
        <v>14</v>
      </c>
      <c r="M761" s="31" t="s">
        <v>15</v>
      </c>
      <c r="N761" s="31"/>
    </row>
    <row r="762" spans="1:14" x14ac:dyDescent="0.25">
      <c r="A762" s="4" t="str">
        <f>Sheet1!A762 &amp; "/" &amp; "2025"</f>
        <v>761/2025</v>
      </c>
      <c r="B762" s="5" t="str">
        <f>Sheet1!E762</f>
        <v>IND/MEL/00761</v>
      </c>
      <c r="C762" s="6" t="str">
        <f>UPPER(Sheet1!B762)</f>
        <v>ANYA VALZARI</v>
      </c>
      <c r="D762" s="7" t="str">
        <f>IF(Sheet1!F762="F","FEMALE","MALE")</f>
        <v>FEMALE</v>
      </c>
      <c r="E762" s="6" t="str">
        <f>UPPER(Sheet1!G762)</f>
        <v>NEIL RAO</v>
      </c>
      <c r="F762" s="6" t="str">
        <f>UPPER(Sheet1!H762)</f>
        <v>TARA RAO</v>
      </c>
      <c r="G762" s="5" t="str">
        <f>TEXT(Sheet1!C762,"dd/mm/yyyy") &amp; "," &amp; Sheet1!D762</f>
        <v>22/01/2025,ST ALBANS</v>
      </c>
      <c r="H762" s="39" t="str">
        <f>UPPER(Sheet1!J762 &amp; "," &amp; Sheet1!K762 &amp; "," &amp; Sheet1!L762)</f>
        <v>198 BIRCHWOOD LANE,EMERALD ROAD,PIN:435572 ST ALBANS</v>
      </c>
      <c r="I762" s="8">
        <f>Sheet1!I762</f>
        <v>45704</v>
      </c>
      <c r="J762" s="5" t="str">
        <f>Sheet1!M762 &amp; "," &amp; TEXT(Sheet1!N762,"dd/mm/yy")</f>
        <v>MHA/IND/00765,06/07/25</v>
      </c>
      <c r="K762" s="5" t="s">
        <v>5752</v>
      </c>
      <c r="L762" t="s">
        <v>14</v>
      </c>
      <c r="M762" s="31" t="s">
        <v>15</v>
      </c>
      <c r="N762" s="31"/>
    </row>
    <row r="763" spans="1:14" x14ac:dyDescent="0.25">
      <c r="A763" s="4" t="str">
        <f>Sheet1!A763 &amp; "/" &amp; "2025"</f>
        <v>762/2025</v>
      </c>
      <c r="B763" s="5" t="str">
        <f>Sheet1!E763</f>
        <v>IND/MEL/00762</v>
      </c>
      <c r="C763" s="6" t="str">
        <f>UPPER(Sheet1!B763)</f>
        <v>ARJUN SINDALE</v>
      </c>
      <c r="D763" s="7" t="str">
        <f>IF(Sheet1!F763="F","FEMALE","MALE")</f>
        <v>FEMALE</v>
      </c>
      <c r="E763" s="6" t="str">
        <f>UPPER(Sheet1!G763)</f>
        <v>ROHIT MYRTHOS</v>
      </c>
      <c r="F763" s="6" t="str">
        <f>UPPER(Sheet1!H763)</f>
        <v>ALYA MYRTHOS</v>
      </c>
      <c r="G763" s="5" t="str">
        <f>TEXT(Sheet1!C763,"dd/mm/yyyy") &amp; "," &amp; Sheet1!D763</f>
        <v>28/09/2025,BENDIGO</v>
      </c>
      <c r="H763" s="39" t="str">
        <f>UPPER(Sheet1!J763 &amp; "," &amp; Sheet1!K763 &amp; "," &amp; Sheet1!L763)</f>
        <v>157 BIRCHWOOD LANE,EMERALD ROAD,PIN:557614 BENDIGO</v>
      </c>
      <c r="I763" s="8">
        <f>Sheet1!I763</f>
        <v>45960</v>
      </c>
      <c r="J763" s="5" t="str">
        <f>Sheet1!M763 &amp; "," &amp; TEXT(Sheet1!N763,"dd/mm/yy")</f>
        <v>MHA/IND/00766,28/08/25</v>
      </c>
      <c r="K763" s="5" t="s">
        <v>5752</v>
      </c>
      <c r="L763" t="s">
        <v>14</v>
      </c>
      <c r="M763" s="31" t="s">
        <v>15</v>
      </c>
      <c r="N763" s="31"/>
    </row>
    <row r="764" spans="1:14" x14ac:dyDescent="0.25">
      <c r="A764" s="4" t="str">
        <f>Sheet1!A764 &amp; "/" &amp; "2025"</f>
        <v>763/2025</v>
      </c>
      <c r="B764" s="5" t="str">
        <f>Sheet1!E764</f>
        <v>IND/MEL/00763</v>
      </c>
      <c r="C764" s="6" t="str">
        <f>UPPER(Sheet1!B764)</f>
        <v>TARA KALEON</v>
      </c>
      <c r="D764" s="7" t="str">
        <f>IF(Sheet1!F764="F","FEMALE","MALE")</f>
        <v>FEMALE</v>
      </c>
      <c r="E764" s="6" t="str">
        <f>UPPER(Sheet1!G764)</f>
        <v>KABIR RISHKAN</v>
      </c>
      <c r="F764" s="6" t="str">
        <f>UPPER(Sheet1!H764)</f>
        <v>NINA RISHKAN</v>
      </c>
      <c r="G764" s="5" t="str">
        <f>TEXT(Sheet1!C764,"dd/mm/yyyy") &amp; "," &amp; Sheet1!D764</f>
        <v>17/10/2025,WOLLONGONG</v>
      </c>
      <c r="H764" s="39" t="str">
        <f>UPPER(Sheet1!J764 &amp; "," &amp; Sheet1!K764 &amp; "," &amp; Sheet1!L764)</f>
        <v>77 BIRCHWOOD LANE,EMERALD ROAD,PIN:990720 WOLLONGONG</v>
      </c>
      <c r="I764" s="8">
        <f>Sheet1!I764</f>
        <v>46053</v>
      </c>
      <c r="J764" s="5" t="str">
        <f>Sheet1!M764 &amp; "," &amp; TEXT(Sheet1!N764,"dd/mm/yy")</f>
        <v>MHA/IND/00767,24/07/25</v>
      </c>
      <c r="K764" s="5" t="s">
        <v>5752</v>
      </c>
      <c r="L764" t="s">
        <v>14</v>
      </c>
      <c r="M764" s="31" t="s">
        <v>15</v>
      </c>
      <c r="N764" s="31"/>
    </row>
    <row r="765" spans="1:14" x14ac:dyDescent="0.25">
      <c r="A765" s="4" t="str">
        <f>Sheet1!A765 &amp; "/" &amp; "2025"</f>
        <v>764/2025</v>
      </c>
      <c r="B765" s="5" t="str">
        <f>Sheet1!E765</f>
        <v>IND/MEL/00764</v>
      </c>
      <c r="C765" s="6" t="str">
        <f>UPPER(Sheet1!B765)</f>
        <v>KIRAN SHARMA</v>
      </c>
      <c r="D765" s="7" t="str">
        <f>IF(Sheet1!F765="F","FEMALE","MALE")</f>
        <v>FEMALE</v>
      </c>
      <c r="E765" s="6" t="str">
        <f>UPPER(Sheet1!G765)</f>
        <v>NEIL VALZARI</v>
      </c>
      <c r="F765" s="6" t="str">
        <f>UPPER(Sheet1!H765)</f>
        <v>DIYA VALZARI</v>
      </c>
      <c r="G765" s="5" t="str">
        <f>TEXT(Sheet1!C765,"dd/mm/yyyy") &amp; "," &amp; Sheet1!D765</f>
        <v>18/04/2025,WERRIBEE</v>
      </c>
      <c r="H765" s="39" t="str">
        <f>UPPER(Sheet1!J765 &amp; "," &amp; Sheet1!K765 &amp; "," &amp; Sheet1!L765)</f>
        <v>59 BIRCHWOOD LANE,EMERALD ROAD,PIN:686666 WERRIBEE</v>
      </c>
      <c r="I765" s="8">
        <f>Sheet1!I765</f>
        <v>45824</v>
      </c>
      <c r="J765" s="5" t="str">
        <f>Sheet1!M765 &amp; "," &amp; TEXT(Sheet1!N765,"dd/mm/yy")</f>
        <v>MHA/IND/00768,12/07/25</v>
      </c>
      <c r="K765" s="5" t="s">
        <v>5752</v>
      </c>
      <c r="L765" t="s">
        <v>14</v>
      </c>
      <c r="M765" s="31" t="s">
        <v>15</v>
      </c>
      <c r="N765" s="31"/>
    </row>
    <row r="766" spans="1:14" x14ac:dyDescent="0.25">
      <c r="A766" s="4" t="str">
        <f>Sheet1!A766 &amp; "/" &amp; "2025"</f>
        <v>765/2025</v>
      </c>
      <c r="B766" s="5" t="str">
        <f>Sheet1!E766</f>
        <v>IND/MEL/00765</v>
      </c>
      <c r="C766" s="6" t="str">
        <f>UPPER(Sheet1!B766)</f>
        <v>ANYA RAO</v>
      </c>
      <c r="D766" s="7" t="str">
        <f>IF(Sheet1!F766="F","FEMALE","MALE")</f>
        <v>MALE</v>
      </c>
      <c r="E766" s="6" t="str">
        <f>UPPER(Sheet1!G766)</f>
        <v>KABIR MYRTHOS</v>
      </c>
      <c r="F766" s="6" t="str">
        <f>UPPER(Sheet1!H766)</f>
        <v>MIRA MYRTHOS</v>
      </c>
      <c r="G766" s="5" t="str">
        <f>TEXT(Sheet1!C766,"dd/mm/yyyy") &amp; "," &amp; Sheet1!D766</f>
        <v>18/08/2025,MIDLAND</v>
      </c>
      <c r="H766" s="39" t="str">
        <f>UPPER(Sheet1!J766 &amp; "," &amp; Sheet1!K766 &amp; "," &amp; Sheet1!L766)</f>
        <v>68 BIRCHWOOD LANE,EMERALD ROAD,PIN:921614 MIDLAND</v>
      </c>
      <c r="I766" s="8">
        <f>Sheet1!I766</f>
        <v>45936</v>
      </c>
      <c r="J766" s="5" t="str">
        <f>Sheet1!M766 &amp; "," &amp; TEXT(Sheet1!N766,"dd/mm/yy")</f>
        <v>MHA/IND/00769,19/08/25</v>
      </c>
      <c r="K766" s="5" t="s">
        <v>5752</v>
      </c>
      <c r="L766" t="s">
        <v>14</v>
      </c>
      <c r="M766" s="31" t="s">
        <v>15</v>
      </c>
      <c r="N766" s="31"/>
    </row>
    <row r="767" spans="1:14" x14ac:dyDescent="0.25">
      <c r="A767" s="4" t="str">
        <f>Sheet1!A767 &amp; "/" &amp; "2025"</f>
        <v>766/2025</v>
      </c>
      <c r="B767" s="5" t="str">
        <f>Sheet1!E767</f>
        <v>IND/MEL/00766</v>
      </c>
      <c r="C767" s="6" t="str">
        <f>UPPER(Sheet1!B767)</f>
        <v>DIYA MYRTHOS</v>
      </c>
      <c r="D767" s="7" t="str">
        <f>IF(Sheet1!F767="F","FEMALE","MALE")</f>
        <v>FEMALE</v>
      </c>
      <c r="E767" s="6" t="str">
        <f>UPPER(Sheet1!G767)</f>
        <v>ISHAN MYRTHOS</v>
      </c>
      <c r="F767" s="6" t="str">
        <f>UPPER(Sheet1!H767)</f>
        <v>ALYA MYRTHOS</v>
      </c>
      <c r="G767" s="5" t="str">
        <f>TEXT(Sheet1!C767,"dd/mm/yyyy") &amp; "," &amp; Sheet1!D767</f>
        <v>29/01/2025,BUNDOORA</v>
      </c>
      <c r="H767" s="39" t="str">
        <f>UPPER(Sheet1!J767 &amp; "," &amp; Sheet1!K767 &amp; "," &amp; Sheet1!L767)</f>
        <v>191 BIRCHWOOD LANE,EMERALD ROAD,PIN:383372 BUNDOORA</v>
      </c>
      <c r="I767" s="8">
        <f>Sheet1!I767</f>
        <v>45704</v>
      </c>
      <c r="J767" s="5" t="str">
        <f>Sheet1!M767 &amp; "," &amp; TEXT(Sheet1!N767,"dd/mm/yy")</f>
        <v>MHA/IND/00770,12/08/25</v>
      </c>
      <c r="K767" s="5" t="s">
        <v>5752</v>
      </c>
      <c r="L767" t="s">
        <v>14</v>
      </c>
      <c r="M767" s="31" t="s">
        <v>15</v>
      </c>
      <c r="N767" s="31"/>
    </row>
    <row r="768" spans="1:14" x14ac:dyDescent="0.25">
      <c r="A768" s="4" t="str">
        <f>Sheet1!A768 &amp; "/" &amp; "2025"</f>
        <v>767/2025</v>
      </c>
      <c r="B768" s="5" t="str">
        <f>Sheet1!E768</f>
        <v>IND/MEL/00767</v>
      </c>
      <c r="C768" s="6" t="str">
        <f>UPPER(Sheet1!B768)</f>
        <v>DIYA RISHKAN</v>
      </c>
      <c r="D768" s="7" t="str">
        <f>IF(Sheet1!F768="F","FEMALE","MALE")</f>
        <v>MALE</v>
      </c>
      <c r="E768" s="6" t="str">
        <f>UPPER(Sheet1!G768)</f>
        <v>AREN SINDALE</v>
      </c>
      <c r="F768" s="6" t="str">
        <f>UPPER(Sheet1!H768)</f>
        <v>ALYA SINDALE</v>
      </c>
      <c r="G768" s="5" t="str">
        <f>TEXT(Sheet1!C768,"dd/mm/yyyy") &amp; "," &amp; Sheet1!D768</f>
        <v>21/04/2025,ADELAIDE</v>
      </c>
      <c r="H768" s="39" t="str">
        <f>UPPER(Sheet1!J768 &amp; "," &amp; Sheet1!K768 &amp; "," &amp; Sheet1!L768)</f>
        <v>28 BIRCHWOOD LANE,EMERALD ROAD,PIN:703922 ADELAIDE</v>
      </c>
      <c r="I768" s="8">
        <f>Sheet1!I768</f>
        <v>45805</v>
      </c>
      <c r="J768" s="5" t="str">
        <f>Sheet1!M768 &amp; "," &amp; TEXT(Sheet1!N768,"dd/mm/yy")</f>
        <v>MHA/IND/00771,01/08/25</v>
      </c>
      <c r="K768" s="5" t="s">
        <v>5752</v>
      </c>
      <c r="L768" t="s">
        <v>14</v>
      </c>
      <c r="M768" s="31" t="s">
        <v>15</v>
      </c>
      <c r="N768" s="31"/>
    </row>
    <row r="769" spans="1:14" x14ac:dyDescent="0.25">
      <c r="A769" s="4" t="str">
        <f>Sheet1!A769 &amp; "/" &amp; "2025"</f>
        <v>768/2025</v>
      </c>
      <c r="B769" s="5" t="str">
        <f>Sheet1!E769</f>
        <v>IND/MEL/00768</v>
      </c>
      <c r="C769" s="6" t="str">
        <f>UPPER(Sheet1!B769)</f>
        <v>ANYA VALZARI</v>
      </c>
      <c r="D769" s="7" t="str">
        <f>IF(Sheet1!F769="F","FEMALE","MALE")</f>
        <v>FEMALE</v>
      </c>
      <c r="E769" s="6" t="str">
        <f>UPPER(Sheet1!G769)</f>
        <v>ARJUN SHARMA</v>
      </c>
      <c r="F769" s="6" t="str">
        <f>UPPER(Sheet1!H769)</f>
        <v>ALYA SHARMA</v>
      </c>
      <c r="G769" s="5" t="str">
        <f>TEXT(Sheet1!C769,"dd/mm/yyyy") &amp; "," &amp; Sheet1!D769</f>
        <v>13/02/2025,TOOWOOMBA</v>
      </c>
      <c r="H769" s="39" t="str">
        <f>UPPER(Sheet1!J769 &amp; "," &amp; Sheet1!K769 &amp; "," &amp; Sheet1!L769)</f>
        <v>185 BIRCHWOOD LANE,EMERALD ROAD,PIN:926264 TOOWOOMBA</v>
      </c>
      <c r="I769" s="8">
        <f>Sheet1!I769</f>
        <v>45738</v>
      </c>
      <c r="J769" s="5" t="str">
        <f>Sheet1!M769 &amp; "," &amp; TEXT(Sheet1!N769,"dd/mm/yy")</f>
        <v>MHA/IND/00772,10/08/25</v>
      </c>
      <c r="K769" s="5" t="s">
        <v>5752</v>
      </c>
      <c r="L769" t="s">
        <v>14</v>
      </c>
      <c r="M769" s="31" t="s">
        <v>15</v>
      </c>
      <c r="N769" s="31"/>
    </row>
    <row r="770" spans="1:14" x14ac:dyDescent="0.25">
      <c r="A770" s="4" t="str">
        <f>Sheet1!A770 &amp; "/" &amp; "2025"</f>
        <v>769/2025</v>
      </c>
      <c r="B770" s="5" t="str">
        <f>Sheet1!E770</f>
        <v>IND/MEL/00769</v>
      </c>
      <c r="C770" s="6" t="str">
        <f>UPPER(Sheet1!B770)</f>
        <v>DEV MYRTHOS</v>
      </c>
      <c r="D770" s="7" t="str">
        <f>IF(Sheet1!F770="F","FEMALE","MALE")</f>
        <v>MALE</v>
      </c>
      <c r="E770" s="6" t="str">
        <f>UPPER(Sheet1!G770)</f>
        <v>ARJUN SINDALE</v>
      </c>
      <c r="F770" s="6" t="str">
        <f>UPPER(Sheet1!H770)</f>
        <v>SARA SINDALE</v>
      </c>
      <c r="G770" s="5" t="str">
        <f>TEXT(Sheet1!C770,"dd/mm/yyyy") &amp; "," &amp; Sheet1!D770</f>
        <v>21/02/2025,PERTH</v>
      </c>
      <c r="H770" s="39" t="str">
        <f>UPPER(Sheet1!J770 &amp; "," &amp; Sheet1!K770 &amp; "," &amp; Sheet1!L770)</f>
        <v>166 BIRCHWOOD LANE,EMERALD ROAD,PIN:836568 PERTH</v>
      </c>
      <c r="I770" s="8">
        <f>Sheet1!I770</f>
        <v>45797</v>
      </c>
      <c r="J770" s="5" t="str">
        <f>Sheet1!M770 &amp; "," &amp; TEXT(Sheet1!N770,"dd/mm/yy")</f>
        <v>MHA/IND/00773,06/07/25</v>
      </c>
      <c r="K770" s="5" t="s">
        <v>5752</v>
      </c>
      <c r="L770" t="s">
        <v>14</v>
      </c>
      <c r="M770" s="31" t="s">
        <v>15</v>
      </c>
      <c r="N770" s="31"/>
    </row>
    <row r="771" spans="1:14" x14ac:dyDescent="0.25">
      <c r="A771" s="4" t="str">
        <f>Sheet1!A771 &amp; "/" &amp; "2025"</f>
        <v>770/2025</v>
      </c>
      <c r="B771" s="5" t="str">
        <f>Sheet1!E771</f>
        <v>IND/MEL/00770</v>
      </c>
      <c r="C771" s="6" t="str">
        <f>UPPER(Sheet1!B771)</f>
        <v>NINA MYRTHOS</v>
      </c>
      <c r="D771" s="7" t="str">
        <f>IF(Sheet1!F771="F","FEMALE","MALE")</f>
        <v>FEMALE</v>
      </c>
      <c r="E771" s="6" t="str">
        <f>UPPER(Sheet1!G771)</f>
        <v>ISHAN RAO</v>
      </c>
      <c r="F771" s="6" t="str">
        <f>UPPER(Sheet1!H771)</f>
        <v>DIYA RAO</v>
      </c>
      <c r="G771" s="5" t="str">
        <f>TEXT(Sheet1!C771,"dd/mm/yyyy") &amp; "," &amp; Sheet1!D771</f>
        <v>03/06/2025,NEWCASTLE</v>
      </c>
      <c r="H771" s="39" t="str">
        <f>UPPER(Sheet1!J771 &amp; "," &amp; Sheet1!K771 &amp; "," &amp; Sheet1!L771)</f>
        <v>190 BIRCHWOOD LANE,EMERALD ROAD,PIN:596001 NEWCASTLE</v>
      </c>
      <c r="I771" s="8">
        <f>Sheet1!I771</f>
        <v>45898</v>
      </c>
      <c r="J771" s="5" t="str">
        <f>Sheet1!M771 &amp; "," &amp; TEXT(Sheet1!N771,"dd/mm/yy")</f>
        <v>MHA/IND/00774,29/08/25</v>
      </c>
      <c r="K771" s="5" t="s">
        <v>5752</v>
      </c>
      <c r="L771" t="s">
        <v>14</v>
      </c>
      <c r="M771" s="31" t="s">
        <v>15</v>
      </c>
      <c r="N771" s="31"/>
    </row>
    <row r="772" spans="1:14" x14ac:dyDescent="0.25">
      <c r="A772" s="4" t="str">
        <f>Sheet1!A772 &amp; "/" &amp; "2025"</f>
        <v>771/2025</v>
      </c>
      <c r="B772" s="5" t="str">
        <f>Sheet1!E772</f>
        <v>IND/MEL/00771</v>
      </c>
      <c r="C772" s="6" t="str">
        <f>UPPER(Sheet1!B772)</f>
        <v>ARJUN SINDALE</v>
      </c>
      <c r="D772" s="7" t="str">
        <f>IF(Sheet1!F772="F","FEMALE","MALE")</f>
        <v>MALE</v>
      </c>
      <c r="E772" s="6" t="str">
        <f>UPPER(Sheet1!G772)</f>
        <v>KABIR SINDALE</v>
      </c>
      <c r="F772" s="6" t="str">
        <f>UPPER(Sheet1!H772)</f>
        <v>TARA SINDALE</v>
      </c>
      <c r="G772" s="5" t="str">
        <f>TEXT(Sheet1!C772,"dd/mm/yyyy") &amp; "," &amp; Sheet1!D772</f>
        <v>11/02/2025,SHEPPARTON</v>
      </c>
      <c r="H772" s="39" t="str">
        <f>UPPER(Sheet1!J772 &amp; "," &amp; Sheet1!K772 &amp; "," &amp; Sheet1!L772)</f>
        <v>189 BIRCHWOOD LANE,EMERALD ROAD,PIN:454480 SHEPPARTON</v>
      </c>
      <c r="I772" s="8">
        <f>Sheet1!I772</f>
        <v>45721</v>
      </c>
      <c r="J772" s="5" t="str">
        <f>Sheet1!M772 &amp; "," &amp; TEXT(Sheet1!N772,"dd/mm/yy")</f>
        <v>MHA/IND/00775,15/07/25</v>
      </c>
      <c r="K772" s="5" t="s">
        <v>5752</v>
      </c>
      <c r="L772" t="s">
        <v>14</v>
      </c>
      <c r="M772" s="31" t="s">
        <v>15</v>
      </c>
      <c r="N772" s="31"/>
    </row>
    <row r="773" spans="1:14" x14ac:dyDescent="0.25">
      <c r="A773" s="4" t="str">
        <f>Sheet1!A773 &amp; "/" &amp; "2025"</f>
        <v>772/2025</v>
      </c>
      <c r="B773" s="5" t="str">
        <f>Sheet1!E773</f>
        <v>IND/MEL/00772</v>
      </c>
      <c r="C773" s="6" t="str">
        <f>UPPER(Sheet1!B773)</f>
        <v>DIYA SHARMA</v>
      </c>
      <c r="D773" s="7" t="str">
        <f>IF(Sheet1!F773="F","FEMALE","MALE")</f>
        <v>MALE</v>
      </c>
      <c r="E773" s="6" t="str">
        <f>UPPER(Sheet1!G773)</f>
        <v>AREN KALEON</v>
      </c>
      <c r="F773" s="6" t="str">
        <f>UPPER(Sheet1!H773)</f>
        <v>NINA KALEON</v>
      </c>
      <c r="G773" s="5" t="str">
        <f>TEXT(Sheet1!C773,"dd/mm/yyyy") &amp; "," &amp; Sheet1!D773</f>
        <v>15/10/2025,MOUNT WAVERLEY</v>
      </c>
      <c r="H773" s="39" t="str">
        <f>UPPER(Sheet1!J773 &amp; "," &amp; Sheet1!K773 &amp; "," &amp; Sheet1!L773)</f>
        <v>137 BIRCHWOOD LANE,EMERALD ROAD,PIN:600100 MOUNT WAVERLEY</v>
      </c>
      <c r="I773" s="8">
        <f>Sheet1!I773</f>
        <v>46061</v>
      </c>
      <c r="J773" s="5" t="str">
        <f>Sheet1!M773 &amp; "," &amp; TEXT(Sheet1!N773,"dd/mm/yy")</f>
        <v>MHA/IND/00776,03/07/25</v>
      </c>
      <c r="K773" s="5" t="s">
        <v>5752</v>
      </c>
      <c r="L773" t="s">
        <v>14</v>
      </c>
      <c r="M773" s="31" t="s">
        <v>15</v>
      </c>
      <c r="N773" s="31"/>
    </row>
    <row r="774" spans="1:14" x14ac:dyDescent="0.25">
      <c r="A774" s="4" t="str">
        <f>Sheet1!A774 &amp; "/" &amp; "2025"</f>
        <v>773/2025</v>
      </c>
      <c r="B774" s="5" t="str">
        <f>Sheet1!E774</f>
        <v>IND/MEL/00773</v>
      </c>
      <c r="C774" s="6" t="str">
        <f>UPPER(Sheet1!B774)</f>
        <v>ISHAN SINDALE</v>
      </c>
      <c r="D774" s="7" t="str">
        <f>IF(Sheet1!F774="F","FEMALE","MALE")</f>
        <v>MALE</v>
      </c>
      <c r="E774" s="6" t="str">
        <f>UPPER(Sheet1!G774)</f>
        <v>ARJUN MYRTHOS</v>
      </c>
      <c r="F774" s="6" t="str">
        <f>UPPER(Sheet1!H774)</f>
        <v>MIRA MYRTHOS</v>
      </c>
      <c r="G774" s="5" t="str">
        <f>TEXT(Sheet1!C774,"dd/mm/yyyy") &amp; "," &amp; Sheet1!D774</f>
        <v>20/03/2025,DEVONPORT</v>
      </c>
      <c r="H774" s="39" t="str">
        <f>UPPER(Sheet1!J774 &amp; "," &amp; Sheet1!K774 &amp; "," &amp; Sheet1!L774)</f>
        <v>125 BIRCHWOOD LANE,EMERALD ROAD,PIN:206474 DEVONPORT</v>
      </c>
      <c r="I774" s="8">
        <f>Sheet1!I774</f>
        <v>45837</v>
      </c>
      <c r="J774" s="5" t="str">
        <f>Sheet1!M774 &amp; "," &amp; TEXT(Sheet1!N774,"dd/mm/yy")</f>
        <v>MHA/IND/00777,13/07/25</v>
      </c>
      <c r="K774" s="5" t="s">
        <v>5752</v>
      </c>
      <c r="L774" t="s">
        <v>14</v>
      </c>
      <c r="M774" s="31" t="s">
        <v>15</v>
      </c>
      <c r="N774" s="31"/>
    </row>
    <row r="775" spans="1:14" x14ac:dyDescent="0.25">
      <c r="A775" s="4" t="str">
        <f>Sheet1!A775 &amp; "/" &amp; "2025"</f>
        <v>774/2025</v>
      </c>
      <c r="B775" s="5" t="str">
        <f>Sheet1!E775</f>
        <v>IND/MEL/00774</v>
      </c>
      <c r="C775" s="6" t="str">
        <f>UPPER(Sheet1!B775)</f>
        <v>ALYA RAO</v>
      </c>
      <c r="D775" s="7" t="str">
        <f>IF(Sheet1!F775="F","FEMALE","MALE")</f>
        <v>MALE</v>
      </c>
      <c r="E775" s="6" t="str">
        <f>UPPER(Sheet1!G775)</f>
        <v>AREN MYRTHOS</v>
      </c>
      <c r="F775" s="6" t="str">
        <f>UPPER(Sheet1!H775)</f>
        <v>ANYA MYRTHOS</v>
      </c>
      <c r="G775" s="5" t="str">
        <f>TEXT(Sheet1!C775,"dd/mm/yyyy") &amp; "," &amp; Sheet1!D775</f>
        <v>20/06/2025,BENDIGO</v>
      </c>
      <c r="H775" s="39" t="str">
        <f>UPPER(Sheet1!J775 &amp; "," &amp; Sheet1!K775 &amp; "," &amp; Sheet1!L775)</f>
        <v>153 BIRCHWOOD LANE,EMERALD ROAD,PIN:734089 BENDIGO</v>
      </c>
      <c r="I775" s="8">
        <f>Sheet1!I775</f>
        <v>45844</v>
      </c>
      <c r="J775" s="5" t="str">
        <f>Sheet1!M775 &amp; "," &amp; TEXT(Sheet1!N775,"dd/mm/yy")</f>
        <v>MHA/IND/00778,11/07/25</v>
      </c>
      <c r="K775" s="5" t="s">
        <v>5752</v>
      </c>
      <c r="L775" t="s">
        <v>14</v>
      </c>
      <c r="M775" s="31" t="s">
        <v>15</v>
      </c>
      <c r="N775" s="31"/>
    </row>
    <row r="776" spans="1:14" x14ac:dyDescent="0.25">
      <c r="A776" s="4" t="str">
        <f>Sheet1!A776 &amp; "/" &amp; "2025"</f>
        <v>775/2025</v>
      </c>
      <c r="B776" s="5" t="str">
        <f>Sheet1!E776</f>
        <v>IND/MEL/00775</v>
      </c>
      <c r="C776" s="6" t="str">
        <f>UPPER(Sheet1!B776)</f>
        <v>ISHAN SINDALE</v>
      </c>
      <c r="D776" s="7" t="str">
        <f>IF(Sheet1!F776="F","FEMALE","MALE")</f>
        <v>MALE</v>
      </c>
      <c r="E776" s="6" t="str">
        <f>UPPER(Sheet1!G776)</f>
        <v>KIRAN SINDALE</v>
      </c>
      <c r="F776" s="6" t="str">
        <f>UPPER(Sheet1!H776)</f>
        <v>TARA SINDALE</v>
      </c>
      <c r="G776" s="5" t="str">
        <f>TEXT(Sheet1!C776,"dd/mm/yyyy") &amp; "," &amp; Sheet1!D776</f>
        <v>30/06/2025,SHEPPARTON</v>
      </c>
      <c r="H776" s="39" t="str">
        <f>UPPER(Sheet1!J776 &amp; "," &amp; Sheet1!K776 &amp; "," &amp; Sheet1!L776)</f>
        <v>62 BIRCHWOOD LANE,EMERALD ROAD,PIN:334715 SHEPPARTON</v>
      </c>
      <c r="I776" s="8">
        <f>Sheet1!I776</f>
        <v>45918</v>
      </c>
      <c r="J776" s="5" t="str">
        <f>Sheet1!M776 &amp; "," &amp; TEXT(Sheet1!N776,"dd/mm/yy")</f>
        <v>MHA/IND/00779,14/08/25</v>
      </c>
      <c r="K776" s="5" t="s">
        <v>5752</v>
      </c>
      <c r="L776" t="s">
        <v>14</v>
      </c>
      <c r="M776" s="31" t="s">
        <v>15</v>
      </c>
      <c r="N776" s="31"/>
    </row>
    <row r="777" spans="1:14" x14ac:dyDescent="0.25">
      <c r="A777" s="4" t="str">
        <f>Sheet1!A777 &amp; "/" &amp; "2025"</f>
        <v>776/2025</v>
      </c>
      <c r="B777" s="5" t="str">
        <f>Sheet1!E777</f>
        <v>IND/MEL/00776</v>
      </c>
      <c r="C777" s="6" t="str">
        <f>UPPER(Sheet1!B777)</f>
        <v>ISHAN KALEON</v>
      </c>
      <c r="D777" s="7" t="str">
        <f>IF(Sheet1!F777="F","FEMALE","MALE")</f>
        <v>MALE</v>
      </c>
      <c r="E777" s="6" t="str">
        <f>UPPER(Sheet1!G777)</f>
        <v>DEV SHARMA</v>
      </c>
      <c r="F777" s="6" t="str">
        <f>UPPER(Sheet1!H777)</f>
        <v>RIYA SHARMA</v>
      </c>
      <c r="G777" s="5" t="str">
        <f>TEXT(Sheet1!C777,"dd/mm/yyyy") &amp; "," &amp; Sheet1!D777</f>
        <v>31/08/2025,WODONGA</v>
      </c>
      <c r="H777" s="39" t="str">
        <f>UPPER(Sheet1!J777 &amp; "," &amp; Sheet1!K777 &amp; "," &amp; Sheet1!L777)</f>
        <v>93 BIRCHWOOD LANE,EMERALD ROAD,PIN:490957 WODONGA</v>
      </c>
      <c r="I777" s="8">
        <f>Sheet1!I777</f>
        <v>45984</v>
      </c>
      <c r="J777" s="5" t="str">
        <f>Sheet1!M777 &amp; "," &amp; TEXT(Sheet1!N777,"dd/mm/yy")</f>
        <v>MHA/IND/00780,05/07/25</v>
      </c>
      <c r="K777" s="5" t="s">
        <v>5752</v>
      </c>
      <c r="L777" t="s">
        <v>14</v>
      </c>
      <c r="M777" s="31" t="s">
        <v>15</v>
      </c>
      <c r="N777" s="31"/>
    </row>
    <row r="778" spans="1:14" x14ac:dyDescent="0.25">
      <c r="A778" s="4" t="str">
        <f>Sheet1!A778 &amp; "/" &amp; "2025"</f>
        <v>777/2025</v>
      </c>
      <c r="B778" s="5" t="str">
        <f>Sheet1!E778</f>
        <v>IND/MEL/00777</v>
      </c>
      <c r="C778" s="6" t="str">
        <f>UPPER(Sheet1!B778)</f>
        <v>KIRAN MYRTHOS</v>
      </c>
      <c r="D778" s="7" t="str">
        <f>IF(Sheet1!F778="F","FEMALE","MALE")</f>
        <v>FEMALE</v>
      </c>
      <c r="E778" s="6" t="str">
        <f>UPPER(Sheet1!G778)</f>
        <v>NEIL RAO</v>
      </c>
      <c r="F778" s="6" t="str">
        <f>UPPER(Sheet1!H778)</f>
        <v>MIRA RAO</v>
      </c>
      <c r="G778" s="5" t="str">
        <f>TEXT(Sheet1!C778,"dd/mm/yyyy") &amp; "," &amp; Sheet1!D778</f>
        <v>23/10/2025,PENRITH</v>
      </c>
      <c r="H778" s="39" t="str">
        <f>UPPER(Sheet1!J778 &amp; "," &amp; Sheet1!K778 &amp; "," &amp; Sheet1!L778)</f>
        <v>159 BIRCHWOOD LANE,EMERALD ROAD,PIN:895389 PENRITH</v>
      </c>
      <c r="I778" s="8">
        <f>Sheet1!I778</f>
        <v>45959</v>
      </c>
      <c r="J778" s="5" t="str">
        <f>Sheet1!M778 &amp; "," &amp; TEXT(Sheet1!N778,"dd/mm/yy")</f>
        <v>MHA/IND/00781,24/07/25</v>
      </c>
      <c r="K778" s="5" t="s">
        <v>5752</v>
      </c>
      <c r="L778" t="s">
        <v>14</v>
      </c>
      <c r="M778" s="31" t="s">
        <v>15</v>
      </c>
      <c r="N778" s="31"/>
    </row>
    <row r="779" spans="1:14" x14ac:dyDescent="0.25">
      <c r="A779" s="4" t="str">
        <f>Sheet1!A779 &amp; "/" &amp; "2025"</f>
        <v>778/2025</v>
      </c>
      <c r="B779" s="5" t="str">
        <f>Sheet1!E779</f>
        <v>IND/MEL/00778</v>
      </c>
      <c r="C779" s="6" t="str">
        <f>UPPER(Sheet1!B779)</f>
        <v>ISHAN MYRTHOS</v>
      </c>
      <c r="D779" s="7" t="str">
        <f>IF(Sheet1!F779="F","FEMALE","MALE")</f>
        <v>FEMALE</v>
      </c>
      <c r="E779" s="6" t="str">
        <f>UPPER(Sheet1!G779)</f>
        <v>ISHAN KALEON</v>
      </c>
      <c r="F779" s="6" t="str">
        <f>UPPER(Sheet1!H779)</f>
        <v>ALYA KALEON</v>
      </c>
      <c r="G779" s="5" t="str">
        <f>TEXT(Sheet1!C779,"dd/mm/yyyy") &amp; "," &amp; Sheet1!D779</f>
        <v>27/04/2025,WODONGA</v>
      </c>
      <c r="H779" s="39" t="str">
        <f>UPPER(Sheet1!J779 &amp; "," &amp; Sheet1!K779 &amp; "," &amp; Sheet1!L779)</f>
        <v>21 BIRCHWOOD LANE,EMERALD ROAD,PIN:899035 WODONGA</v>
      </c>
      <c r="I779" s="8">
        <f>Sheet1!I779</f>
        <v>45805</v>
      </c>
      <c r="J779" s="5" t="str">
        <f>Sheet1!M779 &amp; "," &amp; TEXT(Sheet1!N779,"dd/mm/yy")</f>
        <v>MHA/IND/00782,06/07/25</v>
      </c>
      <c r="K779" s="5" t="s">
        <v>5752</v>
      </c>
      <c r="L779" t="s">
        <v>14</v>
      </c>
      <c r="M779" s="31" t="s">
        <v>15</v>
      </c>
      <c r="N779" s="31"/>
    </row>
    <row r="780" spans="1:14" x14ac:dyDescent="0.25">
      <c r="A780" s="4" t="str">
        <f>Sheet1!A780 &amp; "/" &amp; "2025"</f>
        <v>779/2025</v>
      </c>
      <c r="B780" s="5" t="str">
        <f>Sheet1!E780</f>
        <v>IND/MEL/00779</v>
      </c>
      <c r="C780" s="6" t="str">
        <f>UPPER(Sheet1!B780)</f>
        <v>AREN SINDALE</v>
      </c>
      <c r="D780" s="7" t="str">
        <f>IF(Sheet1!F780="F","FEMALE","MALE")</f>
        <v>FEMALE</v>
      </c>
      <c r="E780" s="6" t="str">
        <f>UPPER(Sheet1!G780)</f>
        <v>NEIL RAO</v>
      </c>
      <c r="F780" s="6" t="str">
        <f>UPPER(Sheet1!H780)</f>
        <v>DIYA RAO</v>
      </c>
      <c r="G780" s="5" t="str">
        <f>TEXT(Sheet1!C780,"dd/mm/yyyy") &amp; "," &amp; Sheet1!D780</f>
        <v>06/10/2025,IPSWICH</v>
      </c>
      <c r="H780" s="39" t="str">
        <f>UPPER(Sheet1!J780 &amp; "," &amp; Sheet1!K780 &amp; "," &amp; Sheet1!L780)</f>
        <v>125 BIRCHWOOD LANE,EMERALD ROAD,PIN:344922 IPSWICH</v>
      </c>
      <c r="I780" s="8">
        <f>Sheet1!I780</f>
        <v>45992</v>
      </c>
      <c r="J780" s="5" t="str">
        <f>Sheet1!M780 &amp; "," &amp; TEXT(Sheet1!N780,"dd/mm/yy")</f>
        <v>MHA/IND/00783,21/08/25</v>
      </c>
      <c r="K780" s="5" t="s">
        <v>5752</v>
      </c>
      <c r="L780" t="s">
        <v>14</v>
      </c>
      <c r="M780" s="31" t="s">
        <v>15</v>
      </c>
      <c r="N780" s="31"/>
    </row>
    <row r="781" spans="1:14" x14ac:dyDescent="0.25">
      <c r="A781" s="4" t="str">
        <f>Sheet1!A781 &amp; "/" &amp; "2025"</f>
        <v>780/2025</v>
      </c>
      <c r="B781" s="5" t="str">
        <f>Sheet1!E781</f>
        <v>IND/MEL/00780</v>
      </c>
      <c r="C781" s="6" t="str">
        <f>UPPER(Sheet1!B781)</f>
        <v>ARJUN SHARMA</v>
      </c>
      <c r="D781" s="7" t="str">
        <f>IF(Sheet1!F781="F","FEMALE","MALE")</f>
        <v>FEMALE</v>
      </c>
      <c r="E781" s="6" t="str">
        <f>UPPER(Sheet1!G781)</f>
        <v>ARJUN KALEON</v>
      </c>
      <c r="F781" s="6" t="str">
        <f>UPPER(Sheet1!H781)</f>
        <v>ANYA KALEON</v>
      </c>
      <c r="G781" s="5" t="str">
        <f>TEXT(Sheet1!C781,"dd/mm/yyyy") &amp; "," &amp; Sheet1!D781</f>
        <v>27/03/2025,BERWICK</v>
      </c>
      <c r="H781" s="39" t="str">
        <f>UPPER(Sheet1!J781 &amp; "," &amp; Sheet1!K781 &amp; "," &amp; Sheet1!L781)</f>
        <v>68 BIRCHWOOD LANE,EMERALD ROAD,PIN:360661 BERWICK</v>
      </c>
      <c r="I781" s="8">
        <f>Sheet1!I781</f>
        <v>45754</v>
      </c>
      <c r="J781" s="5" t="str">
        <f>Sheet1!M781 &amp; "," &amp; TEXT(Sheet1!N781,"dd/mm/yy")</f>
        <v>MHA/IND/00784,08/07/25</v>
      </c>
      <c r="K781" s="5" t="s">
        <v>5752</v>
      </c>
      <c r="L781" t="s">
        <v>14</v>
      </c>
      <c r="M781" s="31" t="s">
        <v>15</v>
      </c>
      <c r="N781" s="31"/>
    </row>
    <row r="782" spans="1:14" x14ac:dyDescent="0.25">
      <c r="A782" s="4" t="str">
        <f>Sheet1!A782 &amp; "/" &amp; "2025"</f>
        <v>781/2025</v>
      </c>
      <c r="B782" s="5" t="str">
        <f>Sheet1!E782</f>
        <v>IND/MEL/00781</v>
      </c>
      <c r="C782" s="6" t="str">
        <f>UPPER(Sheet1!B782)</f>
        <v>ALYA RAO</v>
      </c>
      <c r="D782" s="7" t="str">
        <f>IF(Sheet1!F782="F","FEMALE","MALE")</f>
        <v>FEMALE</v>
      </c>
      <c r="E782" s="6" t="str">
        <f>UPPER(Sheet1!G782)</f>
        <v>ARJUN MYRTHOS</v>
      </c>
      <c r="F782" s="6" t="str">
        <f>UPPER(Sheet1!H782)</f>
        <v>NINA MYRTHOS</v>
      </c>
      <c r="G782" s="5" t="str">
        <f>TEXT(Sheet1!C782,"dd/mm/yyyy") &amp; "," &amp; Sheet1!D782</f>
        <v>20/10/2025,CANBERRA</v>
      </c>
      <c r="H782" s="39" t="str">
        <f>UPPER(Sheet1!J782 &amp; "," &amp; Sheet1!K782 &amp; "," &amp; Sheet1!L782)</f>
        <v>196 BIRCHWOOD LANE,EMERALD ROAD,PIN:308984 CANBERRA</v>
      </c>
      <c r="I782" s="8">
        <f>Sheet1!I782</f>
        <v>45969</v>
      </c>
      <c r="J782" s="5" t="str">
        <f>Sheet1!M782 &amp; "," &amp; TEXT(Sheet1!N782,"dd/mm/yy")</f>
        <v>MHA/IND/00785,07/07/25</v>
      </c>
      <c r="K782" s="5" t="s">
        <v>5752</v>
      </c>
      <c r="L782" t="s">
        <v>14</v>
      </c>
      <c r="M782" s="31" t="s">
        <v>15</v>
      </c>
      <c r="N782" s="31"/>
    </row>
    <row r="783" spans="1:14" x14ac:dyDescent="0.25">
      <c r="A783" s="4" t="str">
        <f>Sheet1!A783 &amp; "/" &amp; "2025"</f>
        <v>782/2025</v>
      </c>
      <c r="B783" s="5" t="str">
        <f>Sheet1!E783</f>
        <v>IND/MEL/00782</v>
      </c>
      <c r="C783" s="6" t="str">
        <f>UPPER(Sheet1!B783)</f>
        <v>DIYA KALEON</v>
      </c>
      <c r="D783" s="7" t="str">
        <f>IF(Sheet1!F783="F","FEMALE","MALE")</f>
        <v>FEMALE</v>
      </c>
      <c r="E783" s="6" t="str">
        <f>UPPER(Sheet1!G783)</f>
        <v>AREN KALEON</v>
      </c>
      <c r="F783" s="6" t="str">
        <f>UPPER(Sheet1!H783)</f>
        <v>ALYA KALEON</v>
      </c>
      <c r="G783" s="5" t="str">
        <f>TEXT(Sheet1!C783,"dd/mm/yyyy") &amp; "," &amp; Sheet1!D783</f>
        <v>02/01/2025,CLAYTON</v>
      </c>
      <c r="H783" s="39" t="str">
        <f>UPPER(Sheet1!J783 &amp; "," &amp; Sheet1!K783 &amp; "," &amp; Sheet1!L783)</f>
        <v>37 BIRCHWOOD LANE,EMERALD ROAD,PIN:907143 CLAYTON</v>
      </c>
      <c r="I783" s="8">
        <f>Sheet1!I783</f>
        <v>45686</v>
      </c>
      <c r="J783" s="5" t="str">
        <f>Sheet1!M783 &amp; "," &amp; TEXT(Sheet1!N783,"dd/mm/yy")</f>
        <v>MHA/IND/00786,29/08/25</v>
      </c>
      <c r="K783" s="5" t="s">
        <v>5752</v>
      </c>
      <c r="L783" t="s">
        <v>14</v>
      </c>
      <c r="M783" s="31" t="s">
        <v>15</v>
      </c>
      <c r="N783" s="31"/>
    </row>
    <row r="784" spans="1:14" x14ac:dyDescent="0.25">
      <c r="A784" s="4" t="str">
        <f>Sheet1!A784 &amp; "/" &amp; "2025"</f>
        <v>783/2025</v>
      </c>
      <c r="B784" s="5" t="str">
        <f>Sheet1!E784</f>
        <v>IND/MEL/00783</v>
      </c>
      <c r="C784" s="6" t="str">
        <f>UPPER(Sheet1!B784)</f>
        <v>ANYA RAO</v>
      </c>
      <c r="D784" s="7" t="str">
        <f>IF(Sheet1!F784="F","FEMALE","MALE")</f>
        <v>FEMALE</v>
      </c>
      <c r="E784" s="6" t="str">
        <f>UPPER(Sheet1!G784)</f>
        <v>AREN MYRTHOS</v>
      </c>
      <c r="F784" s="6" t="str">
        <f>UPPER(Sheet1!H784)</f>
        <v>SARA MYRTHOS</v>
      </c>
      <c r="G784" s="5" t="str">
        <f>TEXT(Sheet1!C784,"dd/mm/yyyy") &amp; "," &amp; Sheet1!D784</f>
        <v>03/07/2025,BRISBANE</v>
      </c>
      <c r="H784" s="39" t="str">
        <f>UPPER(Sheet1!J784 &amp; "," &amp; Sheet1!K784 &amp; "," &amp; Sheet1!L784)</f>
        <v>78 BIRCHWOOD LANE,EMERALD ROAD,PIN:350260 BRISBANE</v>
      </c>
      <c r="I784" s="8">
        <f>Sheet1!I784</f>
        <v>45924</v>
      </c>
      <c r="J784" s="5" t="str">
        <f>Sheet1!M784 &amp; "," &amp; TEXT(Sheet1!N784,"dd/mm/yy")</f>
        <v>MHA/IND/00787,08/08/25</v>
      </c>
      <c r="K784" s="5" t="s">
        <v>5752</v>
      </c>
      <c r="L784" t="s">
        <v>14</v>
      </c>
      <c r="M784" s="31" t="s">
        <v>15</v>
      </c>
      <c r="N784" s="31"/>
    </row>
    <row r="785" spans="1:14" x14ac:dyDescent="0.25">
      <c r="A785" s="4" t="str">
        <f>Sheet1!A785 &amp; "/" &amp; "2025"</f>
        <v>784/2025</v>
      </c>
      <c r="B785" s="5" t="str">
        <f>Sheet1!E785</f>
        <v>IND/MEL/00784</v>
      </c>
      <c r="C785" s="6" t="str">
        <f>UPPER(Sheet1!B785)</f>
        <v>NINA KALEON</v>
      </c>
      <c r="D785" s="7" t="str">
        <f>IF(Sheet1!F785="F","FEMALE","MALE")</f>
        <v>MALE</v>
      </c>
      <c r="E785" s="6" t="str">
        <f>UPPER(Sheet1!G785)</f>
        <v>KIRAN KALEON</v>
      </c>
      <c r="F785" s="6" t="str">
        <f>UPPER(Sheet1!H785)</f>
        <v>DIYA KALEON</v>
      </c>
      <c r="G785" s="5" t="str">
        <f>TEXT(Sheet1!C785,"dd/mm/yyyy") &amp; "," &amp; Sheet1!D785</f>
        <v>27/06/2025,KINGSWOOD</v>
      </c>
      <c r="H785" s="39" t="str">
        <f>UPPER(Sheet1!J785 &amp; "," &amp; Sheet1!K785 &amp; "," &amp; Sheet1!L785)</f>
        <v>112 BIRCHWOOD LANE,EMERALD ROAD,PIN:337234 KINGSWOOD</v>
      </c>
      <c r="I785" s="8">
        <f>Sheet1!I785</f>
        <v>45893</v>
      </c>
      <c r="J785" s="5" t="str">
        <f>Sheet1!M785 &amp; "," &amp; TEXT(Sheet1!N785,"dd/mm/yy")</f>
        <v>MHA/IND/00788,03/08/25</v>
      </c>
      <c r="K785" s="5" t="s">
        <v>5752</v>
      </c>
      <c r="L785" t="s">
        <v>14</v>
      </c>
      <c r="M785" s="31" t="s">
        <v>15</v>
      </c>
      <c r="N785" s="31"/>
    </row>
    <row r="786" spans="1:14" x14ac:dyDescent="0.25">
      <c r="A786" s="4" t="str">
        <f>Sheet1!A786 &amp; "/" &amp; "2025"</f>
        <v>785/2025</v>
      </c>
      <c r="B786" s="5" t="str">
        <f>Sheet1!E786</f>
        <v>IND/MEL/00785</v>
      </c>
      <c r="C786" s="6" t="str">
        <f>UPPER(Sheet1!B786)</f>
        <v>ANYA MYRTHOS</v>
      </c>
      <c r="D786" s="7" t="str">
        <f>IF(Sheet1!F786="F","FEMALE","MALE")</f>
        <v>MALE</v>
      </c>
      <c r="E786" s="6" t="str">
        <f>UPPER(Sheet1!G786)</f>
        <v>ARJUN SHARMA</v>
      </c>
      <c r="F786" s="6" t="str">
        <f>UPPER(Sheet1!H786)</f>
        <v>MIRA SHARMA</v>
      </c>
      <c r="G786" s="5" t="str">
        <f>TEXT(Sheet1!C786,"dd/mm/yyyy") &amp; "," &amp; Sheet1!D786</f>
        <v>26/09/2025,CAMPBELLTOWN</v>
      </c>
      <c r="H786" s="39" t="str">
        <f>UPPER(Sheet1!J786 &amp; "," &amp; Sheet1!K786 &amp; "," &amp; Sheet1!L786)</f>
        <v>84 BIRCHWOOD LANE,EMERALD ROAD,PIN:403707 CAMPBELLTOWN</v>
      </c>
      <c r="I786" s="8">
        <f>Sheet1!I786</f>
        <v>45969</v>
      </c>
      <c r="J786" s="5" t="str">
        <f>Sheet1!M786 &amp; "," &amp; TEXT(Sheet1!N786,"dd/mm/yy")</f>
        <v>MHA/IND/00789,02/07/25</v>
      </c>
      <c r="K786" s="5" t="s">
        <v>5752</v>
      </c>
      <c r="L786" t="s">
        <v>14</v>
      </c>
      <c r="M786" s="31" t="s">
        <v>15</v>
      </c>
      <c r="N786" s="31"/>
    </row>
    <row r="787" spans="1:14" x14ac:dyDescent="0.25">
      <c r="A787" s="4" t="str">
        <f>Sheet1!A787 &amp; "/" &amp; "2025"</f>
        <v>786/2025</v>
      </c>
      <c r="B787" s="5" t="str">
        <f>Sheet1!E787</f>
        <v>IND/MEL/00786</v>
      </c>
      <c r="C787" s="6" t="str">
        <f>UPPER(Sheet1!B787)</f>
        <v>ANYA KALEON</v>
      </c>
      <c r="D787" s="7" t="str">
        <f>IF(Sheet1!F787="F","FEMALE","MALE")</f>
        <v>FEMALE</v>
      </c>
      <c r="E787" s="6" t="str">
        <f>UPPER(Sheet1!G787)</f>
        <v>ARJUN RISHKAN</v>
      </c>
      <c r="F787" s="6" t="str">
        <f>UPPER(Sheet1!H787)</f>
        <v>MIRA RISHKAN</v>
      </c>
      <c r="G787" s="5" t="str">
        <f>TEXT(Sheet1!C787,"dd/mm/yyyy") &amp; "," &amp; Sheet1!D787</f>
        <v>06/01/2025,BERWICK</v>
      </c>
      <c r="H787" s="39" t="str">
        <f>UPPER(Sheet1!J787 &amp; "," &amp; Sheet1!K787 &amp; "," &amp; Sheet1!L787)</f>
        <v>61 BIRCHWOOD LANE,EMERALD ROAD,PIN:379882 BERWICK</v>
      </c>
      <c r="I787" s="8">
        <f>Sheet1!I787</f>
        <v>45730</v>
      </c>
      <c r="J787" s="5" t="str">
        <f>Sheet1!M787 &amp; "," &amp; TEXT(Sheet1!N787,"dd/mm/yy")</f>
        <v>MHA/IND/00790,20/07/25</v>
      </c>
      <c r="K787" s="5" t="s">
        <v>5752</v>
      </c>
      <c r="L787" t="s">
        <v>14</v>
      </c>
      <c r="M787" s="31" t="s">
        <v>15</v>
      </c>
      <c r="N787" s="31"/>
    </row>
    <row r="788" spans="1:14" x14ac:dyDescent="0.25">
      <c r="A788" s="4" t="str">
        <f>Sheet1!A788 &amp; "/" &amp; "2025"</f>
        <v>787/2025</v>
      </c>
      <c r="B788" s="5" t="str">
        <f>Sheet1!E788</f>
        <v>IND/MEL/00787</v>
      </c>
      <c r="C788" s="6" t="str">
        <f>UPPER(Sheet1!B788)</f>
        <v>RIYA MYRTHOS</v>
      </c>
      <c r="D788" s="7" t="str">
        <f>IF(Sheet1!F788="F","FEMALE","MALE")</f>
        <v>MALE</v>
      </c>
      <c r="E788" s="6" t="str">
        <f>UPPER(Sheet1!G788)</f>
        <v>ARJUN RAO</v>
      </c>
      <c r="F788" s="6" t="str">
        <f>UPPER(Sheet1!H788)</f>
        <v>MIRA RAO</v>
      </c>
      <c r="G788" s="5" t="str">
        <f>TEXT(Sheet1!C788,"dd/mm/yyyy") &amp; "," &amp; Sheet1!D788</f>
        <v>18/02/2025,PERTH</v>
      </c>
      <c r="H788" s="39" t="str">
        <f>UPPER(Sheet1!J788 &amp; "," &amp; Sheet1!K788 &amp; "," &amp; Sheet1!L788)</f>
        <v>15 BIRCHWOOD LANE,EMERALD ROAD,PIN:909065 PERTH</v>
      </c>
      <c r="I788" s="8">
        <f>Sheet1!I788</f>
        <v>45815</v>
      </c>
      <c r="J788" s="5" t="str">
        <f>Sheet1!M788 &amp; "," &amp; TEXT(Sheet1!N788,"dd/mm/yy")</f>
        <v>MHA/IND/00791,21/07/25</v>
      </c>
      <c r="K788" s="5" t="s">
        <v>5752</v>
      </c>
      <c r="L788" t="s">
        <v>14</v>
      </c>
      <c r="M788" s="31" t="s">
        <v>15</v>
      </c>
      <c r="N788" s="31"/>
    </row>
    <row r="789" spans="1:14" x14ac:dyDescent="0.25">
      <c r="A789" s="4" t="str">
        <f>Sheet1!A789 &amp; "/" &amp; "2025"</f>
        <v>788/2025</v>
      </c>
      <c r="B789" s="5" t="str">
        <f>Sheet1!E789</f>
        <v>IND/MEL/00788</v>
      </c>
      <c r="C789" s="6" t="str">
        <f>UPPER(Sheet1!B789)</f>
        <v>NEIL KALEON</v>
      </c>
      <c r="D789" s="7" t="str">
        <f>IF(Sheet1!F789="F","FEMALE","MALE")</f>
        <v>FEMALE</v>
      </c>
      <c r="E789" s="6" t="str">
        <f>UPPER(Sheet1!G789)</f>
        <v>ROHIT SHARMA</v>
      </c>
      <c r="F789" s="6" t="str">
        <f>UPPER(Sheet1!H789)</f>
        <v>ANYA SHARMA</v>
      </c>
      <c r="G789" s="5" t="str">
        <f>TEXT(Sheet1!C789,"dd/mm/yyyy") &amp; "," &amp; Sheet1!D789</f>
        <v>16/07/2025,TRARALGON</v>
      </c>
      <c r="H789" s="39" t="str">
        <f>UPPER(Sheet1!J789 &amp; "," &amp; Sheet1!K789 &amp; "," &amp; Sheet1!L789)</f>
        <v>105 BIRCHWOOD LANE,EMERALD ROAD,PIN:749689 TRARALGON</v>
      </c>
      <c r="I789" s="8">
        <f>Sheet1!I789</f>
        <v>45971</v>
      </c>
      <c r="J789" s="5" t="str">
        <f>Sheet1!M789 &amp; "," &amp; TEXT(Sheet1!N789,"dd/mm/yy")</f>
        <v>MHA/IND/00792,08/07/25</v>
      </c>
      <c r="K789" s="5" t="s">
        <v>5752</v>
      </c>
      <c r="L789" t="s">
        <v>14</v>
      </c>
      <c r="M789" s="31" t="s">
        <v>15</v>
      </c>
      <c r="N789" s="31"/>
    </row>
    <row r="790" spans="1:14" x14ac:dyDescent="0.25">
      <c r="A790" s="4" t="str">
        <f>Sheet1!A790 &amp; "/" &amp; "2025"</f>
        <v>789/2025</v>
      </c>
      <c r="B790" s="5" t="str">
        <f>Sheet1!E790</f>
        <v>IND/MEL/00789</v>
      </c>
      <c r="C790" s="6" t="str">
        <f>UPPER(Sheet1!B790)</f>
        <v>KABIR SHARMA</v>
      </c>
      <c r="D790" s="7" t="str">
        <f>IF(Sheet1!F790="F","FEMALE","MALE")</f>
        <v>FEMALE</v>
      </c>
      <c r="E790" s="6" t="str">
        <f>UPPER(Sheet1!G790)</f>
        <v>ISHAN KALEON</v>
      </c>
      <c r="F790" s="6" t="str">
        <f>UPPER(Sheet1!H790)</f>
        <v>NINA KALEON</v>
      </c>
      <c r="G790" s="5" t="str">
        <f>TEXT(Sheet1!C790,"dd/mm/yyyy") &amp; "," &amp; Sheet1!D790</f>
        <v>16/10/2025,BRISBANE</v>
      </c>
      <c r="H790" s="39" t="str">
        <f>UPPER(Sheet1!J790 &amp; "," &amp; Sheet1!K790 &amp; "," &amp; Sheet1!L790)</f>
        <v>151 BIRCHWOOD LANE,EMERALD ROAD,PIN:690803 BRISBANE</v>
      </c>
      <c r="I790" s="8">
        <f>Sheet1!I790</f>
        <v>46009</v>
      </c>
      <c r="J790" s="5" t="str">
        <f>Sheet1!M790 &amp; "," &amp; TEXT(Sheet1!N790,"dd/mm/yy")</f>
        <v>MHA/IND/00793,27/08/25</v>
      </c>
      <c r="K790" s="5" t="s">
        <v>5752</v>
      </c>
      <c r="L790" t="s">
        <v>14</v>
      </c>
      <c r="M790" s="31" t="s">
        <v>15</v>
      </c>
      <c r="N790" s="31"/>
    </row>
    <row r="791" spans="1:14" x14ac:dyDescent="0.25">
      <c r="A791" s="4" t="str">
        <f>Sheet1!A791 &amp; "/" &amp; "2025"</f>
        <v>790/2025</v>
      </c>
      <c r="B791" s="5" t="str">
        <f>Sheet1!E791</f>
        <v>IND/MEL/00790</v>
      </c>
      <c r="C791" s="6" t="str">
        <f>UPPER(Sheet1!B791)</f>
        <v>ANYA RISHKAN</v>
      </c>
      <c r="D791" s="7" t="str">
        <f>IF(Sheet1!F791="F","FEMALE","MALE")</f>
        <v>MALE</v>
      </c>
      <c r="E791" s="6" t="str">
        <f>UPPER(Sheet1!G791)</f>
        <v>NEIL RAO</v>
      </c>
      <c r="F791" s="6" t="str">
        <f>UPPER(Sheet1!H791)</f>
        <v>RIYA RAO</v>
      </c>
      <c r="G791" s="5" t="str">
        <f>TEXT(Sheet1!C791,"dd/mm/yyyy") &amp; "," &amp; Sheet1!D791</f>
        <v>10/10/2025,GEELONG</v>
      </c>
      <c r="H791" s="39" t="str">
        <f>UPPER(Sheet1!J791 &amp; "," &amp; Sheet1!K791 &amp; "," &amp; Sheet1!L791)</f>
        <v>28 BIRCHWOOD LANE,EMERALD ROAD,PIN:862049 GEELONG</v>
      </c>
      <c r="I791" s="8">
        <f>Sheet1!I791</f>
        <v>46053</v>
      </c>
      <c r="J791" s="5" t="str">
        <f>Sheet1!M791 &amp; "," &amp; TEXT(Sheet1!N791,"dd/mm/yy")</f>
        <v>MHA/IND/00794,10/07/25</v>
      </c>
      <c r="K791" s="5" t="s">
        <v>5752</v>
      </c>
      <c r="L791" t="s">
        <v>14</v>
      </c>
      <c r="M791" s="31" t="s">
        <v>15</v>
      </c>
      <c r="N791" s="31"/>
    </row>
    <row r="792" spans="1:14" x14ac:dyDescent="0.25">
      <c r="A792" s="4" t="str">
        <f>Sheet1!A792 &amp; "/" &amp; "2025"</f>
        <v>791/2025</v>
      </c>
      <c r="B792" s="5" t="str">
        <f>Sheet1!E792</f>
        <v>IND/MEL/00791</v>
      </c>
      <c r="C792" s="6" t="str">
        <f>UPPER(Sheet1!B792)</f>
        <v>ISHAN RAO</v>
      </c>
      <c r="D792" s="7" t="str">
        <f>IF(Sheet1!F792="F","FEMALE","MALE")</f>
        <v>MALE</v>
      </c>
      <c r="E792" s="6" t="str">
        <f>UPPER(Sheet1!G792)</f>
        <v>AREN SHARMA</v>
      </c>
      <c r="F792" s="6" t="str">
        <f>UPPER(Sheet1!H792)</f>
        <v>TARA SHARMA</v>
      </c>
      <c r="G792" s="5" t="str">
        <f>TEXT(Sheet1!C792,"dd/mm/yyyy") &amp; "," &amp; Sheet1!D792</f>
        <v>10/02/2025,WONTHAGGI</v>
      </c>
      <c r="H792" s="39" t="str">
        <f>UPPER(Sheet1!J792 &amp; "," &amp; Sheet1!K792 &amp; "," &amp; Sheet1!L792)</f>
        <v>49 BIRCHWOOD LANE,EMERALD ROAD,PIN:481640 WONTHAGGI</v>
      </c>
      <c r="I792" s="8">
        <f>Sheet1!I792</f>
        <v>45746</v>
      </c>
      <c r="J792" s="5" t="str">
        <f>Sheet1!M792 &amp; "," &amp; TEXT(Sheet1!N792,"dd/mm/yy")</f>
        <v>MHA/IND/00795,15/08/25</v>
      </c>
      <c r="K792" s="5" t="s">
        <v>5752</v>
      </c>
      <c r="L792" t="s">
        <v>14</v>
      </c>
      <c r="M792" s="31" t="s">
        <v>15</v>
      </c>
      <c r="N792" s="31"/>
    </row>
    <row r="793" spans="1:14" x14ac:dyDescent="0.25">
      <c r="A793" s="4" t="str">
        <f>Sheet1!A793 &amp; "/" &amp; "2025"</f>
        <v>792/2025</v>
      </c>
      <c r="B793" s="5" t="str">
        <f>Sheet1!E793</f>
        <v>IND/MEL/00792</v>
      </c>
      <c r="C793" s="6" t="str">
        <f>UPPER(Sheet1!B793)</f>
        <v>DIYA SHARMA</v>
      </c>
      <c r="D793" s="7" t="str">
        <f>IF(Sheet1!F793="F","FEMALE","MALE")</f>
        <v>FEMALE</v>
      </c>
      <c r="E793" s="6" t="str">
        <f>UPPER(Sheet1!G793)</f>
        <v>NEIL RAO</v>
      </c>
      <c r="F793" s="6" t="str">
        <f>UPPER(Sheet1!H793)</f>
        <v>ANYA RAO</v>
      </c>
      <c r="G793" s="5" t="str">
        <f>TEXT(Sheet1!C793,"dd/mm/yyyy") &amp; "," &amp; Sheet1!D793</f>
        <v>09/05/2025,BELCONNEN</v>
      </c>
      <c r="H793" s="39" t="str">
        <f>UPPER(Sheet1!J793 &amp; "," &amp; Sheet1!K793 &amp; "," &amp; Sheet1!L793)</f>
        <v>139 BIRCHWOOD LANE,EMERALD ROAD,PIN:562907 BELCONNEN</v>
      </c>
      <c r="I793" s="8">
        <f>Sheet1!I793</f>
        <v>45815</v>
      </c>
      <c r="J793" s="5" t="str">
        <f>Sheet1!M793 &amp; "," &amp; TEXT(Sheet1!N793,"dd/mm/yy")</f>
        <v>MHA/IND/00796,03/08/25</v>
      </c>
      <c r="K793" s="5" t="s">
        <v>5752</v>
      </c>
      <c r="L793" t="s">
        <v>14</v>
      </c>
      <c r="M793" s="31" t="s">
        <v>15</v>
      </c>
      <c r="N793" s="31"/>
    </row>
    <row r="794" spans="1:14" x14ac:dyDescent="0.25">
      <c r="A794" s="4" t="str">
        <f>Sheet1!A794 &amp; "/" &amp; "2025"</f>
        <v>793/2025</v>
      </c>
      <c r="B794" s="5" t="str">
        <f>Sheet1!E794</f>
        <v>IND/MEL/00793</v>
      </c>
      <c r="C794" s="6" t="str">
        <f>UPPER(Sheet1!B794)</f>
        <v>SARA KALEON</v>
      </c>
      <c r="D794" s="7" t="str">
        <f>IF(Sheet1!F794="F","FEMALE","MALE")</f>
        <v>FEMALE</v>
      </c>
      <c r="E794" s="6" t="str">
        <f>UPPER(Sheet1!G794)</f>
        <v>DEV VALZARI</v>
      </c>
      <c r="F794" s="6" t="str">
        <f>UPPER(Sheet1!H794)</f>
        <v>TARA VALZARI</v>
      </c>
      <c r="G794" s="5" t="str">
        <f>TEXT(Sheet1!C794,"dd/mm/yyyy") &amp; "," &amp; Sheet1!D794</f>
        <v>20/06/2025,ST ALBANS</v>
      </c>
      <c r="H794" s="39" t="str">
        <f>UPPER(Sheet1!J794 &amp; "," &amp; Sheet1!K794 &amp; "," &amp; Sheet1!L794)</f>
        <v>121 BIRCHWOOD LANE,EMERALD ROAD,PIN:447933 ST ALBANS</v>
      </c>
      <c r="I794" s="8">
        <f>Sheet1!I794</f>
        <v>45852</v>
      </c>
      <c r="J794" s="5" t="str">
        <f>Sheet1!M794 &amp; "," &amp; TEXT(Sheet1!N794,"dd/mm/yy")</f>
        <v>MHA/IND/00797,03/07/25</v>
      </c>
      <c r="K794" s="5" t="s">
        <v>5752</v>
      </c>
      <c r="L794" t="s">
        <v>14</v>
      </c>
      <c r="M794" s="31" t="s">
        <v>15</v>
      </c>
      <c r="N794" s="31"/>
    </row>
    <row r="795" spans="1:14" x14ac:dyDescent="0.25">
      <c r="A795" s="4" t="str">
        <f>Sheet1!A795 &amp; "/" &amp; "2025"</f>
        <v>794/2025</v>
      </c>
      <c r="B795" s="5" t="str">
        <f>Sheet1!E795</f>
        <v>IND/MEL/00794</v>
      </c>
      <c r="C795" s="6" t="str">
        <f>UPPER(Sheet1!B795)</f>
        <v>KABIR RAO</v>
      </c>
      <c r="D795" s="7" t="str">
        <f>IF(Sheet1!F795="F","FEMALE","MALE")</f>
        <v>FEMALE</v>
      </c>
      <c r="E795" s="6" t="str">
        <f>UPPER(Sheet1!G795)</f>
        <v>ROHIT RISHKAN</v>
      </c>
      <c r="F795" s="6" t="str">
        <f>UPPER(Sheet1!H795)</f>
        <v>DIYA RISHKAN</v>
      </c>
      <c r="G795" s="5" t="str">
        <f>TEXT(Sheet1!C795,"dd/mm/yyyy") &amp; "," &amp; Sheet1!D795</f>
        <v>11/02/2025,TOWNSVILLE</v>
      </c>
      <c r="H795" s="39" t="str">
        <f>UPPER(Sheet1!J795 &amp; "," &amp; Sheet1!K795 &amp; "," &amp; Sheet1!L795)</f>
        <v>13 BIRCHWOOD LANE,EMERALD ROAD,PIN:803740 TOWNSVILLE</v>
      </c>
      <c r="I795" s="8">
        <f>Sheet1!I795</f>
        <v>45809</v>
      </c>
      <c r="J795" s="5" t="str">
        <f>Sheet1!M795 &amp; "," &amp; TEXT(Sheet1!N795,"dd/mm/yy")</f>
        <v>MHA/IND/00798,07/07/25</v>
      </c>
      <c r="K795" s="5" t="s">
        <v>5752</v>
      </c>
      <c r="L795" t="s">
        <v>14</v>
      </c>
      <c r="M795" s="31" t="s">
        <v>15</v>
      </c>
      <c r="N795" s="31"/>
    </row>
    <row r="796" spans="1:14" x14ac:dyDescent="0.25">
      <c r="A796" s="4" t="str">
        <f>Sheet1!A796 &amp; "/" &amp; "2025"</f>
        <v>795/2025</v>
      </c>
      <c r="B796" s="5" t="str">
        <f>Sheet1!E796</f>
        <v>IND/MEL/00795</v>
      </c>
      <c r="C796" s="6" t="str">
        <f>UPPER(Sheet1!B796)</f>
        <v>NEIL SHARMA</v>
      </c>
      <c r="D796" s="7" t="str">
        <f>IF(Sheet1!F796="F","FEMALE","MALE")</f>
        <v>FEMALE</v>
      </c>
      <c r="E796" s="6" t="str">
        <f>UPPER(Sheet1!G796)</f>
        <v>KABIR KALEON</v>
      </c>
      <c r="F796" s="6" t="str">
        <f>UPPER(Sheet1!H796)</f>
        <v>RIYA KALEON</v>
      </c>
      <c r="G796" s="5" t="str">
        <f>TEXT(Sheet1!C796,"dd/mm/yyyy") &amp; "," &amp; Sheet1!D796</f>
        <v>15/02/2025,WOLLONGONG</v>
      </c>
      <c r="H796" s="39" t="str">
        <f>UPPER(Sheet1!J796 &amp; "," &amp; Sheet1!K796 &amp; "," &amp; Sheet1!L796)</f>
        <v>31 BIRCHWOOD LANE,EMERALD ROAD,PIN:595547 WOLLONGONG</v>
      </c>
      <c r="I796" s="8">
        <f>Sheet1!I796</f>
        <v>45820</v>
      </c>
      <c r="J796" s="5" t="str">
        <f>Sheet1!M796 &amp; "," &amp; TEXT(Sheet1!N796,"dd/mm/yy")</f>
        <v>MHA/IND/00799,07/08/25</v>
      </c>
      <c r="K796" s="5" t="s">
        <v>5752</v>
      </c>
      <c r="L796" t="s">
        <v>14</v>
      </c>
      <c r="M796" s="31" t="s">
        <v>15</v>
      </c>
      <c r="N796" s="31"/>
    </row>
    <row r="797" spans="1:14" x14ac:dyDescent="0.25">
      <c r="A797" s="4" t="str">
        <f>Sheet1!A797 &amp; "/" &amp; "2025"</f>
        <v>796/2025</v>
      </c>
      <c r="B797" s="5" t="str">
        <f>Sheet1!E797</f>
        <v>IND/MEL/00796</v>
      </c>
      <c r="C797" s="6" t="str">
        <f>UPPER(Sheet1!B797)</f>
        <v>NINA RAO</v>
      </c>
      <c r="D797" s="7" t="str">
        <f>IF(Sheet1!F797="F","FEMALE","MALE")</f>
        <v>MALE</v>
      </c>
      <c r="E797" s="6" t="str">
        <f>UPPER(Sheet1!G797)</f>
        <v>ROHIT MYRTHOS</v>
      </c>
      <c r="F797" s="6" t="str">
        <f>UPPER(Sheet1!H797)</f>
        <v>ALYA MYRTHOS</v>
      </c>
      <c r="G797" s="5" t="str">
        <f>TEXT(Sheet1!C797,"dd/mm/yyyy") &amp; "," &amp; Sheet1!D797</f>
        <v>21/03/2025,CAMPBELLTOWN</v>
      </c>
      <c r="H797" s="39" t="str">
        <f>UPPER(Sheet1!J797 &amp; "," &amp; Sheet1!K797 &amp; "," &amp; Sheet1!L797)</f>
        <v>59 BIRCHWOOD LANE,EMERALD ROAD,PIN:475285 CAMPBELLTOWN</v>
      </c>
      <c r="I797" s="8">
        <f>Sheet1!I797</f>
        <v>45800</v>
      </c>
      <c r="J797" s="5" t="str">
        <f>Sheet1!M797 &amp; "," &amp; TEXT(Sheet1!N797,"dd/mm/yy")</f>
        <v>MHA/IND/00800,21/08/25</v>
      </c>
      <c r="K797" s="5" t="s">
        <v>5752</v>
      </c>
      <c r="L797" t="s">
        <v>14</v>
      </c>
      <c r="M797" s="31" t="s">
        <v>15</v>
      </c>
      <c r="N797" s="31"/>
    </row>
    <row r="798" spans="1:14" x14ac:dyDescent="0.25">
      <c r="A798" s="4" t="str">
        <f>Sheet1!A798 &amp; "/" &amp; "2025"</f>
        <v>797/2025</v>
      </c>
      <c r="B798" s="5" t="str">
        <f>Sheet1!E798</f>
        <v>IND/MEL/00797</v>
      </c>
      <c r="C798" s="6" t="str">
        <f>UPPER(Sheet1!B798)</f>
        <v>ANYA VALZARI</v>
      </c>
      <c r="D798" s="7" t="str">
        <f>IF(Sheet1!F798="F","FEMALE","MALE")</f>
        <v>MALE</v>
      </c>
      <c r="E798" s="6" t="str">
        <f>UPPER(Sheet1!G798)</f>
        <v>DEV SHARMA</v>
      </c>
      <c r="F798" s="6" t="str">
        <f>UPPER(Sheet1!H798)</f>
        <v>RIYA SHARMA</v>
      </c>
      <c r="G798" s="5" t="str">
        <f>TEXT(Sheet1!C798,"dd/mm/yyyy") &amp; "," &amp; Sheet1!D798</f>
        <v>25/10/2025,LENAH VALLEY</v>
      </c>
      <c r="H798" s="39" t="str">
        <f>UPPER(Sheet1!J798 &amp; "," &amp; Sheet1!K798 &amp; "," &amp; Sheet1!L798)</f>
        <v>55 BIRCHWOOD LANE,EMERALD ROAD,PIN:883192 LENAH VALLEY</v>
      </c>
      <c r="I798" s="8">
        <f>Sheet1!I798</f>
        <v>45983</v>
      </c>
      <c r="J798" s="5" t="str">
        <f>Sheet1!M798 &amp; "," &amp; TEXT(Sheet1!N798,"dd/mm/yy")</f>
        <v>MHA/IND/00801,29/08/25</v>
      </c>
      <c r="K798" s="5" t="s">
        <v>5752</v>
      </c>
      <c r="L798" t="s">
        <v>14</v>
      </c>
      <c r="M798" s="31" t="s">
        <v>15</v>
      </c>
      <c r="N798" s="31"/>
    </row>
    <row r="799" spans="1:14" x14ac:dyDescent="0.25">
      <c r="A799" s="4" t="str">
        <f>Sheet1!A799 &amp; "/" &amp; "2025"</f>
        <v>798/2025</v>
      </c>
      <c r="B799" s="5" t="str">
        <f>Sheet1!E799</f>
        <v>IND/MEL/00798</v>
      </c>
      <c r="C799" s="6" t="str">
        <f>UPPER(Sheet1!B799)</f>
        <v>NINA RISHKAN</v>
      </c>
      <c r="D799" s="7" t="str">
        <f>IF(Sheet1!F799="F","FEMALE","MALE")</f>
        <v>MALE</v>
      </c>
      <c r="E799" s="6" t="str">
        <f>UPPER(Sheet1!G799)</f>
        <v>KABIR VALZARI</v>
      </c>
      <c r="F799" s="6" t="str">
        <f>UPPER(Sheet1!H799)</f>
        <v>ANYA VALZARI</v>
      </c>
      <c r="G799" s="5" t="str">
        <f>TEXT(Sheet1!C799,"dd/mm/yyyy") &amp; "," &amp; Sheet1!D799</f>
        <v>18/06/2025,PARRAMATTA</v>
      </c>
      <c r="H799" s="39" t="str">
        <f>UPPER(Sheet1!J799 &amp; "," &amp; Sheet1!K799 &amp; "," &amp; Sheet1!L799)</f>
        <v>18 BIRCHWOOD LANE,EMERALD ROAD,PIN:623840 PARRAMATTA</v>
      </c>
      <c r="I799" s="8">
        <f>Sheet1!I799</f>
        <v>45840</v>
      </c>
      <c r="J799" s="5" t="str">
        <f>Sheet1!M799 &amp; "," &amp; TEXT(Sheet1!N799,"dd/mm/yy")</f>
        <v>MHA/IND/00802,28/07/25</v>
      </c>
      <c r="K799" s="5" t="s">
        <v>5752</v>
      </c>
      <c r="L799" t="s">
        <v>14</v>
      </c>
      <c r="M799" s="31" t="s">
        <v>15</v>
      </c>
      <c r="N799" s="31"/>
    </row>
    <row r="800" spans="1:14" x14ac:dyDescent="0.25">
      <c r="A800" s="4" t="str">
        <f>Sheet1!A800 &amp; "/" &amp; "2025"</f>
        <v>799/2025</v>
      </c>
      <c r="B800" s="5" t="str">
        <f>Sheet1!E800</f>
        <v>IND/MEL/00799</v>
      </c>
      <c r="C800" s="6" t="str">
        <f>UPPER(Sheet1!B800)</f>
        <v>MIRA KALEON</v>
      </c>
      <c r="D800" s="7" t="str">
        <f>IF(Sheet1!F800="F","FEMALE","MALE")</f>
        <v>FEMALE</v>
      </c>
      <c r="E800" s="6" t="str">
        <f>UPPER(Sheet1!G800)</f>
        <v>ROHIT RAO</v>
      </c>
      <c r="F800" s="6" t="str">
        <f>UPPER(Sheet1!H800)</f>
        <v>ALYA RAO</v>
      </c>
      <c r="G800" s="5" t="str">
        <f>TEXT(Sheet1!C800,"dd/mm/yyyy") &amp; "," &amp; Sheet1!D800</f>
        <v>05/05/2025,GEELONG</v>
      </c>
      <c r="H800" s="39" t="str">
        <f>UPPER(Sheet1!J800 &amp; "," &amp; Sheet1!K800 &amp; "," &amp; Sheet1!L800)</f>
        <v>112 BIRCHWOOD LANE,EMERALD ROAD,PIN:153426 GEELONG</v>
      </c>
      <c r="I800" s="8">
        <f>Sheet1!I800</f>
        <v>45787</v>
      </c>
      <c r="J800" s="5" t="str">
        <f>Sheet1!M800 &amp; "," &amp; TEXT(Sheet1!N800,"dd/mm/yy")</f>
        <v>MHA/IND/00803,28/08/25</v>
      </c>
      <c r="K800" s="5" t="s">
        <v>5752</v>
      </c>
      <c r="L800" t="s">
        <v>14</v>
      </c>
      <c r="M800" s="31" t="s">
        <v>15</v>
      </c>
      <c r="N800" s="31"/>
    </row>
    <row r="801" spans="1:14" x14ac:dyDescent="0.25">
      <c r="A801" s="4" t="str">
        <f>Sheet1!A801 &amp; "/" &amp; "2025"</f>
        <v>800/2025</v>
      </c>
      <c r="B801" s="5" t="str">
        <f>Sheet1!E801</f>
        <v>IND/MEL/00800</v>
      </c>
      <c r="C801" s="6" t="str">
        <f>UPPER(Sheet1!B801)</f>
        <v>ROHIT MYRTHOS</v>
      </c>
      <c r="D801" s="7" t="str">
        <f>IF(Sheet1!F801="F","FEMALE","MALE")</f>
        <v>MALE</v>
      </c>
      <c r="E801" s="6" t="str">
        <f>UPPER(Sheet1!G801)</f>
        <v>AREN VALZARI</v>
      </c>
      <c r="F801" s="6" t="str">
        <f>UPPER(Sheet1!H801)</f>
        <v>ANYA VALZARI</v>
      </c>
      <c r="G801" s="5" t="str">
        <f>TEXT(Sheet1!C801,"dd/mm/yyyy") &amp; "," &amp; Sheet1!D801</f>
        <v>07/04/2025,PALMERSTON</v>
      </c>
      <c r="H801" s="39" t="str">
        <f>UPPER(Sheet1!J801 &amp; "," &amp; Sheet1!K801 &amp; "," &amp; Sheet1!L801)</f>
        <v>20 BIRCHWOOD LANE,EMERALD ROAD,PIN:548726 PALMERSTON</v>
      </c>
      <c r="I801" s="8">
        <f>Sheet1!I801</f>
        <v>45765</v>
      </c>
      <c r="J801" s="5" t="str">
        <f>Sheet1!M801 &amp; "," &amp; TEXT(Sheet1!N801,"dd/mm/yy")</f>
        <v>MHA/IND/00804,16/08/25</v>
      </c>
      <c r="K801" s="5" t="s">
        <v>5752</v>
      </c>
      <c r="L801" t="s">
        <v>14</v>
      </c>
      <c r="M801" s="31" t="s">
        <v>15</v>
      </c>
      <c r="N801" s="31"/>
    </row>
    <row r="802" spans="1:14" x14ac:dyDescent="0.25">
      <c r="A802" s="4" t="str">
        <f>Sheet1!A802 &amp; "/" &amp; "2025"</f>
        <v>801/2025</v>
      </c>
      <c r="B802" s="5" t="str">
        <f>Sheet1!E802</f>
        <v>IND/MEL/00801</v>
      </c>
      <c r="C802" s="6" t="str">
        <f>UPPER(Sheet1!B802)</f>
        <v>ISHAN SHARMA</v>
      </c>
      <c r="D802" s="7" t="str">
        <f>IF(Sheet1!F802="F","FEMALE","MALE")</f>
        <v>MALE</v>
      </c>
      <c r="E802" s="6" t="str">
        <f>UPPER(Sheet1!G802)</f>
        <v>KABIR KALEON</v>
      </c>
      <c r="F802" s="6" t="str">
        <f>UPPER(Sheet1!H802)</f>
        <v>RIYA KALEON</v>
      </c>
      <c r="G802" s="5" t="str">
        <f>TEXT(Sheet1!C802,"dd/mm/yyyy") &amp; "," &amp; Sheet1!D802</f>
        <v>21/10/2025,LENAH VALLEY</v>
      </c>
      <c r="H802" s="39" t="str">
        <f>UPPER(Sheet1!J802 &amp; "," &amp; Sheet1!K802 &amp; "," &amp; Sheet1!L802)</f>
        <v>163 BIRCHWOOD LANE,EMERALD ROAD,PIN:398774 LENAH VALLEY</v>
      </c>
      <c r="I802" s="8">
        <f>Sheet1!I802</f>
        <v>46031</v>
      </c>
      <c r="J802" s="5" t="str">
        <f>Sheet1!M802 &amp; "," &amp; TEXT(Sheet1!N802,"dd/mm/yy")</f>
        <v>MHA/IND/00805,30/07/25</v>
      </c>
      <c r="K802" s="5" t="s">
        <v>5752</v>
      </c>
      <c r="L802" t="s">
        <v>14</v>
      </c>
      <c r="M802" s="31" t="s">
        <v>15</v>
      </c>
      <c r="N802" s="31"/>
    </row>
    <row r="803" spans="1:14" x14ac:dyDescent="0.25">
      <c r="A803" s="4" t="str">
        <f>Sheet1!A803 &amp; "/" &amp; "2025"</f>
        <v>802/2025</v>
      </c>
      <c r="B803" s="5" t="str">
        <f>Sheet1!E803</f>
        <v>IND/MEL/00802</v>
      </c>
      <c r="C803" s="6" t="str">
        <f>UPPER(Sheet1!B803)</f>
        <v>DEV VALZARI</v>
      </c>
      <c r="D803" s="7" t="str">
        <f>IF(Sheet1!F803="F","FEMALE","MALE")</f>
        <v>MALE</v>
      </c>
      <c r="E803" s="6" t="str">
        <f>UPPER(Sheet1!G803)</f>
        <v>KABIR MYRTHOS</v>
      </c>
      <c r="F803" s="6" t="str">
        <f>UPPER(Sheet1!H803)</f>
        <v>NINA MYRTHOS</v>
      </c>
      <c r="G803" s="5" t="str">
        <f>TEXT(Sheet1!C803,"dd/mm/yyyy") &amp; "," &amp; Sheet1!D803</f>
        <v>27/05/2025,MIDLAND</v>
      </c>
      <c r="H803" s="39" t="str">
        <f>UPPER(Sheet1!J803 &amp; "," &amp; Sheet1!K803 &amp; "," &amp; Sheet1!L803)</f>
        <v>179 BIRCHWOOD LANE,EMERALD ROAD,PIN:688803 MIDLAND</v>
      </c>
      <c r="I803" s="8">
        <f>Sheet1!I803</f>
        <v>45918</v>
      </c>
      <c r="J803" s="5" t="str">
        <f>Sheet1!M803 &amp; "," &amp; TEXT(Sheet1!N803,"dd/mm/yy")</f>
        <v>MHA/IND/00806,20/07/25</v>
      </c>
      <c r="K803" s="5" t="s">
        <v>5752</v>
      </c>
      <c r="L803" t="s">
        <v>14</v>
      </c>
      <c r="M803" s="31" t="s">
        <v>15</v>
      </c>
      <c r="N803" s="31"/>
    </row>
    <row r="804" spans="1:14" x14ac:dyDescent="0.25">
      <c r="A804" s="4" t="str">
        <f>Sheet1!A804 &amp; "/" &amp; "2025"</f>
        <v>803/2025</v>
      </c>
      <c r="B804" s="5" t="str">
        <f>Sheet1!E804</f>
        <v>IND/MEL/00803</v>
      </c>
      <c r="C804" s="6" t="str">
        <f>UPPER(Sheet1!B804)</f>
        <v>ANYA RAO</v>
      </c>
      <c r="D804" s="7" t="str">
        <f>IF(Sheet1!F804="F","FEMALE","MALE")</f>
        <v>FEMALE</v>
      </c>
      <c r="E804" s="6" t="str">
        <f>UPPER(Sheet1!G804)</f>
        <v>ISHAN SINDALE</v>
      </c>
      <c r="F804" s="6" t="str">
        <f>UPPER(Sheet1!H804)</f>
        <v>ANYA SINDALE</v>
      </c>
      <c r="G804" s="5" t="str">
        <f>TEXT(Sheet1!C804,"dd/mm/yyyy") &amp; "," &amp; Sheet1!D804</f>
        <v>08/09/2025,ROCKHAMPTON</v>
      </c>
      <c r="H804" s="39" t="str">
        <f>UPPER(Sheet1!J804 &amp; "," &amp; Sheet1!K804 &amp; "," &amp; Sheet1!L804)</f>
        <v>11 BIRCHWOOD LANE,EMERALD ROAD,PIN:572879 ROCKHAMPTON</v>
      </c>
      <c r="I804" s="8">
        <f>Sheet1!I804</f>
        <v>45915</v>
      </c>
      <c r="J804" s="5" t="str">
        <f>Sheet1!M804 &amp; "," &amp; TEXT(Sheet1!N804,"dd/mm/yy")</f>
        <v>MHA/IND/00807,14/07/25</v>
      </c>
      <c r="K804" s="5" t="s">
        <v>5752</v>
      </c>
      <c r="L804" t="s">
        <v>14</v>
      </c>
      <c r="M804" s="31" t="s">
        <v>15</v>
      </c>
      <c r="N804" s="31"/>
    </row>
    <row r="805" spans="1:14" x14ac:dyDescent="0.25">
      <c r="A805" s="4" t="str">
        <f>Sheet1!A805 &amp; "/" &amp; "2025"</f>
        <v>804/2025</v>
      </c>
      <c r="B805" s="5" t="str">
        <f>Sheet1!E805</f>
        <v>IND/MEL/00804</v>
      </c>
      <c r="C805" s="6" t="str">
        <f>UPPER(Sheet1!B805)</f>
        <v>ROHIT VALZARI</v>
      </c>
      <c r="D805" s="7" t="str">
        <f>IF(Sheet1!F805="F","FEMALE","MALE")</f>
        <v>FEMALE</v>
      </c>
      <c r="E805" s="6" t="str">
        <f>UPPER(Sheet1!G805)</f>
        <v>DEV VALZARI</v>
      </c>
      <c r="F805" s="6" t="str">
        <f>UPPER(Sheet1!H805)</f>
        <v>ALYA VALZARI</v>
      </c>
      <c r="G805" s="5" t="str">
        <f>TEXT(Sheet1!C805,"dd/mm/yyyy") &amp; "," &amp; Sheet1!D805</f>
        <v>04/02/2025,MANDURAH</v>
      </c>
      <c r="H805" s="39" t="str">
        <f>UPPER(Sheet1!J805 &amp; "," &amp; Sheet1!K805 &amp; "," &amp; Sheet1!L805)</f>
        <v>69 BIRCHWOOD LANE,EMERALD ROAD,PIN:775685 MANDURAH</v>
      </c>
      <c r="I805" s="8">
        <f>Sheet1!I805</f>
        <v>45717</v>
      </c>
      <c r="J805" s="5" t="str">
        <f>Sheet1!M805 &amp; "," &amp; TEXT(Sheet1!N805,"dd/mm/yy")</f>
        <v>MHA/IND/00808,17/07/25</v>
      </c>
      <c r="K805" s="5" t="s">
        <v>5752</v>
      </c>
      <c r="L805" t="s">
        <v>14</v>
      </c>
      <c r="M805" s="31" t="s">
        <v>15</v>
      </c>
      <c r="N805" s="31"/>
    </row>
    <row r="806" spans="1:14" x14ac:dyDescent="0.25">
      <c r="A806" s="4" t="str">
        <f>Sheet1!A806 &amp; "/" &amp; "2025"</f>
        <v>805/2025</v>
      </c>
      <c r="B806" s="5" t="str">
        <f>Sheet1!E806</f>
        <v>IND/MEL/00805</v>
      </c>
      <c r="C806" s="6" t="str">
        <f>UPPER(Sheet1!B806)</f>
        <v>ARJUN KALEON</v>
      </c>
      <c r="D806" s="7" t="str">
        <f>IF(Sheet1!F806="F","FEMALE","MALE")</f>
        <v>MALE</v>
      </c>
      <c r="E806" s="6" t="str">
        <f>UPPER(Sheet1!G806)</f>
        <v>ARJUN RISHKAN</v>
      </c>
      <c r="F806" s="6" t="str">
        <f>UPPER(Sheet1!H806)</f>
        <v>RIYA RISHKAN</v>
      </c>
      <c r="G806" s="5" t="str">
        <f>TEXT(Sheet1!C806,"dd/mm/yyyy") &amp; "," &amp; Sheet1!D806</f>
        <v>07/02/2025,DALBY</v>
      </c>
      <c r="H806" s="39" t="str">
        <f>UPPER(Sheet1!J806 &amp; "," &amp; Sheet1!K806 &amp; "," &amp; Sheet1!L806)</f>
        <v>16 BIRCHWOOD LANE,EMERALD ROAD,PIN:294333 DALBY</v>
      </c>
      <c r="I806" s="8">
        <f>Sheet1!I806</f>
        <v>45747</v>
      </c>
      <c r="J806" s="5" t="str">
        <f>Sheet1!M806 &amp; "," &amp; TEXT(Sheet1!N806,"dd/mm/yy")</f>
        <v>MHA/IND/00809,11/08/25</v>
      </c>
      <c r="K806" s="5" t="s">
        <v>5752</v>
      </c>
      <c r="L806" t="s">
        <v>14</v>
      </c>
      <c r="M806" s="31" t="s">
        <v>15</v>
      </c>
      <c r="N806" s="31"/>
    </row>
    <row r="807" spans="1:14" x14ac:dyDescent="0.25">
      <c r="A807" s="4" t="str">
        <f>Sheet1!A807 &amp; "/" &amp; "2025"</f>
        <v>806/2025</v>
      </c>
      <c r="B807" s="5" t="str">
        <f>Sheet1!E807</f>
        <v>IND/MEL/00806</v>
      </c>
      <c r="C807" s="6" t="str">
        <f>UPPER(Sheet1!B807)</f>
        <v>AREN MYRTHOS</v>
      </c>
      <c r="D807" s="7" t="str">
        <f>IF(Sheet1!F807="F","FEMALE","MALE")</f>
        <v>FEMALE</v>
      </c>
      <c r="E807" s="6" t="str">
        <f>UPPER(Sheet1!G807)</f>
        <v>ISHAN RAO</v>
      </c>
      <c r="F807" s="6" t="str">
        <f>UPPER(Sheet1!H807)</f>
        <v>RIYA RAO</v>
      </c>
      <c r="G807" s="5" t="str">
        <f>TEXT(Sheet1!C807,"dd/mm/yyyy") &amp; "," &amp; Sheet1!D807</f>
        <v>25/06/2025,PARKVILLE</v>
      </c>
      <c r="H807" s="39" t="str">
        <f>UPPER(Sheet1!J807 &amp; "," &amp; Sheet1!K807 &amp; "," &amp; Sheet1!L807)</f>
        <v>89 BIRCHWOOD LANE,EMERALD ROAD,PIN:778480 PARKVILLE</v>
      </c>
      <c r="I807" s="8">
        <f>Sheet1!I807</f>
        <v>45856</v>
      </c>
      <c r="J807" s="5" t="str">
        <f>Sheet1!M807 &amp; "," &amp; TEXT(Sheet1!N807,"dd/mm/yy")</f>
        <v>MHA/IND/00810,21/07/25</v>
      </c>
      <c r="K807" s="5" t="s">
        <v>5752</v>
      </c>
      <c r="L807" t="s">
        <v>14</v>
      </c>
      <c r="M807" s="31" t="s">
        <v>15</v>
      </c>
      <c r="N807" s="31"/>
    </row>
    <row r="808" spans="1:14" x14ac:dyDescent="0.25">
      <c r="A808" s="4" t="str">
        <f>Sheet1!A808 &amp; "/" &amp; "2025"</f>
        <v>807/2025</v>
      </c>
      <c r="B808" s="5" t="str">
        <f>Sheet1!E808</f>
        <v>IND/MEL/00807</v>
      </c>
      <c r="C808" s="6" t="str">
        <f>UPPER(Sheet1!B808)</f>
        <v>MIRA SINDALE</v>
      </c>
      <c r="D808" s="7" t="str">
        <f>IF(Sheet1!F808="F","FEMALE","MALE")</f>
        <v>FEMALE</v>
      </c>
      <c r="E808" s="6" t="str">
        <f>UPPER(Sheet1!G808)</f>
        <v>KABIR RISHKAN</v>
      </c>
      <c r="F808" s="6" t="str">
        <f>UPPER(Sheet1!H808)</f>
        <v>SARA RISHKAN</v>
      </c>
      <c r="G808" s="5" t="str">
        <f>TEXT(Sheet1!C808,"dd/mm/yyyy") &amp; "," &amp; Sheet1!D808</f>
        <v>04/06/2025,ADELAIDE</v>
      </c>
      <c r="H808" s="39" t="str">
        <f>UPPER(Sheet1!J808 &amp; "," &amp; Sheet1!K808 &amp; "," &amp; Sheet1!L808)</f>
        <v>77 BIRCHWOOD LANE,EMERALD ROAD,PIN:952963 ADELAIDE</v>
      </c>
      <c r="I808" s="8">
        <f>Sheet1!I808</f>
        <v>45931</v>
      </c>
      <c r="J808" s="5" t="str">
        <f>Sheet1!M808 &amp; "," &amp; TEXT(Sheet1!N808,"dd/mm/yy")</f>
        <v>MHA/IND/00811,04/07/25</v>
      </c>
      <c r="K808" s="5" t="s">
        <v>5752</v>
      </c>
      <c r="L808" t="s">
        <v>14</v>
      </c>
      <c r="M808" s="31" t="s">
        <v>15</v>
      </c>
      <c r="N808" s="31"/>
    </row>
    <row r="809" spans="1:14" x14ac:dyDescent="0.25">
      <c r="A809" s="4" t="str">
        <f>Sheet1!A809 &amp; "/" &amp; "2025"</f>
        <v>808/2025</v>
      </c>
      <c r="B809" s="5" t="str">
        <f>Sheet1!E809</f>
        <v>IND/MEL/00808</v>
      </c>
      <c r="C809" s="6" t="str">
        <f>UPPER(Sheet1!B809)</f>
        <v>ALYA VALZARI</v>
      </c>
      <c r="D809" s="7" t="str">
        <f>IF(Sheet1!F809="F","FEMALE","MALE")</f>
        <v>MALE</v>
      </c>
      <c r="E809" s="6" t="str">
        <f>UPPER(Sheet1!G809)</f>
        <v>ARJUN RAO</v>
      </c>
      <c r="F809" s="6" t="str">
        <f>UPPER(Sheet1!H809)</f>
        <v>NINA RAO</v>
      </c>
      <c r="G809" s="5" t="str">
        <f>TEXT(Sheet1!C809,"dd/mm/yyyy") &amp; "," &amp; Sheet1!D809</f>
        <v>25/06/2025,LOGAN</v>
      </c>
      <c r="H809" s="39" t="str">
        <f>UPPER(Sheet1!J809 &amp; "," &amp; Sheet1!K809 &amp; "," &amp; Sheet1!L809)</f>
        <v>190 BIRCHWOOD LANE,EMERALD ROAD,PIN:921501 LOGAN</v>
      </c>
      <c r="I809" s="8">
        <f>Sheet1!I809</f>
        <v>45935</v>
      </c>
      <c r="J809" s="5" t="str">
        <f>Sheet1!M809 &amp; "," &amp; TEXT(Sheet1!N809,"dd/mm/yy")</f>
        <v>MHA/IND/00812,17/08/25</v>
      </c>
      <c r="K809" s="5" t="s">
        <v>5752</v>
      </c>
      <c r="L809" t="s">
        <v>14</v>
      </c>
      <c r="M809" s="31" t="s">
        <v>15</v>
      </c>
      <c r="N809" s="31"/>
    </row>
    <row r="810" spans="1:14" x14ac:dyDescent="0.25">
      <c r="A810" s="4" t="str">
        <f>Sheet1!A810 &amp; "/" &amp; "2025"</f>
        <v>809/2025</v>
      </c>
      <c r="B810" s="5" t="str">
        <f>Sheet1!E810</f>
        <v>IND/MEL/00809</v>
      </c>
      <c r="C810" s="6" t="str">
        <f>UPPER(Sheet1!B810)</f>
        <v>ARJUN RISHKAN</v>
      </c>
      <c r="D810" s="7" t="str">
        <f>IF(Sheet1!F810="F","FEMALE","MALE")</f>
        <v>MALE</v>
      </c>
      <c r="E810" s="6" t="str">
        <f>UPPER(Sheet1!G810)</f>
        <v>NEIL RISHKAN</v>
      </c>
      <c r="F810" s="6" t="str">
        <f>UPPER(Sheet1!H810)</f>
        <v>TARA RISHKAN</v>
      </c>
      <c r="G810" s="5" t="str">
        <f>TEXT(Sheet1!C810,"dd/mm/yyyy") &amp; "," &amp; Sheet1!D810</f>
        <v>26/06/2025,FRANKSTON</v>
      </c>
      <c r="H810" s="39" t="str">
        <f>UPPER(Sheet1!J810 &amp; "," &amp; Sheet1!K810 &amp; "," &amp; Sheet1!L810)</f>
        <v>135 BIRCHWOOD LANE,EMERALD ROAD,PIN:461997 FRANKSTON</v>
      </c>
      <c r="I810" s="8">
        <f>Sheet1!I810</f>
        <v>45866</v>
      </c>
      <c r="J810" s="5" t="str">
        <f>Sheet1!M810 &amp; "," &amp; TEXT(Sheet1!N810,"dd/mm/yy")</f>
        <v>MHA/IND/00813,23/08/25</v>
      </c>
      <c r="K810" s="5" t="s">
        <v>5752</v>
      </c>
      <c r="L810" t="s">
        <v>14</v>
      </c>
      <c r="M810" s="31" t="s">
        <v>15</v>
      </c>
      <c r="N810" s="31"/>
    </row>
    <row r="811" spans="1:14" x14ac:dyDescent="0.25">
      <c r="A811" s="4" t="str">
        <f>Sheet1!A811 &amp; "/" &amp; "2025"</f>
        <v>810/2025</v>
      </c>
      <c r="B811" s="5" t="str">
        <f>Sheet1!E811</f>
        <v>IND/MEL/00810</v>
      </c>
      <c r="C811" s="6" t="str">
        <f>UPPER(Sheet1!B811)</f>
        <v>ANYA RAO</v>
      </c>
      <c r="D811" s="7" t="str">
        <f>IF(Sheet1!F811="F","FEMALE","MALE")</f>
        <v>MALE</v>
      </c>
      <c r="E811" s="6" t="str">
        <f>UPPER(Sheet1!G811)</f>
        <v>ARJUN MYRTHOS</v>
      </c>
      <c r="F811" s="6" t="str">
        <f>UPPER(Sheet1!H811)</f>
        <v>SARA MYRTHOS</v>
      </c>
      <c r="G811" s="5" t="str">
        <f>TEXT(Sheet1!C811,"dd/mm/yyyy") &amp; "," &amp; Sheet1!D811</f>
        <v>10/05/2025,ST ALBANS</v>
      </c>
      <c r="H811" s="39" t="str">
        <f>UPPER(Sheet1!J811 &amp; "," &amp; Sheet1!K811 &amp; "," &amp; Sheet1!L811)</f>
        <v>118 BIRCHWOOD LANE,EMERALD ROAD,PIN:541304 ST ALBANS</v>
      </c>
      <c r="I811" s="8">
        <f>Sheet1!I811</f>
        <v>45833</v>
      </c>
      <c r="J811" s="5" t="str">
        <f>Sheet1!M811 &amp; "," &amp; TEXT(Sheet1!N811,"dd/mm/yy")</f>
        <v>MHA/IND/00814,24/08/25</v>
      </c>
      <c r="K811" s="5" t="s">
        <v>5752</v>
      </c>
      <c r="L811" t="s">
        <v>14</v>
      </c>
      <c r="M811" s="31" t="s">
        <v>15</v>
      </c>
      <c r="N811" s="31"/>
    </row>
    <row r="812" spans="1:14" x14ac:dyDescent="0.25">
      <c r="A812" s="4" t="str">
        <f>Sheet1!A812 &amp; "/" &amp; "2025"</f>
        <v>811/2025</v>
      </c>
      <c r="B812" s="5" t="str">
        <f>Sheet1!E812</f>
        <v>IND/MEL/00811</v>
      </c>
      <c r="C812" s="6" t="str">
        <f>UPPER(Sheet1!B812)</f>
        <v>TARA RISHKAN</v>
      </c>
      <c r="D812" s="7" t="str">
        <f>IF(Sheet1!F812="F","FEMALE","MALE")</f>
        <v>MALE</v>
      </c>
      <c r="E812" s="6" t="str">
        <f>UPPER(Sheet1!G812)</f>
        <v>ARJUN RISHKAN</v>
      </c>
      <c r="F812" s="6" t="str">
        <f>UPPER(Sheet1!H812)</f>
        <v>SARA RISHKAN</v>
      </c>
      <c r="G812" s="5" t="str">
        <f>TEXT(Sheet1!C812,"dd/mm/yyyy") &amp; "," &amp; Sheet1!D812</f>
        <v>10/01/2025,MANDURAH</v>
      </c>
      <c r="H812" s="39" t="str">
        <f>UPPER(Sheet1!J812 &amp; "," &amp; Sheet1!K812 &amp; "," &amp; Sheet1!L812)</f>
        <v>10 BIRCHWOOD LANE,EMERALD ROAD,PIN:613365 MANDURAH</v>
      </c>
      <c r="I812" s="8">
        <f>Sheet1!I812</f>
        <v>45721</v>
      </c>
      <c r="J812" s="5" t="str">
        <f>Sheet1!M812 &amp; "," &amp; TEXT(Sheet1!N812,"dd/mm/yy")</f>
        <v>MHA/IND/00815,08/08/25</v>
      </c>
      <c r="K812" s="5" t="s">
        <v>5752</v>
      </c>
      <c r="L812" t="s">
        <v>14</v>
      </c>
      <c r="M812" s="31" t="s">
        <v>15</v>
      </c>
      <c r="N812" s="31"/>
    </row>
    <row r="813" spans="1:14" x14ac:dyDescent="0.25">
      <c r="A813" s="4" t="str">
        <f>Sheet1!A813 &amp; "/" &amp; "2025"</f>
        <v>812/2025</v>
      </c>
      <c r="B813" s="5" t="str">
        <f>Sheet1!E813</f>
        <v>IND/MEL/00812</v>
      </c>
      <c r="C813" s="6" t="str">
        <f>UPPER(Sheet1!B813)</f>
        <v>ISHAN RAO</v>
      </c>
      <c r="D813" s="7" t="str">
        <f>IF(Sheet1!F813="F","FEMALE","MALE")</f>
        <v>FEMALE</v>
      </c>
      <c r="E813" s="6" t="str">
        <f>UPPER(Sheet1!G813)</f>
        <v>ARJUN VALZARI</v>
      </c>
      <c r="F813" s="6" t="str">
        <f>UPPER(Sheet1!H813)</f>
        <v>DIYA VALZARI</v>
      </c>
      <c r="G813" s="5" t="str">
        <f>TEXT(Sheet1!C813,"dd/mm/yyyy") &amp; "," &amp; Sheet1!D813</f>
        <v>26/10/2025,BEDFORD PARK</v>
      </c>
      <c r="H813" s="39" t="str">
        <f>UPPER(Sheet1!J813 &amp; "," &amp; Sheet1!K813 &amp; "," &amp; Sheet1!L813)</f>
        <v>184 BIRCHWOOD LANE,EMERALD ROAD,PIN:462170 BEDFORD PARK</v>
      </c>
      <c r="I813" s="8">
        <f>Sheet1!I813</f>
        <v>45962</v>
      </c>
      <c r="J813" s="5" t="str">
        <f>Sheet1!M813 &amp; "," &amp; TEXT(Sheet1!N813,"dd/mm/yy")</f>
        <v>MHA/IND/00816,10/07/25</v>
      </c>
      <c r="K813" s="5" t="s">
        <v>5752</v>
      </c>
      <c r="L813" t="s">
        <v>14</v>
      </c>
      <c r="M813" s="31" t="s">
        <v>15</v>
      </c>
      <c r="N813" s="31"/>
    </row>
    <row r="814" spans="1:14" x14ac:dyDescent="0.25">
      <c r="A814" s="4" t="str">
        <f>Sheet1!A814 &amp; "/" &amp; "2025"</f>
        <v>813/2025</v>
      </c>
      <c r="B814" s="5" t="str">
        <f>Sheet1!E814</f>
        <v>IND/MEL/00813</v>
      </c>
      <c r="C814" s="6" t="str">
        <f>UPPER(Sheet1!B814)</f>
        <v>NEIL RISHKAN</v>
      </c>
      <c r="D814" s="7" t="str">
        <f>IF(Sheet1!F814="F","FEMALE","MALE")</f>
        <v>MALE</v>
      </c>
      <c r="E814" s="6" t="str">
        <f>UPPER(Sheet1!G814)</f>
        <v>ARJUN MYRTHOS</v>
      </c>
      <c r="F814" s="6" t="str">
        <f>UPPER(Sheet1!H814)</f>
        <v>NINA MYRTHOS</v>
      </c>
      <c r="G814" s="5" t="str">
        <f>TEXT(Sheet1!C814,"dd/mm/yyyy") &amp; "," &amp; Sheet1!D814</f>
        <v>01/09/2025,WERRIBEE</v>
      </c>
      <c r="H814" s="39" t="str">
        <f>UPPER(Sheet1!J814 &amp; "," &amp; Sheet1!K814 &amp; "," &amp; Sheet1!L814)</f>
        <v>35 BIRCHWOOD LANE,EMERALD ROAD,PIN:345085 WERRIBEE</v>
      </c>
      <c r="I814" s="8">
        <f>Sheet1!I814</f>
        <v>45941</v>
      </c>
      <c r="J814" s="5" t="str">
        <f>Sheet1!M814 &amp; "," &amp; TEXT(Sheet1!N814,"dd/mm/yy")</f>
        <v>MHA/IND/00817,12/08/25</v>
      </c>
      <c r="K814" s="5" t="s">
        <v>5752</v>
      </c>
      <c r="L814" t="s">
        <v>14</v>
      </c>
      <c r="M814" s="31" t="s">
        <v>15</v>
      </c>
      <c r="N814" s="31"/>
    </row>
    <row r="815" spans="1:14" x14ac:dyDescent="0.25">
      <c r="A815" s="4" t="str">
        <f>Sheet1!A815 &amp; "/" &amp; "2025"</f>
        <v>814/2025</v>
      </c>
      <c r="B815" s="5" t="str">
        <f>Sheet1!E815</f>
        <v>IND/MEL/00814</v>
      </c>
      <c r="C815" s="6" t="str">
        <f>UPPER(Sheet1!B815)</f>
        <v>KIRAN MYRTHOS</v>
      </c>
      <c r="D815" s="7" t="str">
        <f>IF(Sheet1!F815="F","FEMALE","MALE")</f>
        <v>MALE</v>
      </c>
      <c r="E815" s="6" t="str">
        <f>UPPER(Sheet1!G815)</f>
        <v>NEIL RAO</v>
      </c>
      <c r="F815" s="6" t="str">
        <f>UPPER(Sheet1!H815)</f>
        <v>SARA RAO</v>
      </c>
      <c r="G815" s="5" t="str">
        <f>TEXT(Sheet1!C815,"dd/mm/yyyy") &amp; "," &amp; Sheet1!D815</f>
        <v>22/07/2025,BUNDABERG</v>
      </c>
      <c r="H815" s="39" t="str">
        <f>UPPER(Sheet1!J815 &amp; "," &amp; Sheet1!K815 &amp; "," &amp; Sheet1!L815)</f>
        <v>131 BIRCHWOOD LANE,EMERALD ROAD,PIN:834366 BUNDABERG</v>
      </c>
      <c r="I815" s="8">
        <f>Sheet1!I815</f>
        <v>45905</v>
      </c>
      <c r="J815" s="5" t="str">
        <f>Sheet1!M815 &amp; "," &amp; TEXT(Sheet1!N815,"dd/mm/yy")</f>
        <v>MHA/IND/00818,09/08/25</v>
      </c>
      <c r="K815" s="5" t="s">
        <v>5752</v>
      </c>
      <c r="L815" t="s">
        <v>14</v>
      </c>
      <c r="M815" s="31" t="s">
        <v>15</v>
      </c>
      <c r="N815" s="31"/>
    </row>
    <row r="816" spans="1:14" x14ac:dyDescent="0.25">
      <c r="A816" s="4" t="str">
        <f>Sheet1!A816 &amp; "/" &amp; "2025"</f>
        <v>815/2025</v>
      </c>
      <c r="B816" s="5" t="str">
        <f>Sheet1!E816</f>
        <v>IND/MEL/00815</v>
      </c>
      <c r="C816" s="6" t="str">
        <f>UPPER(Sheet1!B816)</f>
        <v>DEV RISHKAN</v>
      </c>
      <c r="D816" s="7" t="str">
        <f>IF(Sheet1!F816="F","FEMALE","MALE")</f>
        <v>FEMALE</v>
      </c>
      <c r="E816" s="6" t="str">
        <f>UPPER(Sheet1!G816)</f>
        <v>NEIL RAO</v>
      </c>
      <c r="F816" s="6" t="str">
        <f>UPPER(Sheet1!H816)</f>
        <v>RIYA RAO</v>
      </c>
      <c r="G816" s="5" t="str">
        <f>TEXT(Sheet1!C816,"dd/mm/yyyy") &amp; "," &amp; Sheet1!D816</f>
        <v>20/06/2025,PERTH</v>
      </c>
      <c r="H816" s="39" t="str">
        <f>UPPER(Sheet1!J816 &amp; "," &amp; Sheet1!K816 &amp; "," &amp; Sheet1!L816)</f>
        <v>32 BIRCHWOOD LANE,EMERALD ROAD,PIN:127602 PERTH</v>
      </c>
      <c r="I816" s="8">
        <f>Sheet1!I816</f>
        <v>45872</v>
      </c>
      <c r="J816" s="5" t="str">
        <f>Sheet1!M816 &amp; "," &amp; TEXT(Sheet1!N816,"dd/mm/yy")</f>
        <v>MHA/IND/00819,08/08/25</v>
      </c>
      <c r="K816" s="5" t="s">
        <v>5752</v>
      </c>
      <c r="L816" t="s">
        <v>14</v>
      </c>
      <c r="M816" s="31" t="s">
        <v>15</v>
      </c>
      <c r="N816" s="31"/>
    </row>
    <row r="817" spans="1:14" x14ac:dyDescent="0.25">
      <c r="A817" s="4" t="str">
        <f>Sheet1!A817 &amp; "/" &amp; "2025"</f>
        <v>816/2025</v>
      </c>
      <c r="B817" s="5" t="str">
        <f>Sheet1!E817</f>
        <v>IND/MEL/00816</v>
      </c>
      <c r="C817" s="6" t="str">
        <f>UPPER(Sheet1!B817)</f>
        <v>SARA VALZARI</v>
      </c>
      <c r="D817" s="7" t="str">
        <f>IF(Sheet1!F817="F","FEMALE","MALE")</f>
        <v>MALE</v>
      </c>
      <c r="E817" s="6" t="str">
        <f>UPPER(Sheet1!G817)</f>
        <v>ISHAN MYRTHOS</v>
      </c>
      <c r="F817" s="6" t="str">
        <f>UPPER(Sheet1!H817)</f>
        <v>ANYA MYRTHOS</v>
      </c>
      <c r="G817" s="5" t="str">
        <f>TEXT(Sheet1!C817,"dd/mm/yyyy") &amp; "," &amp; Sheet1!D817</f>
        <v>28/04/2025,NEWCASTLE</v>
      </c>
      <c r="H817" s="39" t="str">
        <f>UPPER(Sheet1!J817 &amp; "," &amp; Sheet1!K817 &amp; "," &amp; Sheet1!L817)</f>
        <v>139 BIRCHWOOD LANE,EMERALD ROAD,PIN:884260 NEWCASTLE</v>
      </c>
      <c r="I817" s="8">
        <f>Sheet1!I817</f>
        <v>45873</v>
      </c>
      <c r="J817" s="5" t="str">
        <f>Sheet1!M817 &amp; "," &amp; TEXT(Sheet1!N817,"dd/mm/yy")</f>
        <v>MHA/IND/00820,26/07/25</v>
      </c>
      <c r="K817" s="5" t="s">
        <v>5752</v>
      </c>
      <c r="L817" t="s">
        <v>14</v>
      </c>
      <c r="M817" s="31" t="s">
        <v>15</v>
      </c>
      <c r="N817" s="31"/>
    </row>
    <row r="818" spans="1:14" x14ac:dyDescent="0.25">
      <c r="A818" s="4" t="str">
        <f>Sheet1!A818 &amp; "/" &amp; "2025"</f>
        <v>817/2025</v>
      </c>
      <c r="B818" s="5" t="str">
        <f>Sheet1!E818</f>
        <v>IND/MEL/00817</v>
      </c>
      <c r="C818" s="6" t="str">
        <f>UPPER(Sheet1!B818)</f>
        <v>ROHIT MYRTHOS</v>
      </c>
      <c r="D818" s="7" t="str">
        <f>IF(Sheet1!F818="F","FEMALE","MALE")</f>
        <v>MALE</v>
      </c>
      <c r="E818" s="6" t="str">
        <f>UPPER(Sheet1!G818)</f>
        <v>KABIR SINDALE</v>
      </c>
      <c r="F818" s="6" t="str">
        <f>UPPER(Sheet1!H818)</f>
        <v>SARA SINDALE</v>
      </c>
      <c r="G818" s="5" t="str">
        <f>TEXT(Sheet1!C818,"dd/mm/yyyy") &amp; "," &amp; Sheet1!D818</f>
        <v>17/03/2025,PARKVILLE</v>
      </c>
      <c r="H818" s="39" t="str">
        <f>UPPER(Sheet1!J818 &amp; "," &amp; Sheet1!K818 &amp; "," &amp; Sheet1!L818)</f>
        <v>164 BIRCHWOOD LANE,EMERALD ROAD,PIN:603548 PARKVILLE</v>
      </c>
      <c r="I818" s="8">
        <f>Sheet1!I818</f>
        <v>45786</v>
      </c>
      <c r="J818" s="5" t="str">
        <f>Sheet1!M818 &amp; "," &amp; TEXT(Sheet1!N818,"dd/mm/yy")</f>
        <v>MHA/IND/00821,19/07/25</v>
      </c>
      <c r="K818" s="5" t="s">
        <v>5752</v>
      </c>
      <c r="L818" t="s">
        <v>14</v>
      </c>
      <c r="M818" s="31" t="s">
        <v>15</v>
      </c>
      <c r="N818" s="31"/>
    </row>
    <row r="819" spans="1:14" x14ac:dyDescent="0.25">
      <c r="A819" s="4" t="str">
        <f>Sheet1!A819 &amp; "/" &amp; "2025"</f>
        <v>818/2025</v>
      </c>
      <c r="B819" s="5" t="str">
        <f>Sheet1!E819</f>
        <v>IND/MEL/00818</v>
      </c>
      <c r="C819" s="6" t="str">
        <f>UPPER(Sheet1!B819)</f>
        <v>KABIR RAO</v>
      </c>
      <c r="D819" s="7" t="str">
        <f>IF(Sheet1!F819="F","FEMALE","MALE")</f>
        <v>FEMALE</v>
      </c>
      <c r="E819" s="6" t="str">
        <f>UPPER(Sheet1!G819)</f>
        <v>ARJUN RISHKAN</v>
      </c>
      <c r="F819" s="6" t="str">
        <f>UPPER(Sheet1!H819)</f>
        <v>RIYA RISHKAN</v>
      </c>
      <c r="G819" s="5" t="str">
        <f>TEXT(Sheet1!C819,"dd/mm/yyyy") &amp; "," &amp; Sheet1!D819</f>
        <v>05/06/2025,CLAYTON</v>
      </c>
      <c r="H819" s="39" t="str">
        <f>UPPER(Sheet1!J819 &amp; "," &amp; Sheet1!K819 &amp; "," &amp; Sheet1!L819)</f>
        <v>115 BIRCHWOOD LANE,EMERALD ROAD,PIN:420167 CLAYTON</v>
      </c>
      <c r="I819" s="8">
        <f>Sheet1!I819</f>
        <v>45881</v>
      </c>
      <c r="J819" s="5" t="str">
        <f>Sheet1!M819 &amp; "," &amp; TEXT(Sheet1!N819,"dd/mm/yy")</f>
        <v>MHA/IND/00822,06/07/25</v>
      </c>
      <c r="K819" s="5" t="s">
        <v>5752</v>
      </c>
      <c r="L819" t="s">
        <v>14</v>
      </c>
      <c r="M819" s="31" t="s">
        <v>15</v>
      </c>
      <c r="N819" s="31"/>
    </row>
    <row r="820" spans="1:14" x14ac:dyDescent="0.25">
      <c r="A820" s="4" t="str">
        <f>Sheet1!A820 &amp; "/" &amp; "2025"</f>
        <v>819/2025</v>
      </c>
      <c r="B820" s="5" t="str">
        <f>Sheet1!E820</f>
        <v>IND/MEL/00819</v>
      </c>
      <c r="C820" s="6" t="str">
        <f>UPPER(Sheet1!B820)</f>
        <v>DIYA RAO</v>
      </c>
      <c r="D820" s="7" t="str">
        <f>IF(Sheet1!F820="F","FEMALE","MALE")</f>
        <v>MALE</v>
      </c>
      <c r="E820" s="6" t="str">
        <f>UPPER(Sheet1!G820)</f>
        <v>ROHIT MYRTHOS</v>
      </c>
      <c r="F820" s="6" t="str">
        <f>UPPER(Sheet1!H820)</f>
        <v>SARA MYRTHOS</v>
      </c>
      <c r="G820" s="5" t="str">
        <f>TEXT(Sheet1!C820,"dd/mm/yyyy") &amp; "," &amp; Sheet1!D820</f>
        <v>15/08/2025,SYDNEY</v>
      </c>
      <c r="H820" s="39" t="str">
        <f>UPPER(Sheet1!J820 &amp; "," &amp; Sheet1!K820 &amp; "," &amp; Sheet1!L820)</f>
        <v>87 BIRCHWOOD LANE,EMERALD ROAD,PIN:467770 SYDNEY</v>
      </c>
      <c r="I820" s="8">
        <f>Sheet1!I820</f>
        <v>45929</v>
      </c>
      <c r="J820" s="5" t="str">
        <f>Sheet1!M820 &amp; "," &amp; TEXT(Sheet1!N820,"dd/mm/yy")</f>
        <v>MHA/IND/00823,26/07/25</v>
      </c>
      <c r="K820" s="5" t="s">
        <v>5752</v>
      </c>
      <c r="L820" t="s">
        <v>14</v>
      </c>
      <c r="M820" s="31" t="s">
        <v>15</v>
      </c>
      <c r="N820" s="31"/>
    </row>
    <row r="821" spans="1:14" x14ac:dyDescent="0.25">
      <c r="A821" s="4" t="str">
        <f>Sheet1!A821 &amp; "/" &amp; "2025"</f>
        <v>820/2025</v>
      </c>
      <c r="B821" s="5" t="str">
        <f>Sheet1!E821</f>
        <v>IND/MEL/00820</v>
      </c>
      <c r="C821" s="6" t="str">
        <f>UPPER(Sheet1!B821)</f>
        <v>KIRAN MYRTHOS</v>
      </c>
      <c r="D821" s="7" t="str">
        <f>IF(Sheet1!F821="F","FEMALE","MALE")</f>
        <v>MALE</v>
      </c>
      <c r="E821" s="6" t="str">
        <f>UPPER(Sheet1!G821)</f>
        <v>ARJUN KALEON</v>
      </c>
      <c r="F821" s="6" t="str">
        <f>UPPER(Sheet1!H821)</f>
        <v>NINA KALEON</v>
      </c>
      <c r="G821" s="5" t="str">
        <f>TEXT(Sheet1!C821,"dd/mm/yyyy") &amp; "," &amp; Sheet1!D821</f>
        <v>22/09/2025,SHEPPARTON</v>
      </c>
      <c r="H821" s="39" t="str">
        <f>UPPER(Sheet1!J821 &amp; "," &amp; Sheet1!K821 &amp; "," &amp; Sheet1!L821)</f>
        <v>77 BIRCHWOOD LANE,EMERALD ROAD,PIN:757926 SHEPPARTON</v>
      </c>
      <c r="I821" s="8">
        <f>Sheet1!I821</f>
        <v>46024</v>
      </c>
      <c r="J821" s="5" t="str">
        <f>Sheet1!M821 &amp; "," &amp; TEXT(Sheet1!N821,"dd/mm/yy")</f>
        <v>MHA/IND/00824,02/07/25</v>
      </c>
      <c r="K821" s="5" t="s">
        <v>5752</v>
      </c>
      <c r="L821" t="s">
        <v>14</v>
      </c>
      <c r="M821" s="31" t="s">
        <v>15</v>
      </c>
      <c r="N821" s="31"/>
    </row>
    <row r="822" spans="1:14" x14ac:dyDescent="0.25">
      <c r="A822" s="4" t="str">
        <f>Sheet1!A822 &amp; "/" &amp; "2025"</f>
        <v>821/2025</v>
      </c>
      <c r="B822" s="5" t="str">
        <f>Sheet1!E822</f>
        <v>IND/MEL/00821</v>
      </c>
      <c r="C822" s="6" t="str">
        <f>UPPER(Sheet1!B822)</f>
        <v>NEIL SINDALE</v>
      </c>
      <c r="D822" s="7" t="str">
        <f>IF(Sheet1!F822="F","FEMALE","MALE")</f>
        <v>MALE</v>
      </c>
      <c r="E822" s="6" t="str">
        <f>UPPER(Sheet1!G822)</f>
        <v>ROHIT KALEON</v>
      </c>
      <c r="F822" s="6" t="str">
        <f>UPPER(Sheet1!H822)</f>
        <v>DIYA KALEON</v>
      </c>
      <c r="G822" s="5" t="str">
        <f>TEXT(Sheet1!C822,"dd/mm/yyyy") &amp; "," &amp; Sheet1!D822</f>
        <v>21/04/2025,WERRIBEE</v>
      </c>
      <c r="H822" s="39" t="str">
        <f>UPPER(Sheet1!J822 &amp; "," &amp; Sheet1!K822 &amp; "," &amp; Sheet1!L822)</f>
        <v>59 BIRCHWOOD LANE,EMERALD ROAD,PIN:445229 WERRIBEE</v>
      </c>
      <c r="I822" s="8">
        <f>Sheet1!I822</f>
        <v>45776</v>
      </c>
      <c r="J822" s="5" t="str">
        <f>Sheet1!M822 &amp; "," &amp; TEXT(Sheet1!N822,"dd/mm/yy")</f>
        <v>MHA/IND/00825,30/07/25</v>
      </c>
      <c r="K822" s="5" t="s">
        <v>5752</v>
      </c>
      <c r="L822" t="s">
        <v>14</v>
      </c>
      <c r="M822" s="31" t="s">
        <v>15</v>
      </c>
      <c r="N822" s="31"/>
    </row>
    <row r="823" spans="1:14" x14ac:dyDescent="0.25">
      <c r="A823" s="4" t="str">
        <f>Sheet1!A823 &amp; "/" &amp; "2025"</f>
        <v>822/2025</v>
      </c>
      <c r="B823" s="5" t="str">
        <f>Sheet1!E823</f>
        <v>IND/MEL/00822</v>
      </c>
      <c r="C823" s="6" t="str">
        <f>UPPER(Sheet1!B823)</f>
        <v>ANYA RISHKAN</v>
      </c>
      <c r="D823" s="7" t="str">
        <f>IF(Sheet1!F823="F","FEMALE","MALE")</f>
        <v>FEMALE</v>
      </c>
      <c r="E823" s="6" t="str">
        <f>UPPER(Sheet1!G823)</f>
        <v>ARJUN KALEON</v>
      </c>
      <c r="F823" s="6" t="str">
        <f>UPPER(Sheet1!H823)</f>
        <v>DIYA KALEON</v>
      </c>
      <c r="G823" s="5" t="str">
        <f>TEXT(Sheet1!C823,"dd/mm/yyyy") &amp; "," &amp; Sheet1!D823</f>
        <v>27/10/2025,MOUNT WAVERLEY</v>
      </c>
      <c r="H823" s="39" t="str">
        <f>UPPER(Sheet1!J823 &amp; "," &amp; Sheet1!K823 &amp; "," &amp; Sheet1!L823)</f>
        <v>97 BIRCHWOOD LANE,EMERALD ROAD,PIN:563405 MOUNT WAVERLEY</v>
      </c>
      <c r="I823" s="8">
        <f>Sheet1!I823</f>
        <v>45976</v>
      </c>
      <c r="J823" s="5" t="str">
        <f>Sheet1!M823 &amp; "," &amp; TEXT(Sheet1!N823,"dd/mm/yy")</f>
        <v>MHA/IND/00826,11/07/25</v>
      </c>
      <c r="K823" s="5" t="s">
        <v>5752</v>
      </c>
      <c r="L823" t="s">
        <v>14</v>
      </c>
      <c r="M823" s="31" t="s">
        <v>15</v>
      </c>
      <c r="N823" s="31"/>
    </row>
    <row r="824" spans="1:14" x14ac:dyDescent="0.25">
      <c r="A824" s="4" t="str">
        <f>Sheet1!A824 &amp; "/" &amp; "2025"</f>
        <v>823/2025</v>
      </c>
      <c r="B824" s="5" t="str">
        <f>Sheet1!E824</f>
        <v>IND/MEL/00823</v>
      </c>
      <c r="C824" s="6" t="str">
        <f>UPPER(Sheet1!B824)</f>
        <v>ISHAN MYRTHOS</v>
      </c>
      <c r="D824" s="7" t="str">
        <f>IF(Sheet1!F824="F","FEMALE","MALE")</f>
        <v>FEMALE</v>
      </c>
      <c r="E824" s="6" t="str">
        <f>UPPER(Sheet1!G824)</f>
        <v>DEV KALEON</v>
      </c>
      <c r="F824" s="6" t="str">
        <f>UPPER(Sheet1!H824)</f>
        <v>ANYA KALEON</v>
      </c>
      <c r="G824" s="5" t="str">
        <f>TEXT(Sheet1!C824,"dd/mm/yyyy") &amp; "," &amp; Sheet1!D824</f>
        <v>11/07/2025,BRISBANE</v>
      </c>
      <c r="H824" s="39" t="str">
        <f>UPPER(Sheet1!J824 &amp; "," &amp; Sheet1!K824 &amp; "," &amp; Sheet1!L824)</f>
        <v>27 BIRCHWOOD LANE,EMERALD ROAD,PIN:220650 BRISBANE</v>
      </c>
      <c r="I824" s="8">
        <f>Sheet1!I824</f>
        <v>45956</v>
      </c>
      <c r="J824" s="5" t="str">
        <f>Sheet1!M824 &amp; "," &amp; TEXT(Sheet1!N824,"dd/mm/yy")</f>
        <v>MHA/IND/00827,17/07/25</v>
      </c>
      <c r="K824" s="5" t="s">
        <v>5752</v>
      </c>
      <c r="L824" t="s">
        <v>14</v>
      </c>
      <c r="M824" s="31" t="s">
        <v>15</v>
      </c>
      <c r="N824" s="31"/>
    </row>
    <row r="825" spans="1:14" x14ac:dyDescent="0.25">
      <c r="A825" s="4" t="str">
        <f>Sheet1!A825 &amp; "/" &amp; "2025"</f>
        <v>824/2025</v>
      </c>
      <c r="B825" s="5" t="str">
        <f>Sheet1!E825</f>
        <v>IND/MEL/00824</v>
      </c>
      <c r="C825" s="6" t="str">
        <f>UPPER(Sheet1!B825)</f>
        <v>ROHIT KALEON</v>
      </c>
      <c r="D825" s="7" t="str">
        <f>IF(Sheet1!F825="F","FEMALE","MALE")</f>
        <v>MALE</v>
      </c>
      <c r="E825" s="6" t="str">
        <f>UPPER(Sheet1!G825)</f>
        <v>KIRAN MYRTHOS</v>
      </c>
      <c r="F825" s="6" t="str">
        <f>UPPER(Sheet1!H825)</f>
        <v>SARA MYRTHOS</v>
      </c>
      <c r="G825" s="5" t="str">
        <f>TEXT(Sheet1!C825,"dd/mm/yyyy") &amp; "," &amp; Sheet1!D825</f>
        <v>16/02/2025,MILDURA</v>
      </c>
      <c r="H825" s="39" t="str">
        <f>UPPER(Sheet1!J825 &amp; "," &amp; Sheet1!K825 &amp; "," &amp; Sheet1!L825)</f>
        <v>198 BIRCHWOOD LANE,EMERALD ROAD,PIN:462004 MILDURA</v>
      </c>
      <c r="I825" s="8">
        <f>Sheet1!I825</f>
        <v>45773</v>
      </c>
      <c r="J825" s="5" t="str">
        <f>Sheet1!M825 &amp; "," &amp; TEXT(Sheet1!N825,"dd/mm/yy")</f>
        <v>MHA/IND/00828,10/08/25</v>
      </c>
      <c r="K825" s="5" t="s">
        <v>5752</v>
      </c>
      <c r="L825" t="s">
        <v>14</v>
      </c>
      <c r="M825" s="31" t="s">
        <v>15</v>
      </c>
      <c r="N825" s="31"/>
    </row>
    <row r="826" spans="1:14" x14ac:dyDescent="0.25">
      <c r="A826" s="4" t="str">
        <f>Sheet1!A826 &amp; "/" &amp; "2025"</f>
        <v>825/2025</v>
      </c>
      <c r="B826" s="5" t="str">
        <f>Sheet1!E826</f>
        <v>IND/MEL/00825</v>
      </c>
      <c r="C826" s="6" t="str">
        <f>UPPER(Sheet1!B826)</f>
        <v>NEIL KALEON</v>
      </c>
      <c r="D826" s="7" t="str">
        <f>IF(Sheet1!F826="F","FEMALE","MALE")</f>
        <v>MALE</v>
      </c>
      <c r="E826" s="6" t="str">
        <f>UPPER(Sheet1!G826)</f>
        <v>ARJUN RISHKAN</v>
      </c>
      <c r="F826" s="6" t="str">
        <f>UPPER(Sheet1!H826)</f>
        <v>ANYA RISHKAN</v>
      </c>
      <c r="G826" s="5" t="str">
        <f>TEXT(Sheet1!C826,"dd/mm/yyyy") &amp; "," &amp; Sheet1!D826</f>
        <v>14/02/2025,KINGSWOOD</v>
      </c>
      <c r="H826" s="39" t="str">
        <f>UPPER(Sheet1!J826 &amp; "," &amp; Sheet1!K826 &amp; "," &amp; Sheet1!L826)</f>
        <v>83 BIRCHWOOD LANE,EMERALD ROAD,PIN:270087 KINGSWOOD</v>
      </c>
      <c r="I826" s="8">
        <f>Sheet1!I826</f>
        <v>45741</v>
      </c>
      <c r="J826" s="5" t="str">
        <f>Sheet1!M826 &amp; "," &amp; TEXT(Sheet1!N826,"dd/mm/yy")</f>
        <v>MHA/IND/00829,28/08/25</v>
      </c>
      <c r="K826" s="5" t="s">
        <v>5752</v>
      </c>
      <c r="L826" t="s">
        <v>14</v>
      </c>
      <c r="M826" s="31" t="s">
        <v>15</v>
      </c>
      <c r="N826" s="31"/>
    </row>
    <row r="827" spans="1:14" x14ac:dyDescent="0.25">
      <c r="A827" s="4" t="str">
        <f>Sheet1!A827 &amp; "/" &amp; "2025"</f>
        <v>826/2025</v>
      </c>
      <c r="B827" s="5" t="str">
        <f>Sheet1!E827</f>
        <v>IND/MEL/00826</v>
      </c>
      <c r="C827" s="6" t="str">
        <f>UPPER(Sheet1!B827)</f>
        <v>MIRA KALEON</v>
      </c>
      <c r="D827" s="7" t="str">
        <f>IF(Sheet1!F827="F","FEMALE","MALE")</f>
        <v>MALE</v>
      </c>
      <c r="E827" s="6" t="str">
        <f>UPPER(Sheet1!G827)</f>
        <v>NEIL MYRTHOS</v>
      </c>
      <c r="F827" s="6" t="str">
        <f>UPPER(Sheet1!H827)</f>
        <v>RIYA MYRTHOS</v>
      </c>
      <c r="G827" s="5" t="str">
        <f>TEXT(Sheet1!C827,"dd/mm/yyyy") &amp; "," &amp; Sheet1!D827</f>
        <v>17/09/2025,TUGGERANONG</v>
      </c>
      <c r="H827" s="39" t="str">
        <f>UPPER(Sheet1!J827 &amp; "," &amp; Sheet1!K827 &amp; "," &amp; Sheet1!L827)</f>
        <v>97 BIRCHWOOD LANE,EMERALD ROAD,PIN:639992 TUGGERANONG</v>
      </c>
      <c r="I827" s="8">
        <f>Sheet1!I827</f>
        <v>45969</v>
      </c>
      <c r="J827" s="5" t="str">
        <f>Sheet1!M827 &amp; "," &amp; TEXT(Sheet1!N827,"dd/mm/yy")</f>
        <v>MHA/IND/00830,01/07/25</v>
      </c>
      <c r="K827" s="5" t="s">
        <v>5752</v>
      </c>
      <c r="L827" t="s">
        <v>14</v>
      </c>
      <c r="M827" s="31" t="s">
        <v>15</v>
      </c>
      <c r="N827" s="31"/>
    </row>
    <row r="828" spans="1:14" x14ac:dyDescent="0.25">
      <c r="A828" s="4" t="str">
        <f>Sheet1!A828 &amp; "/" &amp; "2025"</f>
        <v>827/2025</v>
      </c>
      <c r="B828" s="5" t="str">
        <f>Sheet1!E828</f>
        <v>IND/MEL/00827</v>
      </c>
      <c r="C828" s="6" t="str">
        <f>UPPER(Sheet1!B828)</f>
        <v>DIYA KALEON</v>
      </c>
      <c r="D828" s="7" t="str">
        <f>IF(Sheet1!F828="F","FEMALE","MALE")</f>
        <v>FEMALE</v>
      </c>
      <c r="E828" s="6" t="str">
        <f>UPPER(Sheet1!G828)</f>
        <v>ROHIT RAO</v>
      </c>
      <c r="F828" s="6" t="str">
        <f>UPPER(Sheet1!H828)</f>
        <v>ALYA RAO</v>
      </c>
      <c r="G828" s="5" t="str">
        <f>TEXT(Sheet1!C828,"dd/mm/yyyy") &amp; "," &amp; Sheet1!D828</f>
        <v>14/01/2025,HEIDELBERG</v>
      </c>
      <c r="H828" s="39" t="str">
        <f>UPPER(Sheet1!J828 &amp; "," &amp; Sheet1!K828 &amp; "," &amp; Sheet1!L828)</f>
        <v>140 BIRCHWOOD LANE,EMERALD ROAD,PIN:499471 HEIDELBERG</v>
      </c>
      <c r="I828" s="8">
        <f>Sheet1!I828</f>
        <v>45780</v>
      </c>
      <c r="J828" s="5" t="str">
        <f>Sheet1!M828 &amp; "," &amp; TEXT(Sheet1!N828,"dd/mm/yy")</f>
        <v>MHA/IND/00831,24/08/25</v>
      </c>
      <c r="K828" s="5" t="s">
        <v>5752</v>
      </c>
      <c r="L828" t="s">
        <v>14</v>
      </c>
      <c r="M828" s="31" t="s">
        <v>15</v>
      </c>
      <c r="N828" s="31"/>
    </row>
    <row r="829" spans="1:14" x14ac:dyDescent="0.25">
      <c r="A829" s="4" t="str">
        <f>Sheet1!A829 &amp; "/" &amp; "2025"</f>
        <v>828/2025</v>
      </c>
      <c r="B829" s="5" t="str">
        <f>Sheet1!E829</f>
        <v>IND/MEL/00828</v>
      </c>
      <c r="C829" s="6" t="str">
        <f>UPPER(Sheet1!B829)</f>
        <v>KABIR MYRTHOS</v>
      </c>
      <c r="D829" s="7" t="str">
        <f>IF(Sheet1!F829="F","FEMALE","MALE")</f>
        <v>MALE</v>
      </c>
      <c r="E829" s="6" t="str">
        <f>UPPER(Sheet1!G829)</f>
        <v>NEIL RISHKAN</v>
      </c>
      <c r="F829" s="6" t="str">
        <f>UPPER(Sheet1!H829)</f>
        <v>NINA RISHKAN</v>
      </c>
      <c r="G829" s="5" t="str">
        <f>TEXT(Sheet1!C829,"dd/mm/yyyy") &amp; "," &amp; Sheet1!D829</f>
        <v>23/05/2025,BALLARAT CENTRAL</v>
      </c>
      <c r="H829" s="39" t="str">
        <f>UPPER(Sheet1!J829 &amp; "," &amp; Sheet1!K829 &amp; "," &amp; Sheet1!L829)</f>
        <v>80 BIRCHWOOD LANE,EMERALD ROAD,PIN:295625 BALLARAT CENTRAL</v>
      </c>
      <c r="I829" s="8">
        <f>Sheet1!I829</f>
        <v>45822</v>
      </c>
      <c r="J829" s="5" t="str">
        <f>Sheet1!M829 &amp; "," &amp; TEXT(Sheet1!N829,"dd/mm/yy")</f>
        <v>MHA/IND/00832,12/08/25</v>
      </c>
      <c r="K829" s="5" t="s">
        <v>5752</v>
      </c>
      <c r="L829" t="s">
        <v>14</v>
      </c>
      <c r="M829" s="31" t="s">
        <v>15</v>
      </c>
      <c r="N829" s="31"/>
    </row>
    <row r="830" spans="1:14" x14ac:dyDescent="0.25">
      <c r="A830" s="4" t="str">
        <f>Sheet1!A830 &amp; "/" &amp; "2025"</f>
        <v>829/2025</v>
      </c>
      <c r="B830" s="5" t="str">
        <f>Sheet1!E830</f>
        <v>IND/MEL/00829</v>
      </c>
      <c r="C830" s="6" t="str">
        <f>UPPER(Sheet1!B830)</f>
        <v>ROHIT RISHKAN</v>
      </c>
      <c r="D830" s="7" t="str">
        <f>IF(Sheet1!F830="F","FEMALE","MALE")</f>
        <v>FEMALE</v>
      </c>
      <c r="E830" s="6" t="str">
        <f>UPPER(Sheet1!G830)</f>
        <v>KABIR SHARMA</v>
      </c>
      <c r="F830" s="6" t="str">
        <f>UPPER(Sheet1!H830)</f>
        <v>ALYA SHARMA</v>
      </c>
      <c r="G830" s="5" t="str">
        <f>TEXT(Sheet1!C830,"dd/mm/yyyy") &amp; "," &amp; Sheet1!D830</f>
        <v>02/10/2025,BUNDABERG</v>
      </c>
      <c r="H830" s="39" t="str">
        <f>UPPER(Sheet1!J830 &amp; "," &amp; Sheet1!K830 &amp; "," &amp; Sheet1!L830)</f>
        <v>164 BIRCHWOOD LANE,EMERALD ROAD,PIN:842372 BUNDABERG</v>
      </c>
      <c r="I830" s="8">
        <f>Sheet1!I830</f>
        <v>45950</v>
      </c>
      <c r="J830" s="5" t="str">
        <f>Sheet1!M830 &amp; "," &amp; TEXT(Sheet1!N830,"dd/mm/yy")</f>
        <v>MHA/IND/00833,24/07/25</v>
      </c>
      <c r="K830" s="5" t="s">
        <v>5752</v>
      </c>
      <c r="L830" t="s">
        <v>14</v>
      </c>
      <c r="M830" s="31" t="s">
        <v>15</v>
      </c>
      <c r="N830" s="31"/>
    </row>
    <row r="831" spans="1:14" x14ac:dyDescent="0.25">
      <c r="A831" s="4" t="str">
        <f>Sheet1!A831 &amp; "/" &amp; "2025"</f>
        <v>830/2025</v>
      </c>
      <c r="B831" s="5" t="str">
        <f>Sheet1!E831</f>
        <v>IND/MEL/00830</v>
      </c>
      <c r="C831" s="6" t="str">
        <f>UPPER(Sheet1!B831)</f>
        <v>ROHIT MYRTHOS</v>
      </c>
      <c r="D831" s="7" t="str">
        <f>IF(Sheet1!F831="F","FEMALE","MALE")</f>
        <v>FEMALE</v>
      </c>
      <c r="E831" s="6" t="str">
        <f>UPPER(Sheet1!G831)</f>
        <v>KABIR SHARMA</v>
      </c>
      <c r="F831" s="6" t="str">
        <f>UPPER(Sheet1!H831)</f>
        <v>ALYA SHARMA</v>
      </c>
      <c r="G831" s="5" t="str">
        <f>TEXT(Sheet1!C831,"dd/mm/yyyy") &amp; "," &amp; Sheet1!D831</f>
        <v>28/04/2025,LAUNCESTON</v>
      </c>
      <c r="H831" s="39" t="str">
        <f>UPPER(Sheet1!J831 &amp; "," &amp; Sheet1!K831 &amp; "," &amp; Sheet1!L831)</f>
        <v>15 BIRCHWOOD LANE,EMERALD ROAD,PIN:931268 LAUNCESTON</v>
      </c>
      <c r="I831" s="8">
        <f>Sheet1!I831</f>
        <v>45864</v>
      </c>
      <c r="J831" s="5" t="str">
        <f>Sheet1!M831 &amp; "," &amp; TEXT(Sheet1!N831,"dd/mm/yy")</f>
        <v>MHA/IND/00834,17/08/25</v>
      </c>
      <c r="K831" s="5" t="s">
        <v>5752</v>
      </c>
      <c r="L831" t="s">
        <v>14</v>
      </c>
      <c r="M831" s="31" t="s">
        <v>15</v>
      </c>
      <c r="N831" s="31"/>
    </row>
    <row r="832" spans="1:14" x14ac:dyDescent="0.25">
      <c r="A832" s="4" t="str">
        <f>Sheet1!A832 &amp; "/" &amp; "2025"</f>
        <v>831/2025</v>
      </c>
      <c r="B832" s="5" t="str">
        <f>Sheet1!E832</f>
        <v>IND/MEL/00831</v>
      </c>
      <c r="C832" s="6" t="str">
        <f>UPPER(Sheet1!B832)</f>
        <v>ALYA RAO</v>
      </c>
      <c r="D832" s="7" t="str">
        <f>IF(Sheet1!F832="F","FEMALE","MALE")</f>
        <v>FEMALE</v>
      </c>
      <c r="E832" s="6" t="str">
        <f>UPPER(Sheet1!G832)</f>
        <v>KABIR KALEON</v>
      </c>
      <c r="F832" s="6" t="str">
        <f>UPPER(Sheet1!H832)</f>
        <v>MIRA KALEON</v>
      </c>
      <c r="G832" s="5" t="str">
        <f>TEXT(Sheet1!C832,"dd/mm/yyyy") &amp; "," &amp; Sheet1!D832</f>
        <v>12/10/2025,BUNDOORA</v>
      </c>
      <c r="H832" s="39" t="str">
        <f>UPPER(Sheet1!J832 &amp; "," &amp; Sheet1!K832 &amp; "," &amp; Sheet1!L832)</f>
        <v>100 BIRCHWOOD LANE,EMERALD ROAD,PIN:115514 BUNDOORA</v>
      </c>
      <c r="I832" s="8">
        <f>Sheet1!I832</f>
        <v>45975</v>
      </c>
      <c r="J832" s="5" t="str">
        <f>Sheet1!M832 &amp; "," &amp; TEXT(Sheet1!N832,"dd/mm/yy")</f>
        <v>MHA/IND/00835,28/07/25</v>
      </c>
      <c r="K832" s="5" t="s">
        <v>5752</v>
      </c>
      <c r="L832" t="s">
        <v>14</v>
      </c>
      <c r="M832" s="31" t="s">
        <v>15</v>
      </c>
      <c r="N832" s="31"/>
    </row>
    <row r="833" spans="1:14" x14ac:dyDescent="0.25">
      <c r="A833" s="4" t="str">
        <f>Sheet1!A833 &amp; "/" &amp; "2025"</f>
        <v>832/2025</v>
      </c>
      <c r="B833" s="5" t="str">
        <f>Sheet1!E833</f>
        <v>IND/MEL/00832</v>
      </c>
      <c r="C833" s="6" t="str">
        <f>UPPER(Sheet1!B833)</f>
        <v>NEIL RISHKAN</v>
      </c>
      <c r="D833" s="7" t="str">
        <f>IF(Sheet1!F833="F","FEMALE","MALE")</f>
        <v>MALE</v>
      </c>
      <c r="E833" s="6" t="str">
        <f>UPPER(Sheet1!G833)</f>
        <v>ARJUN VALZARI</v>
      </c>
      <c r="F833" s="6" t="str">
        <f>UPPER(Sheet1!H833)</f>
        <v>ALYA VALZARI</v>
      </c>
      <c r="G833" s="5" t="str">
        <f>TEXT(Sheet1!C833,"dd/mm/yyyy") &amp; "," &amp; Sheet1!D833</f>
        <v>07/01/2025,ST ALBANS</v>
      </c>
      <c r="H833" s="39" t="str">
        <f>UPPER(Sheet1!J833 &amp; "," &amp; Sheet1!K833 &amp; "," &amp; Sheet1!L833)</f>
        <v>140 BIRCHWOOD LANE,EMERALD ROAD,PIN:979619 ST ALBANS</v>
      </c>
      <c r="I833" s="8">
        <f>Sheet1!I833</f>
        <v>45725</v>
      </c>
      <c r="J833" s="5" t="str">
        <f>Sheet1!M833 &amp; "," &amp; TEXT(Sheet1!N833,"dd/mm/yy")</f>
        <v>MHA/IND/00836,13/07/25</v>
      </c>
      <c r="K833" s="5" t="s">
        <v>5752</v>
      </c>
      <c r="L833" t="s">
        <v>14</v>
      </c>
      <c r="M833" s="31" t="s">
        <v>15</v>
      </c>
      <c r="N833" s="31"/>
    </row>
    <row r="834" spans="1:14" x14ac:dyDescent="0.25">
      <c r="A834" s="4" t="str">
        <f>Sheet1!A834 &amp; "/" &amp; "2025"</f>
        <v>833/2025</v>
      </c>
      <c r="B834" s="5" t="str">
        <f>Sheet1!E834</f>
        <v>IND/MEL/00833</v>
      </c>
      <c r="C834" s="6" t="str">
        <f>UPPER(Sheet1!B834)</f>
        <v>RIYA SHARMA</v>
      </c>
      <c r="D834" s="7" t="str">
        <f>IF(Sheet1!F834="F","FEMALE","MALE")</f>
        <v>MALE</v>
      </c>
      <c r="E834" s="6" t="str">
        <f>UPPER(Sheet1!G834)</f>
        <v>ISHAN VALZARI</v>
      </c>
      <c r="F834" s="6" t="str">
        <f>UPPER(Sheet1!H834)</f>
        <v>SARA VALZARI</v>
      </c>
      <c r="G834" s="5" t="str">
        <f>TEXT(Sheet1!C834,"dd/mm/yyyy") &amp; "," &amp; Sheet1!D834</f>
        <v>25/08/2025,BLACKTOWN</v>
      </c>
      <c r="H834" s="39" t="str">
        <f>UPPER(Sheet1!J834 &amp; "," &amp; Sheet1!K834 &amp; "," &amp; Sheet1!L834)</f>
        <v>59 BIRCHWOOD LANE,EMERALD ROAD,PIN:338900 BLACKTOWN</v>
      </c>
      <c r="I834" s="8">
        <f>Sheet1!I834</f>
        <v>45951</v>
      </c>
      <c r="J834" s="5" t="str">
        <f>Sheet1!M834 &amp; "," &amp; TEXT(Sheet1!N834,"dd/mm/yy")</f>
        <v>MHA/IND/00837,16/08/25</v>
      </c>
      <c r="K834" s="5" t="s">
        <v>5752</v>
      </c>
      <c r="L834" t="s">
        <v>14</v>
      </c>
      <c r="M834" s="31" t="s">
        <v>15</v>
      </c>
      <c r="N834" s="31"/>
    </row>
    <row r="835" spans="1:14" x14ac:dyDescent="0.25">
      <c r="A835" s="4" t="str">
        <f>Sheet1!A835 &amp; "/" &amp; "2025"</f>
        <v>834/2025</v>
      </c>
      <c r="B835" s="5" t="str">
        <f>Sheet1!E835</f>
        <v>IND/MEL/00834</v>
      </c>
      <c r="C835" s="6" t="str">
        <f>UPPER(Sheet1!B835)</f>
        <v>ALYA SHARMA</v>
      </c>
      <c r="D835" s="7" t="str">
        <f>IF(Sheet1!F835="F","FEMALE","MALE")</f>
        <v>FEMALE</v>
      </c>
      <c r="E835" s="6" t="str">
        <f>UPPER(Sheet1!G835)</f>
        <v>ROHIT RISHKAN</v>
      </c>
      <c r="F835" s="6" t="str">
        <f>UPPER(Sheet1!H835)</f>
        <v>MIRA RISHKAN</v>
      </c>
      <c r="G835" s="5" t="str">
        <f>TEXT(Sheet1!C835,"dd/mm/yyyy") &amp; "," &amp; Sheet1!D835</f>
        <v>22/08/2025,DARWIN</v>
      </c>
      <c r="H835" s="39" t="str">
        <f>UPPER(Sheet1!J835 &amp; "," &amp; Sheet1!K835 &amp; "," &amp; Sheet1!L835)</f>
        <v>125 BIRCHWOOD LANE,EMERALD ROAD,PIN:311709 DARWIN</v>
      </c>
      <c r="I835" s="8">
        <f>Sheet1!I835</f>
        <v>45934</v>
      </c>
      <c r="J835" s="5" t="str">
        <f>Sheet1!M835 &amp; "," &amp; TEXT(Sheet1!N835,"dd/mm/yy")</f>
        <v>MHA/IND/00838,28/08/25</v>
      </c>
      <c r="K835" s="5" t="s">
        <v>5752</v>
      </c>
      <c r="L835" t="s">
        <v>14</v>
      </c>
      <c r="M835" s="31" t="s">
        <v>15</v>
      </c>
      <c r="N835" s="31"/>
    </row>
    <row r="836" spans="1:14" x14ac:dyDescent="0.25">
      <c r="A836" s="4" t="str">
        <f>Sheet1!A836 &amp; "/" &amp; "2025"</f>
        <v>835/2025</v>
      </c>
      <c r="B836" s="5" t="str">
        <f>Sheet1!E836</f>
        <v>IND/MEL/00835</v>
      </c>
      <c r="C836" s="6" t="str">
        <f>UPPER(Sheet1!B836)</f>
        <v>SARA KALEON</v>
      </c>
      <c r="D836" s="7" t="str">
        <f>IF(Sheet1!F836="F","FEMALE","MALE")</f>
        <v>FEMALE</v>
      </c>
      <c r="E836" s="6" t="str">
        <f>UPPER(Sheet1!G836)</f>
        <v>KIRAN VALZARI</v>
      </c>
      <c r="F836" s="6" t="str">
        <f>UPPER(Sheet1!H836)</f>
        <v>RIYA VALZARI</v>
      </c>
      <c r="G836" s="5" t="str">
        <f>TEXT(Sheet1!C836,"dd/mm/yyyy") &amp; "," &amp; Sheet1!D836</f>
        <v>24/01/2025,TOWNSVILLE</v>
      </c>
      <c r="H836" s="39" t="str">
        <f>UPPER(Sheet1!J836 &amp; "," &amp; Sheet1!K836 &amp; "," &amp; Sheet1!L836)</f>
        <v>66 BIRCHWOOD LANE,EMERALD ROAD,PIN:614427 TOWNSVILLE</v>
      </c>
      <c r="I836" s="8">
        <f>Sheet1!I836</f>
        <v>45731</v>
      </c>
      <c r="J836" s="5" t="str">
        <f>Sheet1!M836 &amp; "," &amp; TEXT(Sheet1!N836,"dd/mm/yy")</f>
        <v>MHA/IND/00839,20/07/25</v>
      </c>
      <c r="K836" s="5" t="s">
        <v>5752</v>
      </c>
      <c r="L836" t="s">
        <v>14</v>
      </c>
      <c r="M836" s="31" t="s">
        <v>15</v>
      </c>
      <c r="N836" s="31"/>
    </row>
    <row r="837" spans="1:14" x14ac:dyDescent="0.25">
      <c r="A837" s="4" t="str">
        <f>Sheet1!A837 &amp; "/" &amp; "2025"</f>
        <v>836/2025</v>
      </c>
      <c r="B837" s="5" t="str">
        <f>Sheet1!E837</f>
        <v>IND/MEL/00836</v>
      </c>
      <c r="C837" s="6" t="str">
        <f>UPPER(Sheet1!B837)</f>
        <v>ARJUN VALZARI</v>
      </c>
      <c r="D837" s="7" t="str">
        <f>IF(Sheet1!F837="F","FEMALE","MALE")</f>
        <v>FEMALE</v>
      </c>
      <c r="E837" s="6" t="str">
        <f>UPPER(Sheet1!G837)</f>
        <v>NEIL MYRTHOS</v>
      </c>
      <c r="F837" s="6" t="str">
        <f>UPPER(Sheet1!H837)</f>
        <v>MIRA MYRTHOS</v>
      </c>
      <c r="G837" s="5" t="str">
        <f>TEXT(Sheet1!C837,"dd/mm/yyyy") &amp; "," &amp; Sheet1!D837</f>
        <v>15/05/2025,MANDURAH</v>
      </c>
      <c r="H837" s="39" t="str">
        <f>UPPER(Sheet1!J837 &amp; "," &amp; Sheet1!K837 &amp; "," &amp; Sheet1!L837)</f>
        <v>141 BIRCHWOOD LANE,EMERALD ROAD,PIN:221704 MANDURAH</v>
      </c>
      <c r="I837" s="8">
        <f>Sheet1!I837</f>
        <v>45804</v>
      </c>
      <c r="J837" s="5" t="str">
        <f>Sheet1!M837 &amp; "," &amp; TEXT(Sheet1!N837,"dd/mm/yy")</f>
        <v>MHA/IND/00840,21/07/25</v>
      </c>
      <c r="K837" s="5" t="s">
        <v>5752</v>
      </c>
      <c r="L837" t="s">
        <v>14</v>
      </c>
      <c r="M837" s="31" t="s">
        <v>15</v>
      </c>
      <c r="N837" s="31"/>
    </row>
    <row r="838" spans="1:14" x14ac:dyDescent="0.25">
      <c r="A838" s="4" t="str">
        <f>Sheet1!A838 &amp; "/" &amp; "2025"</f>
        <v>837/2025</v>
      </c>
      <c r="B838" s="5" t="str">
        <f>Sheet1!E838</f>
        <v>IND/MEL/00837</v>
      </c>
      <c r="C838" s="6" t="str">
        <f>UPPER(Sheet1!B838)</f>
        <v>NEIL VALZARI</v>
      </c>
      <c r="D838" s="7" t="str">
        <f>IF(Sheet1!F838="F","FEMALE","MALE")</f>
        <v>MALE</v>
      </c>
      <c r="E838" s="6" t="str">
        <f>UPPER(Sheet1!G838)</f>
        <v>KABIR KALEON</v>
      </c>
      <c r="F838" s="6" t="str">
        <f>UPPER(Sheet1!H838)</f>
        <v>TARA KALEON</v>
      </c>
      <c r="G838" s="5" t="str">
        <f>TEXT(Sheet1!C838,"dd/mm/yyyy") &amp; "," &amp; Sheet1!D838</f>
        <v>04/03/2025,CLAYTON</v>
      </c>
      <c r="H838" s="39" t="str">
        <f>UPPER(Sheet1!J838 &amp; "," &amp; Sheet1!K838 &amp; "," &amp; Sheet1!L838)</f>
        <v>185 BIRCHWOOD LANE,EMERALD ROAD,PIN:746995 CLAYTON</v>
      </c>
      <c r="I838" s="8">
        <f>Sheet1!I838</f>
        <v>45828</v>
      </c>
      <c r="J838" s="5" t="str">
        <f>Sheet1!M838 &amp; "," &amp; TEXT(Sheet1!N838,"dd/mm/yy")</f>
        <v>MHA/IND/00841,26/08/25</v>
      </c>
      <c r="K838" s="5" t="s">
        <v>5752</v>
      </c>
      <c r="L838" t="s">
        <v>14</v>
      </c>
      <c r="M838" s="31" t="s">
        <v>15</v>
      </c>
      <c r="N838" s="31"/>
    </row>
    <row r="839" spans="1:14" x14ac:dyDescent="0.25">
      <c r="A839" s="4" t="str">
        <f>Sheet1!A839 &amp; "/" &amp; "2025"</f>
        <v>838/2025</v>
      </c>
      <c r="B839" s="5" t="str">
        <f>Sheet1!E839</f>
        <v>IND/MEL/00838</v>
      </c>
      <c r="C839" s="6" t="str">
        <f>UPPER(Sheet1!B839)</f>
        <v>ANYA RISHKAN</v>
      </c>
      <c r="D839" s="7" t="str">
        <f>IF(Sheet1!F839="F","FEMALE","MALE")</f>
        <v>FEMALE</v>
      </c>
      <c r="E839" s="6" t="str">
        <f>UPPER(Sheet1!G839)</f>
        <v>KIRAN MYRTHOS</v>
      </c>
      <c r="F839" s="6" t="str">
        <f>UPPER(Sheet1!H839)</f>
        <v>SARA MYRTHOS</v>
      </c>
      <c r="G839" s="5" t="str">
        <f>TEXT(Sheet1!C839,"dd/mm/yyyy") &amp; "," &amp; Sheet1!D839</f>
        <v>02/09/2025,WAGGA WAGGA</v>
      </c>
      <c r="H839" s="39" t="str">
        <f>UPPER(Sheet1!J839 &amp; "," &amp; Sheet1!K839 &amp; "," &amp; Sheet1!L839)</f>
        <v>91 BIRCHWOOD LANE,EMERALD ROAD,PIN:224333 WAGGA WAGGA</v>
      </c>
      <c r="I839" s="8">
        <f>Sheet1!I839</f>
        <v>45948</v>
      </c>
      <c r="J839" s="5" t="str">
        <f>Sheet1!M839 &amp; "," &amp; TEXT(Sheet1!N839,"dd/mm/yy")</f>
        <v>MHA/IND/00842,15/08/25</v>
      </c>
      <c r="K839" s="5" t="s">
        <v>5752</v>
      </c>
      <c r="L839" t="s">
        <v>14</v>
      </c>
      <c r="M839" s="31" t="s">
        <v>15</v>
      </c>
      <c r="N839" s="31"/>
    </row>
    <row r="840" spans="1:14" x14ac:dyDescent="0.25">
      <c r="A840" s="4" t="str">
        <f>Sheet1!A840 &amp; "/" &amp; "2025"</f>
        <v>839/2025</v>
      </c>
      <c r="B840" s="5" t="str">
        <f>Sheet1!E840</f>
        <v>IND/MEL/00839</v>
      </c>
      <c r="C840" s="6" t="str">
        <f>UPPER(Sheet1!B840)</f>
        <v>RIYA VALZARI</v>
      </c>
      <c r="D840" s="7" t="str">
        <f>IF(Sheet1!F840="F","FEMALE","MALE")</f>
        <v>MALE</v>
      </c>
      <c r="E840" s="6" t="str">
        <f>UPPER(Sheet1!G840)</f>
        <v>ROHIT SHARMA</v>
      </c>
      <c r="F840" s="6" t="str">
        <f>UPPER(Sheet1!H840)</f>
        <v>ANYA SHARMA</v>
      </c>
      <c r="G840" s="5" t="str">
        <f>TEXT(Sheet1!C840,"dd/mm/yyyy") &amp; "," &amp; Sheet1!D840</f>
        <v>25/04/2025,BOX HILL</v>
      </c>
      <c r="H840" s="39" t="str">
        <f>UPPER(Sheet1!J840 &amp; "," &amp; Sheet1!K840 &amp; "," &amp; Sheet1!L840)</f>
        <v>177 BIRCHWOOD LANE,EMERALD ROAD,PIN:240679 BOX HILL</v>
      </c>
      <c r="I840" s="8">
        <f>Sheet1!I840</f>
        <v>45866</v>
      </c>
      <c r="J840" s="5" t="str">
        <f>Sheet1!M840 &amp; "," &amp; TEXT(Sheet1!N840,"dd/mm/yy")</f>
        <v>MHA/IND/00843,19/07/25</v>
      </c>
      <c r="K840" s="5" t="s">
        <v>5752</v>
      </c>
      <c r="L840" t="s">
        <v>14</v>
      </c>
      <c r="M840" s="31" t="s">
        <v>15</v>
      </c>
      <c r="N840" s="31"/>
    </row>
    <row r="841" spans="1:14" x14ac:dyDescent="0.25">
      <c r="A841" s="4" t="str">
        <f>Sheet1!A841 &amp; "/" &amp; "2025"</f>
        <v>840/2025</v>
      </c>
      <c r="B841" s="5" t="str">
        <f>Sheet1!E841</f>
        <v>IND/MEL/00840</v>
      </c>
      <c r="C841" s="6" t="str">
        <f>UPPER(Sheet1!B841)</f>
        <v>NINA MYRTHOS</v>
      </c>
      <c r="D841" s="7" t="str">
        <f>IF(Sheet1!F841="F","FEMALE","MALE")</f>
        <v>MALE</v>
      </c>
      <c r="E841" s="6" t="str">
        <f>UPPER(Sheet1!G841)</f>
        <v>NEIL KALEON</v>
      </c>
      <c r="F841" s="6" t="str">
        <f>UPPER(Sheet1!H841)</f>
        <v>ALYA KALEON</v>
      </c>
      <c r="G841" s="5" t="str">
        <f>TEXT(Sheet1!C841,"dd/mm/yyyy") &amp; "," &amp; Sheet1!D841</f>
        <v>08/08/2025,ARMADALE</v>
      </c>
      <c r="H841" s="39" t="str">
        <f>UPPER(Sheet1!J841 &amp; "," &amp; Sheet1!K841 &amp; "," &amp; Sheet1!L841)</f>
        <v>129 BIRCHWOOD LANE,EMERALD ROAD,PIN:586924 ARMADALE</v>
      </c>
      <c r="I841" s="8">
        <f>Sheet1!I841</f>
        <v>45911</v>
      </c>
      <c r="J841" s="5" t="str">
        <f>Sheet1!M841 &amp; "," &amp; TEXT(Sheet1!N841,"dd/mm/yy")</f>
        <v>MHA/IND/00844,18/07/25</v>
      </c>
      <c r="K841" s="5" t="s">
        <v>5752</v>
      </c>
      <c r="L841" t="s">
        <v>14</v>
      </c>
      <c r="M841" s="31" t="s">
        <v>15</v>
      </c>
      <c r="N841" s="31"/>
    </row>
    <row r="842" spans="1:14" x14ac:dyDescent="0.25">
      <c r="A842" s="4" t="str">
        <f>Sheet1!A842 &amp; "/" &amp; "2025"</f>
        <v>841/2025</v>
      </c>
      <c r="B842" s="5" t="str">
        <f>Sheet1!E842</f>
        <v>IND/MEL/00841</v>
      </c>
      <c r="C842" s="6" t="str">
        <f>UPPER(Sheet1!B842)</f>
        <v>KABIR KALEON</v>
      </c>
      <c r="D842" s="7" t="str">
        <f>IF(Sheet1!F842="F","FEMALE","MALE")</f>
        <v>FEMALE</v>
      </c>
      <c r="E842" s="6" t="str">
        <f>UPPER(Sheet1!G842)</f>
        <v>KIRAN SINDALE</v>
      </c>
      <c r="F842" s="6" t="str">
        <f>UPPER(Sheet1!H842)</f>
        <v>RIYA SINDALE</v>
      </c>
      <c r="G842" s="5" t="str">
        <f>TEXT(Sheet1!C842,"dd/mm/yyyy") &amp; "," &amp; Sheet1!D842</f>
        <v>03/03/2025,BUNDABERG</v>
      </c>
      <c r="H842" s="39" t="str">
        <f>UPPER(Sheet1!J842 &amp; "," &amp; Sheet1!K842 &amp; "," &amp; Sheet1!L842)</f>
        <v>16 BIRCHWOOD LANE,EMERALD ROAD,PIN:282096 BUNDABERG</v>
      </c>
      <c r="I842" s="8">
        <f>Sheet1!I842</f>
        <v>45770</v>
      </c>
      <c r="J842" s="5" t="str">
        <f>Sheet1!M842 &amp; "," &amp; TEXT(Sheet1!N842,"dd/mm/yy")</f>
        <v>MHA/IND/00845,01/08/25</v>
      </c>
      <c r="K842" s="5" t="s">
        <v>5752</v>
      </c>
      <c r="L842" t="s">
        <v>14</v>
      </c>
      <c r="M842" s="31" t="s">
        <v>15</v>
      </c>
      <c r="N842" s="31"/>
    </row>
    <row r="843" spans="1:14" x14ac:dyDescent="0.25">
      <c r="A843" s="4" t="str">
        <f>Sheet1!A843 &amp; "/" &amp; "2025"</f>
        <v>842/2025</v>
      </c>
      <c r="B843" s="5" t="str">
        <f>Sheet1!E843</f>
        <v>IND/MEL/00842</v>
      </c>
      <c r="C843" s="6" t="str">
        <f>UPPER(Sheet1!B843)</f>
        <v>MIRA MYRTHOS</v>
      </c>
      <c r="D843" s="7" t="str">
        <f>IF(Sheet1!F843="F","FEMALE","MALE")</f>
        <v>MALE</v>
      </c>
      <c r="E843" s="6" t="str">
        <f>UPPER(Sheet1!G843)</f>
        <v>ARJUN RAO</v>
      </c>
      <c r="F843" s="6" t="str">
        <f>UPPER(Sheet1!H843)</f>
        <v>SARA RAO</v>
      </c>
      <c r="G843" s="5" t="str">
        <f>TEXT(Sheet1!C843,"dd/mm/yyyy") &amp; "," &amp; Sheet1!D843</f>
        <v>28/03/2025,CANBERRA</v>
      </c>
      <c r="H843" s="39" t="str">
        <f>UPPER(Sheet1!J843 &amp; "," &amp; Sheet1!K843 &amp; "," &amp; Sheet1!L843)</f>
        <v>41 BIRCHWOOD LANE,EMERALD ROAD,PIN:342753 CANBERRA</v>
      </c>
      <c r="I843" s="8">
        <f>Sheet1!I843</f>
        <v>45788</v>
      </c>
      <c r="J843" s="5" t="str">
        <f>Sheet1!M843 &amp; "," &amp; TEXT(Sheet1!N843,"dd/mm/yy")</f>
        <v>MHA/IND/00846,16/08/25</v>
      </c>
      <c r="K843" s="5" t="s">
        <v>5752</v>
      </c>
      <c r="L843" t="s">
        <v>14</v>
      </c>
      <c r="M843" s="31" t="s">
        <v>15</v>
      </c>
      <c r="N843" s="31"/>
    </row>
    <row r="844" spans="1:14" x14ac:dyDescent="0.25">
      <c r="A844" s="4" t="str">
        <f>Sheet1!A844 &amp; "/" &amp; "2025"</f>
        <v>843/2025</v>
      </c>
      <c r="B844" s="5" t="str">
        <f>Sheet1!E844</f>
        <v>IND/MEL/00843</v>
      </c>
      <c r="C844" s="6" t="str">
        <f>UPPER(Sheet1!B844)</f>
        <v>KIRAN SHARMA</v>
      </c>
      <c r="D844" s="7" t="str">
        <f>IF(Sheet1!F844="F","FEMALE","MALE")</f>
        <v>MALE</v>
      </c>
      <c r="E844" s="6" t="str">
        <f>UPPER(Sheet1!G844)</f>
        <v>ARJUN RISHKAN</v>
      </c>
      <c r="F844" s="6" t="str">
        <f>UPPER(Sheet1!H844)</f>
        <v>SARA RISHKAN</v>
      </c>
      <c r="G844" s="5" t="str">
        <f>TEXT(Sheet1!C844,"dd/mm/yyyy") &amp; "," &amp; Sheet1!D844</f>
        <v>17/06/2025,DALBY</v>
      </c>
      <c r="H844" s="39" t="str">
        <f>UPPER(Sheet1!J844 &amp; "," &amp; Sheet1!K844 &amp; "," &amp; Sheet1!L844)</f>
        <v>153 BIRCHWOOD LANE,EMERALD ROAD,PIN:321233 DALBY</v>
      </c>
      <c r="I844" s="8">
        <f>Sheet1!I844</f>
        <v>45852</v>
      </c>
      <c r="J844" s="5" t="str">
        <f>Sheet1!M844 &amp; "," &amp; TEXT(Sheet1!N844,"dd/mm/yy")</f>
        <v>MHA/IND/00847,02/08/25</v>
      </c>
      <c r="K844" s="5" t="s">
        <v>5752</v>
      </c>
      <c r="L844" t="s">
        <v>14</v>
      </c>
      <c r="M844" s="31" t="s">
        <v>15</v>
      </c>
      <c r="N844" s="31"/>
    </row>
    <row r="845" spans="1:14" x14ac:dyDescent="0.25">
      <c r="A845" s="4" t="str">
        <f>Sheet1!A845 &amp; "/" &amp; "2025"</f>
        <v>844/2025</v>
      </c>
      <c r="B845" s="5" t="str">
        <f>Sheet1!E845</f>
        <v>IND/MEL/00844</v>
      </c>
      <c r="C845" s="6" t="str">
        <f>UPPER(Sheet1!B845)</f>
        <v>KIRAN KALEON</v>
      </c>
      <c r="D845" s="7" t="str">
        <f>IF(Sheet1!F845="F","FEMALE","MALE")</f>
        <v>MALE</v>
      </c>
      <c r="E845" s="6" t="str">
        <f>UPPER(Sheet1!G845)</f>
        <v>DEV SINDALE</v>
      </c>
      <c r="F845" s="6" t="str">
        <f>UPPER(Sheet1!H845)</f>
        <v>MIRA SINDALE</v>
      </c>
      <c r="G845" s="5" t="str">
        <f>TEXT(Sheet1!C845,"dd/mm/yyyy") &amp; "," &amp; Sheet1!D845</f>
        <v>17/09/2025,FREMANTLE</v>
      </c>
      <c r="H845" s="39" t="str">
        <f>UPPER(Sheet1!J845 &amp; "," &amp; Sheet1!K845 &amp; "," &amp; Sheet1!L845)</f>
        <v>85 BIRCHWOOD LANE,EMERALD ROAD,PIN:895271 FREMANTLE</v>
      </c>
      <c r="I845" s="8">
        <f>Sheet1!I845</f>
        <v>46021</v>
      </c>
      <c r="J845" s="5" t="str">
        <f>Sheet1!M845 &amp; "," &amp; TEXT(Sheet1!N845,"dd/mm/yy")</f>
        <v>MHA/IND/00848,23/07/25</v>
      </c>
      <c r="K845" s="5" t="s">
        <v>5752</v>
      </c>
      <c r="L845" t="s">
        <v>14</v>
      </c>
      <c r="M845" s="31" t="s">
        <v>15</v>
      </c>
      <c r="N845" s="31"/>
    </row>
    <row r="846" spans="1:14" x14ac:dyDescent="0.25">
      <c r="A846" s="4" t="str">
        <f>Sheet1!A846 &amp; "/" &amp; "2025"</f>
        <v>845/2025</v>
      </c>
      <c r="B846" s="5" t="str">
        <f>Sheet1!E846</f>
        <v>IND/MEL/00845</v>
      </c>
      <c r="C846" s="6" t="str">
        <f>UPPER(Sheet1!B846)</f>
        <v>TARA SINDALE</v>
      </c>
      <c r="D846" s="7" t="str">
        <f>IF(Sheet1!F846="F","FEMALE","MALE")</f>
        <v>MALE</v>
      </c>
      <c r="E846" s="6" t="str">
        <f>UPPER(Sheet1!G846)</f>
        <v>ROHIT SINDALE</v>
      </c>
      <c r="F846" s="6" t="str">
        <f>UPPER(Sheet1!H846)</f>
        <v>RIYA SINDALE</v>
      </c>
      <c r="G846" s="5" t="str">
        <f>TEXT(Sheet1!C846,"dd/mm/yyyy") &amp; "," &amp; Sheet1!D846</f>
        <v>03/08/2025,MILDURA</v>
      </c>
      <c r="H846" s="39" t="str">
        <f>UPPER(Sheet1!J846 &amp; "," &amp; Sheet1!K846 &amp; "," &amp; Sheet1!L846)</f>
        <v>79 BIRCHWOOD LANE,EMERALD ROAD,PIN:922144 MILDURA</v>
      </c>
      <c r="I846" s="8">
        <f>Sheet1!I846</f>
        <v>45939</v>
      </c>
      <c r="J846" s="5" t="str">
        <f>Sheet1!M846 &amp; "," &amp; TEXT(Sheet1!N846,"dd/mm/yy")</f>
        <v>MHA/IND/00849,04/08/25</v>
      </c>
      <c r="K846" s="5" t="s">
        <v>5752</v>
      </c>
      <c r="L846" t="s">
        <v>14</v>
      </c>
      <c r="M846" s="31" t="s">
        <v>15</v>
      </c>
      <c r="N846" s="31"/>
    </row>
    <row r="847" spans="1:14" x14ac:dyDescent="0.25">
      <c r="A847" s="4" t="str">
        <f>Sheet1!A847 &amp; "/" &amp; "2025"</f>
        <v>846/2025</v>
      </c>
      <c r="B847" s="5" t="str">
        <f>Sheet1!E847</f>
        <v>IND/MEL/00846</v>
      </c>
      <c r="C847" s="6" t="str">
        <f>UPPER(Sheet1!B847)</f>
        <v>DEV RAO</v>
      </c>
      <c r="D847" s="7" t="str">
        <f>IF(Sheet1!F847="F","FEMALE","MALE")</f>
        <v>MALE</v>
      </c>
      <c r="E847" s="6" t="str">
        <f>UPPER(Sheet1!G847)</f>
        <v>ROHIT RAO</v>
      </c>
      <c r="F847" s="6" t="str">
        <f>UPPER(Sheet1!H847)</f>
        <v>ALYA RAO</v>
      </c>
      <c r="G847" s="5" t="str">
        <f>TEXT(Sheet1!C847,"dd/mm/yyyy") &amp; "," &amp; Sheet1!D847</f>
        <v>21/01/2025,BENDIGO</v>
      </c>
      <c r="H847" s="39" t="str">
        <f>UPPER(Sheet1!J847 &amp; "," &amp; Sheet1!K847 &amp; "," &amp; Sheet1!L847)</f>
        <v>196 BIRCHWOOD LANE,EMERALD ROAD,PIN:670585 BENDIGO</v>
      </c>
      <c r="I847" s="8">
        <f>Sheet1!I847</f>
        <v>45741</v>
      </c>
      <c r="J847" s="5" t="str">
        <f>Sheet1!M847 &amp; "," &amp; TEXT(Sheet1!N847,"dd/mm/yy")</f>
        <v>MHA/IND/00850,15/07/25</v>
      </c>
      <c r="K847" s="5" t="s">
        <v>5752</v>
      </c>
      <c r="L847" t="s">
        <v>14</v>
      </c>
      <c r="M847" s="31" t="s">
        <v>15</v>
      </c>
      <c r="N847" s="31"/>
    </row>
    <row r="848" spans="1:14" x14ac:dyDescent="0.25">
      <c r="A848" s="4" t="str">
        <f>Sheet1!A848 &amp; "/" &amp; "2025"</f>
        <v>847/2025</v>
      </c>
      <c r="B848" s="5" t="str">
        <f>Sheet1!E848</f>
        <v>IND/MEL/00847</v>
      </c>
      <c r="C848" s="6" t="str">
        <f>UPPER(Sheet1!B848)</f>
        <v>ISHAN RISHKAN</v>
      </c>
      <c r="D848" s="7" t="str">
        <f>IF(Sheet1!F848="F","FEMALE","MALE")</f>
        <v>FEMALE</v>
      </c>
      <c r="E848" s="6" t="str">
        <f>UPPER(Sheet1!G848)</f>
        <v>ARJUN KALEON</v>
      </c>
      <c r="F848" s="6" t="str">
        <f>UPPER(Sheet1!H848)</f>
        <v>DIYA KALEON</v>
      </c>
      <c r="G848" s="5" t="str">
        <f>TEXT(Sheet1!C848,"dd/mm/yyyy") &amp; "," &amp; Sheet1!D848</f>
        <v>02/08/2025,ELIZABETH VALE</v>
      </c>
      <c r="H848" s="39" t="str">
        <f>UPPER(Sheet1!J848 &amp; "," &amp; Sheet1!K848 &amp; "," &amp; Sheet1!L848)</f>
        <v>21 BIRCHWOOD LANE,EMERALD ROAD,PIN:270043 ELIZABETH VALE</v>
      </c>
      <c r="I848" s="8">
        <f>Sheet1!I848</f>
        <v>45877</v>
      </c>
      <c r="J848" s="5" t="str">
        <f>Sheet1!M848 &amp; "," &amp; TEXT(Sheet1!N848,"dd/mm/yy")</f>
        <v>MHA/IND/00851,27/07/25</v>
      </c>
      <c r="K848" s="5" t="s">
        <v>5752</v>
      </c>
      <c r="L848" t="s">
        <v>14</v>
      </c>
      <c r="M848" s="31" t="s">
        <v>15</v>
      </c>
      <c r="N848" s="31"/>
    </row>
    <row r="849" spans="1:14" x14ac:dyDescent="0.25">
      <c r="A849" s="4" t="str">
        <f>Sheet1!A849 &amp; "/" &amp; "2025"</f>
        <v>848/2025</v>
      </c>
      <c r="B849" s="5" t="str">
        <f>Sheet1!E849</f>
        <v>IND/MEL/00848</v>
      </c>
      <c r="C849" s="6" t="str">
        <f>UPPER(Sheet1!B849)</f>
        <v>KABIR SINDALE</v>
      </c>
      <c r="D849" s="7" t="str">
        <f>IF(Sheet1!F849="F","FEMALE","MALE")</f>
        <v>FEMALE</v>
      </c>
      <c r="E849" s="6" t="str">
        <f>UPPER(Sheet1!G849)</f>
        <v>ISHAN SHARMA</v>
      </c>
      <c r="F849" s="6" t="str">
        <f>UPPER(Sheet1!H849)</f>
        <v>ALYA SHARMA</v>
      </c>
      <c r="G849" s="5" t="str">
        <f>TEXT(Sheet1!C849,"dd/mm/yyyy") &amp; "," &amp; Sheet1!D849</f>
        <v>21/01/2025,ROCKHAMPTON</v>
      </c>
      <c r="H849" s="39" t="str">
        <f>UPPER(Sheet1!J849 &amp; "," &amp; Sheet1!K849 &amp; "," &amp; Sheet1!L849)</f>
        <v>18 BIRCHWOOD LANE,EMERALD ROAD,PIN:303591 ROCKHAMPTON</v>
      </c>
      <c r="I849" s="8">
        <f>Sheet1!I849</f>
        <v>45723</v>
      </c>
      <c r="J849" s="5" t="str">
        <f>Sheet1!M849 &amp; "," &amp; TEXT(Sheet1!N849,"dd/mm/yy")</f>
        <v>MHA/IND/00852,02/07/25</v>
      </c>
      <c r="K849" s="5" t="s">
        <v>5752</v>
      </c>
      <c r="L849" t="s">
        <v>14</v>
      </c>
      <c r="M849" s="31" t="s">
        <v>15</v>
      </c>
      <c r="N849" s="31"/>
    </row>
    <row r="850" spans="1:14" x14ac:dyDescent="0.25">
      <c r="A850" s="4" t="str">
        <f>Sheet1!A850 &amp; "/" &amp; "2025"</f>
        <v>849/2025</v>
      </c>
      <c r="B850" s="5" t="str">
        <f>Sheet1!E850</f>
        <v>IND/MEL/00849</v>
      </c>
      <c r="C850" s="6" t="str">
        <f>UPPER(Sheet1!B850)</f>
        <v>KABIR SINDALE</v>
      </c>
      <c r="D850" s="7" t="str">
        <f>IF(Sheet1!F850="F","FEMALE","MALE")</f>
        <v>FEMALE</v>
      </c>
      <c r="E850" s="6" t="str">
        <f>UPPER(Sheet1!G850)</f>
        <v>ROHIT RISHKAN</v>
      </c>
      <c r="F850" s="6" t="str">
        <f>UPPER(Sheet1!H850)</f>
        <v>DIYA RISHKAN</v>
      </c>
      <c r="G850" s="5" t="str">
        <f>TEXT(Sheet1!C850,"dd/mm/yyyy") &amp; "," &amp; Sheet1!D850</f>
        <v>12/04/2025,PENRITH</v>
      </c>
      <c r="H850" s="39" t="str">
        <f>UPPER(Sheet1!J850 &amp; "," &amp; Sheet1!K850 &amp; "," &amp; Sheet1!L850)</f>
        <v>15 BIRCHWOOD LANE,EMERALD ROAD,PIN:224030 PENRITH</v>
      </c>
      <c r="I850" s="8">
        <f>Sheet1!I850</f>
        <v>45784</v>
      </c>
      <c r="J850" s="5" t="str">
        <f>Sheet1!M850 &amp; "," &amp; TEXT(Sheet1!N850,"dd/mm/yy")</f>
        <v>MHA/IND/00853,09/08/25</v>
      </c>
      <c r="K850" s="5" t="s">
        <v>5752</v>
      </c>
      <c r="L850" t="s">
        <v>14</v>
      </c>
      <c r="M850" s="31" t="s">
        <v>15</v>
      </c>
      <c r="N850" s="31"/>
    </row>
    <row r="851" spans="1:14" x14ac:dyDescent="0.25">
      <c r="A851" s="4" t="str">
        <f>Sheet1!A851 &amp; "/" &amp; "2025"</f>
        <v>850/2025</v>
      </c>
      <c r="B851" s="5" t="str">
        <f>Sheet1!E851</f>
        <v>IND/MEL/00850</v>
      </c>
      <c r="C851" s="6" t="str">
        <f>UPPER(Sheet1!B851)</f>
        <v>AREN RAO</v>
      </c>
      <c r="D851" s="7" t="str">
        <f>IF(Sheet1!F851="F","FEMALE","MALE")</f>
        <v>MALE</v>
      </c>
      <c r="E851" s="6" t="str">
        <f>UPPER(Sheet1!G851)</f>
        <v>KIRAN SHARMA</v>
      </c>
      <c r="F851" s="6" t="str">
        <f>UPPER(Sheet1!H851)</f>
        <v>ANYA SHARMA</v>
      </c>
      <c r="G851" s="5" t="str">
        <f>TEXT(Sheet1!C851,"dd/mm/yyyy") &amp; "," &amp; Sheet1!D851</f>
        <v>22/09/2025,SHEPPARTON</v>
      </c>
      <c r="H851" s="39" t="str">
        <f>UPPER(Sheet1!J851 &amp; "," &amp; Sheet1!K851 &amp; "," &amp; Sheet1!L851)</f>
        <v>80 BIRCHWOOD LANE,EMERALD ROAD,PIN:482859 SHEPPARTON</v>
      </c>
      <c r="I851" s="8">
        <f>Sheet1!I851</f>
        <v>46001</v>
      </c>
      <c r="J851" s="5" t="str">
        <f>Sheet1!M851 &amp; "," &amp; TEXT(Sheet1!N851,"dd/mm/yy")</f>
        <v>MHA/IND/00854,07/07/25</v>
      </c>
      <c r="K851" s="5" t="s">
        <v>5752</v>
      </c>
      <c r="L851" t="s">
        <v>14</v>
      </c>
      <c r="M851" s="31" t="s">
        <v>15</v>
      </c>
      <c r="N851" s="31"/>
    </row>
    <row r="852" spans="1:14" x14ac:dyDescent="0.25">
      <c r="A852" s="4" t="str">
        <f>Sheet1!A852 &amp; "/" &amp; "2025"</f>
        <v>851/2025</v>
      </c>
      <c r="B852" s="5" t="str">
        <f>Sheet1!E852</f>
        <v>IND/MEL/00851</v>
      </c>
      <c r="C852" s="6" t="str">
        <f>UPPER(Sheet1!B852)</f>
        <v>ANYA KALEON</v>
      </c>
      <c r="D852" s="7" t="str">
        <f>IF(Sheet1!F852="F","FEMALE","MALE")</f>
        <v>FEMALE</v>
      </c>
      <c r="E852" s="6" t="str">
        <f>UPPER(Sheet1!G852)</f>
        <v>ROHIT KALEON</v>
      </c>
      <c r="F852" s="6" t="str">
        <f>UPPER(Sheet1!H852)</f>
        <v>TARA KALEON</v>
      </c>
      <c r="G852" s="5" t="str">
        <f>TEXT(Sheet1!C852,"dd/mm/yyyy") &amp; "," &amp; Sheet1!D852</f>
        <v>21/10/2025,CANBERRA</v>
      </c>
      <c r="H852" s="39" t="str">
        <f>UPPER(Sheet1!J852 &amp; "," &amp; Sheet1!K852 &amp; "," &amp; Sheet1!L852)</f>
        <v>125 BIRCHWOOD LANE,EMERALD ROAD,PIN:924013 CANBERRA</v>
      </c>
      <c r="I852" s="8">
        <f>Sheet1!I852</f>
        <v>45996</v>
      </c>
      <c r="J852" s="5" t="str">
        <f>Sheet1!M852 &amp; "," &amp; TEXT(Sheet1!N852,"dd/mm/yy")</f>
        <v>MHA/IND/00855,20/07/25</v>
      </c>
      <c r="K852" s="5" t="s">
        <v>5752</v>
      </c>
      <c r="L852" t="s">
        <v>14</v>
      </c>
      <c r="M852" s="31" t="s">
        <v>15</v>
      </c>
      <c r="N852" s="31"/>
    </row>
    <row r="853" spans="1:14" x14ac:dyDescent="0.25">
      <c r="A853" s="4" t="str">
        <f>Sheet1!A853 &amp; "/" &amp; "2025"</f>
        <v>852/2025</v>
      </c>
      <c r="B853" s="5" t="str">
        <f>Sheet1!E853</f>
        <v>IND/MEL/00852</v>
      </c>
      <c r="C853" s="6" t="str">
        <f>UPPER(Sheet1!B853)</f>
        <v>TARA SHARMA</v>
      </c>
      <c r="D853" s="7" t="str">
        <f>IF(Sheet1!F853="F","FEMALE","MALE")</f>
        <v>FEMALE</v>
      </c>
      <c r="E853" s="6" t="str">
        <f>UPPER(Sheet1!G853)</f>
        <v>DEV SINDALE</v>
      </c>
      <c r="F853" s="6" t="str">
        <f>UPPER(Sheet1!H853)</f>
        <v>SARA SINDALE</v>
      </c>
      <c r="G853" s="5" t="str">
        <f>TEXT(Sheet1!C853,"dd/mm/yyyy") &amp; "," &amp; Sheet1!D853</f>
        <v>02/06/2025,KINGSWOOD</v>
      </c>
      <c r="H853" s="39" t="str">
        <f>UPPER(Sheet1!J853 &amp; "," &amp; Sheet1!K853 &amp; "," &amp; Sheet1!L853)</f>
        <v>41 BIRCHWOOD LANE,EMERALD ROAD,PIN:781777 KINGSWOOD</v>
      </c>
      <c r="I853" s="8">
        <f>Sheet1!I853</f>
        <v>45883</v>
      </c>
      <c r="J853" s="5" t="str">
        <f>Sheet1!M853 &amp; "," &amp; TEXT(Sheet1!N853,"dd/mm/yy")</f>
        <v>MHA/IND/00856,27/07/25</v>
      </c>
      <c r="K853" s="5" t="s">
        <v>5752</v>
      </c>
      <c r="L853" t="s">
        <v>14</v>
      </c>
      <c r="M853" s="31" t="s">
        <v>15</v>
      </c>
      <c r="N853" s="31"/>
    </row>
    <row r="854" spans="1:14" x14ac:dyDescent="0.25">
      <c r="A854" s="4" t="str">
        <f>Sheet1!A854 &amp; "/" &amp; "2025"</f>
        <v>853/2025</v>
      </c>
      <c r="B854" s="5" t="str">
        <f>Sheet1!E854</f>
        <v>IND/MEL/00853</v>
      </c>
      <c r="C854" s="6" t="str">
        <f>UPPER(Sheet1!B854)</f>
        <v>NINA RISHKAN</v>
      </c>
      <c r="D854" s="7" t="str">
        <f>IF(Sheet1!F854="F","FEMALE","MALE")</f>
        <v>FEMALE</v>
      </c>
      <c r="E854" s="6" t="str">
        <f>UPPER(Sheet1!G854)</f>
        <v>ISHAN RISHKAN</v>
      </c>
      <c r="F854" s="6" t="str">
        <f>UPPER(Sheet1!H854)</f>
        <v>NINA RISHKAN</v>
      </c>
      <c r="G854" s="5" t="str">
        <f>TEXT(Sheet1!C854,"dd/mm/yyyy") &amp; "," &amp; Sheet1!D854</f>
        <v>26/05/2025,LOGAN</v>
      </c>
      <c r="H854" s="39" t="str">
        <f>UPPER(Sheet1!J854 &amp; "," &amp; Sheet1!K854 &amp; "," &amp; Sheet1!L854)</f>
        <v>185 BIRCHWOOD LANE,EMERALD ROAD,PIN:787279 LOGAN</v>
      </c>
      <c r="I854" s="8">
        <f>Sheet1!I854</f>
        <v>45810</v>
      </c>
      <c r="J854" s="5" t="str">
        <f>Sheet1!M854 &amp; "," &amp; TEXT(Sheet1!N854,"dd/mm/yy")</f>
        <v>MHA/IND/00857,16/08/25</v>
      </c>
      <c r="K854" s="5" t="s">
        <v>5752</v>
      </c>
      <c r="L854" t="s">
        <v>14</v>
      </c>
      <c r="M854" s="31" t="s">
        <v>15</v>
      </c>
      <c r="N854" s="31"/>
    </row>
    <row r="855" spans="1:14" x14ac:dyDescent="0.25">
      <c r="A855" s="4" t="str">
        <f>Sheet1!A855 &amp; "/" &amp; "2025"</f>
        <v>854/2025</v>
      </c>
      <c r="B855" s="5" t="str">
        <f>Sheet1!E855</f>
        <v>IND/MEL/00854</v>
      </c>
      <c r="C855" s="6" t="str">
        <f>UPPER(Sheet1!B855)</f>
        <v>ISHAN SHARMA</v>
      </c>
      <c r="D855" s="7" t="str">
        <f>IF(Sheet1!F855="F","FEMALE","MALE")</f>
        <v>MALE</v>
      </c>
      <c r="E855" s="6" t="str">
        <f>UPPER(Sheet1!G855)</f>
        <v>ROHIT VALZARI</v>
      </c>
      <c r="F855" s="6" t="str">
        <f>UPPER(Sheet1!H855)</f>
        <v>ANYA VALZARI</v>
      </c>
      <c r="G855" s="5" t="str">
        <f>TEXT(Sheet1!C855,"dd/mm/yyyy") &amp; "," &amp; Sheet1!D855</f>
        <v>29/03/2025,WOLLONGONG</v>
      </c>
      <c r="H855" s="39" t="str">
        <f>UPPER(Sheet1!J855 &amp; "," &amp; Sheet1!K855 &amp; "," &amp; Sheet1!L855)</f>
        <v>164 BIRCHWOOD LANE,EMERALD ROAD,PIN:587534 WOLLONGONG</v>
      </c>
      <c r="I855" s="8">
        <f>Sheet1!I855</f>
        <v>45765</v>
      </c>
      <c r="J855" s="5" t="str">
        <f>Sheet1!M855 &amp; "," &amp; TEXT(Sheet1!N855,"dd/mm/yy")</f>
        <v>MHA/IND/00858,29/07/25</v>
      </c>
      <c r="K855" s="5" t="s">
        <v>5752</v>
      </c>
      <c r="L855" t="s">
        <v>14</v>
      </c>
      <c r="M855" s="31" t="s">
        <v>15</v>
      </c>
      <c r="N855" s="31"/>
    </row>
    <row r="856" spans="1:14" x14ac:dyDescent="0.25">
      <c r="A856" s="4" t="str">
        <f>Sheet1!A856 &amp; "/" &amp; "2025"</f>
        <v>855/2025</v>
      </c>
      <c r="B856" s="5" t="str">
        <f>Sheet1!E856</f>
        <v>IND/MEL/00855</v>
      </c>
      <c r="C856" s="6" t="str">
        <f>UPPER(Sheet1!B856)</f>
        <v>DIYA KALEON</v>
      </c>
      <c r="D856" s="7" t="str">
        <f>IF(Sheet1!F856="F","FEMALE","MALE")</f>
        <v>FEMALE</v>
      </c>
      <c r="E856" s="6" t="str">
        <f>UPPER(Sheet1!G856)</f>
        <v>ISHAN SHARMA</v>
      </c>
      <c r="F856" s="6" t="str">
        <f>UPPER(Sheet1!H856)</f>
        <v>MIRA SHARMA</v>
      </c>
      <c r="G856" s="5" t="str">
        <f>TEXT(Sheet1!C856,"dd/mm/yyyy") &amp; "," &amp; Sheet1!D856</f>
        <v>22/02/2025,LENAH VALLEY</v>
      </c>
      <c r="H856" s="39" t="str">
        <f>UPPER(Sheet1!J856 &amp; "," &amp; Sheet1!K856 &amp; "," &amp; Sheet1!L856)</f>
        <v>173 BIRCHWOOD LANE,EMERALD ROAD,PIN:603275 LENAH VALLEY</v>
      </c>
      <c r="I856" s="8">
        <f>Sheet1!I856</f>
        <v>45826</v>
      </c>
      <c r="J856" s="5" t="str">
        <f>Sheet1!M856 &amp; "," &amp; TEXT(Sheet1!N856,"dd/mm/yy")</f>
        <v>MHA/IND/00859,26/08/25</v>
      </c>
      <c r="K856" s="5" t="s">
        <v>5752</v>
      </c>
      <c r="L856" t="s">
        <v>14</v>
      </c>
      <c r="M856" s="31" t="s">
        <v>15</v>
      </c>
      <c r="N856" s="31"/>
    </row>
    <row r="857" spans="1:14" x14ac:dyDescent="0.25">
      <c r="A857" s="4" t="str">
        <f>Sheet1!A857 &amp; "/" &amp; "2025"</f>
        <v>856/2025</v>
      </c>
      <c r="B857" s="5" t="str">
        <f>Sheet1!E857</f>
        <v>IND/MEL/00856</v>
      </c>
      <c r="C857" s="6" t="str">
        <f>UPPER(Sheet1!B857)</f>
        <v>SARA SINDALE</v>
      </c>
      <c r="D857" s="7" t="str">
        <f>IF(Sheet1!F857="F","FEMALE","MALE")</f>
        <v>MALE</v>
      </c>
      <c r="E857" s="6" t="str">
        <f>UPPER(Sheet1!G857)</f>
        <v>ISHAN SHARMA</v>
      </c>
      <c r="F857" s="6" t="str">
        <f>UPPER(Sheet1!H857)</f>
        <v>SARA SHARMA</v>
      </c>
      <c r="G857" s="5" t="str">
        <f>TEXT(Sheet1!C857,"dd/mm/yyyy") &amp; "," &amp; Sheet1!D857</f>
        <v>24/09/2025,ST ALBANS</v>
      </c>
      <c r="H857" s="39" t="str">
        <f>UPPER(Sheet1!J857 &amp; "," &amp; Sheet1!K857 &amp; "," &amp; Sheet1!L857)</f>
        <v>185 BIRCHWOOD LANE,EMERALD ROAD,PIN:267223 ST ALBANS</v>
      </c>
      <c r="I857" s="8">
        <f>Sheet1!I857</f>
        <v>45978</v>
      </c>
      <c r="J857" s="5" t="str">
        <f>Sheet1!M857 &amp; "," &amp; TEXT(Sheet1!N857,"dd/mm/yy")</f>
        <v>MHA/IND/00860,09/07/25</v>
      </c>
      <c r="K857" s="5" t="s">
        <v>5752</v>
      </c>
      <c r="L857" t="s">
        <v>14</v>
      </c>
      <c r="M857" s="31" t="s">
        <v>15</v>
      </c>
      <c r="N857" s="31"/>
    </row>
    <row r="858" spans="1:14" x14ac:dyDescent="0.25">
      <c r="A858" s="4" t="str">
        <f>Sheet1!A858 &amp; "/" &amp; "2025"</f>
        <v>857/2025</v>
      </c>
      <c r="B858" s="5" t="str">
        <f>Sheet1!E858</f>
        <v>IND/MEL/00857</v>
      </c>
      <c r="C858" s="6" t="str">
        <f>UPPER(Sheet1!B858)</f>
        <v>ANYA RISHKAN</v>
      </c>
      <c r="D858" s="7" t="str">
        <f>IF(Sheet1!F858="F","FEMALE","MALE")</f>
        <v>MALE</v>
      </c>
      <c r="E858" s="6" t="str">
        <f>UPPER(Sheet1!G858)</f>
        <v>ARJUN RAO</v>
      </c>
      <c r="F858" s="6" t="str">
        <f>UPPER(Sheet1!H858)</f>
        <v>NINA RAO</v>
      </c>
      <c r="G858" s="5" t="str">
        <f>TEXT(Sheet1!C858,"dd/mm/yyyy") &amp; "," &amp; Sheet1!D858</f>
        <v>15/08/2025,MOUNT BARKER</v>
      </c>
      <c r="H858" s="39" t="str">
        <f>UPPER(Sheet1!J858 &amp; "," &amp; Sheet1!K858 &amp; "," &amp; Sheet1!L858)</f>
        <v>34 BIRCHWOOD LANE,EMERALD ROAD,PIN:714417 MOUNT BARKER</v>
      </c>
      <c r="I858" s="8">
        <f>Sheet1!I858</f>
        <v>45993</v>
      </c>
      <c r="J858" s="5" t="str">
        <f>Sheet1!M858 &amp; "," &amp; TEXT(Sheet1!N858,"dd/mm/yy")</f>
        <v>MHA/IND/00861,27/08/25</v>
      </c>
      <c r="K858" s="5" t="s">
        <v>5752</v>
      </c>
      <c r="L858" t="s">
        <v>14</v>
      </c>
      <c r="M858" s="31" t="s">
        <v>15</v>
      </c>
      <c r="N858" s="31"/>
    </row>
    <row r="859" spans="1:14" x14ac:dyDescent="0.25">
      <c r="A859" s="4" t="str">
        <f>Sheet1!A859 &amp; "/" &amp; "2025"</f>
        <v>858/2025</v>
      </c>
      <c r="B859" s="5" t="str">
        <f>Sheet1!E859</f>
        <v>IND/MEL/00858</v>
      </c>
      <c r="C859" s="6" t="str">
        <f>UPPER(Sheet1!B859)</f>
        <v>ISHAN VALZARI</v>
      </c>
      <c r="D859" s="7" t="str">
        <f>IF(Sheet1!F859="F","FEMALE","MALE")</f>
        <v>FEMALE</v>
      </c>
      <c r="E859" s="6" t="str">
        <f>UPPER(Sheet1!G859)</f>
        <v>DEV MYRTHOS</v>
      </c>
      <c r="F859" s="6" t="str">
        <f>UPPER(Sheet1!H859)</f>
        <v>ANYA MYRTHOS</v>
      </c>
      <c r="G859" s="5" t="str">
        <f>TEXT(Sheet1!C859,"dd/mm/yyyy") &amp; "," &amp; Sheet1!D859</f>
        <v>11/07/2025,WAGGA WAGGA</v>
      </c>
      <c r="H859" s="39" t="str">
        <f>UPPER(Sheet1!J859 &amp; "," &amp; Sheet1!K859 &amp; "," &amp; Sheet1!L859)</f>
        <v>180 BIRCHWOOD LANE,EMERALD ROAD,PIN:547163 WAGGA WAGGA</v>
      </c>
      <c r="I859" s="8">
        <f>Sheet1!I859</f>
        <v>45947</v>
      </c>
      <c r="J859" s="5" t="str">
        <f>Sheet1!M859 &amp; "," &amp; TEXT(Sheet1!N859,"dd/mm/yy")</f>
        <v>MHA/IND/00862,20/07/25</v>
      </c>
      <c r="K859" s="5" t="s">
        <v>5752</v>
      </c>
      <c r="L859" t="s">
        <v>14</v>
      </c>
      <c r="M859" s="31" t="s">
        <v>15</v>
      </c>
      <c r="N859" s="31"/>
    </row>
    <row r="860" spans="1:14" x14ac:dyDescent="0.25">
      <c r="A860" s="4" t="str">
        <f>Sheet1!A860 &amp; "/" &amp; "2025"</f>
        <v>859/2025</v>
      </c>
      <c r="B860" s="5" t="str">
        <f>Sheet1!E860</f>
        <v>IND/MEL/00859</v>
      </c>
      <c r="C860" s="6" t="str">
        <f>UPPER(Sheet1!B860)</f>
        <v>ANYA SHARMA</v>
      </c>
      <c r="D860" s="7" t="str">
        <f>IF(Sheet1!F860="F","FEMALE","MALE")</f>
        <v>FEMALE</v>
      </c>
      <c r="E860" s="6" t="str">
        <f>UPPER(Sheet1!G860)</f>
        <v>KIRAN KALEON</v>
      </c>
      <c r="F860" s="6" t="str">
        <f>UPPER(Sheet1!H860)</f>
        <v>DIYA KALEON</v>
      </c>
      <c r="G860" s="5" t="str">
        <f>TEXT(Sheet1!C860,"dd/mm/yyyy") &amp; "," &amp; Sheet1!D860</f>
        <v>20/06/2025,MANDURAH</v>
      </c>
      <c r="H860" s="39" t="str">
        <f>UPPER(Sheet1!J860 &amp; "," &amp; Sheet1!K860 &amp; "," &amp; Sheet1!L860)</f>
        <v>175 BIRCHWOOD LANE,EMERALD ROAD,PIN:580720 MANDURAH</v>
      </c>
      <c r="I860" s="8">
        <f>Sheet1!I860</f>
        <v>45920</v>
      </c>
      <c r="J860" s="5" t="str">
        <f>Sheet1!M860 &amp; "," &amp; TEXT(Sheet1!N860,"dd/mm/yy")</f>
        <v>MHA/IND/00863,31/07/25</v>
      </c>
      <c r="K860" s="5" t="s">
        <v>5752</v>
      </c>
      <c r="L860" t="s">
        <v>14</v>
      </c>
      <c r="M860" s="31" t="s">
        <v>15</v>
      </c>
      <c r="N860" s="31"/>
    </row>
    <row r="861" spans="1:14" x14ac:dyDescent="0.25">
      <c r="A861" s="4" t="str">
        <f>Sheet1!A861 &amp; "/" &amp; "2025"</f>
        <v>860/2025</v>
      </c>
      <c r="B861" s="5" t="str">
        <f>Sheet1!E861</f>
        <v>IND/MEL/00860</v>
      </c>
      <c r="C861" s="6" t="str">
        <f>UPPER(Sheet1!B861)</f>
        <v>AREN SHARMA</v>
      </c>
      <c r="D861" s="7" t="str">
        <f>IF(Sheet1!F861="F","FEMALE","MALE")</f>
        <v>MALE</v>
      </c>
      <c r="E861" s="6" t="str">
        <f>UPPER(Sheet1!G861)</f>
        <v>KABIR VALZARI</v>
      </c>
      <c r="F861" s="6" t="str">
        <f>UPPER(Sheet1!H861)</f>
        <v>ANYA VALZARI</v>
      </c>
      <c r="G861" s="5" t="str">
        <f>TEXT(Sheet1!C861,"dd/mm/yyyy") &amp; "," &amp; Sheet1!D861</f>
        <v>08/07/2025,BERWICK</v>
      </c>
      <c r="H861" s="39" t="str">
        <f>UPPER(Sheet1!J861 &amp; "," &amp; Sheet1!K861 &amp; "," &amp; Sheet1!L861)</f>
        <v>172 BIRCHWOOD LANE,EMERALD ROAD,PIN:562388 BERWICK</v>
      </c>
      <c r="I861" s="8">
        <f>Sheet1!I861</f>
        <v>45910</v>
      </c>
      <c r="J861" s="5" t="str">
        <f>Sheet1!M861 &amp; "," &amp; TEXT(Sheet1!N861,"dd/mm/yy")</f>
        <v>MHA/IND/00864,15/07/25</v>
      </c>
      <c r="K861" s="5" t="s">
        <v>5752</v>
      </c>
      <c r="L861" t="s">
        <v>14</v>
      </c>
      <c r="M861" s="31" t="s">
        <v>15</v>
      </c>
      <c r="N861" s="31"/>
    </row>
    <row r="862" spans="1:14" x14ac:dyDescent="0.25">
      <c r="A862" s="4" t="str">
        <f>Sheet1!A862 &amp; "/" &amp; "2025"</f>
        <v>861/2025</v>
      </c>
      <c r="B862" s="5" t="str">
        <f>Sheet1!E862</f>
        <v>IND/MEL/00861</v>
      </c>
      <c r="C862" s="6" t="str">
        <f>UPPER(Sheet1!B862)</f>
        <v>KIRAN RAO</v>
      </c>
      <c r="D862" s="7" t="str">
        <f>IF(Sheet1!F862="F","FEMALE","MALE")</f>
        <v>FEMALE</v>
      </c>
      <c r="E862" s="6" t="str">
        <f>UPPER(Sheet1!G862)</f>
        <v>ARJUN VALZARI</v>
      </c>
      <c r="F862" s="6" t="str">
        <f>UPPER(Sheet1!H862)</f>
        <v>RIYA VALZARI</v>
      </c>
      <c r="G862" s="5" t="str">
        <f>TEXT(Sheet1!C862,"dd/mm/yyyy") &amp; "," &amp; Sheet1!D862</f>
        <v>03/07/2025,BERWICK</v>
      </c>
      <c r="H862" s="39" t="str">
        <f>UPPER(Sheet1!J862 &amp; "," &amp; Sheet1!K862 &amp; "," &amp; Sheet1!L862)</f>
        <v>82 BIRCHWOOD LANE,EMERALD ROAD,PIN:894635 BERWICK</v>
      </c>
      <c r="I862" s="8">
        <f>Sheet1!I862</f>
        <v>45873</v>
      </c>
      <c r="J862" s="5" t="str">
        <f>Sheet1!M862 &amp; "," &amp; TEXT(Sheet1!N862,"dd/mm/yy")</f>
        <v>MHA/IND/00865,24/08/25</v>
      </c>
      <c r="K862" s="5" t="s">
        <v>5752</v>
      </c>
      <c r="L862" t="s">
        <v>14</v>
      </c>
      <c r="M862" s="31" t="s">
        <v>15</v>
      </c>
      <c r="N862" s="31"/>
    </row>
    <row r="863" spans="1:14" x14ac:dyDescent="0.25">
      <c r="A863" s="4" t="str">
        <f>Sheet1!A863 &amp; "/" &amp; "2025"</f>
        <v>862/2025</v>
      </c>
      <c r="B863" s="5" t="str">
        <f>Sheet1!E863</f>
        <v>IND/MEL/00862</v>
      </c>
      <c r="C863" s="6" t="str">
        <f>UPPER(Sheet1!B863)</f>
        <v>DIYA MYRTHOS</v>
      </c>
      <c r="D863" s="7" t="str">
        <f>IF(Sheet1!F863="F","FEMALE","MALE")</f>
        <v>MALE</v>
      </c>
      <c r="E863" s="6" t="str">
        <f>UPPER(Sheet1!G863)</f>
        <v>DEV MYRTHOS</v>
      </c>
      <c r="F863" s="6" t="str">
        <f>UPPER(Sheet1!H863)</f>
        <v>RIYA MYRTHOS</v>
      </c>
      <c r="G863" s="5" t="str">
        <f>TEXT(Sheet1!C863,"dd/mm/yyyy") &amp; "," &amp; Sheet1!D863</f>
        <v>22/09/2025,LIVERPOOL</v>
      </c>
      <c r="H863" s="39" t="str">
        <f>UPPER(Sheet1!J863 &amp; "," &amp; Sheet1!K863 &amp; "," &amp; Sheet1!L863)</f>
        <v>164 BIRCHWOOD LANE,EMERALD ROAD,PIN:165275 LIVERPOOL</v>
      </c>
      <c r="I863" s="8">
        <f>Sheet1!I863</f>
        <v>45983</v>
      </c>
      <c r="J863" s="5" t="str">
        <f>Sheet1!M863 &amp; "," &amp; TEXT(Sheet1!N863,"dd/mm/yy")</f>
        <v>MHA/IND/00866,30/07/25</v>
      </c>
      <c r="K863" s="5" t="s">
        <v>5752</v>
      </c>
      <c r="L863" t="s">
        <v>14</v>
      </c>
      <c r="M863" s="31" t="s">
        <v>15</v>
      </c>
      <c r="N863" s="31"/>
    </row>
    <row r="864" spans="1:14" x14ac:dyDescent="0.25">
      <c r="A864" s="4" t="str">
        <f>Sheet1!A864 &amp; "/" &amp; "2025"</f>
        <v>863/2025</v>
      </c>
      <c r="B864" s="5" t="str">
        <f>Sheet1!E864</f>
        <v>IND/MEL/00863</v>
      </c>
      <c r="C864" s="6" t="str">
        <f>UPPER(Sheet1!B864)</f>
        <v>RIYA KALEON</v>
      </c>
      <c r="D864" s="7" t="str">
        <f>IF(Sheet1!F864="F","FEMALE","MALE")</f>
        <v>MALE</v>
      </c>
      <c r="E864" s="6" t="str">
        <f>UPPER(Sheet1!G864)</f>
        <v>AREN SHARMA</v>
      </c>
      <c r="F864" s="6" t="str">
        <f>UPPER(Sheet1!H864)</f>
        <v>DIYA SHARMA</v>
      </c>
      <c r="G864" s="5" t="str">
        <f>TEXT(Sheet1!C864,"dd/mm/yyyy") &amp; "," &amp; Sheet1!D864</f>
        <v>05/03/2025,NEWCASTLE</v>
      </c>
      <c r="H864" s="39" t="str">
        <f>UPPER(Sheet1!J864 &amp; "," &amp; Sheet1!K864 &amp; "," &amp; Sheet1!L864)</f>
        <v>151 BIRCHWOOD LANE,EMERALD ROAD,PIN:313133 NEWCASTLE</v>
      </c>
      <c r="I864" s="8">
        <f>Sheet1!I864</f>
        <v>45744</v>
      </c>
      <c r="J864" s="5" t="str">
        <f>Sheet1!M864 &amp; "," &amp; TEXT(Sheet1!N864,"dd/mm/yy")</f>
        <v>MHA/IND/00867,16/08/25</v>
      </c>
      <c r="K864" s="5" t="s">
        <v>5752</v>
      </c>
      <c r="L864" t="s">
        <v>14</v>
      </c>
      <c r="M864" s="31" t="s">
        <v>15</v>
      </c>
      <c r="N864" s="31"/>
    </row>
    <row r="865" spans="1:14" x14ac:dyDescent="0.25">
      <c r="A865" s="4" t="str">
        <f>Sheet1!A865 &amp; "/" &amp; "2025"</f>
        <v>864/2025</v>
      </c>
      <c r="B865" s="5" t="str">
        <f>Sheet1!E865</f>
        <v>IND/MEL/00864</v>
      </c>
      <c r="C865" s="6" t="str">
        <f>UPPER(Sheet1!B865)</f>
        <v>AREN VALZARI</v>
      </c>
      <c r="D865" s="7" t="str">
        <f>IF(Sheet1!F865="F","FEMALE","MALE")</f>
        <v>FEMALE</v>
      </c>
      <c r="E865" s="6" t="str">
        <f>UPPER(Sheet1!G865)</f>
        <v>AREN SINDALE</v>
      </c>
      <c r="F865" s="6" t="str">
        <f>UPPER(Sheet1!H865)</f>
        <v>RIYA SINDALE</v>
      </c>
      <c r="G865" s="5" t="str">
        <f>TEXT(Sheet1!C865,"dd/mm/yyyy") &amp; "," &amp; Sheet1!D865</f>
        <v>04/04/2025,LIVERPOOL</v>
      </c>
      <c r="H865" s="39" t="str">
        <f>UPPER(Sheet1!J865 &amp; "," &amp; Sheet1!K865 &amp; "," &amp; Sheet1!L865)</f>
        <v>29 BIRCHWOOD LANE,EMERALD ROAD,PIN:978049 LIVERPOOL</v>
      </c>
      <c r="I865" s="8">
        <f>Sheet1!I865</f>
        <v>45763</v>
      </c>
      <c r="J865" s="5" t="str">
        <f>Sheet1!M865 &amp; "," &amp; TEXT(Sheet1!N865,"dd/mm/yy")</f>
        <v>MHA/IND/00868,09/08/25</v>
      </c>
      <c r="K865" s="5" t="s">
        <v>5752</v>
      </c>
      <c r="L865" t="s">
        <v>14</v>
      </c>
      <c r="M865" s="31" t="s">
        <v>15</v>
      </c>
      <c r="N865" s="31"/>
    </row>
    <row r="866" spans="1:14" x14ac:dyDescent="0.25">
      <c r="A866" s="4" t="str">
        <f>Sheet1!A866 &amp; "/" &amp; "2025"</f>
        <v>865/2025</v>
      </c>
      <c r="B866" s="5" t="str">
        <f>Sheet1!E866</f>
        <v>IND/MEL/00865</v>
      </c>
      <c r="C866" s="6" t="str">
        <f>UPPER(Sheet1!B866)</f>
        <v>SARA VALZARI</v>
      </c>
      <c r="D866" s="7" t="str">
        <f>IF(Sheet1!F866="F","FEMALE","MALE")</f>
        <v>MALE</v>
      </c>
      <c r="E866" s="6" t="str">
        <f>UPPER(Sheet1!G866)</f>
        <v>ARJUN KALEON</v>
      </c>
      <c r="F866" s="6" t="str">
        <f>UPPER(Sheet1!H866)</f>
        <v>ALYA KALEON</v>
      </c>
      <c r="G866" s="5" t="str">
        <f>TEXT(Sheet1!C866,"dd/mm/yyyy") &amp; "," &amp; Sheet1!D866</f>
        <v>25/07/2025,NEWCASTLE</v>
      </c>
      <c r="H866" s="39" t="str">
        <f>UPPER(Sheet1!J866 &amp; "," &amp; Sheet1!K866 &amp; "," &amp; Sheet1!L866)</f>
        <v>62 BIRCHWOOD LANE,EMERALD ROAD,PIN:759250 NEWCASTLE</v>
      </c>
      <c r="I866" s="8">
        <f>Sheet1!I866</f>
        <v>45879</v>
      </c>
      <c r="J866" s="5" t="str">
        <f>Sheet1!M866 &amp; "," &amp; TEXT(Sheet1!N866,"dd/mm/yy")</f>
        <v>MHA/IND/00869,16/07/25</v>
      </c>
      <c r="K866" s="5" t="s">
        <v>5752</v>
      </c>
      <c r="L866" t="s">
        <v>14</v>
      </c>
      <c r="M866" s="31" t="s">
        <v>15</v>
      </c>
      <c r="N866" s="31"/>
    </row>
    <row r="867" spans="1:14" x14ac:dyDescent="0.25">
      <c r="A867" s="4" t="str">
        <f>Sheet1!A867 &amp; "/" &amp; "2025"</f>
        <v>866/2025</v>
      </c>
      <c r="B867" s="5" t="str">
        <f>Sheet1!E867</f>
        <v>IND/MEL/00866</v>
      </c>
      <c r="C867" s="6" t="str">
        <f>UPPER(Sheet1!B867)</f>
        <v>KABIR MYRTHOS</v>
      </c>
      <c r="D867" s="7" t="str">
        <f>IF(Sheet1!F867="F","FEMALE","MALE")</f>
        <v>MALE</v>
      </c>
      <c r="E867" s="6" t="str">
        <f>UPPER(Sheet1!G867)</f>
        <v>ROHIT SHARMA</v>
      </c>
      <c r="F867" s="6" t="str">
        <f>UPPER(Sheet1!H867)</f>
        <v>ALYA SHARMA</v>
      </c>
      <c r="G867" s="5" t="str">
        <f>TEXT(Sheet1!C867,"dd/mm/yyyy") &amp; "," &amp; Sheet1!D867</f>
        <v>21/01/2025,LIVERPOOL</v>
      </c>
      <c r="H867" s="39" t="str">
        <f>UPPER(Sheet1!J867 &amp; "," &amp; Sheet1!K867 &amp; "," &amp; Sheet1!L867)</f>
        <v>136 BIRCHWOOD LANE,EMERALD ROAD,PIN:265684 LIVERPOOL</v>
      </c>
      <c r="I867" s="8">
        <f>Sheet1!I867</f>
        <v>45709</v>
      </c>
      <c r="J867" s="5" t="str">
        <f>Sheet1!M867 &amp; "," &amp; TEXT(Sheet1!N867,"dd/mm/yy")</f>
        <v>MHA/IND/00870,06/07/25</v>
      </c>
      <c r="K867" s="5" t="s">
        <v>5752</v>
      </c>
      <c r="L867" t="s">
        <v>14</v>
      </c>
      <c r="M867" s="31" t="s">
        <v>15</v>
      </c>
      <c r="N867" s="31"/>
    </row>
    <row r="868" spans="1:14" x14ac:dyDescent="0.25">
      <c r="A868" s="4" t="str">
        <f>Sheet1!A868 &amp; "/" &amp; "2025"</f>
        <v>867/2025</v>
      </c>
      <c r="B868" s="5" t="str">
        <f>Sheet1!E868</f>
        <v>IND/MEL/00867</v>
      </c>
      <c r="C868" s="6" t="str">
        <f>UPPER(Sheet1!B868)</f>
        <v>KIRAN SHARMA</v>
      </c>
      <c r="D868" s="7" t="str">
        <f>IF(Sheet1!F868="F","FEMALE","MALE")</f>
        <v>MALE</v>
      </c>
      <c r="E868" s="6" t="str">
        <f>UPPER(Sheet1!G868)</f>
        <v>DEV KALEON</v>
      </c>
      <c r="F868" s="6" t="str">
        <f>UPPER(Sheet1!H868)</f>
        <v>TARA KALEON</v>
      </c>
      <c r="G868" s="5" t="str">
        <f>TEXT(Sheet1!C868,"dd/mm/yyyy") &amp; "," &amp; Sheet1!D868</f>
        <v>07/06/2025,BENDIGO</v>
      </c>
      <c r="H868" s="39" t="str">
        <f>UPPER(Sheet1!J868 &amp; "," &amp; Sheet1!K868 &amp; "," &amp; Sheet1!L868)</f>
        <v>70 BIRCHWOOD LANE,EMERALD ROAD,PIN:669525 BENDIGO</v>
      </c>
      <c r="I868" s="8">
        <f>Sheet1!I868</f>
        <v>45869</v>
      </c>
      <c r="J868" s="5" t="str">
        <f>Sheet1!M868 &amp; "," &amp; TEXT(Sheet1!N868,"dd/mm/yy")</f>
        <v>MHA/IND/00871,16/08/25</v>
      </c>
      <c r="K868" s="5" t="s">
        <v>5752</v>
      </c>
      <c r="L868" t="s">
        <v>14</v>
      </c>
      <c r="M868" s="31" t="s">
        <v>15</v>
      </c>
      <c r="N868" s="31"/>
    </row>
    <row r="869" spans="1:14" x14ac:dyDescent="0.25">
      <c r="A869" s="4" t="str">
        <f>Sheet1!A869 &amp; "/" &amp; "2025"</f>
        <v>868/2025</v>
      </c>
      <c r="B869" s="5" t="str">
        <f>Sheet1!E869</f>
        <v>IND/MEL/00868</v>
      </c>
      <c r="C869" s="6" t="str">
        <f>UPPER(Sheet1!B869)</f>
        <v>TARA SINDALE</v>
      </c>
      <c r="D869" s="7" t="str">
        <f>IF(Sheet1!F869="F","FEMALE","MALE")</f>
        <v>FEMALE</v>
      </c>
      <c r="E869" s="6" t="str">
        <f>UPPER(Sheet1!G869)</f>
        <v>ROHIT SINDALE</v>
      </c>
      <c r="F869" s="6" t="str">
        <f>UPPER(Sheet1!H869)</f>
        <v>NINA SINDALE</v>
      </c>
      <c r="G869" s="5" t="str">
        <f>TEXT(Sheet1!C869,"dd/mm/yyyy") &amp; "," &amp; Sheet1!D869</f>
        <v>13/07/2025,WOLLONGONG</v>
      </c>
      <c r="H869" s="39" t="str">
        <f>UPPER(Sheet1!J869 &amp; "," &amp; Sheet1!K869 &amp; "," &amp; Sheet1!L869)</f>
        <v>71 BIRCHWOOD LANE,EMERALD ROAD,PIN:806096 WOLLONGONG</v>
      </c>
      <c r="I869" s="8">
        <f>Sheet1!I869</f>
        <v>45889</v>
      </c>
      <c r="J869" s="5" t="str">
        <f>Sheet1!M869 &amp; "," &amp; TEXT(Sheet1!N869,"dd/mm/yy")</f>
        <v>MHA/IND/00872,22/08/25</v>
      </c>
      <c r="K869" s="5" t="s">
        <v>5752</v>
      </c>
      <c r="L869" t="s">
        <v>14</v>
      </c>
      <c r="M869" s="31" t="s">
        <v>15</v>
      </c>
      <c r="N869" s="31"/>
    </row>
    <row r="870" spans="1:14" x14ac:dyDescent="0.25">
      <c r="A870" s="4" t="str">
        <f>Sheet1!A870 &amp; "/" &amp; "2025"</f>
        <v>869/2025</v>
      </c>
      <c r="B870" s="5" t="str">
        <f>Sheet1!E870</f>
        <v>IND/MEL/00869</v>
      </c>
      <c r="C870" s="6" t="str">
        <f>UPPER(Sheet1!B870)</f>
        <v>ARJUN KALEON</v>
      </c>
      <c r="D870" s="7" t="str">
        <f>IF(Sheet1!F870="F","FEMALE","MALE")</f>
        <v>FEMALE</v>
      </c>
      <c r="E870" s="6" t="str">
        <f>UPPER(Sheet1!G870)</f>
        <v>KABIR KALEON</v>
      </c>
      <c r="F870" s="6" t="str">
        <f>UPPER(Sheet1!H870)</f>
        <v>ALYA KALEON</v>
      </c>
      <c r="G870" s="5" t="str">
        <f>TEXT(Sheet1!C870,"dd/mm/yyyy") &amp; "," &amp; Sheet1!D870</f>
        <v>17/06/2025,DALBY</v>
      </c>
      <c r="H870" s="39" t="str">
        <f>UPPER(Sheet1!J870 &amp; "," &amp; Sheet1!K870 &amp; "," &amp; Sheet1!L870)</f>
        <v>123 BIRCHWOOD LANE,EMERALD ROAD,PIN:836079 DALBY</v>
      </c>
      <c r="I870" s="8">
        <f>Sheet1!I870</f>
        <v>45844</v>
      </c>
      <c r="J870" s="5" t="str">
        <f>Sheet1!M870 &amp; "," &amp; TEXT(Sheet1!N870,"dd/mm/yy")</f>
        <v>MHA/IND/00873,09/07/25</v>
      </c>
      <c r="K870" s="5" t="s">
        <v>5752</v>
      </c>
      <c r="L870" t="s">
        <v>14</v>
      </c>
      <c r="M870" s="31" t="s">
        <v>15</v>
      </c>
      <c r="N870" s="31"/>
    </row>
    <row r="871" spans="1:14" x14ac:dyDescent="0.25">
      <c r="A871" s="4" t="str">
        <f>Sheet1!A871 &amp; "/" &amp; "2025"</f>
        <v>870/2025</v>
      </c>
      <c r="B871" s="5" t="str">
        <f>Sheet1!E871</f>
        <v>IND/MEL/00870</v>
      </c>
      <c r="C871" s="6" t="str">
        <f>UPPER(Sheet1!B871)</f>
        <v>DEV SHARMA</v>
      </c>
      <c r="D871" s="7" t="str">
        <f>IF(Sheet1!F871="F","FEMALE","MALE")</f>
        <v>MALE</v>
      </c>
      <c r="E871" s="6" t="str">
        <f>UPPER(Sheet1!G871)</f>
        <v>KABIR MYRTHOS</v>
      </c>
      <c r="F871" s="6" t="str">
        <f>UPPER(Sheet1!H871)</f>
        <v>MIRA MYRTHOS</v>
      </c>
      <c r="G871" s="5" t="str">
        <f>TEXT(Sheet1!C871,"dd/mm/yyyy") &amp; "," &amp; Sheet1!D871</f>
        <v>28/01/2025,CLAYTON</v>
      </c>
      <c r="H871" s="39" t="str">
        <f>UPPER(Sheet1!J871 &amp; "," &amp; Sheet1!K871 &amp; "," &amp; Sheet1!L871)</f>
        <v>106 BIRCHWOOD LANE,EMERALD ROAD,PIN:528267 CLAYTON</v>
      </c>
      <c r="I871" s="8">
        <f>Sheet1!I871</f>
        <v>45709</v>
      </c>
      <c r="J871" s="5" t="str">
        <f>Sheet1!M871 &amp; "," &amp; TEXT(Sheet1!N871,"dd/mm/yy")</f>
        <v>MHA/IND/00874,15/08/25</v>
      </c>
      <c r="K871" s="5" t="s">
        <v>5752</v>
      </c>
      <c r="L871" t="s">
        <v>14</v>
      </c>
      <c r="M871" s="31" t="s">
        <v>15</v>
      </c>
      <c r="N871" s="31"/>
    </row>
    <row r="872" spans="1:14" x14ac:dyDescent="0.25">
      <c r="A872" s="4" t="str">
        <f>Sheet1!A872 &amp; "/" &amp; "2025"</f>
        <v>871/2025</v>
      </c>
      <c r="B872" s="5" t="str">
        <f>Sheet1!E872</f>
        <v>IND/MEL/00871</v>
      </c>
      <c r="C872" s="6" t="str">
        <f>UPPER(Sheet1!B872)</f>
        <v>KABIR KALEON</v>
      </c>
      <c r="D872" s="7" t="str">
        <f>IF(Sheet1!F872="F","FEMALE","MALE")</f>
        <v>FEMALE</v>
      </c>
      <c r="E872" s="6" t="str">
        <f>UPPER(Sheet1!G872)</f>
        <v>DEV SINDALE</v>
      </c>
      <c r="F872" s="6" t="str">
        <f>UPPER(Sheet1!H872)</f>
        <v>NINA SINDALE</v>
      </c>
      <c r="G872" s="5" t="str">
        <f>TEXT(Sheet1!C872,"dd/mm/yyyy") &amp; "," &amp; Sheet1!D872</f>
        <v>03/07/2025,MANDURAH</v>
      </c>
      <c r="H872" s="39" t="str">
        <f>UPPER(Sheet1!J872 &amp; "," &amp; Sheet1!K872 &amp; "," &amp; Sheet1!L872)</f>
        <v>163 BIRCHWOOD LANE,EMERALD ROAD,PIN:587920 MANDURAH</v>
      </c>
      <c r="I872" s="8">
        <f>Sheet1!I872</f>
        <v>45884</v>
      </c>
      <c r="J872" s="5" t="str">
        <f>Sheet1!M872 &amp; "," &amp; TEXT(Sheet1!N872,"dd/mm/yy")</f>
        <v>MHA/IND/00875,04/08/25</v>
      </c>
      <c r="K872" s="5" t="s">
        <v>5752</v>
      </c>
      <c r="L872" t="s">
        <v>14</v>
      </c>
      <c r="M872" s="31" t="s">
        <v>15</v>
      </c>
      <c r="N872" s="31"/>
    </row>
    <row r="873" spans="1:14" x14ac:dyDescent="0.25">
      <c r="A873" s="4" t="str">
        <f>Sheet1!A873 &amp; "/" &amp; "2025"</f>
        <v>872/2025</v>
      </c>
      <c r="B873" s="5" t="str">
        <f>Sheet1!E873</f>
        <v>IND/MEL/00872</v>
      </c>
      <c r="C873" s="6" t="str">
        <f>UPPER(Sheet1!B873)</f>
        <v>ALYA SINDALE</v>
      </c>
      <c r="D873" s="7" t="str">
        <f>IF(Sheet1!F873="F","FEMALE","MALE")</f>
        <v>FEMALE</v>
      </c>
      <c r="E873" s="6" t="str">
        <f>UPPER(Sheet1!G873)</f>
        <v>KIRAN RAO</v>
      </c>
      <c r="F873" s="6" t="str">
        <f>UPPER(Sheet1!H873)</f>
        <v>TARA RAO</v>
      </c>
      <c r="G873" s="5" t="str">
        <f>TEXT(Sheet1!C873,"dd/mm/yyyy") &amp; "," &amp; Sheet1!D873</f>
        <v>07/06/2025,BUNDOORA</v>
      </c>
      <c r="H873" s="39" t="str">
        <f>UPPER(Sheet1!J873 &amp; "," &amp; Sheet1!K873 &amp; "," &amp; Sheet1!L873)</f>
        <v>166 BIRCHWOOD LANE,EMERALD ROAD,PIN:443245 BUNDOORA</v>
      </c>
      <c r="I873" s="8">
        <f>Sheet1!I873</f>
        <v>45833</v>
      </c>
      <c r="J873" s="5" t="str">
        <f>Sheet1!M873 &amp; "," &amp; TEXT(Sheet1!N873,"dd/mm/yy")</f>
        <v>MHA/IND/00876,06/07/25</v>
      </c>
      <c r="K873" s="5" t="s">
        <v>5752</v>
      </c>
      <c r="L873" t="s">
        <v>14</v>
      </c>
      <c r="M873" s="31" t="s">
        <v>15</v>
      </c>
      <c r="N873" s="31"/>
    </row>
    <row r="874" spans="1:14" x14ac:dyDescent="0.25">
      <c r="A874" s="4" t="str">
        <f>Sheet1!A874 &amp; "/" &amp; "2025"</f>
        <v>873/2025</v>
      </c>
      <c r="B874" s="5" t="str">
        <f>Sheet1!E874</f>
        <v>IND/MEL/00873</v>
      </c>
      <c r="C874" s="6" t="str">
        <f>UPPER(Sheet1!B874)</f>
        <v>MIRA KALEON</v>
      </c>
      <c r="D874" s="7" t="str">
        <f>IF(Sheet1!F874="F","FEMALE","MALE")</f>
        <v>FEMALE</v>
      </c>
      <c r="E874" s="6" t="str">
        <f>UPPER(Sheet1!G874)</f>
        <v>ROHIT RISHKAN</v>
      </c>
      <c r="F874" s="6" t="str">
        <f>UPPER(Sheet1!H874)</f>
        <v>SARA RISHKAN</v>
      </c>
      <c r="G874" s="5" t="str">
        <f>TEXT(Sheet1!C874,"dd/mm/yyyy") &amp; "," &amp; Sheet1!D874</f>
        <v>26/05/2025,BRISBANE</v>
      </c>
      <c r="H874" s="39" t="str">
        <f>UPPER(Sheet1!J874 &amp; "," &amp; Sheet1!K874 &amp; "," &amp; Sheet1!L874)</f>
        <v>130 BIRCHWOOD LANE,EMERALD ROAD,PIN:854044 BRISBANE</v>
      </c>
      <c r="I874" s="8">
        <f>Sheet1!I874</f>
        <v>45882</v>
      </c>
      <c r="J874" s="5" t="str">
        <f>Sheet1!M874 &amp; "," &amp; TEXT(Sheet1!N874,"dd/mm/yy")</f>
        <v>MHA/IND/00877,18/08/25</v>
      </c>
      <c r="K874" s="5" t="s">
        <v>5752</v>
      </c>
      <c r="L874" t="s">
        <v>14</v>
      </c>
      <c r="M874" s="31" t="s">
        <v>15</v>
      </c>
      <c r="N874" s="31"/>
    </row>
    <row r="875" spans="1:14" x14ac:dyDescent="0.25">
      <c r="A875" s="4" t="str">
        <f>Sheet1!A875 &amp; "/" &amp; "2025"</f>
        <v>874/2025</v>
      </c>
      <c r="B875" s="5" t="str">
        <f>Sheet1!E875</f>
        <v>IND/MEL/00874</v>
      </c>
      <c r="C875" s="6" t="str">
        <f>UPPER(Sheet1!B875)</f>
        <v>ROHIT MYRTHOS</v>
      </c>
      <c r="D875" s="7" t="str">
        <f>IF(Sheet1!F875="F","FEMALE","MALE")</f>
        <v>MALE</v>
      </c>
      <c r="E875" s="6" t="str">
        <f>UPPER(Sheet1!G875)</f>
        <v>NEIL SINDALE</v>
      </c>
      <c r="F875" s="6" t="str">
        <f>UPPER(Sheet1!H875)</f>
        <v>RIYA SINDALE</v>
      </c>
      <c r="G875" s="5" t="str">
        <f>TEXT(Sheet1!C875,"dd/mm/yyyy") &amp; "," &amp; Sheet1!D875</f>
        <v>13/03/2025,BERWICK</v>
      </c>
      <c r="H875" s="39" t="str">
        <f>UPPER(Sheet1!J875 &amp; "," &amp; Sheet1!K875 &amp; "," &amp; Sheet1!L875)</f>
        <v>90 BIRCHWOOD LANE,EMERALD ROAD,PIN:146112 BERWICK</v>
      </c>
      <c r="I875" s="8">
        <f>Sheet1!I875</f>
        <v>45792</v>
      </c>
      <c r="J875" s="5" t="str">
        <f>Sheet1!M875 &amp; "," &amp; TEXT(Sheet1!N875,"dd/mm/yy")</f>
        <v>MHA/IND/00878,20/07/25</v>
      </c>
      <c r="K875" s="5" t="s">
        <v>5752</v>
      </c>
      <c r="L875" t="s">
        <v>14</v>
      </c>
      <c r="M875" s="31" t="s">
        <v>15</v>
      </c>
      <c r="N875" s="31"/>
    </row>
    <row r="876" spans="1:14" x14ac:dyDescent="0.25">
      <c r="A876" s="4" t="str">
        <f>Sheet1!A876 &amp; "/" &amp; "2025"</f>
        <v>875/2025</v>
      </c>
      <c r="B876" s="5" t="str">
        <f>Sheet1!E876</f>
        <v>IND/MEL/00875</v>
      </c>
      <c r="C876" s="6" t="str">
        <f>UPPER(Sheet1!B876)</f>
        <v>TARA SINDALE</v>
      </c>
      <c r="D876" s="7" t="str">
        <f>IF(Sheet1!F876="F","FEMALE","MALE")</f>
        <v>FEMALE</v>
      </c>
      <c r="E876" s="6" t="str">
        <f>UPPER(Sheet1!G876)</f>
        <v>KIRAN SHARMA</v>
      </c>
      <c r="F876" s="6" t="str">
        <f>UPPER(Sheet1!H876)</f>
        <v>DIYA SHARMA</v>
      </c>
      <c r="G876" s="5" t="str">
        <f>TEXT(Sheet1!C876,"dd/mm/yyyy") &amp; "," &amp; Sheet1!D876</f>
        <v>17/05/2025,GOSFORD</v>
      </c>
      <c r="H876" s="39" t="str">
        <f>UPPER(Sheet1!J876 &amp; "," &amp; Sheet1!K876 &amp; "," &amp; Sheet1!L876)</f>
        <v>187 BIRCHWOOD LANE,EMERALD ROAD,PIN:116116 GOSFORD</v>
      </c>
      <c r="I876" s="8">
        <f>Sheet1!I876</f>
        <v>45856</v>
      </c>
      <c r="J876" s="5" t="str">
        <f>Sheet1!M876 &amp; "," &amp; TEXT(Sheet1!N876,"dd/mm/yy")</f>
        <v>MHA/IND/00879,22/07/25</v>
      </c>
      <c r="K876" s="5" t="s">
        <v>5752</v>
      </c>
      <c r="L876" t="s">
        <v>14</v>
      </c>
      <c r="M876" s="31" t="s">
        <v>15</v>
      </c>
      <c r="N876" s="31"/>
    </row>
    <row r="877" spans="1:14" x14ac:dyDescent="0.25">
      <c r="A877" s="4" t="str">
        <f>Sheet1!A877 &amp; "/" &amp; "2025"</f>
        <v>876/2025</v>
      </c>
      <c r="B877" s="5" t="str">
        <f>Sheet1!E877</f>
        <v>IND/MEL/00876</v>
      </c>
      <c r="C877" s="6" t="str">
        <f>UPPER(Sheet1!B877)</f>
        <v>ANYA RAO</v>
      </c>
      <c r="D877" s="7" t="str">
        <f>IF(Sheet1!F877="F","FEMALE","MALE")</f>
        <v>FEMALE</v>
      </c>
      <c r="E877" s="6" t="str">
        <f>UPPER(Sheet1!G877)</f>
        <v>ROHIT KALEON</v>
      </c>
      <c r="F877" s="6" t="str">
        <f>UPPER(Sheet1!H877)</f>
        <v>TARA KALEON</v>
      </c>
      <c r="G877" s="5" t="str">
        <f>TEXT(Sheet1!C877,"dd/mm/yyyy") &amp; "," &amp; Sheet1!D877</f>
        <v>12/10/2025,ARMADALE</v>
      </c>
      <c r="H877" s="39" t="str">
        <f>UPPER(Sheet1!J877 &amp; "," &amp; Sheet1!K877 &amp; "," &amp; Sheet1!L877)</f>
        <v>146 BIRCHWOOD LANE,EMERALD ROAD,PIN:698609 ARMADALE</v>
      </c>
      <c r="I877" s="8">
        <f>Sheet1!I877</f>
        <v>45968</v>
      </c>
      <c r="J877" s="5" t="str">
        <f>Sheet1!M877 &amp; "," &amp; TEXT(Sheet1!N877,"dd/mm/yy")</f>
        <v>MHA/IND/00880,01/08/25</v>
      </c>
      <c r="K877" s="5" t="s">
        <v>5752</v>
      </c>
      <c r="L877" t="s">
        <v>14</v>
      </c>
      <c r="M877" s="31" t="s">
        <v>15</v>
      </c>
      <c r="N877" s="31"/>
    </row>
    <row r="878" spans="1:14" x14ac:dyDescent="0.25">
      <c r="A878" s="4" t="str">
        <f>Sheet1!A878 &amp; "/" &amp; "2025"</f>
        <v>877/2025</v>
      </c>
      <c r="B878" s="5" t="str">
        <f>Sheet1!E878</f>
        <v>IND/MEL/00877</v>
      </c>
      <c r="C878" s="6" t="str">
        <f>UPPER(Sheet1!B878)</f>
        <v>TARA RISHKAN</v>
      </c>
      <c r="D878" s="7" t="str">
        <f>IF(Sheet1!F878="F","FEMALE","MALE")</f>
        <v>FEMALE</v>
      </c>
      <c r="E878" s="6" t="str">
        <f>UPPER(Sheet1!G878)</f>
        <v>ISHAN KALEON</v>
      </c>
      <c r="F878" s="6" t="str">
        <f>UPPER(Sheet1!H878)</f>
        <v>NINA KALEON</v>
      </c>
      <c r="G878" s="5" t="str">
        <f>TEXT(Sheet1!C878,"dd/mm/yyyy") &amp; "," &amp; Sheet1!D878</f>
        <v>10/09/2025,PARKVILLE</v>
      </c>
      <c r="H878" s="39" t="str">
        <f>UPPER(Sheet1!J878 &amp; "," &amp; Sheet1!K878 &amp; "," &amp; Sheet1!L878)</f>
        <v>94 BIRCHWOOD LANE,EMERALD ROAD,PIN:243403 PARKVILLE</v>
      </c>
      <c r="I878" s="8">
        <f>Sheet1!I878</f>
        <v>45999</v>
      </c>
      <c r="J878" s="5" t="str">
        <f>Sheet1!M878 &amp; "," &amp; TEXT(Sheet1!N878,"dd/mm/yy")</f>
        <v>MHA/IND/00881,28/07/25</v>
      </c>
      <c r="K878" s="5" t="s">
        <v>5752</v>
      </c>
      <c r="L878" t="s">
        <v>14</v>
      </c>
      <c r="M878" s="31" t="s">
        <v>15</v>
      </c>
      <c r="N878" s="31"/>
    </row>
    <row r="879" spans="1:14" x14ac:dyDescent="0.25">
      <c r="A879" s="4" t="str">
        <f>Sheet1!A879 &amp; "/" &amp; "2025"</f>
        <v>878/2025</v>
      </c>
      <c r="B879" s="5" t="str">
        <f>Sheet1!E879</f>
        <v>IND/MEL/00878</v>
      </c>
      <c r="C879" s="6" t="str">
        <f>UPPER(Sheet1!B879)</f>
        <v>KABIR SINDALE</v>
      </c>
      <c r="D879" s="7" t="str">
        <f>IF(Sheet1!F879="F","FEMALE","MALE")</f>
        <v>FEMALE</v>
      </c>
      <c r="E879" s="6" t="str">
        <f>UPPER(Sheet1!G879)</f>
        <v>ROHIT MYRTHOS</v>
      </c>
      <c r="F879" s="6" t="str">
        <f>UPPER(Sheet1!H879)</f>
        <v>MIRA MYRTHOS</v>
      </c>
      <c r="G879" s="5" t="str">
        <f>TEXT(Sheet1!C879,"dd/mm/yyyy") &amp; "," &amp; Sheet1!D879</f>
        <v>12/09/2025,LIVERPOOL</v>
      </c>
      <c r="H879" s="39" t="str">
        <f>UPPER(Sheet1!J879 &amp; "," &amp; Sheet1!K879 &amp; "," &amp; Sheet1!L879)</f>
        <v>61 BIRCHWOOD LANE,EMERALD ROAD,PIN:333036 LIVERPOOL</v>
      </c>
      <c r="I879" s="8">
        <f>Sheet1!I879</f>
        <v>45979</v>
      </c>
      <c r="J879" s="5" t="str">
        <f>Sheet1!M879 &amp; "," &amp; TEXT(Sheet1!N879,"dd/mm/yy")</f>
        <v>MHA/IND/00882,20/07/25</v>
      </c>
      <c r="K879" s="5" t="s">
        <v>5752</v>
      </c>
      <c r="L879" t="s">
        <v>14</v>
      </c>
      <c r="M879" s="31" t="s">
        <v>15</v>
      </c>
      <c r="N879" s="31"/>
    </row>
    <row r="880" spans="1:14" x14ac:dyDescent="0.25">
      <c r="A880" s="4" t="str">
        <f>Sheet1!A880 &amp; "/" &amp; "2025"</f>
        <v>879/2025</v>
      </c>
      <c r="B880" s="5" t="str">
        <f>Sheet1!E880</f>
        <v>IND/MEL/00879</v>
      </c>
      <c r="C880" s="6" t="str">
        <f>UPPER(Sheet1!B880)</f>
        <v>MIRA SHARMA</v>
      </c>
      <c r="D880" s="7" t="str">
        <f>IF(Sheet1!F880="F","FEMALE","MALE")</f>
        <v>MALE</v>
      </c>
      <c r="E880" s="6" t="str">
        <f>UPPER(Sheet1!G880)</f>
        <v>AREN VALZARI</v>
      </c>
      <c r="F880" s="6" t="str">
        <f>UPPER(Sheet1!H880)</f>
        <v>RIYA VALZARI</v>
      </c>
      <c r="G880" s="5" t="str">
        <f>TEXT(Sheet1!C880,"dd/mm/yyyy") &amp; "," &amp; Sheet1!D880</f>
        <v>27/03/2025,BEDFORD PARK</v>
      </c>
      <c r="H880" s="39" t="str">
        <f>UPPER(Sheet1!J880 &amp; "," &amp; Sheet1!K880 &amp; "," &amp; Sheet1!L880)</f>
        <v>69 BIRCHWOOD LANE,EMERALD ROAD,PIN:974106 BEDFORD PARK</v>
      </c>
      <c r="I880" s="8">
        <f>Sheet1!I880</f>
        <v>45808</v>
      </c>
      <c r="J880" s="5" t="str">
        <f>Sheet1!M880 &amp; "," &amp; TEXT(Sheet1!N880,"dd/mm/yy")</f>
        <v>MHA/IND/00883,11/08/25</v>
      </c>
      <c r="K880" s="5" t="s">
        <v>5752</v>
      </c>
      <c r="L880" t="s">
        <v>14</v>
      </c>
      <c r="M880" s="31" t="s">
        <v>15</v>
      </c>
      <c r="N880" s="31"/>
    </row>
    <row r="881" spans="1:14" x14ac:dyDescent="0.25">
      <c r="A881" s="4" t="str">
        <f>Sheet1!A881 &amp; "/" &amp; "2025"</f>
        <v>880/2025</v>
      </c>
      <c r="B881" s="5" t="str">
        <f>Sheet1!E881</f>
        <v>IND/MEL/00880</v>
      </c>
      <c r="C881" s="6" t="str">
        <f>UPPER(Sheet1!B881)</f>
        <v>ANYA KALEON</v>
      </c>
      <c r="D881" s="7" t="str">
        <f>IF(Sheet1!F881="F","FEMALE","MALE")</f>
        <v>MALE</v>
      </c>
      <c r="E881" s="6" t="str">
        <f>UPPER(Sheet1!G881)</f>
        <v>ROHIT VALZARI</v>
      </c>
      <c r="F881" s="6" t="str">
        <f>UPPER(Sheet1!H881)</f>
        <v>ALYA VALZARI</v>
      </c>
      <c r="G881" s="5" t="str">
        <f>TEXT(Sheet1!C881,"dd/mm/yyyy") &amp; "," &amp; Sheet1!D881</f>
        <v>02/04/2025,WODONGA</v>
      </c>
      <c r="H881" s="39" t="str">
        <f>UPPER(Sheet1!J881 &amp; "," &amp; Sheet1!K881 &amp; "," &amp; Sheet1!L881)</f>
        <v>130 BIRCHWOOD LANE,EMERALD ROAD,PIN:903256 WODONGA</v>
      </c>
      <c r="I881" s="8">
        <f>Sheet1!I881</f>
        <v>45786</v>
      </c>
      <c r="J881" s="5" t="str">
        <f>Sheet1!M881 &amp; "," &amp; TEXT(Sheet1!N881,"dd/mm/yy")</f>
        <v>MHA/IND/00884,09/08/25</v>
      </c>
      <c r="K881" s="5" t="s">
        <v>5752</v>
      </c>
      <c r="L881" t="s">
        <v>14</v>
      </c>
      <c r="M881" s="31" t="s">
        <v>15</v>
      </c>
      <c r="N881" s="31"/>
    </row>
    <row r="882" spans="1:14" x14ac:dyDescent="0.25">
      <c r="A882" s="4" t="str">
        <f>Sheet1!A882 &amp; "/" &amp; "2025"</f>
        <v>881/2025</v>
      </c>
      <c r="B882" s="5" t="str">
        <f>Sheet1!E882</f>
        <v>IND/MEL/00881</v>
      </c>
      <c r="C882" s="6" t="str">
        <f>UPPER(Sheet1!B882)</f>
        <v>ALYA KALEON</v>
      </c>
      <c r="D882" s="7" t="str">
        <f>IF(Sheet1!F882="F","FEMALE","MALE")</f>
        <v>MALE</v>
      </c>
      <c r="E882" s="6" t="str">
        <f>UPPER(Sheet1!G882)</f>
        <v>AREN SINDALE</v>
      </c>
      <c r="F882" s="6" t="str">
        <f>UPPER(Sheet1!H882)</f>
        <v>RIYA SINDALE</v>
      </c>
      <c r="G882" s="5" t="str">
        <f>TEXT(Sheet1!C882,"dd/mm/yyyy") &amp; "," &amp; Sheet1!D882</f>
        <v>23/05/2025,FRANKSTON</v>
      </c>
      <c r="H882" s="39" t="str">
        <f>UPPER(Sheet1!J882 &amp; "," &amp; Sheet1!K882 &amp; "," &amp; Sheet1!L882)</f>
        <v>161 BIRCHWOOD LANE,EMERALD ROAD,PIN:724180 FRANKSTON</v>
      </c>
      <c r="I882" s="8">
        <f>Sheet1!I882</f>
        <v>45873</v>
      </c>
      <c r="J882" s="5" t="str">
        <f>Sheet1!M882 &amp; "," &amp; TEXT(Sheet1!N882,"dd/mm/yy")</f>
        <v>MHA/IND/00885,26/08/25</v>
      </c>
      <c r="K882" s="5" t="s">
        <v>5752</v>
      </c>
      <c r="L882" t="s">
        <v>14</v>
      </c>
      <c r="M882" s="31" t="s">
        <v>15</v>
      </c>
      <c r="N882" s="31"/>
    </row>
    <row r="883" spans="1:14" x14ac:dyDescent="0.25">
      <c r="A883" s="4" t="str">
        <f>Sheet1!A883 &amp; "/" &amp; "2025"</f>
        <v>882/2025</v>
      </c>
      <c r="B883" s="5" t="str">
        <f>Sheet1!E883</f>
        <v>IND/MEL/00882</v>
      </c>
      <c r="C883" s="6" t="str">
        <f>UPPER(Sheet1!B883)</f>
        <v>ANYA MYRTHOS</v>
      </c>
      <c r="D883" s="7" t="str">
        <f>IF(Sheet1!F883="F","FEMALE","MALE")</f>
        <v>MALE</v>
      </c>
      <c r="E883" s="6" t="str">
        <f>UPPER(Sheet1!G883)</f>
        <v>DEV SHARMA</v>
      </c>
      <c r="F883" s="6" t="str">
        <f>UPPER(Sheet1!H883)</f>
        <v>NINA SHARMA</v>
      </c>
      <c r="G883" s="5" t="str">
        <f>TEXT(Sheet1!C883,"dd/mm/yyyy") &amp; "," &amp; Sheet1!D883</f>
        <v>11/06/2025,TUGGERANONG</v>
      </c>
      <c r="H883" s="39" t="str">
        <f>UPPER(Sheet1!J883 &amp; "," &amp; Sheet1!K883 &amp; "," &amp; Sheet1!L883)</f>
        <v>29 BIRCHWOOD LANE,EMERALD ROAD,PIN:696956 TUGGERANONG</v>
      </c>
      <c r="I883" s="8">
        <f>Sheet1!I883</f>
        <v>45937</v>
      </c>
      <c r="J883" s="5" t="str">
        <f>Sheet1!M883 &amp; "," &amp; TEXT(Sheet1!N883,"dd/mm/yy")</f>
        <v>MHA/IND/00886,25/08/25</v>
      </c>
      <c r="K883" s="5" t="s">
        <v>5752</v>
      </c>
      <c r="L883" t="s">
        <v>14</v>
      </c>
      <c r="M883" s="31" t="s">
        <v>15</v>
      </c>
      <c r="N883" s="31"/>
    </row>
    <row r="884" spans="1:14" x14ac:dyDescent="0.25">
      <c r="A884" s="4" t="str">
        <f>Sheet1!A884 &amp; "/" &amp; "2025"</f>
        <v>883/2025</v>
      </c>
      <c r="B884" s="5" t="str">
        <f>Sheet1!E884</f>
        <v>IND/MEL/00883</v>
      </c>
      <c r="C884" s="6" t="str">
        <f>UPPER(Sheet1!B884)</f>
        <v>ROHIT VALZARI</v>
      </c>
      <c r="D884" s="7" t="str">
        <f>IF(Sheet1!F884="F","FEMALE","MALE")</f>
        <v>FEMALE</v>
      </c>
      <c r="E884" s="6" t="str">
        <f>UPPER(Sheet1!G884)</f>
        <v>ROHIT SHARMA</v>
      </c>
      <c r="F884" s="6" t="str">
        <f>UPPER(Sheet1!H884)</f>
        <v>MIRA SHARMA</v>
      </c>
      <c r="G884" s="5" t="str">
        <f>TEXT(Sheet1!C884,"dd/mm/yyyy") &amp; "," &amp; Sheet1!D884</f>
        <v>01/05/2025,LAUNCESTON</v>
      </c>
      <c r="H884" s="39" t="str">
        <f>UPPER(Sheet1!J884 &amp; "," &amp; Sheet1!K884 &amp; "," &amp; Sheet1!L884)</f>
        <v>193 BIRCHWOOD LANE,EMERALD ROAD,PIN:866652 LAUNCESTON</v>
      </c>
      <c r="I884" s="8">
        <f>Sheet1!I884</f>
        <v>45790</v>
      </c>
      <c r="J884" s="5" t="str">
        <f>Sheet1!M884 &amp; "," &amp; TEXT(Sheet1!N884,"dd/mm/yy")</f>
        <v>MHA/IND/00887,08/07/25</v>
      </c>
      <c r="K884" s="5" t="s">
        <v>5752</v>
      </c>
      <c r="L884" t="s">
        <v>14</v>
      </c>
      <c r="M884" s="31" t="s">
        <v>15</v>
      </c>
      <c r="N884" s="31"/>
    </row>
    <row r="885" spans="1:14" x14ac:dyDescent="0.25">
      <c r="A885" s="4" t="str">
        <f>Sheet1!A885 &amp; "/" &amp; "2025"</f>
        <v>884/2025</v>
      </c>
      <c r="B885" s="5" t="str">
        <f>Sheet1!E885</f>
        <v>IND/MEL/00884</v>
      </c>
      <c r="C885" s="6" t="str">
        <f>UPPER(Sheet1!B885)</f>
        <v>KIRAN VALZARI</v>
      </c>
      <c r="D885" s="7" t="str">
        <f>IF(Sheet1!F885="F","FEMALE","MALE")</f>
        <v>FEMALE</v>
      </c>
      <c r="E885" s="6" t="str">
        <f>UPPER(Sheet1!G885)</f>
        <v>ROHIT KALEON</v>
      </c>
      <c r="F885" s="6" t="str">
        <f>UPPER(Sheet1!H885)</f>
        <v>ANYA KALEON</v>
      </c>
      <c r="G885" s="5" t="str">
        <f>TEXT(Sheet1!C885,"dd/mm/yyyy") &amp; "," &amp; Sheet1!D885</f>
        <v>19/03/2025,NORTH ADELAIDE</v>
      </c>
      <c r="H885" s="39" t="str">
        <f>UPPER(Sheet1!J885 &amp; "," &amp; Sheet1!K885 &amp; "," &amp; Sheet1!L885)</f>
        <v>141 BIRCHWOOD LANE,EMERALD ROAD,PIN:277862 NORTH ADELAIDE</v>
      </c>
      <c r="I885" s="8">
        <f>Sheet1!I885</f>
        <v>45767</v>
      </c>
      <c r="J885" s="5" t="str">
        <f>Sheet1!M885 &amp; "," &amp; TEXT(Sheet1!N885,"dd/mm/yy")</f>
        <v>MHA/IND/00888,24/07/25</v>
      </c>
      <c r="K885" s="5" t="s">
        <v>5752</v>
      </c>
      <c r="L885" t="s">
        <v>14</v>
      </c>
      <c r="M885" s="31" t="s">
        <v>15</v>
      </c>
      <c r="N885" s="31"/>
    </row>
    <row r="886" spans="1:14" x14ac:dyDescent="0.25">
      <c r="A886" s="4" t="str">
        <f>Sheet1!A886 &amp; "/" &amp; "2025"</f>
        <v>885/2025</v>
      </c>
      <c r="B886" s="5" t="str">
        <f>Sheet1!E886</f>
        <v>IND/MEL/00885</v>
      </c>
      <c r="C886" s="6" t="str">
        <f>UPPER(Sheet1!B886)</f>
        <v>DEV SINDALE</v>
      </c>
      <c r="D886" s="7" t="str">
        <f>IF(Sheet1!F886="F","FEMALE","MALE")</f>
        <v>FEMALE</v>
      </c>
      <c r="E886" s="6" t="str">
        <f>UPPER(Sheet1!G886)</f>
        <v>NEIL RISHKAN</v>
      </c>
      <c r="F886" s="6" t="str">
        <f>UPPER(Sheet1!H886)</f>
        <v>ALYA RISHKAN</v>
      </c>
      <c r="G886" s="5" t="str">
        <f>TEXT(Sheet1!C886,"dd/mm/yyyy") &amp; "," &amp; Sheet1!D886</f>
        <v>27/07/2025,TUGGERANONG</v>
      </c>
      <c r="H886" s="39" t="str">
        <f>UPPER(Sheet1!J886 &amp; "," &amp; Sheet1!K886 &amp; "," &amp; Sheet1!L886)</f>
        <v>57 BIRCHWOOD LANE,EMERALD ROAD,PIN:771839 TUGGERANONG</v>
      </c>
      <c r="I886" s="8">
        <f>Sheet1!I886</f>
        <v>45873</v>
      </c>
      <c r="J886" s="5" t="str">
        <f>Sheet1!M886 &amp; "," &amp; TEXT(Sheet1!N886,"dd/mm/yy")</f>
        <v>MHA/IND/00889,09/08/25</v>
      </c>
      <c r="K886" s="5" t="s">
        <v>5752</v>
      </c>
      <c r="L886" t="s">
        <v>14</v>
      </c>
      <c r="M886" s="31" t="s">
        <v>15</v>
      </c>
      <c r="N886" s="31"/>
    </row>
    <row r="887" spans="1:14" x14ac:dyDescent="0.25">
      <c r="A887" s="4" t="str">
        <f>Sheet1!A887 &amp; "/" &amp; "2025"</f>
        <v>886/2025</v>
      </c>
      <c r="B887" s="5" t="str">
        <f>Sheet1!E887</f>
        <v>IND/MEL/00886</v>
      </c>
      <c r="C887" s="6" t="str">
        <f>UPPER(Sheet1!B887)</f>
        <v>KIRAN SHARMA</v>
      </c>
      <c r="D887" s="7" t="str">
        <f>IF(Sheet1!F887="F","FEMALE","MALE")</f>
        <v>FEMALE</v>
      </c>
      <c r="E887" s="6" t="str">
        <f>UPPER(Sheet1!G887)</f>
        <v>DEV SHARMA</v>
      </c>
      <c r="F887" s="6" t="str">
        <f>UPPER(Sheet1!H887)</f>
        <v>ANYA SHARMA</v>
      </c>
      <c r="G887" s="5" t="str">
        <f>TEXT(Sheet1!C887,"dd/mm/yyyy") &amp; "," &amp; Sheet1!D887</f>
        <v>05/08/2025,LIVERPOOL</v>
      </c>
      <c r="H887" s="39" t="str">
        <f>UPPER(Sheet1!J887 &amp; "," &amp; Sheet1!K887 &amp; "," &amp; Sheet1!L887)</f>
        <v>65 BIRCHWOOD LANE,EMERALD ROAD,PIN:587081 LIVERPOOL</v>
      </c>
      <c r="I887" s="8">
        <f>Sheet1!I887</f>
        <v>45926</v>
      </c>
      <c r="J887" s="5" t="str">
        <f>Sheet1!M887 &amp; "," &amp; TEXT(Sheet1!N887,"dd/mm/yy")</f>
        <v>MHA/IND/00890,26/08/25</v>
      </c>
      <c r="K887" s="5" t="s">
        <v>5752</v>
      </c>
      <c r="L887" t="s">
        <v>14</v>
      </c>
      <c r="M887" s="31" t="s">
        <v>15</v>
      </c>
      <c r="N887" s="31"/>
    </row>
    <row r="888" spans="1:14" x14ac:dyDescent="0.25">
      <c r="A888" s="4" t="str">
        <f>Sheet1!A888 &amp; "/" &amp; "2025"</f>
        <v>887/2025</v>
      </c>
      <c r="B888" s="5" t="str">
        <f>Sheet1!E888</f>
        <v>IND/MEL/00887</v>
      </c>
      <c r="C888" s="6" t="str">
        <f>UPPER(Sheet1!B888)</f>
        <v>MIRA SHARMA</v>
      </c>
      <c r="D888" s="7" t="str">
        <f>IF(Sheet1!F888="F","FEMALE","MALE")</f>
        <v>FEMALE</v>
      </c>
      <c r="E888" s="6" t="str">
        <f>UPPER(Sheet1!G888)</f>
        <v>AREN VALZARI</v>
      </c>
      <c r="F888" s="6" t="str">
        <f>UPPER(Sheet1!H888)</f>
        <v>ANYA VALZARI</v>
      </c>
      <c r="G888" s="5" t="str">
        <f>TEXT(Sheet1!C888,"dd/mm/yyyy") &amp; "," &amp; Sheet1!D888</f>
        <v>13/01/2025,BALLARAT CENTRAL</v>
      </c>
      <c r="H888" s="39" t="str">
        <f>UPPER(Sheet1!J888 &amp; "," &amp; Sheet1!K888 &amp; "," &amp; Sheet1!L888)</f>
        <v>74 BIRCHWOOD LANE,EMERALD ROAD,PIN:832571 BALLARAT CENTRAL</v>
      </c>
      <c r="I888" s="8">
        <f>Sheet1!I888</f>
        <v>45679</v>
      </c>
      <c r="J888" s="5" t="str">
        <f>Sheet1!M888 &amp; "," &amp; TEXT(Sheet1!N888,"dd/mm/yy")</f>
        <v>MHA/IND/00891,06/07/25</v>
      </c>
      <c r="K888" s="5" t="s">
        <v>5752</v>
      </c>
      <c r="L888" t="s">
        <v>14</v>
      </c>
      <c r="M888" s="31" t="s">
        <v>15</v>
      </c>
      <c r="N888" s="31"/>
    </row>
    <row r="889" spans="1:14" x14ac:dyDescent="0.25">
      <c r="A889" s="4" t="str">
        <f>Sheet1!A889 &amp; "/" &amp; "2025"</f>
        <v>888/2025</v>
      </c>
      <c r="B889" s="5" t="str">
        <f>Sheet1!E889</f>
        <v>IND/MEL/00888</v>
      </c>
      <c r="C889" s="6" t="str">
        <f>UPPER(Sheet1!B889)</f>
        <v>SARA KALEON</v>
      </c>
      <c r="D889" s="7" t="str">
        <f>IF(Sheet1!F889="F","FEMALE","MALE")</f>
        <v>MALE</v>
      </c>
      <c r="E889" s="6" t="str">
        <f>UPPER(Sheet1!G889)</f>
        <v>ISHAN SINDALE</v>
      </c>
      <c r="F889" s="6" t="str">
        <f>UPPER(Sheet1!H889)</f>
        <v>NINA SINDALE</v>
      </c>
      <c r="G889" s="5" t="str">
        <f>TEXT(Sheet1!C889,"dd/mm/yyyy") &amp; "," &amp; Sheet1!D889</f>
        <v>05/08/2025,FREMANTLE</v>
      </c>
      <c r="H889" s="39" t="str">
        <f>UPPER(Sheet1!J889 &amp; "," &amp; Sheet1!K889 &amp; "," &amp; Sheet1!L889)</f>
        <v>26 BIRCHWOOD LANE,EMERALD ROAD,PIN:919321 FREMANTLE</v>
      </c>
      <c r="I889" s="8">
        <f>Sheet1!I889</f>
        <v>45982</v>
      </c>
      <c r="J889" s="5" t="str">
        <f>Sheet1!M889 &amp; "," &amp; TEXT(Sheet1!N889,"dd/mm/yy")</f>
        <v>MHA/IND/00892,03/08/25</v>
      </c>
      <c r="K889" s="5" t="s">
        <v>5752</v>
      </c>
      <c r="L889" t="s">
        <v>14</v>
      </c>
      <c r="M889" s="31" t="s">
        <v>15</v>
      </c>
      <c r="N889" s="31"/>
    </row>
    <row r="890" spans="1:14" x14ac:dyDescent="0.25">
      <c r="A890" s="4" t="str">
        <f>Sheet1!A890 &amp; "/" &amp; "2025"</f>
        <v>889/2025</v>
      </c>
      <c r="B890" s="5" t="str">
        <f>Sheet1!E890</f>
        <v>IND/MEL/00889</v>
      </c>
      <c r="C890" s="6" t="str">
        <f>UPPER(Sheet1!B890)</f>
        <v>RIYA RISHKAN</v>
      </c>
      <c r="D890" s="7" t="str">
        <f>IF(Sheet1!F890="F","FEMALE","MALE")</f>
        <v>FEMALE</v>
      </c>
      <c r="E890" s="6" t="str">
        <f>UPPER(Sheet1!G890)</f>
        <v>ROHIT KALEON</v>
      </c>
      <c r="F890" s="6" t="str">
        <f>UPPER(Sheet1!H890)</f>
        <v>TARA KALEON</v>
      </c>
      <c r="G890" s="5" t="str">
        <f>TEXT(Sheet1!C890,"dd/mm/yyyy") &amp; "," &amp; Sheet1!D890</f>
        <v>06/05/2025,IPSWICH</v>
      </c>
      <c r="H890" s="39" t="str">
        <f>UPPER(Sheet1!J890 &amp; "," &amp; Sheet1!K890 &amp; "," &amp; Sheet1!L890)</f>
        <v>109 BIRCHWOOD LANE,EMERALD ROAD,PIN:713260 IPSWICH</v>
      </c>
      <c r="I890" s="8">
        <f>Sheet1!I890</f>
        <v>45863</v>
      </c>
      <c r="J890" s="5" t="str">
        <f>Sheet1!M890 &amp; "," &amp; TEXT(Sheet1!N890,"dd/mm/yy")</f>
        <v>MHA/IND/00893,14/07/25</v>
      </c>
      <c r="K890" s="5" t="s">
        <v>5752</v>
      </c>
      <c r="L890" t="s">
        <v>14</v>
      </c>
      <c r="M890" s="31" t="s">
        <v>15</v>
      </c>
      <c r="N890" s="31"/>
    </row>
    <row r="891" spans="1:14" x14ac:dyDescent="0.25">
      <c r="A891" s="4" t="str">
        <f>Sheet1!A891 &amp; "/" &amp; "2025"</f>
        <v>890/2025</v>
      </c>
      <c r="B891" s="5" t="str">
        <f>Sheet1!E891</f>
        <v>IND/MEL/00890</v>
      </c>
      <c r="C891" s="6" t="str">
        <f>UPPER(Sheet1!B891)</f>
        <v>ANYA SHARMA</v>
      </c>
      <c r="D891" s="7" t="str">
        <f>IF(Sheet1!F891="F","FEMALE","MALE")</f>
        <v>MALE</v>
      </c>
      <c r="E891" s="6" t="str">
        <f>UPPER(Sheet1!G891)</f>
        <v>ISHAN SHARMA</v>
      </c>
      <c r="F891" s="6" t="str">
        <f>UPPER(Sheet1!H891)</f>
        <v>RIYA SHARMA</v>
      </c>
      <c r="G891" s="5" t="str">
        <f>TEXT(Sheet1!C891,"dd/mm/yyyy") &amp; "," &amp; Sheet1!D891</f>
        <v>15/10/2025,MILDURA</v>
      </c>
      <c r="H891" s="39" t="str">
        <f>UPPER(Sheet1!J891 &amp; "," &amp; Sheet1!K891 &amp; "," &amp; Sheet1!L891)</f>
        <v>21 BIRCHWOOD LANE,EMERALD ROAD,PIN:384008 MILDURA</v>
      </c>
      <c r="I891" s="8">
        <f>Sheet1!I891</f>
        <v>45955</v>
      </c>
      <c r="J891" s="5" t="str">
        <f>Sheet1!M891 &amp; "," &amp; TEXT(Sheet1!N891,"dd/mm/yy")</f>
        <v>MHA/IND/00894,04/08/25</v>
      </c>
      <c r="K891" s="5" t="s">
        <v>5752</v>
      </c>
      <c r="L891" t="s">
        <v>14</v>
      </c>
      <c r="M891" s="31" t="s">
        <v>15</v>
      </c>
      <c r="N891" s="31"/>
    </row>
    <row r="892" spans="1:14" x14ac:dyDescent="0.25">
      <c r="A892" s="4" t="str">
        <f>Sheet1!A892 &amp; "/" &amp; "2025"</f>
        <v>891/2025</v>
      </c>
      <c r="B892" s="5" t="str">
        <f>Sheet1!E892</f>
        <v>IND/MEL/00891</v>
      </c>
      <c r="C892" s="6" t="str">
        <f>UPPER(Sheet1!B892)</f>
        <v>ANYA VALZARI</v>
      </c>
      <c r="D892" s="7" t="str">
        <f>IF(Sheet1!F892="F","FEMALE","MALE")</f>
        <v>FEMALE</v>
      </c>
      <c r="E892" s="6" t="str">
        <f>UPPER(Sheet1!G892)</f>
        <v>NEIL RAO</v>
      </c>
      <c r="F892" s="6" t="str">
        <f>UPPER(Sheet1!H892)</f>
        <v>TARA RAO</v>
      </c>
      <c r="G892" s="5" t="str">
        <f>TEXT(Sheet1!C892,"dd/mm/yyyy") &amp; "," &amp; Sheet1!D892</f>
        <v>22/01/2025,ST ALBANS</v>
      </c>
      <c r="H892" s="39" t="str">
        <f>UPPER(Sheet1!J892 &amp; "," &amp; Sheet1!K892 &amp; "," &amp; Sheet1!L892)</f>
        <v>198 BIRCHWOOD LANE,EMERALD ROAD,PIN:435572 ST ALBANS</v>
      </c>
      <c r="I892" s="8">
        <f>Sheet1!I892</f>
        <v>45704</v>
      </c>
      <c r="J892" s="5" t="str">
        <f>Sheet1!M892 &amp; "," &amp; TEXT(Sheet1!N892,"dd/mm/yy")</f>
        <v>MHA/IND/00895,06/07/25</v>
      </c>
      <c r="K892" s="5" t="s">
        <v>5752</v>
      </c>
      <c r="L892" t="s">
        <v>14</v>
      </c>
      <c r="M892" s="31" t="s">
        <v>15</v>
      </c>
      <c r="N892" s="31"/>
    </row>
    <row r="893" spans="1:14" x14ac:dyDescent="0.25">
      <c r="A893" s="4" t="str">
        <f>Sheet1!A893 &amp; "/" &amp; "2025"</f>
        <v>892/2025</v>
      </c>
      <c r="B893" s="5" t="str">
        <f>Sheet1!E893</f>
        <v>IND/MEL/00892</v>
      </c>
      <c r="C893" s="6" t="str">
        <f>UPPER(Sheet1!B893)</f>
        <v>ARJUN SINDALE</v>
      </c>
      <c r="D893" s="7" t="str">
        <f>IF(Sheet1!F893="F","FEMALE","MALE")</f>
        <v>FEMALE</v>
      </c>
      <c r="E893" s="6" t="str">
        <f>UPPER(Sheet1!G893)</f>
        <v>ROHIT MYRTHOS</v>
      </c>
      <c r="F893" s="6" t="str">
        <f>UPPER(Sheet1!H893)</f>
        <v>ALYA MYRTHOS</v>
      </c>
      <c r="G893" s="5" t="str">
        <f>TEXT(Sheet1!C893,"dd/mm/yyyy") &amp; "," &amp; Sheet1!D893</f>
        <v>28/09/2025,BENDIGO</v>
      </c>
      <c r="H893" s="39" t="str">
        <f>UPPER(Sheet1!J893 &amp; "," &amp; Sheet1!K893 &amp; "," &amp; Sheet1!L893)</f>
        <v>157 BIRCHWOOD LANE,EMERALD ROAD,PIN:557614 BENDIGO</v>
      </c>
      <c r="I893" s="8">
        <f>Sheet1!I893</f>
        <v>45960</v>
      </c>
      <c r="J893" s="5" t="str">
        <f>Sheet1!M893 &amp; "," &amp; TEXT(Sheet1!N893,"dd/mm/yy")</f>
        <v>MHA/IND/00896,28/08/25</v>
      </c>
      <c r="K893" s="5" t="s">
        <v>5752</v>
      </c>
      <c r="L893" t="s">
        <v>14</v>
      </c>
      <c r="M893" s="31" t="s">
        <v>15</v>
      </c>
      <c r="N893" s="31"/>
    </row>
    <row r="894" spans="1:14" x14ac:dyDescent="0.25">
      <c r="A894" s="4" t="str">
        <f>Sheet1!A894 &amp; "/" &amp; "2025"</f>
        <v>893/2025</v>
      </c>
      <c r="B894" s="5" t="str">
        <f>Sheet1!E894</f>
        <v>IND/MEL/00893</v>
      </c>
      <c r="C894" s="6" t="str">
        <f>UPPER(Sheet1!B894)</f>
        <v>TARA KALEON</v>
      </c>
      <c r="D894" s="7" t="str">
        <f>IF(Sheet1!F894="F","FEMALE","MALE")</f>
        <v>FEMALE</v>
      </c>
      <c r="E894" s="6" t="str">
        <f>UPPER(Sheet1!G894)</f>
        <v>KABIR RISHKAN</v>
      </c>
      <c r="F894" s="6" t="str">
        <f>UPPER(Sheet1!H894)</f>
        <v>NINA RISHKAN</v>
      </c>
      <c r="G894" s="5" t="str">
        <f>TEXT(Sheet1!C894,"dd/mm/yyyy") &amp; "," &amp; Sheet1!D894</f>
        <v>17/10/2025,WOLLONGONG</v>
      </c>
      <c r="H894" s="39" t="str">
        <f>UPPER(Sheet1!J894 &amp; "," &amp; Sheet1!K894 &amp; "," &amp; Sheet1!L894)</f>
        <v>77 BIRCHWOOD LANE,EMERALD ROAD,PIN:990720 WOLLONGONG</v>
      </c>
      <c r="I894" s="8">
        <f>Sheet1!I894</f>
        <v>46053</v>
      </c>
      <c r="J894" s="5" t="str">
        <f>Sheet1!M894 &amp; "," &amp; TEXT(Sheet1!N894,"dd/mm/yy")</f>
        <v>MHA/IND/00897,24/07/25</v>
      </c>
      <c r="K894" s="5" t="s">
        <v>5752</v>
      </c>
      <c r="L894" t="s">
        <v>14</v>
      </c>
      <c r="M894" s="31" t="s">
        <v>15</v>
      </c>
      <c r="N894" s="31"/>
    </row>
    <row r="895" spans="1:14" x14ac:dyDescent="0.25">
      <c r="A895" s="4" t="str">
        <f>Sheet1!A895 &amp; "/" &amp; "2025"</f>
        <v>894/2025</v>
      </c>
      <c r="B895" s="5" t="str">
        <f>Sheet1!E895</f>
        <v>IND/MEL/00894</v>
      </c>
      <c r="C895" s="6" t="str">
        <f>UPPER(Sheet1!B895)</f>
        <v>KIRAN SHARMA</v>
      </c>
      <c r="D895" s="7" t="str">
        <f>IF(Sheet1!F895="F","FEMALE","MALE")</f>
        <v>FEMALE</v>
      </c>
      <c r="E895" s="6" t="str">
        <f>UPPER(Sheet1!G895)</f>
        <v>NEIL VALZARI</v>
      </c>
      <c r="F895" s="6" t="str">
        <f>UPPER(Sheet1!H895)</f>
        <v>DIYA VALZARI</v>
      </c>
      <c r="G895" s="5" t="str">
        <f>TEXT(Sheet1!C895,"dd/mm/yyyy") &amp; "," &amp; Sheet1!D895</f>
        <v>18/04/2025,WERRIBEE</v>
      </c>
      <c r="H895" s="39" t="str">
        <f>UPPER(Sheet1!J895 &amp; "," &amp; Sheet1!K895 &amp; "," &amp; Sheet1!L895)</f>
        <v>59 BIRCHWOOD LANE,EMERALD ROAD,PIN:686666 WERRIBEE</v>
      </c>
      <c r="I895" s="8">
        <f>Sheet1!I895</f>
        <v>45824</v>
      </c>
      <c r="J895" s="5" t="str">
        <f>Sheet1!M895 &amp; "," &amp; TEXT(Sheet1!N895,"dd/mm/yy")</f>
        <v>MHA/IND/00898,12/07/25</v>
      </c>
      <c r="K895" s="5" t="s">
        <v>5752</v>
      </c>
      <c r="L895" t="s">
        <v>14</v>
      </c>
      <c r="M895" s="31" t="s">
        <v>15</v>
      </c>
      <c r="N895" s="31"/>
    </row>
    <row r="896" spans="1:14" x14ac:dyDescent="0.25">
      <c r="A896" s="4" t="str">
        <f>Sheet1!A896 &amp; "/" &amp; "2025"</f>
        <v>895/2025</v>
      </c>
      <c r="B896" s="5" t="str">
        <f>Sheet1!E896</f>
        <v>IND/MEL/00895</v>
      </c>
      <c r="C896" s="6" t="str">
        <f>UPPER(Sheet1!B896)</f>
        <v>ANYA RAO</v>
      </c>
      <c r="D896" s="7" t="str">
        <f>IF(Sheet1!F896="F","FEMALE","MALE")</f>
        <v>MALE</v>
      </c>
      <c r="E896" s="6" t="str">
        <f>UPPER(Sheet1!G896)</f>
        <v>KABIR MYRTHOS</v>
      </c>
      <c r="F896" s="6" t="str">
        <f>UPPER(Sheet1!H896)</f>
        <v>MIRA MYRTHOS</v>
      </c>
      <c r="G896" s="5" t="str">
        <f>TEXT(Sheet1!C896,"dd/mm/yyyy") &amp; "," &amp; Sheet1!D896</f>
        <v>18/08/2025,MIDLAND</v>
      </c>
      <c r="H896" s="39" t="str">
        <f>UPPER(Sheet1!J896 &amp; "," &amp; Sheet1!K896 &amp; "," &amp; Sheet1!L896)</f>
        <v>68 BIRCHWOOD LANE,EMERALD ROAD,PIN:921614 MIDLAND</v>
      </c>
      <c r="I896" s="8">
        <f>Sheet1!I896</f>
        <v>45936</v>
      </c>
      <c r="J896" s="5" t="str">
        <f>Sheet1!M896 &amp; "," &amp; TEXT(Sheet1!N896,"dd/mm/yy")</f>
        <v>MHA/IND/00899,19/08/25</v>
      </c>
      <c r="K896" s="5" t="s">
        <v>5752</v>
      </c>
      <c r="L896" t="s">
        <v>14</v>
      </c>
      <c r="M896" s="31" t="s">
        <v>15</v>
      </c>
      <c r="N896" s="31"/>
    </row>
    <row r="897" spans="1:14" x14ac:dyDescent="0.25">
      <c r="A897" s="4" t="str">
        <f>Sheet1!A897 &amp; "/" &amp; "2025"</f>
        <v>896/2025</v>
      </c>
      <c r="B897" s="5" t="str">
        <f>Sheet1!E897</f>
        <v>IND/MEL/00896</v>
      </c>
      <c r="C897" s="6" t="str">
        <f>UPPER(Sheet1!B897)</f>
        <v>DIYA MYRTHOS</v>
      </c>
      <c r="D897" s="7" t="str">
        <f>IF(Sheet1!F897="F","FEMALE","MALE")</f>
        <v>FEMALE</v>
      </c>
      <c r="E897" s="6" t="str">
        <f>UPPER(Sheet1!G897)</f>
        <v>ISHAN MYRTHOS</v>
      </c>
      <c r="F897" s="6" t="str">
        <f>UPPER(Sheet1!H897)</f>
        <v>ALYA MYRTHOS</v>
      </c>
      <c r="G897" s="5" t="str">
        <f>TEXT(Sheet1!C897,"dd/mm/yyyy") &amp; "," &amp; Sheet1!D897</f>
        <v>29/01/2025,BUNDOORA</v>
      </c>
      <c r="H897" s="39" t="str">
        <f>UPPER(Sheet1!J897 &amp; "," &amp; Sheet1!K897 &amp; "," &amp; Sheet1!L897)</f>
        <v>191 BIRCHWOOD LANE,EMERALD ROAD,PIN:383372 BUNDOORA</v>
      </c>
      <c r="I897" s="8">
        <f>Sheet1!I897</f>
        <v>45704</v>
      </c>
      <c r="J897" s="5" t="str">
        <f>Sheet1!M897 &amp; "," &amp; TEXT(Sheet1!N897,"dd/mm/yy")</f>
        <v>MHA/IND/00900,12/08/25</v>
      </c>
      <c r="K897" s="5" t="s">
        <v>5752</v>
      </c>
      <c r="L897" t="s">
        <v>14</v>
      </c>
      <c r="M897" s="31" t="s">
        <v>15</v>
      </c>
      <c r="N897" s="31"/>
    </row>
    <row r="898" spans="1:14" x14ac:dyDescent="0.25">
      <c r="A898" s="4" t="str">
        <f>Sheet1!A898 &amp; "/" &amp; "2025"</f>
        <v>897/2025</v>
      </c>
      <c r="B898" s="5" t="str">
        <f>Sheet1!E898</f>
        <v>IND/MEL/00897</v>
      </c>
      <c r="C898" s="6" t="str">
        <f>UPPER(Sheet1!B898)</f>
        <v>DIYA RISHKAN</v>
      </c>
      <c r="D898" s="7" t="str">
        <f>IF(Sheet1!F898="F","FEMALE","MALE")</f>
        <v>MALE</v>
      </c>
      <c r="E898" s="6" t="str">
        <f>UPPER(Sheet1!G898)</f>
        <v>AREN SINDALE</v>
      </c>
      <c r="F898" s="6" t="str">
        <f>UPPER(Sheet1!H898)</f>
        <v>ALYA SINDALE</v>
      </c>
      <c r="G898" s="5" t="str">
        <f>TEXT(Sheet1!C898,"dd/mm/yyyy") &amp; "," &amp; Sheet1!D898</f>
        <v>21/04/2025,ADELAIDE</v>
      </c>
      <c r="H898" s="39" t="str">
        <f>UPPER(Sheet1!J898 &amp; "," &amp; Sheet1!K898 &amp; "," &amp; Sheet1!L898)</f>
        <v>28 BIRCHWOOD LANE,EMERALD ROAD,PIN:703922 ADELAIDE</v>
      </c>
      <c r="I898" s="8">
        <f>Sheet1!I898</f>
        <v>45805</v>
      </c>
      <c r="J898" s="5" t="str">
        <f>Sheet1!M898 &amp; "," &amp; TEXT(Sheet1!N898,"dd/mm/yy")</f>
        <v>MHA/IND/00901,01/08/25</v>
      </c>
      <c r="K898" s="5" t="s">
        <v>5752</v>
      </c>
      <c r="L898" t="s">
        <v>14</v>
      </c>
      <c r="M898" s="31" t="s">
        <v>15</v>
      </c>
      <c r="N898" s="31"/>
    </row>
    <row r="899" spans="1:14" x14ac:dyDescent="0.25">
      <c r="A899" s="4" t="str">
        <f>Sheet1!A899 &amp; "/" &amp; "2025"</f>
        <v>898/2025</v>
      </c>
      <c r="B899" s="5" t="str">
        <f>Sheet1!E899</f>
        <v>IND/MEL/00898</v>
      </c>
      <c r="C899" s="6" t="str">
        <f>UPPER(Sheet1!B899)</f>
        <v>ANYA VALZARI</v>
      </c>
      <c r="D899" s="7" t="str">
        <f>IF(Sheet1!F899="F","FEMALE","MALE")</f>
        <v>FEMALE</v>
      </c>
      <c r="E899" s="6" t="str">
        <f>UPPER(Sheet1!G899)</f>
        <v>ARJUN SHARMA</v>
      </c>
      <c r="F899" s="6" t="str">
        <f>UPPER(Sheet1!H899)</f>
        <v>ALYA SHARMA</v>
      </c>
      <c r="G899" s="5" t="str">
        <f>TEXT(Sheet1!C899,"dd/mm/yyyy") &amp; "," &amp; Sheet1!D899</f>
        <v>13/02/2025,TOOWOOMBA</v>
      </c>
      <c r="H899" s="39" t="str">
        <f>UPPER(Sheet1!J899 &amp; "," &amp; Sheet1!K899 &amp; "," &amp; Sheet1!L899)</f>
        <v>185 BIRCHWOOD LANE,EMERALD ROAD,PIN:926264 TOOWOOMBA</v>
      </c>
      <c r="I899" s="8">
        <f>Sheet1!I899</f>
        <v>45738</v>
      </c>
      <c r="J899" s="5" t="str">
        <f>Sheet1!M899 &amp; "," &amp; TEXT(Sheet1!N899,"dd/mm/yy")</f>
        <v>MHA/IND/00902,10/08/25</v>
      </c>
      <c r="K899" s="5" t="s">
        <v>5752</v>
      </c>
      <c r="L899" t="s">
        <v>14</v>
      </c>
      <c r="M899" s="31" t="s">
        <v>15</v>
      </c>
      <c r="N899" s="31"/>
    </row>
    <row r="900" spans="1:14" x14ac:dyDescent="0.25">
      <c r="A900" s="4" t="str">
        <f>Sheet1!A900 &amp; "/" &amp; "2025"</f>
        <v>899/2025</v>
      </c>
      <c r="B900" s="5" t="str">
        <f>Sheet1!E900</f>
        <v>IND/MEL/00899</v>
      </c>
      <c r="C900" s="6" t="str">
        <f>UPPER(Sheet1!B900)</f>
        <v>DEV MYRTHOS</v>
      </c>
      <c r="D900" s="7" t="str">
        <f>IF(Sheet1!F900="F","FEMALE","MALE")</f>
        <v>MALE</v>
      </c>
      <c r="E900" s="6" t="str">
        <f>UPPER(Sheet1!G900)</f>
        <v>ARJUN SINDALE</v>
      </c>
      <c r="F900" s="6" t="str">
        <f>UPPER(Sheet1!H900)</f>
        <v>SARA SINDALE</v>
      </c>
      <c r="G900" s="5" t="str">
        <f>TEXT(Sheet1!C900,"dd/mm/yyyy") &amp; "," &amp; Sheet1!D900</f>
        <v>21/02/2025,PERTH</v>
      </c>
      <c r="H900" s="39" t="str">
        <f>UPPER(Sheet1!J900 &amp; "," &amp; Sheet1!K900 &amp; "," &amp; Sheet1!L900)</f>
        <v>166 BIRCHWOOD LANE,EMERALD ROAD,PIN:836568 PERTH</v>
      </c>
      <c r="I900" s="8">
        <f>Sheet1!I900</f>
        <v>45797</v>
      </c>
      <c r="J900" s="5" t="str">
        <f>Sheet1!M900 &amp; "," &amp; TEXT(Sheet1!N900,"dd/mm/yy")</f>
        <v>MHA/IND/00903,06/07/25</v>
      </c>
      <c r="K900" s="5" t="s">
        <v>5752</v>
      </c>
      <c r="L900" t="s">
        <v>14</v>
      </c>
      <c r="M900" s="31" t="s">
        <v>15</v>
      </c>
      <c r="N900" s="31"/>
    </row>
    <row r="901" spans="1:14" x14ac:dyDescent="0.25">
      <c r="A901" s="4" t="str">
        <f>Sheet1!A901 &amp; "/" &amp; "2025"</f>
        <v>900/2025</v>
      </c>
      <c r="B901" s="5" t="str">
        <f>Sheet1!E901</f>
        <v>IND/MEL/00900</v>
      </c>
      <c r="C901" s="6" t="str">
        <f>UPPER(Sheet1!B901)</f>
        <v>NINA MYRTHOS</v>
      </c>
      <c r="D901" s="7" t="str">
        <f>IF(Sheet1!F901="F","FEMALE","MALE")</f>
        <v>FEMALE</v>
      </c>
      <c r="E901" s="6" t="str">
        <f>UPPER(Sheet1!G901)</f>
        <v>ISHAN RAO</v>
      </c>
      <c r="F901" s="6" t="str">
        <f>UPPER(Sheet1!H901)</f>
        <v>DIYA RAO</v>
      </c>
      <c r="G901" s="5" t="str">
        <f>TEXT(Sheet1!C901,"dd/mm/yyyy") &amp; "," &amp; Sheet1!D901</f>
        <v>03/06/2025,NEWCASTLE</v>
      </c>
      <c r="H901" s="39" t="str">
        <f>UPPER(Sheet1!J901 &amp; "," &amp; Sheet1!K901 &amp; "," &amp; Sheet1!L901)</f>
        <v>190 BIRCHWOOD LANE,EMERALD ROAD,PIN:596001 NEWCASTLE</v>
      </c>
      <c r="I901" s="8">
        <f>Sheet1!I901</f>
        <v>45898</v>
      </c>
      <c r="J901" s="5" t="str">
        <f>Sheet1!M901 &amp; "," &amp; TEXT(Sheet1!N901,"dd/mm/yy")</f>
        <v>MHA/IND/00904,29/08/25</v>
      </c>
      <c r="K901" s="5" t="s">
        <v>5752</v>
      </c>
      <c r="L901" t="s">
        <v>14</v>
      </c>
      <c r="M901" s="31" t="s">
        <v>15</v>
      </c>
      <c r="N901" s="31"/>
    </row>
    <row r="902" spans="1:14" x14ac:dyDescent="0.25">
      <c r="A902" s="4" t="str">
        <f>Sheet1!A902 &amp; "/" &amp; "2025"</f>
        <v>901/2025</v>
      </c>
      <c r="B902" s="5" t="str">
        <f>Sheet1!E902</f>
        <v>IND/MEL/00901</v>
      </c>
      <c r="C902" s="6" t="str">
        <f>UPPER(Sheet1!B902)</f>
        <v>ARJUN SINDALE</v>
      </c>
      <c r="D902" s="7" t="str">
        <f>IF(Sheet1!F902="F","FEMALE","MALE")</f>
        <v>MALE</v>
      </c>
      <c r="E902" s="6" t="str">
        <f>UPPER(Sheet1!G902)</f>
        <v>KABIR SINDALE</v>
      </c>
      <c r="F902" s="6" t="str">
        <f>UPPER(Sheet1!H902)</f>
        <v>TARA SINDALE</v>
      </c>
      <c r="G902" s="5" t="str">
        <f>TEXT(Sheet1!C902,"dd/mm/yyyy") &amp; "," &amp; Sheet1!D902</f>
        <v>11/02/2025,SHEPPARTON</v>
      </c>
      <c r="H902" s="39" t="str">
        <f>UPPER(Sheet1!J902 &amp; "," &amp; Sheet1!K902 &amp; "," &amp; Sheet1!L902)</f>
        <v>189 BIRCHWOOD LANE,EMERALD ROAD,PIN:454480 SHEPPARTON</v>
      </c>
      <c r="I902" s="8">
        <f>Sheet1!I902</f>
        <v>45721</v>
      </c>
      <c r="J902" s="5" t="str">
        <f>Sheet1!M902 &amp; "," &amp; TEXT(Sheet1!N902,"dd/mm/yy")</f>
        <v>MHA/IND/00905,15/07/25</v>
      </c>
      <c r="K902" s="5" t="s">
        <v>5752</v>
      </c>
      <c r="L902" t="s">
        <v>14</v>
      </c>
      <c r="M902" s="31" t="s">
        <v>15</v>
      </c>
      <c r="N902" s="31"/>
    </row>
    <row r="903" spans="1:14" x14ac:dyDescent="0.25">
      <c r="A903" s="4" t="str">
        <f>Sheet1!A903 &amp; "/" &amp; "2025"</f>
        <v>902/2025</v>
      </c>
      <c r="B903" s="5" t="str">
        <f>Sheet1!E903</f>
        <v>IND/MEL/00902</v>
      </c>
      <c r="C903" s="6" t="str">
        <f>UPPER(Sheet1!B903)</f>
        <v>DIYA SHARMA</v>
      </c>
      <c r="D903" s="7" t="str">
        <f>IF(Sheet1!F903="F","FEMALE","MALE")</f>
        <v>MALE</v>
      </c>
      <c r="E903" s="6" t="str">
        <f>UPPER(Sheet1!G903)</f>
        <v>AREN KALEON</v>
      </c>
      <c r="F903" s="6" t="str">
        <f>UPPER(Sheet1!H903)</f>
        <v>NINA KALEON</v>
      </c>
      <c r="G903" s="5" t="str">
        <f>TEXT(Sheet1!C903,"dd/mm/yyyy") &amp; "," &amp; Sheet1!D903</f>
        <v>15/10/2025,MOUNT WAVERLEY</v>
      </c>
      <c r="H903" s="39" t="str">
        <f>UPPER(Sheet1!J903 &amp; "," &amp; Sheet1!K903 &amp; "," &amp; Sheet1!L903)</f>
        <v>137 BIRCHWOOD LANE,EMERALD ROAD,PIN:600100 MOUNT WAVERLEY</v>
      </c>
      <c r="I903" s="8">
        <f>Sheet1!I903</f>
        <v>46061</v>
      </c>
      <c r="J903" s="5" t="str">
        <f>Sheet1!M903 &amp; "," &amp; TEXT(Sheet1!N903,"dd/mm/yy")</f>
        <v>MHA/IND/00906,03/07/25</v>
      </c>
      <c r="K903" s="5" t="s">
        <v>5752</v>
      </c>
      <c r="L903" t="s">
        <v>14</v>
      </c>
      <c r="M903" s="31" t="s">
        <v>15</v>
      </c>
      <c r="N903" s="31"/>
    </row>
    <row r="904" spans="1:14" x14ac:dyDescent="0.25">
      <c r="A904" s="4" t="str">
        <f>Sheet1!A904 &amp; "/" &amp; "2025"</f>
        <v>903/2025</v>
      </c>
      <c r="B904" s="5" t="str">
        <f>Sheet1!E904</f>
        <v>IND/MEL/00903</v>
      </c>
      <c r="C904" s="6" t="str">
        <f>UPPER(Sheet1!B904)</f>
        <v>ISHAN SINDALE</v>
      </c>
      <c r="D904" s="7" t="str">
        <f>IF(Sheet1!F904="F","FEMALE","MALE")</f>
        <v>MALE</v>
      </c>
      <c r="E904" s="6" t="str">
        <f>UPPER(Sheet1!G904)</f>
        <v>ARJUN MYRTHOS</v>
      </c>
      <c r="F904" s="6" t="str">
        <f>UPPER(Sheet1!H904)</f>
        <v>MIRA MYRTHOS</v>
      </c>
      <c r="G904" s="5" t="str">
        <f>TEXT(Sheet1!C904,"dd/mm/yyyy") &amp; "," &amp; Sheet1!D904</f>
        <v>20/03/2025,DEVONPORT</v>
      </c>
      <c r="H904" s="39" t="str">
        <f>UPPER(Sheet1!J904 &amp; "," &amp; Sheet1!K904 &amp; "," &amp; Sheet1!L904)</f>
        <v>125 BIRCHWOOD LANE,EMERALD ROAD,PIN:206474 DEVONPORT</v>
      </c>
      <c r="I904" s="8">
        <f>Sheet1!I904</f>
        <v>45837</v>
      </c>
      <c r="J904" s="5" t="str">
        <f>Sheet1!M904 &amp; "," &amp; TEXT(Sheet1!N904,"dd/mm/yy")</f>
        <v>MHA/IND/00907,13/07/25</v>
      </c>
      <c r="K904" s="5" t="s">
        <v>5752</v>
      </c>
      <c r="L904" t="s">
        <v>14</v>
      </c>
      <c r="M904" s="31" t="s">
        <v>15</v>
      </c>
      <c r="N904" s="31"/>
    </row>
    <row r="905" spans="1:14" x14ac:dyDescent="0.25">
      <c r="A905" s="4" t="str">
        <f>Sheet1!A905 &amp; "/" &amp; "2025"</f>
        <v>904/2025</v>
      </c>
      <c r="B905" s="5" t="str">
        <f>Sheet1!E905</f>
        <v>IND/MEL/00904</v>
      </c>
      <c r="C905" s="6" t="str">
        <f>UPPER(Sheet1!B905)</f>
        <v>ALYA RAO</v>
      </c>
      <c r="D905" s="7" t="str">
        <f>IF(Sheet1!F905="F","FEMALE","MALE")</f>
        <v>MALE</v>
      </c>
      <c r="E905" s="6" t="str">
        <f>UPPER(Sheet1!G905)</f>
        <v>AREN MYRTHOS</v>
      </c>
      <c r="F905" s="6" t="str">
        <f>UPPER(Sheet1!H905)</f>
        <v>ANYA MYRTHOS</v>
      </c>
      <c r="G905" s="5" t="str">
        <f>TEXT(Sheet1!C905,"dd/mm/yyyy") &amp; "," &amp; Sheet1!D905</f>
        <v>20/06/2025,BENDIGO</v>
      </c>
      <c r="H905" s="39" t="str">
        <f>UPPER(Sheet1!J905 &amp; "," &amp; Sheet1!K905 &amp; "," &amp; Sheet1!L905)</f>
        <v>153 BIRCHWOOD LANE,EMERALD ROAD,PIN:734089 BENDIGO</v>
      </c>
      <c r="I905" s="8">
        <f>Sheet1!I905</f>
        <v>45844</v>
      </c>
      <c r="J905" s="5" t="str">
        <f>Sheet1!M905 &amp; "," &amp; TEXT(Sheet1!N905,"dd/mm/yy")</f>
        <v>MHA/IND/00908,11/07/25</v>
      </c>
      <c r="K905" s="5" t="s">
        <v>5752</v>
      </c>
      <c r="L905" t="s">
        <v>14</v>
      </c>
      <c r="M905" s="31" t="s">
        <v>15</v>
      </c>
      <c r="N905" s="31"/>
    </row>
    <row r="906" spans="1:14" x14ac:dyDescent="0.25">
      <c r="A906" s="4" t="str">
        <f>Sheet1!A906 &amp; "/" &amp; "2025"</f>
        <v>905/2025</v>
      </c>
      <c r="B906" s="5" t="str">
        <f>Sheet1!E906</f>
        <v>IND/MEL/00905</v>
      </c>
      <c r="C906" s="6" t="str">
        <f>UPPER(Sheet1!B906)</f>
        <v>ISHAN SINDALE</v>
      </c>
      <c r="D906" s="7" t="str">
        <f>IF(Sheet1!F906="F","FEMALE","MALE")</f>
        <v>MALE</v>
      </c>
      <c r="E906" s="6" t="str">
        <f>UPPER(Sheet1!G906)</f>
        <v>KIRAN SINDALE</v>
      </c>
      <c r="F906" s="6" t="str">
        <f>UPPER(Sheet1!H906)</f>
        <v>TARA SINDALE</v>
      </c>
      <c r="G906" s="5" t="str">
        <f>TEXT(Sheet1!C906,"dd/mm/yyyy") &amp; "," &amp; Sheet1!D906</f>
        <v>30/06/2025,SHEPPARTON</v>
      </c>
      <c r="H906" s="39" t="str">
        <f>UPPER(Sheet1!J906 &amp; "," &amp; Sheet1!K906 &amp; "," &amp; Sheet1!L906)</f>
        <v>62 BIRCHWOOD LANE,EMERALD ROAD,PIN:334715 SHEPPARTON</v>
      </c>
      <c r="I906" s="8">
        <f>Sheet1!I906</f>
        <v>45918</v>
      </c>
      <c r="J906" s="5" t="str">
        <f>Sheet1!M906 &amp; "," &amp; TEXT(Sheet1!N906,"dd/mm/yy")</f>
        <v>MHA/IND/00909,14/08/25</v>
      </c>
      <c r="K906" s="5" t="s">
        <v>5752</v>
      </c>
      <c r="L906" t="s">
        <v>14</v>
      </c>
      <c r="M906" s="31" t="s">
        <v>15</v>
      </c>
      <c r="N906" s="31"/>
    </row>
    <row r="907" spans="1:14" x14ac:dyDescent="0.25">
      <c r="A907" s="4" t="str">
        <f>Sheet1!A907 &amp; "/" &amp; "2025"</f>
        <v>906/2025</v>
      </c>
      <c r="B907" s="5" t="str">
        <f>Sheet1!E907</f>
        <v>IND/MEL/00906</v>
      </c>
      <c r="C907" s="6" t="str">
        <f>UPPER(Sheet1!B907)</f>
        <v>ISHAN KALEON</v>
      </c>
      <c r="D907" s="7" t="str">
        <f>IF(Sheet1!F907="F","FEMALE","MALE")</f>
        <v>MALE</v>
      </c>
      <c r="E907" s="6" t="str">
        <f>UPPER(Sheet1!G907)</f>
        <v>DEV SHARMA</v>
      </c>
      <c r="F907" s="6" t="str">
        <f>UPPER(Sheet1!H907)</f>
        <v>RIYA SHARMA</v>
      </c>
      <c r="G907" s="5" t="str">
        <f>TEXT(Sheet1!C907,"dd/mm/yyyy") &amp; "," &amp; Sheet1!D907</f>
        <v>31/08/2025,WODONGA</v>
      </c>
      <c r="H907" s="39" t="str">
        <f>UPPER(Sheet1!J907 &amp; "," &amp; Sheet1!K907 &amp; "," &amp; Sheet1!L907)</f>
        <v>93 BIRCHWOOD LANE,EMERALD ROAD,PIN:490957 WODONGA</v>
      </c>
      <c r="I907" s="8">
        <f>Sheet1!I907</f>
        <v>45984</v>
      </c>
      <c r="J907" s="5" t="str">
        <f>Sheet1!M907 &amp; "," &amp; TEXT(Sheet1!N907,"dd/mm/yy")</f>
        <v>MHA/IND/00910,05/07/25</v>
      </c>
      <c r="K907" s="5" t="s">
        <v>5752</v>
      </c>
      <c r="L907" t="s">
        <v>14</v>
      </c>
      <c r="M907" s="31" t="s">
        <v>15</v>
      </c>
      <c r="N907" s="31"/>
    </row>
    <row r="908" spans="1:14" x14ac:dyDescent="0.25">
      <c r="A908" s="4" t="str">
        <f>Sheet1!A908 &amp; "/" &amp; "2025"</f>
        <v>907/2025</v>
      </c>
      <c r="B908" s="5" t="str">
        <f>Sheet1!E908</f>
        <v>IND/MEL/00907</v>
      </c>
      <c r="C908" s="6" t="str">
        <f>UPPER(Sheet1!B908)</f>
        <v>KIRAN MYRTHOS</v>
      </c>
      <c r="D908" s="7" t="str">
        <f>IF(Sheet1!F908="F","FEMALE","MALE")</f>
        <v>FEMALE</v>
      </c>
      <c r="E908" s="6" t="str">
        <f>UPPER(Sheet1!G908)</f>
        <v>NEIL RAO</v>
      </c>
      <c r="F908" s="6" t="str">
        <f>UPPER(Sheet1!H908)</f>
        <v>MIRA RAO</v>
      </c>
      <c r="G908" s="5" t="str">
        <f>TEXT(Sheet1!C908,"dd/mm/yyyy") &amp; "," &amp; Sheet1!D908</f>
        <v>23/10/2025,PENRITH</v>
      </c>
      <c r="H908" s="39" t="str">
        <f>UPPER(Sheet1!J908 &amp; "," &amp; Sheet1!K908 &amp; "," &amp; Sheet1!L908)</f>
        <v>159 BIRCHWOOD LANE,EMERALD ROAD,PIN:895389 PENRITH</v>
      </c>
      <c r="I908" s="8">
        <f>Sheet1!I908</f>
        <v>45959</v>
      </c>
      <c r="J908" s="5" t="str">
        <f>Sheet1!M908 &amp; "," &amp; TEXT(Sheet1!N908,"dd/mm/yy")</f>
        <v>MHA/IND/00911,24/07/25</v>
      </c>
      <c r="K908" s="5" t="s">
        <v>5752</v>
      </c>
      <c r="L908" t="s">
        <v>14</v>
      </c>
      <c r="M908" s="31" t="s">
        <v>15</v>
      </c>
      <c r="N908" s="31"/>
    </row>
    <row r="909" spans="1:14" x14ac:dyDescent="0.25">
      <c r="A909" s="4" t="str">
        <f>Sheet1!A909 &amp; "/" &amp; "2025"</f>
        <v>908/2025</v>
      </c>
      <c r="B909" s="5" t="str">
        <f>Sheet1!E909</f>
        <v>IND/MEL/00908</v>
      </c>
      <c r="C909" s="6" t="str">
        <f>UPPER(Sheet1!B909)</f>
        <v>ISHAN MYRTHOS</v>
      </c>
      <c r="D909" s="7" t="str">
        <f>IF(Sheet1!F909="F","FEMALE","MALE")</f>
        <v>MALE</v>
      </c>
      <c r="E909" s="6" t="str">
        <f>UPPER(Sheet1!G909)</f>
        <v>ARJUN RAO</v>
      </c>
      <c r="F909" s="6" t="str">
        <f>UPPER(Sheet1!H909)</f>
        <v>SARA RAO</v>
      </c>
      <c r="G909" s="5" t="str">
        <f>TEXT(Sheet1!C909,"dd/mm/yyyy") &amp; "," &amp; Sheet1!D909</f>
        <v>28/03/2025,CANBERRA</v>
      </c>
      <c r="H909" s="39" t="str">
        <f>UPPER(Sheet1!J909 &amp; "," &amp; Sheet1!K909 &amp; "," &amp; Sheet1!L909)</f>
        <v>41 BIRCHWOOD LANE,EMERALD ROAD,PIN:342753 CANBERRA</v>
      </c>
      <c r="I909" s="8">
        <f>Sheet1!I909</f>
        <v>45788</v>
      </c>
      <c r="J909" s="5" t="str">
        <f>Sheet1!M909 &amp; "," &amp; TEXT(Sheet1!N909,"dd/mm/yy")</f>
        <v>MHA/IND/00976,06/07/25</v>
      </c>
      <c r="K909" s="5" t="s">
        <v>5752</v>
      </c>
      <c r="L909" t="s">
        <v>14</v>
      </c>
      <c r="M909" s="31" t="s">
        <v>15</v>
      </c>
      <c r="N909" s="31"/>
    </row>
    <row r="910" spans="1:14" x14ac:dyDescent="0.25">
      <c r="A910" s="4" t="str">
        <f>Sheet1!A910 &amp; "/" &amp; "2025"</f>
        <v>909/2025</v>
      </c>
      <c r="B910" s="5" t="str">
        <f>Sheet1!E910</f>
        <v>IND/MEL/00909</v>
      </c>
      <c r="C910" s="6" t="str">
        <f>UPPER(Sheet1!B910)</f>
        <v>AREN SINDALE</v>
      </c>
      <c r="D910" s="7" t="str">
        <f>IF(Sheet1!F910="F","FEMALE","MALE")</f>
        <v>MALE</v>
      </c>
      <c r="E910" s="6" t="str">
        <f>UPPER(Sheet1!G910)</f>
        <v>DEV KALEON</v>
      </c>
      <c r="F910" s="6" t="str">
        <f>UPPER(Sheet1!H910)</f>
        <v>TARA KALEON</v>
      </c>
      <c r="G910" s="5" t="str">
        <f>TEXT(Sheet1!C910,"dd/mm/yyyy") &amp; "," &amp; Sheet1!D910</f>
        <v>07/06/2025,BENDIGO</v>
      </c>
      <c r="H910" s="39" t="str">
        <f>UPPER(Sheet1!J910 &amp; "," &amp; Sheet1!K910 &amp; "," &amp; Sheet1!L910)</f>
        <v>70 BIRCHWOOD LANE,EMERALD ROAD,PIN:669525 BENDIGO</v>
      </c>
      <c r="I910" s="8">
        <f>Sheet1!I910</f>
        <v>45869</v>
      </c>
      <c r="J910" s="5" t="str">
        <f>Sheet1!M910 &amp; "," &amp; TEXT(Sheet1!N910,"dd/mm/yy")</f>
        <v>MHA/IND/01001,21/08/25</v>
      </c>
      <c r="K910" s="5" t="s">
        <v>5752</v>
      </c>
      <c r="L910" t="s">
        <v>14</v>
      </c>
      <c r="M910" s="31" t="s">
        <v>15</v>
      </c>
      <c r="N910" s="31"/>
    </row>
    <row r="911" spans="1:14" x14ac:dyDescent="0.25">
      <c r="A911" s="4" t="str">
        <f>Sheet1!A911 &amp; "/" &amp; "2025"</f>
        <v>910/2025</v>
      </c>
      <c r="B911" s="5" t="str">
        <f>Sheet1!E911</f>
        <v>IND/MEL/00910</v>
      </c>
      <c r="C911" s="6" t="str">
        <f>UPPER(Sheet1!B911)</f>
        <v>ARJUN SHARMA</v>
      </c>
      <c r="D911" s="7" t="str">
        <f>IF(Sheet1!F911="F","FEMALE","MALE")</f>
        <v>FEMALE</v>
      </c>
      <c r="E911" s="6" t="str">
        <f>UPPER(Sheet1!G911)</f>
        <v>ROHIT SINDALE</v>
      </c>
      <c r="F911" s="6" t="str">
        <f>UPPER(Sheet1!H911)</f>
        <v>NINA SINDALE</v>
      </c>
      <c r="G911" s="5" t="str">
        <f>TEXT(Sheet1!C911,"dd/mm/yyyy") &amp; "," &amp; Sheet1!D911</f>
        <v>13/07/2025,WOLLONGONG</v>
      </c>
      <c r="H911" s="39" t="str">
        <f>UPPER(Sheet1!J911 &amp; "," &amp; Sheet1!K911 &amp; "," &amp; Sheet1!L911)</f>
        <v>71 BIRCHWOOD LANE,EMERALD ROAD,PIN:806096 WOLLONGONG</v>
      </c>
      <c r="I911" s="8">
        <f>Sheet1!I911</f>
        <v>45889</v>
      </c>
      <c r="J911" s="5" t="str">
        <f>Sheet1!M911 &amp; "," &amp; TEXT(Sheet1!N911,"dd/mm/yy")</f>
        <v>MHA/IND/01002,08/07/25</v>
      </c>
      <c r="K911" s="5" t="s">
        <v>5752</v>
      </c>
      <c r="L911" t="s">
        <v>14</v>
      </c>
      <c r="M911" s="31" t="s">
        <v>15</v>
      </c>
      <c r="N911" s="31"/>
    </row>
    <row r="912" spans="1:14" x14ac:dyDescent="0.25">
      <c r="A912" s="4" t="str">
        <f>Sheet1!A912 &amp; "/" &amp; "2025"</f>
        <v>911/2025</v>
      </c>
      <c r="B912" s="5" t="str">
        <f>Sheet1!E912</f>
        <v>IND/MEL/00911</v>
      </c>
      <c r="C912" s="6" t="str">
        <f>UPPER(Sheet1!B912)</f>
        <v>ALYA RAO</v>
      </c>
      <c r="D912" s="7" t="str">
        <f>IF(Sheet1!F912="F","FEMALE","MALE")</f>
        <v>FEMALE</v>
      </c>
      <c r="E912" s="6" t="str">
        <f>UPPER(Sheet1!G912)</f>
        <v>KABIR KALEON</v>
      </c>
      <c r="F912" s="6" t="str">
        <f>UPPER(Sheet1!H912)</f>
        <v>ALYA KALEON</v>
      </c>
      <c r="G912" s="5" t="str">
        <f>TEXT(Sheet1!C912,"dd/mm/yyyy") &amp; "," &amp; Sheet1!D912</f>
        <v>17/06/2025,DALBY</v>
      </c>
      <c r="H912" s="39" t="str">
        <f>UPPER(Sheet1!J912 &amp; "," &amp; Sheet1!K912 &amp; "," &amp; Sheet1!L912)</f>
        <v>123 BIRCHWOOD LANE,EMERALD ROAD,PIN:836079 DALBY</v>
      </c>
      <c r="I912" s="8">
        <f>Sheet1!I912</f>
        <v>45844</v>
      </c>
      <c r="J912" s="5" t="str">
        <f>Sheet1!M912 &amp; "," &amp; TEXT(Sheet1!N912,"dd/mm/yy")</f>
        <v>MHA/IND/01003,07/07/25</v>
      </c>
      <c r="K912" s="5" t="s">
        <v>5752</v>
      </c>
      <c r="L912" t="s">
        <v>14</v>
      </c>
      <c r="M912" s="31" t="s">
        <v>15</v>
      </c>
      <c r="N912" s="31"/>
    </row>
    <row r="913" spans="1:14" x14ac:dyDescent="0.25">
      <c r="A913" s="4" t="str">
        <f>Sheet1!A913 &amp; "/" &amp; "2025"</f>
        <v>912/2025</v>
      </c>
      <c r="B913" s="5" t="str">
        <f>Sheet1!E913</f>
        <v>IND/MEL/00912</v>
      </c>
      <c r="C913" s="6" t="str">
        <f>UPPER(Sheet1!B913)</f>
        <v>DIYA KALEON</v>
      </c>
      <c r="D913" s="7" t="str">
        <f>IF(Sheet1!F913="F","FEMALE","MALE")</f>
        <v>MALE</v>
      </c>
      <c r="E913" s="6" t="str">
        <f>UPPER(Sheet1!G913)</f>
        <v>KABIR MYRTHOS</v>
      </c>
      <c r="F913" s="6" t="str">
        <f>UPPER(Sheet1!H913)</f>
        <v>MIRA MYRTHOS</v>
      </c>
      <c r="G913" s="5" t="str">
        <f>TEXT(Sheet1!C913,"dd/mm/yyyy") &amp; "," &amp; Sheet1!D913</f>
        <v>28/01/2025,CLAYTON</v>
      </c>
      <c r="H913" s="39" t="str">
        <f>UPPER(Sheet1!J913 &amp; "," &amp; Sheet1!K913 &amp; "," &amp; Sheet1!L913)</f>
        <v>106 BIRCHWOOD LANE,EMERALD ROAD,PIN:528267 CLAYTON</v>
      </c>
      <c r="I913" s="8">
        <f>Sheet1!I913</f>
        <v>45709</v>
      </c>
      <c r="J913" s="5" t="str">
        <f>Sheet1!M913 &amp; "," &amp; TEXT(Sheet1!N913,"dd/mm/yy")</f>
        <v>MHA/IND/01004,29/08/25</v>
      </c>
      <c r="K913" s="5" t="s">
        <v>5752</v>
      </c>
      <c r="L913" t="s">
        <v>14</v>
      </c>
      <c r="M913" s="31" t="s">
        <v>15</v>
      </c>
      <c r="N913" s="31"/>
    </row>
    <row r="914" spans="1:14" x14ac:dyDescent="0.25">
      <c r="A914" s="4" t="str">
        <f>Sheet1!A914 &amp; "/" &amp; "2025"</f>
        <v>913/2025</v>
      </c>
      <c r="B914" s="5" t="str">
        <f>Sheet1!E914</f>
        <v>IND/MEL/00913</v>
      </c>
      <c r="C914" s="6" t="str">
        <f>UPPER(Sheet1!B914)</f>
        <v>ANYA RAO</v>
      </c>
      <c r="D914" s="7" t="str">
        <f>IF(Sheet1!F914="F","FEMALE","MALE")</f>
        <v>FEMALE</v>
      </c>
      <c r="E914" s="6" t="str">
        <f>UPPER(Sheet1!G914)</f>
        <v>DEV SINDALE</v>
      </c>
      <c r="F914" s="6" t="str">
        <f>UPPER(Sheet1!H914)</f>
        <v>NINA SINDALE</v>
      </c>
      <c r="G914" s="5" t="str">
        <f>TEXT(Sheet1!C914,"dd/mm/yyyy") &amp; "," &amp; Sheet1!D914</f>
        <v>03/07/2025,MANDURAH</v>
      </c>
      <c r="H914" s="39" t="str">
        <f>UPPER(Sheet1!J914 &amp; "," &amp; Sheet1!K914 &amp; "," &amp; Sheet1!L914)</f>
        <v>163 BIRCHWOOD LANE,EMERALD ROAD,PIN:587920 MANDURAH</v>
      </c>
      <c r="I914" s="8">
        <f>Sheet1!I914</f>
        <v>45884</v>
      </c>
      <c r="J914" s="5" t="str">
        <f>Sheet1!M914 &amp; "," &amp; TEXT(Sheet1!N914,"dd/mm/yy")</f>
        <v>MHA/IND/01005,08/08/25</v>
      </c>
      <c r="K914" s="5" t="s">
        <v>5752</v>
      </c>
      <c r="L914" t="s">
        <v>14</v>
      </c>
      <c r="M914" s="31" t="s">
        <v>15</v>
      </c>
      <c r="N914" s="31"/>
    </row>
    <row r="915" spans="1:14" x14ac:dyDescent="0.25">
      <c r="A915" s="4" t="str">
        <f>Sheet1!A915 &amp; "/" &amp; "2025"</f>
        <v>914/2025</v>
      </c>
      <c r="B915" s="5" t="str">
        <f>Sheet1!E915</f>
        <v>IND/MEL/00914</v>
      </c>
      <c r="C915" s="6" t="str">
        <f>UPPER(Sheet1!B915)</f>
        <v>NINA KALEON</v>
      </c>
      <c r="D915" s="7" t="str">
        <f>IF(Sheet1!F915="F","FEMALE","MALE")</f>
        <v>FEMALE</v>
      </c>
      <c r="E915" s="6" t="str">
        <f>UPPER(Sheet1!G915)</f>
        <v>KIRAN RAO</v>
      </c>
      <c r="F915" s="6" t="str">
        <f>UPPER(Sheet1!H915)</f>
        <v>TARA RAO</v>
      </c>
      <c r="G915" s="5" t="str">
        <f>TEXT(Sheet1!C915,"dd/mm/yyyy") &amp; "," &amp; Sheet1!D915</f>
        <v>07/06/2025,BUNDOORA</v>
      </c>
      <c r="H915" s="39" t="str">
        <f>UPPER(Sheet1!J915 &amp; "," &amp; Sheet1!K915 &amp; "," &amp; Sheet1!L915)</f>
        <v>166 BIRCHWOOD LANE,EMERALD ROAD,PIN:443245 BUNDOORA</v>
      </c>
      <c r="I915" s="8">
        <f>Sheet1!I915</f>
        <v>45833</v>
      </c>
      <c r="J915" s="5" t="str">
        <f>Sheet1!M915 &amp; "," &amp; TEXT(Sheet1!N915,"dd/mm/yy")</f>
        <v>MHA/IND/01006,03/08/25</v>
      </c>
      <c r="K915" s="5" t="s">
        <v>5752</v>
      </c>
      <c r="L915" t="s">
        <v>14</v>
      </c>
      <c r="M915" s="31" t="s">
        <v>15</v>
      </c>
      <c r="N915" s="31"/>
    </row>
    <row r="916" spans="1:14" x14ac:dyDescent="0.25">
      <c r="A916" s="4" t="str">
        <f>Sheet1!A916 &amp; "/" &amp; "2025"</f>
        <v>915/2025</v>
      </c>
      <c r="B916" s="5" t="str">
        <f>Sheet1!E916</f>
        <v>IND/MEL/00915</v>
      </c>
      <c r="C916" s="6" t="str">
        <f>UPPER(Sheet1!B916)</f>
        <v>ANYA MYRTHOS</v>
      </c>
      <c r="D916" s="7" t="str">
        <f>IF(Sheet1!F916="F","FEMALE","MALE")</f>
        <v>FEMALE</v>
      </c>
      <c r="E916" s="6" t="str">
        <f>UPPER(Sheet1!G916)</f>
        <v>ROHIT RISHKAN</v>
      </c>
      <c r="F916" s="6" t="str">
        <f>UPPER(Sheet1!H916)</f>
        <v>SARA RISHKAN</v>
      </c>
      <c r="G916" s="5" t="str">
        <f>TEXT(Sheet1!C916,"dd/mm/yyyy") &amp; "," &amp; Sheet1!D916</f>
        <v>26/05/2025,BRISBANE</v>
      </c>
      <c r="H916" s="39" t="str">
        <f>UPPER(Sheet1!J916 &amp; "," &amp; Sheet1!K916 &amp; "," &amp; Sheet1!L916)</f>
        <v>130 BIRCHWOOD LANE,EMERALD ROAD,PIN:854044 BRISBANE</v>
      </c>
      <c r="I916" s="8">
        <f>Sheet1!I916</f>
        <v>45882</v>
      </c>
      <c r="J916" s="5" t="str">
        <f>Sheet1!M916 &amp; "," &amp; TEXT(Sheet1!N916,"dd/mm/yy")</f>
        <v>MHA/IND/01007,02/07/25</v>
      </c>
      <c r="K916" s="5" t="s">
        <v>5752</v>
      </c>
      <c r="L916" t="s">
        <v>14</v>
      </c>
      <c r="M916" s="31" t="s">
        <v>15</v>
      </c>
      <c r="N916" s="31"/>
    </row>
    <row r="917" spans="1:14" x14ac:dyDescent="0.25">
      <c r="A917" s="4" t="str">
        <f>Sheet1!A917 &amp; "/" &amp; "2025"</f>
        <v>916/2025</v>
      </c>
      <c r="B917" s="5" t="str">
        <f>Sheet1!E917</f>
        <v>IND/MEL/00916</v>
      </c>
      <c r="C917" s="6" t="str">
        <f>UPPER(Sheet1!B917)</f>
        <v>ANYA KALEON</v>
      </c>
      <c r="D917" s="7" t="str">
        <f>IF(Sheet1!F917="F","FEMALE","MALE")</f>
        <v>MALE</v>
      </c>
      <c r="E917" s="6" t="str">
        <f>UPPER(Sheet1!G917)</f>
        <v>NEIL SINDALE</v>
      </c>
      <c r="F917" s="6" t="str">
        <f>UPPER(Sheet1!H917)</f>
        <v>RIYA SINDALE</v>
      </c>
      <c r="G917" s="5" t="str">
        <f>TEXT(Sheet1!C917,"dd/mm/yyyy") &amp; "," &amp; Sheet1!D917</f>
        <v>13/03/2025,BERWICK</v>
      </c>
      <c r="H917" s="39" t="str">
        <f>UPPER(Sheet1!J917 &amp; "," &amp; Sheet1!K917 &amp; "," &amp; Sheet1!L917)</f>
        <v>90 BIRCHWOOD LANE,EMERALD ROAD,PIN:146112 BERWICK</v>
      </c>
      <c r="I917" s="8">
        <f>Sheet1!I917</f>
        <v>45792</v>
      </c>
      <c r="J917" s="5" t="str">
        <f>Sheet1!M917 &amp; "," &amp; TEXT(Sheet1!N917,"dd/mm/yy")</f>
        <v>MHA/IND/01008,20/07/25</v>
      </c>
      <c r="K917" s="5" t="s">
        <v>5752</v>
      </c>
      <c r="L917" t="s">
        <v>14</v>
      </c>
      <c r="M917" s="31" t="s">
        <v>15</v>
      </c>
      <c r="N917" s="31"/>
    </row>
    <row r="918" spans="1:14" x14ac:dyDescent="0.25">
      <c r="A918" s="4" t="str">
        <f>Sheet1!A918 &amp; "/" &amp; "2025"</f>
        <v>917/2025</v>
      </c>
      <c r="B918" s="5" t="str">
        <f>Sheet1!E918</f>
        <v>IND/MEL/00917</v>
      </c>
      <c r="C918" s="6" t="str">
        <f>UPPER(Sheet1!B918)</f>
        <v>RIYA MYRTHOS</v>
      </c>
      <c r="D918" s="7" t="str">
        <f>IF(Sheet1!F918="F","FEMALE","MALE")</f>
        <v>FEMALE</v>
      </c>
      <c r="E918" s="6" t="str">
        <f>UPPER(Sheet1!G918)</f>
        <v>KIRAN SHARMA</v>
      </c>
      <c r="F918" s="6" t="str">
        <f>UPPER(Sheet1!H918)</f>
        <v>DIYA SHARMA</v>
      </c>
      <c r="G918" s="5" t="str">
        <f>TEXT(Sheet1!C918,"dd/mm/yyyy") &amp; "," &amp; Sheet1!D918</f>
        <v>17/05/2025,GOSFORD</v>
      </c>
      <c r="H918" s="39" t="str">
        <f>UPPER(Sheet1!J918 &amp; "," &amp; Sheet1!K918 &amp; "," &amp; Sheet1!L918)</f>
        <v>187 BIRCHWOOD LANE,EMERALD ROAD,PIN:116116 GOSFORD</v>
      </c>
      <c r="I918" s="8">
        <f>Sheet1!I918</f>
        <v>45856</v>
      </c>
      <c r="J918" s="5" t="str">
        <f>Sheet1!M918 &amp; "," &amp; TEXT(Sheet1!N918,"dd/mm/yy")</f>
        <v>MHA/IND/01009,21/07/25</v>
      </c>
      <c r="K918" s="5" t="s">
        <v>5752</v>
      </c>
      <c r="L918" t="s">
        <v>14</v>
      </c>
      <c r="M918" s="31" t="s">
        <v>15</v>
      </c>
      <c r="N918" s="31"/>
    </row>
    <row r="919" spans="1:14" x14ac:dyDescent="0.25">
      <c r="A919" s="4" t="str">
        <f>Sheet1!A919 &amp; "/" &amp; "2025"</f>
        <v>918/2025</v>
      </c>
      <c r="B919" s="5" t="str">
        <f>Sheet1!E919</f>
        <v>IND/MEL/00918</v>
      </c>
      <c r="C919" s="6" t="str">
        <f>UPPER(Sheet1!B919)</f>
        <v>NEIL KALEON</v>
      </c>
      <c r="D919" s="7" t="str">
        <f>IF(Sheet1!F919="F","FEMALE","MALE")</f>
        <v>FEMALE</v>
      </c>
      <c r="E919" s="6" t="str">
        <f>UPPER(Sheet1!G919)</f>
        <v>ROHIT KALEON</v>
      </c>
      <c r="F919" s="6" t="str">
        <f>UPPER(Sheet1!H919)</f>
        <v>TARA KALEON</v>
      </c>
      <c r="G919" s="5" t="str">
        <f>TEXT(Sheet1!C919,"dd/mm/yyyy") &amp; "," &amp; Sheet1!D919</f>
        <v>12/10/2025,ARMADALE</v>
      </c>
      <c r="H919" s="39" t="str">
        <f>UPPER(Sheet1!J919 &amp; "," &amp; Sheet1!K919 &amp; "," &amp; Sheet1!L919)</f>
        <v>146 BIRCHWOOD LANE,EMERALD ROAD,PIN:698609 ARMADALE</v>
      </c>
      <c r="I919" s="8">
        <f>Sheet1!I919</f>
        <v>45968</v>
      </c>
      <c r="J919" s="5" t="str">
        <f>Sheet1!M919 &amp; "," &amp; TEXT(Sheet1!N919,"dd/mm/yy")</f>
        <v>MHA/IND/01010,08/07/25</v>
      </c>
      <c r="K919" s="5" t="s">
        <v>5752</v>
      </c>
      <c r="L919" t="s">
        <v>14</v>
      </c>
      <c r="M919" s="31" t="s">
        <v>15</v>
      </c>
      <c r="N919" s="31"/>
    </row>
    <row r="920" spans="1:14" x14ac:dyDescent="0.25">
      <c r="A920" s="4" t="str">
        <f>Sheet1!A920 &amp; "/" &amp; "2025"</f>
        <v>919/2025</v>
      </c>
      <c r="B920" s="5" t="str">
        <f>Sheet1!E920</f>
        <v>IND/MEL/00919</v>
      </c>
      <c r="C920" s="6" t="str">
        <f>UPPER(Sheet1!B920)</f>
        <v>KABIR SHARMA</v>
      </c>
      <c r="D920" s="7" t="str">
        <f>IF(Sheet1!F920="F","FEMALE","MALE")</f>
        <v>FEMALE</v>
      </c>
      <c r="E920" s="6" t="str">
        <f>UPPER(Sheet1!G920)</f>
        <v>ISHAN KALEON</v>
      </c>
      <c r="F920" s="6" t="str">
        <f>UPPER(Sheet1!H920)</f>
        <v>NINA KALEON</v>
      </c>
      <c r="G920" s="5" t="str">
        <f>TEXT(Sheet1!C920,"dd/mm/yyyy") &amp; "," &amp; Sheet1!D920</f>
        <v>10/09/2025,PARKVILLE</v>
      </c>
      <c r="H920" s="39" t="str">
        <f>UPPER(Sheet1!J920 &amp; "," &amp; Sheet1!K920 &amp; "," &amp; Sheet1!L920)</f>
        <v>94 BIRCHWOOD LANE,EMERALD ROAD,PIN:243403 PARKVILLE</v>
      </c>
      <c r="I920" s="8">
        <f>Sheet1!I920</f>
        <v>45999</v>
      </c>
      <c r="J920" s="5" t="str">
        <f>Sheet1!M920 &amp; "," &amp; TEXT(Sheet1!N920,"dd/mm/yy")</f>
        <v>MHA/IND/01011,27/08/25</v>
      </c>
      <c r="K920" s="5" t="s">
        <v>5752</v>
      </c>
      <c r="L920" t="s">
        <v>14</v>
      </c>
      <c r="M920" s="31" t="s">
        <v>15</v>
      </c>
      <c r="N920" s="31"/>
    </row>
    <row r="921" spans="1:14" x14ac:dyDescent="0.25">
      <c r="A921" s="4" t="str">
        <f>Sheet1!A921 &amp; "/" &amp; "2025"</f>
        <v>920/2025</v>
      </c>
      <c r="B921" s="5" t="str">
        <f>Sheet1!E921</f>
        <v>IND/MEL/00920</v>
      </c>
      <c r="C921" s="6" t="str">
        <f>UPPER(Sheet1!B921)</f>
        <v>ANYA RISHKAN</v>
      </c>
      <c r="D921" s="7" t="str">
        <f>IF(Sheet1!F921="F","FEMALE","MALE")</f>
        <v>FEMALE</v>
      </c>
      <c r="E921" s="6" t="str">
        <f>UPPER(Sheet1!G921)</f>
        <v>ROHIT MYRTHOS</v>
      </c>
      <c r="F921" s="6" t="str">
        <f>UPPER(Sheet1!H921)</f>
        <v>MIRA MYRTHOS</v>
      </c>
      <c r="G921" s="5" t="str">
        <f>TEXT(Sheet1!C921,"dd/mm/yyyy") &amp; "," &amp; Sheet1!D921</f>
        <v>12/09/2025,LIVERPOOL</v>
      </c>
      <c r="H921" s="39" t="str">
        <f>UPPER(Sheet1!J921 &amp; "," &amp; Sheet1!K921 &amp; "," &amp; Sheet1!L921)</f>
        <v>61 BIRCHWOOD LANE,EMERALD ROAD,PIN:333036 LIVERPOOL</v>
      </c>
      <c r="I921" s="8">
        <f>Sheet1!I921</f>
        <v>45979</v>
      </c>
      <c r="J921" s="5" t="str">
        <f>Sheet1!M921 &amp; "," &amp; TEXT(Sheet1!N921,"dd/mm/yy")</f>
        <v>MHA/IND/01012,10/07/25</v>
      </c>
      <c r="K921" s="5" t="s">
        <v>5752</v>
      </c>
      <c r="L921" t="s">
        <v>14</v>
      </c>
      <c r="M921" s="31" t="s">
        <v>15</v>
      </c>
      <c r="N921" s="31"/>
    </row>
    <row r="922" spans="1:14" x14ac:dyDescent="0.25">
      <c r="A922" s="4" t="str">
        <f>Sheet1!A922 &amp; "/" &amp; "2025"</f>
        <v>921/2025</v>
      </c>
      <c r="B922" s="5" t="str">
        <f>Sheet1!E922</f>
        <v>IND/MEL/00921</v>
      </c>
      <c r="C922" s="6" t="str">
        <f>UPPER(Sheet1!B922)</f>
        <v>ISHAN RAO</v>
      </c>
      <c r="D922" s="7" t="str">
        <f>IF(Sheet1!F922="F","FEMALE","MALE")</f>
        <v>MALE</v>
      </c>
      <c r="E922" s="6" t="str">
        <f>UPPER(Sheet1!G922)</f>
        <v>AREN VALZARI</v>
      </c>
      <c r="F922" s="6" t="str">
        <f>UPPER(Sheet1!H922)</f>
        <v>RIYA VALZARI</v>
      </c>
      <c r="G922" s="5" t="str">
        <f>TEXT(Sheet1!C922,"dd/mm/yyyy") &amp; "," &amp; Sheet1!D922</f>
        <v>27/03/2025,BEDFORD PARK</v>
      </c>
      <c r="H922" s="39" t="str">
        <f>UPPER(Sheet1!J922 &amp; "," &amp; Sheet1!K922 &amp; "," &amp; Sheet1!L922)</f>
        <v>69 BIRCHWOOD LANE,EMERALD ROAD,PIN:974106 BEDFORD PARK</v>
      </c>
      <c r="I922" s="8">
        <f>Sheet1!I922</f>
        <v>45808</v>
      </c>
      <c r="J922" s="5" t="str">
        <f>Sheet1!M922 &amp; "," &amp; TEXT(Sheet1!N922,"dd/mm/yy")</f>
        <v>MHA/IND/01013,15/08/25</v>
      </c>
      <c r="K922" s="5" t="s">
        <v>5752</v>
      </c>
      <c r="L922" t="s">
        <v>14</v>
      </c>
      <c r="M922" s="31" t="s">
        <v>15</v>
      </c>
      <c r="N922" s="31"/>
    </row>
    <row r="923" spans="1:14" x14ac:dyDescent="0.25">
      <c r="A923" s="4" t="str">
        <f>Sheet1!A923 &amp; "/" &amp; "2025"</f>
        <v>922/2025</v>
      </c>
      <c r="B923" s="5" t="str">
        <f>Sheet1!E923</f>
        <v>IND/MEL/00922</v>
      </c>
      <c r="C923" s="6" t="str">
        <f>UPPER(Sheet1!B923)</f>
        <v>DIYA SHARMA</v>
      </c>
      <c r="D923" s="7" t="str">
        <f>IF(Sheet1!F923="F","FEMALE","MALE")</f>
        <v>MALE</v>
      </c>
      <c r="E923" s="6" t="str">
        <f>UPPER(Sheet1!G923)</f>
        <v>ROHIT VALZARI</v>
      </c>
      <c r="F923" s="6" t="str">
        <f>UPPER(Sheet1!H923)</f>
        <v>ALYA VALZARI</v>
      </c>
      <c r="G923" s="5" t="str">
        <f>TEXT(Sheet1!C923,"dd/mm/yyyy") &amp; "," &amp; Sheet1!D923</f>
        <v>02/04/2025,WODONGA</v>
      </c>
      <c r="H923" s="39" t="str">
        <f>UPPER(Sheet1!J923 &amp; "," &amp; Sheet1!K923 &amp; "," &amp; Sheet1!L923)</f>
        <v>130 BIRCHWOOD LANE,EMERALD ROAD,PIN:903256 WODONGA</v>
      </c>
      <c r="I923" s="8">
        <f>Sheet1!I923</f>
        <v>45786</v>
      </c>
      <c r="J923" s="5" t="str">
        <f>Sheet1!M923 &amp; "," &amp; TEXT(Sheet1!N923,"dd/mm/yy")</f>
        <v>MHA/IND/01014,03/08/25</v>
      </c>
      <c r="K923" s="5" t="s">
        <v>5752</v>
      </c>
      <c r="L923" t="s">
        <v>14</v>
      </c>
      <c r="M923" s="31" t="s">
        <v>15</v>
      </c>
      <c r="N923" s="31"/>
    </row>
    <row r="924" spans="1:14" x14ac:dyDescent="0.25">
      <c r="A924" s="4" t="str">
        <f>Sheet1!A924 &amp; "/" &amp; "2025"</f>
        <v>923/2025</v>
      </c>
      <c r="B924" s="5" t="str">
        <f>Sheet1!E924</f>
        <v>IND/MEL/00923</v>
      </c>
      <c r="C924" s="6" t="str">
        <f>UPPER(Sheet1!B924)</f>
        <v>SARA KALEON</v>
      </c>
      <c r="D924" s="7" t="str">
        <f>IF(Sheet1!F924="F","FEMALE","MALE")</f>
        <v>MALE</v>
      </c>
      <c r="E924" s="6" t="str">
        <f>UPPER(Sheet1!G924)</f>
        <v>AREN SINDALE</v>
      </c>
      <c r="F924" s="6" t="str">
        <f>UPPER(Sheet1!H924)</f>
        <v>RIYA SINDALE</v>
      </c>
      <c r="G924" s="5" t="str">
        <f>TEXT(Sheet1!C924,"dd/mm/yyyy") &amp; "," &amp; Sheet1!D924</f>
        <v>23/05/2025,FRANKSTON</v>
      </c>
      <c r="H924" s="39" t="str">
        <f>UPPER(Sheet1!J924 &amp; "," &amp; Sheet1!K924 &amp; "," &amp; Sheet1!L924)</f>
        <v>161 BIRCHWOOD LANE,EMERALD ROAD,PIN:724180 FRANKSTON</v>
      </c>
      <c r="I924" s="8">
        <f>Sheet1!I924</f>
        <v>45873</v>
      </c>
      <c r="J924" s="5" t="str">
        <f>Sheet1!M924 &amp; "," &amp; TEXT(Sheet1!N924,"dd/mm/yy")</f>
        <v>MHA/IND/01015,03/07/25</v>
      </c>
      <c r="K924" s="5" t="s">
        <v>5752</v>
      </c>
      <c r="L924" t="s">
        <v>14</v>
      </c>
      <c r="M924" s="31" t="s">
        <v>15</v>
      </c>
      <c r="N924" s="31"/>
    </row>
    <row r="925" spans="1:14" x14ac:dyDescent="0.25">
      <c r="A925" s="4" t="str">
        <f>Sheet1!A925 &amp; "/" &amp; "2025"</f>
        <v>924/2025</v>
      </c>
      <c r="B925" s="5" t="str">
        <f>Sheet1!E925</f>
        <v>IND/MEL/00924</v>
      </c>
      <c r="C925" s="6" t="str">
        <f>UPPER(Sheet1!B925)</f>
        <v>KABIR RAO</v>
      </c>
      <c r="D925" s="7" t="str">
        <f>IF(Sheet1!F925="F","FEMALE","MALE")</f>
        <v>MALE</v>
      </c>
      <c r="E925" s="6" t="str">
        <f>UPPER(Sheet1!G925)</f>
        <v>DEV SHARMA</v>
      </c>
      <c r="F925" s="6" t="str">
        <f>UPPER(Sheet1!H925)</f>
        <v>NINA SHARMA</v>
      </c>
      <c r="G925" s="5" t="str">
        <f>TEXT(Sheet1!C925,"dd/mm/yyyy") &amp; "," &amp; Sheet1!D925</f>
        <v>11/06/2025,TUGGERANONG</v>
      </c>
      <c r="H925" s="39" t="str">
        <f>UPPER(Sheet1!J925 &amp; "," &amp; Sheet1!K925 &amp; "," &amp; Sheet1!L925)</f>
        <v>29 BIRCHWOOD LANE,EMERALD ROAD,PIN:696956 TUGGERANONG</v>
      </c>
      <c r="I925" s="8">
        <f>Sheet1!I925</f>
        <v>45937</v>
      </c>
      <c r="J925" s="5" t="str">
        <f>Sheet1!M925 &amp; "," &amp; TEXT(Sheet1!N925,"dd/mm/yy")</f>
        <v>MHA/IND/01016,07/07/25</v>
      </c>
      <c r="K925" s="5" t="s">
        <v>5752</v>
      </c>
      <c r="L925" t="s">
        <v>14</v>
      </c>
      <c r="M925" s="31" t="s">
        <v>15</v>
      </c>
      <c r="N925" s="31"/>
    </row>
    <row r="926" spans="1:14" x14ac:dyDescent="0.25">
      <c r="A926" s="4" t="str">
        <f>Sheet1!A926 &amp; "/" &amp; "2025"</f>
        <v>925/2025</v>
      </c>
      <c r="B926" s="5" t="str">
        <f>Sheet1!E926</f>
        <v>IND/MEL/00925</v>
      </c>
      <c r="C926" s="6" t="str">
        <f>UPPER(Sheet1!B926)</f>
        <v>NEIL SHARMA</v>
      </c>
      <c r="D926" s="7" t="str">
        <f>IF(Sheet1!F926="F","FEMALE","MALE")</f>
        <v>FEMALE</v>
      </c>
      <c r="E926" s="6" t="str">
        <f>UPPER(Sheet1!G926)</f>
        <v>ROHIT SHARMA</v>
      </c>
      <c r="F926" s="6" t="str">
        <f>UPPER(Sheet1!H926)</f>
        <v>MIRA SHARMA</v>
      </c>
      <c r="G926" s="5" t="str">
        <f>TEXT(Sheet1!C926,"dd/mm/yyyy") &amp; "," &amp; Sheet1!D926</f>
        <v>01/05/2025,LAUNCESTON</v>
      </c>
      <c r="H926" s="39" t="str">
        <f>UPPER(Sheet1!J926 &amp; "," &amp; Sheet1!K926 &amp; "," &amp; Sheet1!L926)</f>
        <v>193 BIRCHWOOD LANE,EMERALD ROAD,PIN:866652 LAUNCESTON</v>
      </c>
      <c r="I926" s="8">
        <f>Sheet1!I926</f>
        <v>45790</v>
      </c>
      <c r="J926" s="5" t="str">
        <f>Sheet1!M926 &amp; "," &amp; TEXT(Sheet1!N926,"dd/mm/yy")</f>
        <v>MHA/IND/01017,07/08/25</v>
      </c>
      <c r="K926" s="5" t="s">
        <v>5752</v>
      </c>
      <c r="L926" t="s">
        <v>14</v>
      </c>
      <c r="M926" s="31" t="s">
        <v>15</v>
      </c>
      <c r="N926" s="31"/>
    </row>
    <row r="927" spans="1:14" x14ac:dyDescent="0.25">
      <c r="A927" s="4" t="str">
        <f>Sheet1!A927 &amp; "/" &amp; "2025"</f>
        <v>926/2025</v>
      </c>
      <c r="B927" s="5" t="str">
        <f>Sheet1!E927</f>
        <v>IND/MEL/00926</v>
      </c>
      <c r="C927" s="6" t="str">
        <f>UPPER(Sheet1!B927)</f>
        <v>NINA RAO</v>
      </c>
      <c r="D927" s="7" t="str">
        <f>IF(Sheet1!F927="F","FEMALE","MALE")</f>
        <v>FEMALE</v>
      </c>
      <c r="E927" s="6" t="str">
        <f>UPPER(Sheet1!G927)</f>
        <v>ROHIT KALEON</v>
      </c>
      <c r="F927" s="6" t="str">
        <f>UPPER(Sheet1!H927)</f>
        <v>ANYA KALEON</v>
      </c>
      <c r="G927" s="5" t="str">
        <f>TEXT(Sheet1!C927,"dd/mm/yyyy") &amp; "," &amp; Sheet1!D927</f>
        <v>19/03/2025,NORTH ADELAIDE</v>
      </c>
      <c r="H927" s="39" t="str">
        <f>UPPER(Sheet1!J927 &amp; "," &amp; Sheet1!K927 &amp; "," &amp; Sheet1!L927)</f>
        <v>141 BIRCHWOOD LANE,EMERALD ROAD,PIN:277862 NORTH ADELAIDE</v>
      </c>
      <c r="I927" s="8">
        <f>Sheet1!I927</f>
        <v>45767</v>
      </c>
      <c r="J927" s="5" t="str">
        <f>Sheet1!M927 &amp; "," &amp; TEXT(Sheet1!N927,"dd/mm/yy")</f>
        <v>MHA/IND/01018,21/08/25</v>
      </c>
      <c r="K927" s="5" t="s">
        <v>5752</v>
      </c>
      <c r="L927" t="s">
        <v>14</v>
      </c>
      <c r="M927" s="31" t="s">
        <v>15</v>
      </c>
      <c r="N927" s="31"/>
    </row>
    <row r="928" spans="1:14" x14ac:dyDescent="0.25">
      <c r="A928" s="4" t="str">
        <f>Sheet1!A928 &amp; "/" &amp; "2025"</f>
        <v>927/2025</v>
      </c>
      <c r="B928" s="5" t="str">
        <f>Sheet1!E928</f>
        <v>IND/MEL/00927</v>
      </c>
      <c r="C928" s="6" t="str">
        <f>UPPER(Sheet1!B928)</f>
        <v>ANYA VALZARI</v>
      </c>
      <c r="D928" s="7" t="str">
        <f>IF(Sheet1!F928="F","FEMALE","MALE")</f>
        <v>FEMALE</v>
      </c>
      <c r="E928" s="6" t="str">
        <f>UPPER(Sheet1!G928)</f>
        <v>NEIL RISHKAN</v>
      </c>
      <c r="F928" s="6" t="str">
        <f>UPPER(Sheet1!H928)</f>
        <v>ALYA RISHKAN</v>
      </c>
      <c r="G928" s="5" t="str">
        <f>TEXT(Sheet1!C928,"dd/mm/yyyy") &amp; "," &amp; Sheet1!D928</f>
        <v>27/07/2025,TUGGERANONG</v>
      </c>
      <c r="H928" s="39" t="str">
        <f>UPPER(Sheet1!J928 &amp; "," &amp; Sheet1!K928 &amp; "," &amp; Sheet1!L928)</f>
        <v>57 BIRCHWOOD LANE,EMERALD ROAD,PIN:771839 TUGGERANONG</v>
      </c>
      <c r="I928" s="8">
        <f>Sheet1!I928</f>
        <v>45873</v>
      </c>
      <c r="J928" s="5" t="str">
        <f>Sheet1!M928 &amp; "," &amp; TEXT(Sheet1!N928,"dd/mm/yy")</f>
        <v>MHA/IND/01019,29/08/25</v>
      </c>
      <c r="K928" s="5" t="s">
        <v>5752</v>
      </c>
      <c r="L928" t="s">
        <v>14</v>
      </c>
      <c r="M928" s="31" t="s">
        <v>15</v>
      </c>
      <c r="N928" s="31"/>
    </row>
    <row r="929" spans="1:14" x14ac:dyDescent="0.25">
      <c r="A929" s="4" t="str">
        <f>Sheet1!A929 &amp; "/" &amp; "2025"</f>
        <v>928/2025</v>
      </c>
      <c r="B929" s="5" t="str">
        <f>Sheet1!E929</f>
        <v>IND/MEL/00928</v>
      </c>
      <c r="C929" s="6" t="str">
        <f>UPPER(Sheet1!B929)</f>
        <v>NINA RISHKAN</v>
      </c>
      <c r="D929" s="7" t="str">
        <f>IF(Sheet1!F929="F","FEMALE","MALE")</f>
        <v>FEMALE</v>
      </c>
      <c r="E929" s="6" t="str">
        <f>UPPER(Sheet1!G929)</f>
        <v>DEV SHARMA</v>
      </c>
      <c r="F929" s="6" t="str">
        <f>UPPER(Sheet1!H929)</f>
        <v>ANYA SHARMA</v>
      </c>
      <c r="G929" s="5" t="str">
        <f>TEXT(Sheet1!C929,"dd/mm/yyyy") &amp; "," &amp; Sheet1!D929</f>
        <v>05/08/2025,LIVERPOOL</v>
      </c>
      <c r="H929" s="39" t="str">
        <f>UPPER(Sheet1!J929 &amp; "," &amp; Sheet1!K929 &amp; "," &amp; Sheet1!L929)</f>
        <v>65 BIRCHWOOD LANE,EMERALD ROAD,PIN:587081 LIVERPOOL</v>
      </c>
      <c r="I929" s="8">
        <f>Sheet1!I929</f>
        <v>45926</v>
      </c>
      <c r="J929" s="5" t="str">
        <f>Sheet1!M929 &amp; "," &amp; TEXT(Sheet1!N929,"dd/mm/yy")</f>
        <v>MHA/IND/01020,28/07/25</v>
      </c>
      <c r="K929" s="5" t="s">
        <v>5752</v>
      </c>
      <c r="L929" t="s">
        <v>14</v>
      </c>
      <c r="M929" s="31" t="s">
        <v>15</v>
      </c>
      <c r="N929" s="31"/>
    </row>
    <row r="930" spans="1:14" x14ac:dyDescent="0.25">
      <c r="A930" s="4" t="str">
        <f>Sheet1!A930 &amp; "/" &amp; "2025"</f>
        <v>929/2025</v>
      </c>
      <c r="B930" s="5" t="str">
        <f>Sheet1!E930</f>
        <v>IND/MEL/00929</v>
      </c>
      <c r="C930" s="6" t="str">
        <f>UPPER(Sheet1!B930)</f>
        <v>MIRA KALEON</v>
      </c>
      <c r="D930" s="7" t="str">
        <f>IF(Sheet1!F930="F","FEMALE","MALE")</f>
        <v>FEMALE</v>
      </c>
      <c r="E930" s="6" t="str">
        <f>UPPER(Sheet1!G930)</f>
        <v>AREN VALZARI</v>
      </c>
      <c r="F930" s="6" t="str">
        <f>UPPER(Sheet1!H930)</f>
        <v>ANYA VALZARI</v>
      </c>
      <c r="G930" s="5" t="str">
        <f>TEXT(Sheet1!C930,"dd/mm/yyyy") &amp; "," &amp; Sheet1!D930</f>
        <v>13/01/2025,BALLARAT CENTRAL</v>
      </c>
      <c r="H930" s="39" t="str">
        <f>UPPER(Sheet1!J930 &amp; "," &amp; Sheet1!K930 &amp; "," &amp; Sheet1!L930)</f>
        <v>74 BIRCHWOOD LANE,EMERALD ROAD,PIN:832571 BALLARAT CENTRAL</v>
      </c>
      <c r="I930" s="8">
        <f>Sheet1!I930</f>
        <v>45679</v>
      </c>
      <c r="J930" s="5" t="str">
        <f>Sheet1!M930 &amp; "," &amp; TEXT(Sheet1!N930,"dd/mm/yy")</f>
        <v>MHA/IND/01021,28/08/25</v>
      </c>
      <c r="K930" s="5" t="s">
        <v>5752</v>
      </c>
      <c r="L930" t="s">
        <v>14</v>
      </c>
      <c r="M930" s="31" t="s">
        <v>15</v>
      </c>
      <c r="N930" s="31"/>
    </row>
    <row r="931" spans="1:14" x14ac:dyDescent="0.25">
      <c r="A931" s="4" t="str">
        <f>Sheet1!A931 &amp; "/" &amp; "2025"</f>
        <v>930/2025</v>
      </c>
      <c r="B931" s="5" t="str">
        <f>Sheet1!E931</f>
        <v>IND/MEL/00930</v>
      </c>
      <c r="C931" s="6" t="str">
        <f>UPPER(Sheet1!B931)</f>
        <v>ROHIT MYRTHOS</v>
      </c>
      <c r="D931" s="7" t="str">
        <f>IF(Sheet1!F931="F","FEMALE","MALE")</f>
        <v>MALE</v>
      </c>
      <c r="E931" s="6" t="str">
        <f>UPPER(Sheet1!G931)</f>
        <v>ISHAN SINDALE</v>
      </c>
      <c r="F931" s="6" t="str">
        <f>UPPER(Sheet1!H931)</f>
        <v>NINA SINDALE</v>
      </c>
      <c r="G931" s="5" t="str">
        <f>TEXT(Sheet1!C931,"dd/mm/yyyy") &amp; "," &amp; Sheet1!D931</f>
        <v>05/08/2025,FREMANTLE</v>
      </c>
      <c r="H931" s="39" t="str">
        <f>UPPER(Sheet1!J931 &amp; "," &amp; Sheet1!K931 &amp; "," &amp; Sheet1!L931)</f>
        <v>26 BIRCHWOOD LANE,EMERALD ROAD,PIN:919321 FREMANTLE</v>
      </c>
      <c r="I931" s="8">
        <f>Sheet1!I931</f>
        <v>45982</v>
      </c>
      <c r="J931" s="5" t="str">
        <f>Sheet1!M931 &amp; "," &amp; TEXT(Sheet1!N931,"dd/mm/yy")</f>
        <v>MHA/IND/01022,16/08/25</v>
      </c>
      <c r="K931" s="5" t="s">
        <v>5752</v>
      </c>
      <c r="L931" t="s">
        <v>14</v>
      </c>
      <c r="M931" s="31" t="s">
        <v>15</v>
      </c>
      <c r="N931" s="31"/>
    </row>
    <row r="932" spans="1:14" x14ac:dyDescent="0.25">
      <c r="A932" s="4" t="str">
        <f>Sheet1!A932 &amp; "/" &amp; "2025"</f>
        <v>931/2025</v>
      </c>
      <c r="B932" s="5" t="str">
        <f>Sheet1!E932</f>
        <v>IND/MEL/00931</v>
      </c>
      <c r="C932" s="6" t="str">
        <f>UPPER(Sheet1!B932)</f>
        <v>ISHAN SHARMA</v>
      </c>
      <c r="D932" s="7" t="str">
        <f>IF(Sheet1!F932="F","FEMALE","MALE")</f>
        <v>FEMALE</v>
      </c>
      <c r="E932" s="6" t="str">
        <f>UPPER(Sheet1!G932)</f>
        <v>ROHIT KALEON</v>
      </c>
      <c r="F932" s="6" t="str">
        <f>UPPER(Sheet1!H932)</f>
        <v>TARA KALEON</v>
      </c>
      <c r="G932" s="5" t="str">
        <f>TEXT(Sheet1!C932,"dd/mm/yyyy") &amp; "," &amp; Sheet1!D932</f>
        <v>06/05/2025,IPSWICH</v>
      </c>
      <c r="H932" s="39" t="str">
        <f>UPPER(Sheet1!J932 &amp; "," &amp; Sheet1!K932 &amp; "," &amp; Sheet1!L932)</f>
        <v>109 BIRCHWOOD LANE,EMERALD ROAD,PIN:713260 IPSWICH</v>
      </c>
      <c r="I932" s="8">
        <f>Sheet1!I932</f>
        <v>45863</v>
      </c>
      <c r="J932" s="5" t="str">
        <f>Sheet1!M932 &amp; "," &amp; TEXT(Sheet1!N932,"dd/mm/yy")</f>
        <v>MHA/IND/01023,30/07/25</v>
      </c>
      <c r="K932" s="5" t="s">
        <v>5752</v>
      </c>
      <c r="L932" t="s">
        <v>14</v>
      </c>
      <c r="M932" s="31" t="s">
        <v>15</v>
      </c>
      <c r="N932" s="31"/>
    </row>
    <row r="933" spans="1:14" x14ac:dyDescent="0.25">
      <c r="A933" s="4" t="str">
        <f>Sheet1!A933 &amp; "/" &amp; "2025"</f>
        <v>932/2025</v>
      </c>
      <c r="B933" s="5" t="str">
        <f>Sheet1!E933</f>
        <v>IND/MEL/00932</v>
      </c>
      <c r="C933" s="6" t="str">
        <f>UPPER(Sheet1!B933)</f>
        <v>DEV VALZARI</v>
      </c>
      <c r="D933" s="7" t="str">
        <f>IF(Sheet1!F933="F","FEMALE","MALE")</f>
        <v>MALE</v>
      </c>
      <c r="E933" s="6" t="str">
        <f>UPPER(Sheet1!G933)</f>
        <v>ISHAN SHARMA</v>
      </c>
      <c r="F933" s="6" t="str">
        <f>UPPER(Sheet1!H933)</f>
        <v>RIYA SHARMA</v>
      </c>
      <c r="G933" s="5" t="str">
        <f>TEXT(Sheet1!C933,"dd/mm/yyyy") &amp; "," &amp; Sheet1!D933</f>
        <v>15/10/2025,MILDURA</v>
      </c>
      <c r="H933" s="39" t="str">
        <f>UPPER(Sheet1!J933 &amp; "," &amp; Sheet1!K933 &amp; "," &amp; Sheet1!L933)</f>
        <v>21 BIRCHWOOD LANE,EMERALD ROAD,PIN:384008 MILDURA</v>
      </c>
      <c r="I933" s="8">
        <f>Sheet1!I933</f>
        <v>45955</v>
      </c>
      <c r="J933" s="5" t="str">
        <f>Sheet1!M933 &amp; "," &amp; TEXT(Sheet1!N933,"dd/mm/yy")</f>
        <v>MHA/IND/01024,20/07/25</v>
      </c>
      <c r="K933" s="5" t="s">
        <v>5752</v>
      </c>
      <c r="L933" t="s">
        <v>14</v>
      </c>
      <c r="M933" s="31" t="s">
        <v>15</v>
      </c>
      <c r="N933" s="31"/>
    </row>
    <row r="934" spans="1:14" x14ac:dyDescent="0.25">
      <c r="A934" s="4" t="str">
        <f>Sheet1!A934 &amp; "/" &amp; "2025"</f>
        <v>933/2025</v>
      </c>
      <c r="B934" s="5" t="str">
        <f>Sheet1!E934</f>
        <v>IND/MEL/00933</v>
      </c>
      <c r="C934" s="6" t="str">
        <f>UPPER(Sheet1!B934)</f>
        <v>ANYA RAO</v>
      </c>
      <c r="D934" s="7" t="str">
        <f>IF(Sheet1!F934="F","FEMALE","MALE")</f>
        <v>FEMALE</v>
      </c>
      <c r="E934" s="6" t="str">
        <f>UPPER(Sheet1!G934)</f>
        <v>NEIL RAO</v>
      </c>
      <c r="F934" s="6" t="str">
        <f>UPPER(Sheet1!H934)</f>
        <v>TARA RAO</v>
      </c>
      <c r="G934" s="5" t="str">
        <f>TEXT(Sheet1!C934,"dd/mm/yyyy") &amp; "," &amp; Sheet1!D934</f>
        <v>22/01/2025,ST ALBANS</v>
      </c>
      <c r="H934" s="39" t="str">
        <f>UPPER(Sheet1!J934 &amp; "," &amp; Sheet1!K934 &amp; "," &amp; Sheet1!L934)</f>
        <v>198 BIRCHWOOD LANE,EMERALD ROAD,PIN:435572 ST ALBANS</v>
      </c>
      <c r="I934" s="8">
        <f>Sheet1!I934</f>
        <v>45704</v>
      </c>
      <c r="J934" s="5" t="str">
        <f>Sheet1!M934 &amp; "," &amp; TEXT(Sheet1!N934,"dd/mm/yy")</f>
        <v>MHA/IND/01025,14/07/25</v>
      </c>
      <c r="K934" s="5" t="s">
        <v>5752</v>
      </c>
      <c r="L934" t="s">
        <v>14</v>
      </c>
      <c r="M934" s="31" t="s">
        <v>15</v>
      </c>
      <c r="N934" s="31"/>
    </row>
    <row r="935" spans="1:14" x14ac:dyDescent="0.25">
      <c r="A935" s="4" t="str">
        <f>Sheet1!A935 &amp; "/" &amp; "2025"</f>
        <v>934/2025</v>
      </c>
      <c r="B935" s="5" t="str">
        <f>Sheet1!E935</f>
        <v>IND/MEL/00934</v>
      </c>
      <c r="C935" s="6" t="str">
        <f>UPPER(Sheet1!B935)</f>
        <v>ROHIT VALZARI</v>
      </c>
      <c r="D935" s="7" t="str">
        <f>IF(Sheet1!F935="F","FEMALE","MALE")</f>
        <v>FEMALE</v>
      </c>
      <c r="E935" s="6" t="str">
        <f>UPPER(Sheet1!G935)</f>
        <v>ROHIT MYRTHOS</v>
      </c>
      <c r="F935" s="6" t="str">
        <f>UPPER(Sheet1!H935)</f>
        <v>ALYA MYRTHOS</v>
      </c>
      <c r="G935" s="5" t="str">
        <f>TEXT(Sheet1!C935,"dd/mm/yyyy") &amp; "," &amp; Sheet1!D935</f>
        <v>28/09/2025,BENDIGO</v>
      </c>
      <c r="H935" s="39" t="str">
        <f>UPPER(Sheet1!J935 &amp; "," &amp; Sheet1!K935 &amp; "," &amp; Sheet1!L935)</f>
        <v>157 BIRCHWOOD LANE,EMERALD ROAD,PIN:557614 BENDIGO</v>
      </c>
      <c r="I935" s="8">
        <f>Sheet1!I935</f>
        <v>45960</v>
      </c>
      <c r="J935" s="5" t="str">
        <f>Sheet1!M935 &amp; "," &amp; TEXT(Sheet1!N935,"dd/mm/yy")</f>
        <v>MHA/IND/01026,17/07/25</v>
      </c>
      <c r="K935" s="5" t="s">
        <v>5752</v>
      </c>
      <c r="L935" t="s">
        <v>14</v>
      </c>
      <c r="M935" s="31" t="s">
        <v>15</v>
      </c>
      <c r="N935" s="31"/>
    </row>
    <row r="936" spans="1:14" x14ac:dyDescent="0.25">
      <c r="A936" s="4" t="str">
        <f>Sheet1!A936 &amp; "/" &amp; "2025"</f>
        <v>935/2025</v>
      </c>
      <c r="B936" s="5" t="str">
        <f>Sheet1!E936</f>
        <v>IND/MEL/00935</v>
      </c>
      <c r="C936" s="6" t="str">
        <f>UPPER(Sheet1!B936)</f>
        <v>ARJUN KALEON</v>
      </c>
      <c r="D936" s="7" t="str">
        <f>IF(Sheet1!F936="F","FEMALE","MALE")</f>
        <v>FEMALE</v>
      </c>
      <c r="E936" s="6" t="str">
        <f>UPPER(Sheet1!G936)</f>
        <v>KABIR RISHKAN</v>
      </c>
      <c r="F936" s="6" t="str">
        <f>UPPER(Sheet1!H936)</f>
        <v>NINA RISHKAN</v>
      </c>
      <c r="G936" s="5" t="str">
        <f>TEXT(Sheet1!C936,"dd/mm/yyyy") &amp; "," &amp; Sheet1!D936</f>
        <v>17/10/2025,WOLLONGONG</v>
      </c>
      <c r="H936" s="39" t="str">
        <f>UPPER(Sheet1!J936 &amp; "," &amp; Sheet1!K936 &amp; "," &amp; Sheet1!L936)</f>
        <v>77 BIRCHWOOD LANE,EMERALD ROAD,PIN:990720 WOLLONGONG</v>
      </c>
      <c r="I936" s="8">
        <f>Sheet1!I936</f>
        <v>46053</v>
      </c>
      <c r="J936" s="5" t="str">
        <f>Sheet1!M936 &amp; "," &amp; TEXT(Sheet1!N936,"dd/mm/yy")</f>
        <v>MHA/IND/01027,11/08/25</v>
      </c>
      <c r="K936" s="5" t="s">
        <v>5752</v>
      </c>
      <c r="L936" t="s">
        <v>14</v>
      </c>
      <c r="M936" s="31" t="s">
        <v>15</v>
      </c>
      <c r="N936" s="31"/>
    </row>
    <row r="937" spans="1:14" x14ac:dyDescent="0.25">
      <c r="A937" s="4" t="str">
        <f>Sheet1!A937 &amp; "/" &amp; "2025"</f>
        <v>936/2025</v>
      </c>
      <c r="B937" s="5" t="str">
        <f>Sheet1!E937</f>
        <v>IND/MEL/00936</v>
      </c>
      <c r="C937" s="6" t="str">
        <f>UPPER(Sheet1!B937)</f>
        <v>AREN MYRTHOS</v>
      </c>
      <c r="D937" s="7" t="str">
        <f>IF(Sheet1!F937="F","FEMALE","MALE")</f>
        <v>FEMALE</v>
      </c>
      <c r="E937" s="6" t="str">
        <f>UPPER(Sheet1!G937)</f>
        <v>NEIL VALZARI</v>
      </c>
      <c r="F937" s="6" t="str">
        <f>UPPER(Sheet1!H937)</f>
        <v>DIYA VALZARI</v>
      </c>
      <c r="G937" s="5" t="str">
        <f>TEXT(Sheet1!C937,"dd/mm/yyyy") &amp; "," &amp; Sheet1!D937</f>
        <v>18/04/2025,WERRIBEE</v>
      </c>
      <c r="H937" s="39" t="str">
        <f>UPPER(Sheet1!J937 &amp; "," &amp; Sheet1!K937 &amp; "," &amp; Sheet1!L937)</f>
        <v>59 BIRCHWOOD LANE,EMERALD ROAD,PIN:686666 WERRIBEE</v>
      </c>
      <c r="I937" s="8">
        <f>Sheet1!I937</f>
        <v>45824</v>
      </c>
      <c r="J937" s="5" t="str">
        <f>Sheet1!M937 &amp; "," &amp; TEXT(Sheet1!N937,"dd/mm/yy")</f>
        <v>MHA/IND/01028,21/07/25</v>
      </c>
      <c r="K937" s="5" t="s">
        <v>5752</v>
      </c>
      <c r="L937" t="s">
        <v>14</v>
      </c>
      <c r="M937" s="31" t="s">
        <v>15</v>
      </c>
      <c r="N937" s="31"/>
    </row>
    <row r="938" spans="1:14" x14ac:dyDescent="0.25">
      <c r="A938" s="4" t="str">
        <f>Sheet1!A938 &amp; "/" &amp; "2025"</f>
        <v>937/2025</v>
      </c>
      <c r="B938" s="5" t="str">
        <f>Sheet1!E938</f>
        <v>IND/MEL/00937</v>
      </c>
      <c r="C938" s="6" t="str">
        <f>UPPER(Sheet1!B938)</f>
        <v>MIRA SINDALE</v>
      </c>
      <c r="D938" s="7" t="str">
        <f>IF(Sheet1!F938="F","FEMALE","MALE")</f>
        <v>MALE</v>
      </c>
      <c r="E938" s="6" t="str">
        <f>UPPER(Sheet1!G938)</f>
        <v>KABIR MYRTHOS</v>
      </c>
      <c r="F938" s="6" t="str">
        <f>UPPER(Sheet1!H938)</f>
        <v>MIRA MYRTHOS</v>
      </c>
      <c r="G938" s="5" t="str">
        <f>TEXT(Sheet1!C938,"dd/mm/yyyy") &amp; "," &amp; Sheet1!D938</f>
        <v>18/08/2025,MIDLAND</v>
      </c>
      <c r="H938" s="39" t="str">
        <f>UPPER(Sheet1!J938 &amp; "," &amp; Sheet1!K938 &amp; "," &amp; Sheet1!L938)</f>
        <v>68 BIRCHWOOD LANE,EMERALD ROAD,PIN:921614 MIDLAND</v>
      </c>
      <c r="I938" s="8">
        <f>Sheet1!I938</f>
        <v>45936</v>
      </c>
      <c r="J938" s="5" t="str">
        <f>Sheet1!M938 &amp; "," &amp; TEXT(Sheet1!N938,"dd/mm/yy")</f>
        <v>MHA/IND/01029,04/07/25</v>
      </c>
      <c r="K938" s="5" t="s">
        <v>5752</v>
      </c>
      <c r="L938" t="s">
        <v>14</v>
      </c>
      <c r="M938" s="31" t="s">
        <v>15</v>
      </c>
      <c r="N938" s="31"/>
    </row>
    <row r="939" spans="1:14" x14ac:dyDescent="0.25">
      <c r="A939" s="4" t="str">
        <f>Sheet1!A939 &amp; "/" &amp; "2025"</f>
        <v>938/2025</v>
      </c>
      <c r="B939" s="5" t="str">
        <f>Sheet1!E939</f>
        <v>IND/MEL/00938</v>
      </c>
      <c r="C939" s="6" t="str">
        <f>UPPER(Sheet1!B939)</f>
        <v>ALYA VALZARI</v>
      </c>
      <c r="D939" s="7" t="str">
        <f>IF(Sheet1!F939="F","FEMALE","MALE")</f>
        <v>FEMALE</v>
      </c>
      <c r="E939" s="6" t="str">
        <f>UPPER(Sheet1!G939)</f>
        <v>ISHAN MYRTHOS</v>
      </c>
      <c r="F939" s="6" t="str">
        <f>UPPER(Sheet1!H939)</f>
        <v>ALYA MYRTHOS</v>
      </c>
      <c r="G939" s="5" t="str">
        <f>TEXT(Sheet1!C939,"dd/mm/yyyy") &amp; "," &amp; Sheet1!D939</f>
        <v>29/01/2025,BUNDOORA</v>
      </c>
      <c r="H939" s="39" t="str">
        <f>UPPER(Sheet1!J939 &amp; "," &amp; Sheet1!K939 &amp; "," &amp; Sheet1!L939)</f>
        <v>191 BIRCHWOOD LANE,EMERALD ROAD,PIN:383372 BUNDOORA</v>
      </c>
      <c r="I939" s="8">
        <f>Sheet1!I939</f>
        <v>45704</v>
      </c>
      <c r="J939" s="5" t="str">
        <f>Sheet1!M939 &amp; "," &amp; TEXT(Sheet1!N939,"dd/mm/yy")</f>
        <v>MHA/IND/01030,17/08/25</v>
      </c>
      <c r="K939" s="5" t="s">
        <v>5752</v>
      </c>
      <c r="L939" t="s">
        <v>14</v>
      </c>
      <c r="M939" s="31" t="s">
        <v>15</v>
      </c>
      <c r="N939" s="31"/>
    </row>
    <row r="940" spans="1:14" x14ac:dyDescent="0.25">
      <c r="A940" s="4" t="str">
        <f>Sheet1!A940 &amp; "/" &amp; "2025"</f>
        <v>939/2025</v>
      </c>
      <c r="B940" s="5" t="str">
        <f>Sheet1!E940</f>
        <v>IND/MEL/00939</v>
      </c>
      <c r="C940" s="6" t="str">
        <f>UPPER(Sheet1!B940)</f>
        <v>ARJUN RISHKAN</v>
      </c>
      <c r="D940" s="7" t="str">
        <f>IF(Sheet1!F940="F","FEMALE","MALE")</f>
        <v>MALE</v>
      </c>
      <c r="E940" s="6" t="str">
        <f>UPPER(Sheet1!G940)</f>
        <v>AREN SINDALE</v>
      </c>
      <c r="F940" s="6" t="str">
        <f>UPPER(Sheet1!H940)</f>
        <v>ALYA SINDALE</v>
      </c>
      <c r="G940" s="5" t="str">
        <f>TEXT(Sheet1!C940,"dd/mm/yyyy") &amp; "," &amp; Sheet1!D940</f>
        <v>21/04/2025,ADELAIDE</v>
      </c>
      <c r="H940" s="39" t="str">
        <f>UPPER(Sheet1!J940 &amp; "," &amp; Sheet1!K940 &amp; "," &amp; Sheet1!L940)</f>
        <v>28 BIRCHWOOD LANE,EMERALD ROAD,PIN:703922 ADELAIDE</v>
      </c>
      <c r="I940" s="8">
        <f>Sheet1!I940</f>
        <v>45805</v>
      </c>
      <c r="J940" s="5" t="str">
        <f>Sheet1!M940 &amp; "," &amp; TEXT(Sheet1!N940,"dd/mm/yy")</f>
        <v>MHA/IND/01031,23/08/25</v>
      </c>
      <c r="K940" s="5" t="s">
        <v>5752</v>
      </c>
      <c r="L940" t="s">
        <v>14</v>
      </c>
      <c r="M940" s="31" t="s">
        <v>15</v>
      </c>
      <c r="N940" s="31"/>
    </row>
    <row r="941" spans="1:14" x14ac:dyDescent="0.25">
      <c r="A941" s="4" t="str">
        <f>Sheet1!A941 &amp; "/" &amp; "2025"</f>
        <v>940/2025</v>
      </c>
      <c r="B941" s="5" t="str">
        <f>Sheet1!E941</f>
        <v>IND/MEL/00940</v>
      </c>
      <c r="C941" s="6" t="str">
        <f>UPPER(Sheet1!B941)</f>
        <v>ANYA RAO</v>
      </c>
      <c r="D941" s="7" t="str">
        <f>IF(Sheet1!F941="F","FEMALE","MALE")</f>
        <v>FEMALE</v>
      </c>
      <c r="E941" s="6" t="str">
        <f>UPPER(Sheet1!G941)</f>
        <v>ARJUN SHARMA</v>
      </c>
      <c r="F941" s="6" t="str">
        <f>UPPER(Sheet1!H941)</f>
        <v>ALYA SHARMA</v>
      </c>
      <c r="G941" s="5" t="str">
        <f>TEXT(Sheet1!C941,"dd/mm/yyyy") &amp; "," &amp; Sheet1!D941</f>
        <v>13/02/2025,TOOWOOMBA</v>
      </c>
      <c r="H941" s="39" t="str">
        <f>UPPER(Sheet1!J941 &amp; "," &amp; Sheet1!K941 &amp; "," &amp; Sheet1!L941)</f>
        <v>185 BIRCHWOOD LANE,EMERALD ROAD,PIN:926264 TOOWOOMBA</v>
      </c>
      <c r="I941" s="8">
        <f>Sheet1!I941</f>
        <v>45738</v>
      </c>
      <c r="J941" s="5" t="str">
        <f>Sheet1!M941 &amp; "," &amp; TEXT(Sheet1!N941,"dd/mm/yy")</f>
        <v>MHA/IND/01032,24/08/25</v>
      </c>
      <c r="K941" s="5" t="s">
        <v>5752</v>
      </c>
      <c r="L941" t="s">
        <v>14</v>
      </c>
      <c r="M941" s="31" t="s">
        <v>15</v>
      </c>
      <c r="N941" s="31"/>
    </row>
    <row r="942" spans="1:14" x14ac:dyDescent="0.25">
      <c r="A942" s="4" t="str">
        <f>Sheet1!A942 &amp; "/" &amp; "2025"</f>
        <v>941/2025</v>
      </c>
      <c r="B942" s="5" t="str">
        <f>Sheet1!E942</f>
        <v>IND/MEL/00941</v>
      </c>
      <c r="C942" s="6" t="str">
        <f>UPPER(Sheet1!B942)</f>
        <v>TARA RISHKAN</v>
      </c>
      <c r="D942" s="7" t="str">
        <f>IF(Sheet1!F942="F","FEMALE","MALE")</f>
        <v>MALE</v>
      </c>
      <c r="E942" s="6" t="str">
        <f>UPPER(Sheet1!G942)</f>
        <v>ARJUN SINDALE</v>
      </c>
      <c r="F942" s="6" t="str">
        <f>UPPER(Sheet1!H942)</f>
        <v>SARA SINDALE</v>
      </c>
      <c r="G942" s="5" t="str">
        <f>TEXT(Sheet1!C942,"dd/mm/yyyy") &amp; "," &amp; Sheet1!D942</f>
        <v>21/02/2025,PERTH</v>
      </c>
      <c r="H942" s="39" t="str">
        <f>UPPER(Sheet1!J942 &amp; "," &amp; Sheet1!K942 &amp; "," &amp; Sheet1!L942)</f>
        <v>166 BIRCHWOOD LANE,EMERALD ROAD,PIN:836568 PERTH</v>
      </c>
      <c r="I942" s="8">
        <f>Sheet1!I942</f>
        <v>45797</v>
      </c>
      <c r="J942" s="5" t="str">
        <f>Sheet1!M942 &amp; "," &amp; TEXT(Sheet1!N942,"dd/mm/yy")</f>
        <v>MHA/IND/01033,08/08/25</v>
      </c>
      <c r="K942" s="5" t="s">
        <v>5752</v>
      </c>
      <c r="L942" t="s">
        <v>14</v>
      </c>
      <c r="M942" s="31" t="s">
        <v>15</v>
      </c>
      <c r="N942" s="31"/>
    </row>
    <row r="943" spans="1:14" x14ac:dyDescent="0.25">
      <c r="A943" s="4" t="str">
        <f>Sheet1!A943 &amp; "/" &amp; "2025"</f>
        <v>942/2025</v>
      </c>
      <c r="B943" s="5" t="str">
        <f>Sheet1!E943</f>
        <v>IND/MEL/00942</v>
      </c>
      <c r="C943" s="6" t="str">
        <f>UPPER(Sheet1!B943)</f>
        <v>ISHAN RAO</v>
      </c>
      <c r="D943" s="7" t="str">
        <f>IF(Sheet1!F943="F","FEMALE","MALE")</f>
        <v>FEMALE</v>
      </c>
      <c r="E943" s="6" t="str">
        <f>UPPER(Sheet1!G943)</f>
        <v>ISHAN RAO</v>
      </c>
      <c r="F943" s="6" t="str">
        <f>UPPER(Sheet1!H943)</f>
        <v>DIYA RAO</v>
      </c>
      <c r="G943" s="5" t="str">
        <f>TEXT(Sheet1!C943,"dd/mm/yyyy") &amp; "," &amp; Sheet1!D943</f>
        <v>03/06/2025,NEWCASTLE</v>
      </c>
      <c r="H943" s="39" t="str">
        <f>UPPER(Sheet1!J943 &amp; "," &amp; Sheet1!K943 &amp; "," &amp; Sheet1!L943)</f>
        <v>190 BIRCHWOOD LANE,EMERALD ROAD,PIN:596001 NEWCASTLE</v>
      </c>
      <c r="I943" s="8">
        <f>Sheet1!I943</f>
        <v>45898</v>
      </c>
      <c r="J943" s="5" t="str">
        <f>Sheet1!M943 &amp; "," &amp; TEXT(Sheet1!N943,"dd/mm/yy")</f>
        <v>MHA/IND/01034,10/07/25</v>
      </c>
      <c r="K943" s="5" t="s">
        <v>5752</v>
      </c>
      <c r="L943" t="s">
        <v>14</v>
      </c>
      <c r="M943" s="31" t="s">
        <v>15</v>
      </c>
      <c r="N943" s="31"/>
    </row>
    <row r="944" spans="1:14" x14ac:dyDescent="0.25">
      <c r="A944" s="4" t="str">
        <f>Sheet1!A944 &amp; "/" &amp; "2025"</f>
        <v>943/2025</v>
      </c>
      <c r="B944" s="5" t="str">
        <f>Sheet1!E944</f>
        <v>IND/MEL/00943</v>
      </c>
      <c r="C944" s="6" t="str">
        <f>UPPER(Sheet1!B944)</f>
        <v>NEIL RISHKAN</v>
      </c>
      <c r="D944" s="7" t="str">
        <f>IF(Sheet1!F944="F","FEMALE","MALE")</f>
        <v>MALE</v>
      </c>
      <c r="E944" s="6" t="str">
        <f>UPPER(Sheet1!G944)</f>
        <v>KABIR SINDALE</v>
      </c>
      <c r="F944" s="6" t="str">
        <f>UPPER(Sheet1!H944)</f>
        <v>TARA SINDALE</v>
      </c>
      <c r="G944" s="5" t="str">
        <f>TEXT(Sheet1!C944,"dd/mm/yyyy") &amp; "," &amp; Sheet1!D944</f>
        <v>11/02/2025,SHEPPARTON</v>
      </c>
      <c r="H944" s="39" t="str">
        <f>UPPER(Sheet1!J944 &amp; "," &amp; Sheet1!K944 &amp; "," &amp; Sheet1!L944)</f>
        <v>189 BIRCHWOOD LANE,EMERALD ROAD,PIN:454480 SHEPPARTON</v>
      </c>
      <c r="I944" s="8">
        <f>Sheet1!I944</f>
        <v>45721</v>
      </c>
      <c r="J944" s="5" t="str">
        <f>Sheet1!M944 &amp; "," &amp; TEXT(Sheet1!N944,"dd/mm/yy")</f>
        <v>MHA/IND/01035,12/08/25</v>
      </c>
      <c r="K944" s="5" t="s">
        <v>5752</v>
      </c>
      <c r="L944" t="s">
        <v>14</v>
      </c>
      <c r="M944" s="31" t="s">
        <v>15</v>
      </c>
      <c r="N944" s="31"/>
    </row>
    <row r="945" spans="1:14" x14ac:dyDescent="0.25">
      <c r="A945" s="4" t="str">
        <f>Sheet1!A945 &amp; "/" &amp; "2025"</f>
        <v>944/2025</v>
      </c>
      <c r="B945" s="5" t="str">
        <f>Sheet1!E945</f>
        <v>IND/MEL/00944</v>
      </c>
      <c r="C945" s="6" t="str">
        <f>UPPER(Sheet1!B945)</f>
        <v>KIRAN MYRTHOS</v>
      </c>
      <c r="D945" s="7" t="str">
        <f>IF(Sheet1!F945="F","FEMALE","MALE")</f>
        <v>MALE</v>
      </c>
      <c r="E945" s="6" t="str">
        <f>UPPER(Sheet1!G945)</f>
        <v>AREN KALEON</v>
      </c>
      <c r="F945" s="6" t="str">
        <f>UPPER(Sheet1!H945)</f>
        <v>NINA KALEON</v>
      </c>
      <c r="G945" s="5" t="str">
        <f>TEXT(Sheet1!C945,"dd/mm/yyyy") &amp; "," &amp; Sheet1!D945</f>
        <v>15/10/2025,MOUNT WAVERLEY</v>
      </c>
      <c r="H945" s="39" t="str">
        <f>UPPER(Sheet1!J945 &amp; "," &amp; Sheet1!K945 &amp; "," &amp; Sheet1!L945)</f>
        <v>137 BIRCHWOOD LANE,EMERALD ROAD,PIN:600100 MOUNT WAVERLEY</v>
      </c>
      <c r="I945" s="8">
        <f>Sheet1!I945</f>
        <v>46061</v>
      </c>
      <c r="J945" s="5" t="str">
        <f>Sheet1!M945 &amp; "," &amp; TEXT(Sheet1!N945,"dd/mm/yy")</f>
        <v>MHA/IND/01036,09/08/25</v>
      </c>
      <c r="K945" s="5" t="s">
        <v>5752</v>
      </c>
      <c r="L945" t="s">
        <v>14</v>
      </c>
      <c r="M945" s="31" t="s">
        <v>15</v>
      </c>
      <c r="N945" s="31"/>
    </row>
    <row r="946" spans="1:14" x14ac:dyDescent="0.25">
      <c r="A946" s="4" t="str">
        <f>Sheet1!A946 &amp; "/" &amp; "2025"</f>
        <v>945/2025</v>
      </c>
      <c r="B946" s="5" t="str">
        <f>Sheet1!E946</f>
        <v>IND/MEL/00945</v>
      </c>
      <c r="C946" s="6" t="str">
        <f>UPPER(Sheet1!B946)</f>
        <v>DEV RISHKAN</v>
      </c>
      <c r="D946" s="7" t="str">
        <f>IF(Sheet1!F946="F","FEMALE","MALE")</f>
        <v>MALE</v>
      </c>
      <c r="E946" s="6" t="str">
        <f>UPPER(Sheet1!G946)</f>
        <v>ARJUN MYRTHOS</v>
      </c>
      <c r="F946" s="6" t="str">
        <f>UPPER(Sheet1!H946)</f>
        <v>MIRA MYRTHOS</v>
      </c>
      <c r="G946" s="5" t="str">
        <f>TEXT(Sheet1!C946,"dd/mm/yyyy") &amp; "," &amp; Sheet1!D946</f>
        <v>20/03/2025,DEVONPORT</v>
      </c>
      <c r="H946" s="39" t="str">
        <f>UPPER(Sheet1!J946 &amp; "," &amp; Sheet1!K946 &amp; "," &amp; Sheet1!L946)</f>
        <v>125 BIRCHWOOD LANE,EMERALD ROAD,PIN:206474 DEVONPORT</v>
      </c>
      <c r="I946" s="8">
        <f>Sheet1!I946</f>
        <v>45837</v>
      </c>
      <c r="J946" s="5" t="str">
        <f>Sheet1!M946 &amp; "," &amp; TEXT(Sheet1!N946,"dd/mm/yy")</f>
        <v>MHA/IND/01037,08/08/25</v>
      </c>
      <c r="K946" s="5" t="s">
        <v>5752</v>
      </c>
      <c r="L946" t="s">
        <v>14</v>
      </c>
      <c r="M946" s="31" t="s">
        <v>15</v>
      </c>
      <c r="N946" s="31"/>
    </row>
    <row r="947" spans="1:14" x14ac:dyDescent="0.25">
      <c r="A947" s="4" t="str">
        <f>Sheet1!A947 &amp; "/" &amp; "2025"</f>
        <v>946/2025</v>
      </c>
      <c r="B947" s="5" t="str">
        <f>Sheet1!E947</f>
        <v>IND/MEL/00946</v>
      </c>
      <c r="C947" s="6" t="str">
        <f>UPPER(Sheet1!B947)</f>
        <v>SARA VALZARI</v>
      </c>
      <c r="D947" s="7" t="str">
        <f>IF(Sheet1!F947="F","FEMALE","MALE")</f>
        <v>MALE</v>
      </c>
      <c r="E947" s="6" t="str">
        <f>UPPER(Sheet1!G947)</f>
        <v>AREN MYRTHOS</v>
      </c>
      <c r="F947" s="6" t="str">
        <f>UPPER(Sheet1!H947)</f>
        <v>ANYA MYRTHOS</v>
      </c>
      <c r="G947" s="5" t="str">
        <f>TEXT(Sheet1!C947,"dd/mm/yyyy") &amp; "," &amp; Sheet1!D947</f>
        <v>20/06/2025,BENDIGO</v>
      </c>
      <c r="H947" s="39" t="str">
        <f>UPPER(Sheet1!J947 &amp; "," &amp; Sheet1!K947 &amp; "," &amp; Sheet1!L947)</f>
        <v>153 BIRCHWOOD LANE,EMERALD ROAD,PIN:734089 BENDIGO</v>
      </c>
      <c r="I947" s="8">
        <f>Sheet1!I947</f>
        <v>45844</v>
      </c>
      <c r="J947" s="5" t="str">
        <f>Sheet1!M947 &amp; "," &amp; TEXT(Sheet1!N947,"dd/mm/yy")</f>
        <v>MHA/IND/01038,26/07/25</v>
      </c>
      <c r="K947" s="5" t="s">
        <v>5752</v>
      </c>
      <c r="L947" t="s">
        <v>14</v>
      </c>
      <c r="M947" s="31" t="s">
        <v>15</v>
      </c>
      <c r="N947" s="31"/>
    </row>
    <row r="948" spans="1:14" x14ac:dyDescent="0.25">
      <c r="A948" s="4" t="str">
        <f>Sheet1!A948 &amp; "/" &amp; "2025"</f>
        <v>947/2025</v>
      </c>
      <c r="B948" s="5" t="str">
        <f>Sheet1!E948</f>
        <v>IND/MEL/00947</v>
      </c>
      <c r="C948" s="6" t="str">
        <f>UPPER(Sheet1!B948)</f>
        <v>ROHIT MYRTHOS</v>
      </c>
      <c r="D948" s="7" t="str">
        <f>IF(Sheet1!F948="F","FEMALE","MALE")</f>
        <v>MALE</v>
      </c>
      <c r="E948" s="6" t="str">
        <f>UPPER(Sheet1!G948)</f>
        <v>KIRAN SINDALE</v>
      </c>
      <c r="F948" s="6" t="str">
        <f>UPPER(Sheet1!H948)</f>
        <v>TARA SINDALE</v>
      </c>
      <c r="G948" s="5" t="str">
        <f>TEXT(Sheet1!C948,"dd/mm/yyyy") &amp; "," &amp; Sheet1!D948</f>
        <v>30/06/2025,SHEPPARTON</v>
      </c>
      <c r="H948" s="39" t="str">
        <f>UPPER(Sheet1!J948 &amp; "," &amp; Sheet1!K948 &amp; "," &amp; Sheet1!L948)</f>
        <v>62 BIRCHWOOD LANE,EMERALD ROAD,PIN:334715 SHEPPARTON</v>
      </c>
      <c r="I948" s="8">
        <f>Sheet1!I948</f>
        <v>45918</v>
      </c>
      <c r="J948" s="5" t="str">
        <f>Sheet1!M948 &amp; "," &amp; TEXT(Sheet1!N948,"dd/mm/yy")</f>
        <v>MHA/IND/01039,19/07/25</v>
      </c>
      <c r="K948" s="5" t="s">
        <v>5752</v>
      </c>
      <c r="L948" t="s">
        <v>14</v>
      </c>
      <c r="M948" s="31" t="s">
        <v>15</v>
      </c>
      <c r="N948" s="31"/>
    </row>
    <row r="949" spans="1:14" x14ac:dyDescent="0.25">
      <c r="A949" s="4" t="str">
        <f>Sheet1!A949 &amp; "/" &amp; "2025"</f>
        <v>948/2025</v>
      </c>
      <c r="B949" s="5" t="str">
        <f>Sheet1!E949</f>
        <v>IND/MEL/00948</v>
      </c>
      <c r="C949" s="6" t="str">
        <f>UPPER(Sheet1!B949)</f>
        <v>KABIR RAO</v>
      </c>
      <c r="D949" s="7" t="str">
        <f>IF(Sheet1!F949="F","FEMALE","MALE")</f>
        <v>MALE</v>
      </c>
      <c r="E949" s="6" t="str">
        <f>UPPER(Sheet1!G949)</f>
        <v>DEV SHARMA</v>
      </c>
      <c r="F949" s="6" t="str">
        <f>UPPER(Sheet1!H949)</f>
        <v>RIYA SHARMA</v>
      </c>
      <c r="G949" s="5" t="str">
        <f>TEXT(Sheet1!C949,"dd/mm/yyyy") &amp; "," &amp; Sheet1!D949</f>
        <v>31/08/2025,WODONGA</v>
      </c>
      <c r="H949" s="39" t="str">
        <f>UPPER(Sheet1!J949 &amp; "," &amp; Sheet1!K949 &amp; "," &amp; Sheet1!L949)</f>
        <v>93 BIRCHWOOD LANE,EMERALD ROAD,PIN:490957 WODONGA</v>
      </c>
      <c r="I949" s="8">
        <f>Sheet1!I949</f>
        <v>45984</v>
      </c>
      <c r="J949" s="5" t="str">
        <f>Sheet1!M949 &amp; "," &amp; TEXT(Sheet1!N949,"dd/mm/yy")</f>
        <v>MHA/IND/01040,06/07/25</v>
      </c>
      <c r="K949" s="5" t="s">
        <v>5752</v>
      </c>
      <c r="L949" t="s">
        <v>14</v>
      </c>
      <c r="M949" s="31" t="s">
        <v>15</v>
      </c>
      <c r="N949" s="31"/>
    </row>
    <row r="950" spans="1:14" x14ac:dyDescent="0.25">
      <c r="A950" s="4" t="str">
        <f>Sheet1!A950 &amp; "/" &amp; "2025"</f>
        <v>949/2025</v>
      </c>
      <c r="B950" s="5" t="str">
        <f>Sheet1!E950</f>
        <v>IND/MEL/00949</v>
      </c>
      <c r="C950" s="6" t="str">
        <f>UPPER(Sheet1!B950)</f>
        <v>DIYA RAO</v>
      </c>
      <c r="D950" s="7" t="str">
        <f>IF(Sheet1!F950="F","FEMALE","MALE")</f>
        <v>FEMALE</v>
      </c>
      <c r="E950" s="6" t="str">
        <f>UPPER(Sheet1!G950)</f>
        <v>NEIL RAO</v>
      </c>
      <c r="F950" s="6" t="str">
        <f>UPPER(Sheet1!H950)</f>
        <v>MIRA RAO</v>
      </c>
      <c r="G950" s="5" t="str">
        <f>TEXT(Sheet1!C950,"dd/mm/yyyy") &amp; "," &amp; Sheet1!D950</f>
        <v>23/10/2025,PENRITH</v>
      </c>
      <c r="H950" s="39" t="str">
        <f>UPPER(Sheet1!J950 &amp; "," &amp; Sheet1!K950 &amp; "," &amp; Sheet1!L950)</f>
        <v>159 BIRCHWOOD LANE,EMERALD ROAD,PIN:895389 PENRITH</v>
      </c>
      <c r="I950" s="8">
        <f>Sheet1!I950</f>
        <v>45959</v>
      </c>
      <c r="J950" s="5" t="str">
        <f>Sheet1!M950 &amp; "," &amp; TEXT(Sheet1!N950,"dd/mm/yy")</f>
        <v>MHA/IND/01041,26/07/25</v>
      </c>
      <c r="K950" s="5" t="s">
        <v>5752</v>
      </c>
      <c r="L950" t="s">
        <v>14</v>
      </c>
      <c r="M950" s="31" t="s">
        <v>15</v>
      </c>
      <c r="N950" s="31"/>
    </row>
    <row r="951" spans="1:14" x14ac:dyDescent="0.25">
      <c r="A951" s="4" t="str">
        <f>Sheet1!A951 &amp; "/" &amp; "2025"</f>
        <v>950/2025</v>
      </c>
      <c r="B951" s="5" t="str">
        <f>Sheet1!E951</f>
        <v>IND/MEL/00950</v>
      </c>
      <c r="C951" s="6" t="str">
        <f>UPPER(Sheet1!B951)</f>
        <v>KIRAN MYRTHOS</v>
      </c>
      <c r="D951" s="7" t="str">
        <f>IF(Sheet1!F951="F","FEMALE","MALE")</f>
        <v>FEMALE</v>
      </c>
      <c r="E951" s="6" t="str">
        <f>UPPER(Sheet1!G951)</f>
        <v>ISHAN KALEON</v>
      </c>
      <c r="F951" s="6" t="str">
        <f>UPPER(Sheet1!H951)</f>
        <v>ALYA KALEON</v>
      </c>
      <c r="G951" s="5" t="str">
        <f>TEXT(Sheet1!C951,"dd/mm/yyyy") &amp; "," &amp; Sheet1!D951</f>
        <v>27/04/2025,WODONGA</v>
      </c>
      <c r="H951" s="39" t="str">
        <f>UPPER(Sheet1!J951 &amp; "," &amp; Sheet1!K951 &amp; "," &amp; Sheet1!L951)</f>
        <v>21 BIRCHWOOD LANE,EMERALD ROAD,PIN:899035 WODONGA</v>
      </c>
      <c r="I951" s="8">
        <f>Sheet1!I951</f>
        <v>45805</v>
      </c>
      <c r="J951" s="5" t="str">
        <f>Sheet1!M951 &amp; "," &amp; TEXT(Sheet1!N951,"dd/mm/yy")</f>
        <v>MHA/IND/01042,02/07/25</v>
      </c>
      <c r="K951" s="5" t="s">
        <v>5752</v>
      </c>
      <c r="L951" t="s">
        <v>14</v>
      </c>
      <c r="M951" s="31" t="s">
        <v>15</v>
      </c>
      <c r="N951" s="31"/>
    </row>
    <row r="952" spans="1:14" x14ac:dyDescent="0.25">
      <c r="A952" s="4" t="str">
        <f>Sheet1!A952 &amp; "/" &amp; "2025"</f>
        <v>951/2025</v>
      </c>
      <c r="B952" s="5" t="str">
        <f>Sheet1!E952</f>
        <v>IND/MEL/00951</v>
      </c>
      <c r="C952" s="6" t="str">
        <f>UPPER(Sheet1!B952)</f>
        <v>NEIL SINDALE</v>
      </c>
      <c r="D952" s="7" t="str">
        <f>IF(Sheet1!F952="F","FEMALE","MALE")</f>
        <v>FEMALE</v>
      </c>
      <c r="E952" s="6" t="str">
        <f>UPPER(Sheet1!G952)</f>
        <v>NEIL RAO</v>
      </c>
      <c r="F952" s="6" t="str">
        <f>UPPER(Sheet1!H952)</f>
        <v>DIYA RAO</v>
      </c>
      <c r="G952" s="5" t="str">
        <f>TEXT(Sheet1!C952,"dd/mm/yyyy") &amp; "," &amp; Sheet1!D952</f>
        <v>06/10/2025,IPSWICH</v>
      </c>
      <c r="H952" s="39" t="str">
        <f>UPPER(Sheet1!J952 &amp; "," &amp; Sheet1!K952 &amp; "," &amp; Sheet1!L952)</f>
        <v>125 BIRCHWOOD LANE,EMERALD ROAD,PIN:344922 IPSWICH</v>
      </c>
      <c r="I952" s="8">
        <f>Sheet1!I952</f>
        <v>45992</v>
      </c>
      <c r="J952" s="5" t="str">
        <f>Sheet1!M952 &amp; "," &amp; TEXT(Sheet1!N952,"dd/mm/yy")</f>
        <v>MHA/IND/01043,30/07/25</v>
      </c>
      <c r="K952" s="5" t="s">
        <v>5752</v>
      </c>
      <c r="L952" t="s">
        <v>14</v>
      </c>
      <c r="M952" s="31" t="s">
        <v>15</v>
      </c>
      <c r="N952" s="31"/>
    </row>
    <row r="953" spans="1:14" x14ac:dyDescent="0.25">
      <c r="A953" s="4" t="str">
        <f>Sheet1!A953 &amp; "/" &amp; "2025"</f>
        <v>952/2025</v>
      </c>
      <c r="B953" s="5" t="str">
        <f>Sheet1!E953</f>
        <v>IND/MEL/00952</v>
      </c>
      <c r="C953" s="6" t="str">
        <f>UPPER(Sheet1!B953)</f>
        <v>ANYA RISHKAN</v>
      </c>
      <c r="D953" s="7" t="str">
        <f>IF(Sheet1!F953="F","FEMALE","MALE")</f>
        <v>FEMALE</v>
      </c>
      <c r="E953" s="6" t="str">
        <f>UPPER(Sheet1!G953)</f>
        <v>ARJUN KALEON</v>
      </c>
      <c r="F953" s="6" t="str">
        <f>UPPER(Sheet1!H953)</f>
        <v>ANYA KALEON</v>
      </c>
      <c r="G953" s="5" t="str">
        <f>TEXT(Sheet1!C953,"dd/mm/yyyy") &amp; "," &amp; Sheet1!D953</f>
        <v>27/03/2025,BERWICK</v>
      </c>
      <c r="H953" s="39" t="str">
        <f>UPPER(Sheet1!J953 &amp; "," &amp; Sheet1!K953 &amp; "," &amp; Sheet1!L953)</f>
        <v>68 BIRCHWOOD LANE,EMERALD ROAD,PIN:360661 BERWICK</v>
      </c>
      <c r="I953" s="8">
        <f>Sheet1!I953</f>
        <v>45754</v>
      </c>
      <c r="J953" s="5" t="str">
        <f>Sheet1!M953 &amp; "," &amp; TEXT(Sheet1!N953,"dd/mm/yy")</f>
        <v>MHA/IND/01044,11/07/25</v>
      </c>
      <c r="K953" s="5" t="s">
        <v>5752</v>
      </c>
      <c r="L953" t="s">
        <v>14</v>
      </c>
      <c r="M953" s="31" t="s">
        <v>15</v>
      </c>
      <c r="N953" s="31"/>
    </row>
    <row r="954" spans="1:14" x14ac:dyDescent="0.25">
      <c r="A954" s="4" t="str">
        <f>Sheet1!A954 &amp; "/" &amp; "2025"</f>
        <v>953/2025</v>
      </c>
      <c r="B954" s="5" t="str">
        <f>Sheet1!E954</f>
        <v>IND/MEL/00953</v>
      </c>
      <c r="C954" s="6" t="str">
        <f>UPPER(Sheet1!B954)</f>
        <v>ISHAN MYRTHOS</v>
      </c>
      <c r="D954" s="7" t="str">
        <f>IF(Sheet1!F954="F","FEMALE","MALE")</f>
        <v>FEMALE</v>
      </c>
      <c r="E954" s="6" t="str">
        <f>UPPER(Sheet1!G954)</f>
        <v>ARJUN MYRTHOS</v>
      </c>
      <c r="F954" s="6" t="str">
        <f>UPPER(Sheet1!H954)</f>
        <v>NINA MYRTHOS</v>
      </c>
      <c r="G954" s="5" t="str">
        <f>TEXT(Sheet1!C954,"dd/mm/yyyy") &amp; "," &amp; Sheet1!D954</f>
        <v>20/10/2025,CANBERRA</v>
      </c>
      <c r="H954" s="39" t="str">
        <f>UPPER(Sheet1!J954 &amp; "," &amp; Sheet1!K954 &amp; "," &amp; Sheet1!L954)</f>
        <v>196 BIRCHWOOD LANE,EMERALD ROAD,PIN:308984 CANBERRA</v>
      </c>
      <c r="I954" s="8">
        <f>Sheet1!I954</f>
        <v>45969</v>
      </c>
      <c r="J954" s="5" t="str">
        <f>Sheet1!M954 &amp; "," &amp; TEXT(Sheet1!N954,"dd/mm/yy")</f>
        <v>MHA/IND/01045,17/07/25</v>
      </c>
      <c r="K954" s="5" t="s">
        <v>5752</v>
      </c>
      <c r="L954" t="s">
        <v>14</v>
      </c>
      <c r="M954" s="31" t="s">
        <v>15</v>
      </c>
      <c r="N954" s="31"/>
    </row>
    <row r="955" spans="1:14" x14ac:dyDescent="0.25">
      <c r="A955" s="4" t="str">
        <f>Sheet1!A955 &amp; "/" &amp; "2025"</f>
        <v>954/2025</v>
      </c>
      <c r="B955" s="5" t="str">
        <f>Sheet1!E955</f>
        <v>IND/MEL/00954</v>
      </c>
      <c r="C955" s="6" t="str">
        <f>UPPER(Sheet1!B955)</f>
        <v>ROHIT KALEON</v>
      </c>
      <c r="D955" s="7" t="str">
        <f>IF(Sheet1!F955="F","FEMALE","MALE")</f>
        <v>FEMALE</v>
      </c>
      <c r="E955" s="6" t="str">
        <f>UPPER(Sheet1!G955)</f>
        <v>AREN KALEON</v>
      </c>
      <c r="F955" s="6" t="str">
        <f>UPPER(Sheet1!H955)</f>
        <v>ALYA KALEON</v>
      </c>
      <c r="G955" s="5" t="str">
        <f>TEXT(Sheet1!C955,"dd/mm/yyyy") &amp; "," &amp; Sheet1!D955</f>
        <v>02/01/2025,CLAYTON</v>
      </c>
      <c r="H955" s="39" t="str">
        <f>UPPER(Sheet1!J955 &amp; "," &amp; Sheet1!K955 &amp; "," &amp; Sheet1!L955)</f>
        <v>37 BIRCHWOOD LANE,EMERALD ROAD,PIN:907143 CLAYTON</v>
      </c>
      <c r="I955" s="8">
        <f>Sheet1!I955</f>
        <v>45686</v>
      </c>
      <c r="J955" s="5" t="str">
        <f>Sheet1!M955 &amp; "," &amp; TEXT(Sheet1!N955,"dd/mm/yy")</f>
        <v>MHA/IND/01046,10/08/25</v>
      </c>
      <c r="K955" s="5" t="s">
        <v>5752</v>
      </c>
      <c r="L955" t="s">
        <v>14</v>
      </c>
      <c r="M955" s="31" t="s">
        <v>15</v>
      </c>
      <c r="N955" s="31"/>
    </row>
    <row r="956" spans="1:14" x14ac:dyDescent="0.25">
      <c r="A956" s="4" t="str">
        <f>Sheet1!A956 &amp; "/" &amp; "2025"</f>
        <v>955/2025</v>
      </c>
      <c r="B956" s="5" t="str">
        <f>Sheet1!E956</f>
        <v>IND/MEL/00955</v>
      </c>
      <c r="C956" s="6" t="str">
        <f>UPPER(Sheet1!B956)</f>
        <v>NEIL KALEON</v>
      </c>
      <c r="D956" s="7" t="str">
        <f>IF(Sheet1!F956="F","FEMALE","MALE")</f>
        <v>FEMALE</v>
      </c>
      <c r="E956" s="6" t="str">
        <f>UPPER(Sheet1!G956)</f>
        <v>AREN MYRTHOS</v>
      </c>
      <c r="F956" s="6" t="str">
        <f>UPPER(Sheet1!H956)</f>
        <v>SARA MYRTHOS</v>
      </c>
      <c r="G956" s="5" t="str">
        <f>TEXT(Sheet1!C956,"dd/mm/yyyy") &amp; "," &amp; Sheet1!D956</f>
        <v>03/07/2025,BRISBANE</v>
      </c>
      <c r="H956" s="39" t="str">
        <f>UPPER(Sheet1!J956 &amp; "," &amp; Sheet1!K956 &amp; "," &amp; Sheet1!L956)</f>
        <v>78 BIRCHWOOD LANE,EMERALD ROAD,PIN:350260 BRISBANE</v>
      </c>
      <c r="I956" s="8">
        <f>Sheet1!I956</f>
        <v>45924</v>
      </c>
      <c r="J956" s="5" t="str">
        <f>Sheet1!M956 &amp; "," &amp; TEXT(Sheet1!N956,"dd/mm/yy")</f>
        <v>MHA/IND/01047,28/08/25</v>
      </c>
      <c r="K956" s="5" t="s">
        <v>5752</v>
      </c>
      <c r="L956" t="s">
        <v>14</v>
      </c>
      <c r="M956" s="31" t="s">
        <v>15</v>
      </c>
      <c r="N956" s="31"/>
    </row>
    <row r="957" spans="1:14" x14ac:dyDescent="0.25">
      <c r="A957" s="4" t="str">
        <f>Sheet1!A957 &amp; "/" &amp; "2025"</f>
        <v>956/2025</v>
      </c>
      <c r="B957" s="5" t="str">
        <f>Sheet1!E957</f>
        <v>IND/MEL/00956</v>
      </c>
      <c r="C957" s="6" t="str">
        <f>UPPER(Sheet1!B957)</f>
        <v>MIRA KALEON</v>
      </c>
      <c r="D957" s="7" t="str">
        <f>IF(Sheet1!F957="F","FEMALE","MALE")</f>
        <v>MALE</v>
      </c>
      <c r="E957" s="6" t="str">
        <f>UPPER(Sheet1!G957)</f>
        <v>KIRAN KALEON</v>
      </c>
      <c r="F957" s="6" t="str">
        <f>UPPER(Sheet1!H957)</f>
        <v>DIYA KALEON</v>
      </c>
      <c r="G957" s="5" t="str">
        <f>TEXT(Sheet1!C957,"dd/mm/yyyy") &amp; "," &amp; Sheet1!D957</f>
        <v>27/06/2025,KINGSWOOD</v>
      </c>
      <c r="H957" s="39" t="str">
        <f>UPPER(Sheet1!J957 &amp; "," &amp; Sheet1!K957 &amp; "," &amp; Sheet1!L957)</f>
        <v>112 BIRCHWOOD LANE,EMERALD ROAD,PIN:337234 KINGSWOOD</v>
      </c>
      <c r="I957" s="8">
        <f>Sheet1!I957</f>
        <v>45893</v>
      </c>
      <c r="J957" s="5" t="str">
        <f>Sheet1!M957 &amp; "," &amp; TEXT(Sheet1!N957,"dd/mm/yy")</f>
        <v>MHA/IND/01048,01/07/25</v>
      </c>
      <c r="K957" s="5" t="s">
        <v>5752</v>
      </c>
      <c r="L957" t="s">
        <v>14</v>
      </c>
      <c r="M957" s="31" t="s">
        <v>15</v>
      </c>
      <c r="N957" s="31"/>
    </row>
    <row r="958" spans="1:14" x14ac:dyDescent="0.25">
      <c r="A958" s="4" t="str">
        <f>Sheet1!A958 &amp; "/" &amp; "2025"</f>
        <v>957/2025</v>
      </c>
      <c r="B958" s="5" t="str">
        <f>Sheet1!E958</f>
        <v>IND/MEL/00957</v>
      </c>
      <c r="C958" s="6" t="str">
        <f>UPPER(Sheet1!B958)</f>
        <v>DIYA KALEON</v>
      </c>
      <c r="D958" s="7" t="str">
        <f>IF(Sheet1!F958="F","FEMALE","MALE")</f>
        <v>MALE</v>
      </c>
      <c r="E958" s="6" t="str">
        <f>UPPER(Sheet1!G958)</f>
        <v>ARJUN SHARMA</v>
      </c>
      <c r="F958" s="6" t="str">
        <f>UPPER(Sheet1!H958)</f>
        <v>MIRA SHARMA</v>
      </c>
      <c r="G958" s="5" t="str">
        <f>TEXT(Sheet1!C958,"dd/mm/yyyy") &amp; "," &amp; Sheet1!D958</f>
        <v>26/09/2025,CAMPBELLTOWN</v>
      </c>
      <c r="H958" s="39" t="str">
        <f>UPPER(Sheet1!J958 &amp; "," &amp; Sheet1!K958 &amp; "," &amp; Sheet1!L958)</f>
        <v>84 BIRCHWOOD LANE,EMERALD ROAD,PIN:403707 CAMPBELLTOWN</v>
      </c>
      <c r="I958" s="8">
        <f>Sheet1!I958</f>
        <v>45969</v>
      </c>
      <c r="J958" s="5" t="str">
        <f>Sheet1!M958 &amp; "," &amp; TEXT(Sheet1!N958,"dd/mm/yy")</f>
        <v>MHA/IND/01049,24/08/25</v>
      </c>
      <c r="K958" s="5" t="s">
        <v>5752</v>
      </c>
      <c r="L958" t="s">
        <v>14</v>
      </c>
      <c r="M958" s="31" t="s">
        <v>15</v>
      </c>
      <c r="N958" s="31"/>
    </row>
    <row r="959" spans="1:14" x14ac:dyDescent="0.25">
      <c r="A959" s="4" t="str">
        <f>Sheet1!A959 &amp; "/" &amp; "2025"</f>
        <v>958/2025</v>
      </c>
      <c r="B959" s="5" t="str">
        <f>Sheet1!E959</f>
        <v>IND/MEL/00958</v>
      </c>
      <c r="C959" s="6" t="str">
        <f>UPPER(Sheet1!B959)</f>
        <v>KABIR MYRTHOS</v>
      </c>
      <c r="D959" s="7" t="str">
        <f>IF(Sheet1!F959="F","FEMALE","MALE")</f>
        <v>FEMALE</v>
      </c>
      <c r="E959" s="6" t="str">
        <f>UPPER(Sheet1!G959)</f>
        <v>ARJUN RISHKAN</v>
      </c>
      <c r="F959" s="6" t="str">
        <f>UPPER(Sheet1!H959)</f>
        <v>MIRA RISHKAN</v>
      </c>
      <c r="G959" s="5" t="str">
        <f>TEXT(Sheet1!C959,"dd/mm/yyyy") &amp; "," &amp; Sheet1!D959</f>
        <v>06/01/2025,BERWICK</v>
      </c>
      <c r="H959" s="39" t="str">
        <f>UPPER(Sheet1!J959 &amp; "," &amp; Sheet1!K959 &amp; "," &amp; Sheet1!L959)</f>
        <v>61 BIRCHWOOD LANE,EMERALD ROAD,PIN:379882 BERWICK</v>
      </c>
      <c r="I959" s="8">
        <f>Sheet1!I959</f>
        <v>45730</v>
      </c>
      <c r="J959" s="5" t="str">
        <f>Sheet1!M959 &amp; "," &amp; TEXT(Sheet1!N959,"dd/mm/yy")</f>
        <v>MHA/IND/01050,12/08/25</v>
      </c>
      <c r="K959" s="5" t="s">
        <v>5752</v>
      </c>
      <c r="L959" t="s">
        <v>14</v>
      </c>
      <c r="M959" s="31" t="s">
        <v>15</v>
      </c>
      <c r="N959" s="31"/>
    </row>
    <row r="960" spans="1:14" x14ac:dyDescent="0.25">
      <c r="A960" s="4" t="str">
        <f>Sheet1!A960 &amp; "/" &amp; "2025"</f>
        <v>959/2025</v>
      </c>
      <c r="B960" s="5" t="str">
        <f>Sheet1!E960</f>
        <v>IND/MEL/00959</v>
      </c>
      <c r="C960" s="6" t="str">
        <f>UPPER(Sheet1!B960)</f>
        <v>ROHIT RISHKAN</v>
      </c>
      <c r="D960" s="7" t="str">
        <f>IF(Sheet1!F960="F","FEMALE","MALE")</f>
        <v>MALE</v>
      </c>
      <c r="E960" s="6" t="str">
        <f>UPPER(Sheet1!G960)</f>
        <v>ARJUN RAO</v>
      </c>
      <c r="F960" s="6" t="str">
        <f>UPPER(Sheet1!H960)</f>
        <v>MIRA RAO</v>
      </c>
      <c r="G960" s="5" t="str">
        <f>TEXT(Sheet1!C960,"dd/mm/yyyy") &amp; "," &amp; Sheet1!D960</f>
        <v>18/02/2025,PERTH</v>
      </c>
      <c r="H960" s="39" t="str">
        <f>UPPER(Sheet1!J960 &amp; "," &amp; Sheet1!K960 &amp; "," &amp; Sheet1!L960)</f>
        <v>15 BIRCHWOOD LANE,EMERALD ROAD,PIN:909065 PERTH</v>
      </c>
      <c r="I960" s="8">
        <f>Sheet1!I960</f>
        <v>45815</v>
      </c>
      <c r="J960" s="5" t="str">
        <f>Sheet1!M960 &amp; "," &amp; TEXT(Sheet1!N960,"dd/mm/yy")</f>
        <v>MHA/IND/01051,24/07/25</v>
      </c>
      <c r="K960" s="5" t="s">
        <v>5752</v>
      </c>
      <c r="L960" t="s">
        <v>14</v>
      </c>
      <c r="M960" s="31" t="s">
        <v>15</v>
      </c>
      <c r="N960" s="31"/>
    </row>
    <row r="961" spans="1:14" x14ac:dyDescent="0.25">
      <c r="A961" s="4" t="str">
        <f>Sheet1!A961 &amp; "/" &amp; "2025"</f>
        <v>960/2025</v>
      </c>
      <c r="B961" s="5" t="str">
        <f>Sheet1!E961</f>
        <v>IND/MEL/00960</v>
      </c>
      <c r="C961" s="6" t="str">
        <f>UPPER(Sheet1!B961)</f>
        <v>ROHIT MYRTHOS</v>
      </c>
      <c r="D961" s="7" t="str">
        <f>IF(Sheet1!F961="F","FEMALE","MALE")</f>
        <v>FEMALE</v>
      </c>
      <c r="E961" s="6" t="str">
        <f>UPPER(Sheet1!G961)</f>
        <v>ROHIT SHARMA</v>
      </c>
      <c r="F961" s="6" t="str">
        <f>UPPER(Sheet1!H961)</f>
        <v>ANYA SHARMA</v>
      </c>
      <c r="G961" s="5" t="str">
        <f>TEXT(Sheet1!C961,"dd/mm/yyyy") &amp; "," &amp; Sheet1!D961</f>
        <v>16/07/2025,TRARALGON</v>
      </c>
      <c r="H961" s="39" t="str">
        <f>UPPER(Sheet1!J961 &amp; "," &amp; Sheet1!K961 &amp; "," &amp; Sheet1!L961)</f>
        <v>105 BIRCHWOOD LANE,EMERALD ROAD,PIN:749689 TRARALGON</v>
      </c>
      <c r="I961" s="8">
        <f>Sheet1!I961</f>
        <v>45971</v>
      </c>
      <c r="J961" s="5" t="str">
        <f>Sheet1!M961 &amp; "," &amp; TEXT(Sheet1!N961,"dd/mm/yy")</f>
        <v>MHA/IND/01052,17/08/25</v>
      </c>
      <c r="K961" s="5" t="s">
        <v>5752</v>
      </c>
      <c r="L961" t="s">
        <v>14</v>
      </c>
      <c r="M961" s="31" t="s">
        <v>15</v>
      </c>
      <c r="N961" s="31"/>
    </row>
    <row r="962" spans="1:14" x14ac:dyDescent="0.25">
      <c r="A962" s="4" t="str">
        <f>Sheet1!A962 &amp; "/" &amp; "2025"</f>
        <v>961/2025</v>
      </c>
      <c r="B962" s="5" t="str">
        <f>Sheet1!E962</f>
        <v>IND/MEL/00961</v>
      </c>
      <c r="C962" s="6" t="str">
        <f>UPPER(Sheet1!B962)</f>
        <v>ALYA RAO</v>
      </c>
      <c r="D962" s="7" t="str">
        <f>IF(Sheet1!F962="F","FEMALE","MALE")</f>
        <v>FEMALE</v>
      </c>
      <c r="E962" s="6" t="str">
        <f>UPPER(Sheet1!G962)</f>
        <v>ISHAN KALEON</v>
      </c>
      <c r="F962" s="6" t="str">
        <f>UPPER(Sheet1!H962)</f>
        <v>NINA KALEON</v>
      </c>
      <c r="G962" s="5" t="str">
        <f>TEXT(Sheet1!C962,"dd/mm/yyyy") &amp; "," &amp; Sheet1!D962</f>
        <v>16/10/2025,BRISBANE</v>
      </c>
      <c r="H962" s="39" t="str">
        <f>UPPER(Sheet1!J962 &amp; "," &amp; Sheet1!K962 &amp; "," &amp; Sheet1!L962)</f>
        <v>151 BIRCHWOOD LANE,EMERALD ROAD,PIN:690803 BRISBANE</v>
      </c>
      <c r="I962" s="8">
        <f>Sheet1!I962</f>
        <v>46009</v>
      </c>
      <c r="J962" s="5" t="str">
        <f>Sheet1!M962 &amp; "," &amp; TEXT(Sheet1!N962,"dd/mm/yy")</f>
        <v>MHA/IND/01053,28/07/25</v>
      </c>
      <c r="K962" s="5" t="s">
        <v>5752</v>
      </c>
      <c r="L962" t="s">
        <v>14</v>
      </c>
      <c r="M962" s="31" t="s">
        <v>15</v>
      </c>
      <c r="N962" s="31"/>
    </row>
    <row r="963" spans="1:14" x14ac:dyDescent="0.25">
      <c r="A963" s="4" t="str">
        <f>Sheet1!A963 &amp; "/" &amp; "2025"</f>
        <v>962/2025</v>
      </c>
      <c r="B963" s="5" t="str">
        <f>Sheet1!E963</f>
        <v>IND/MEL/00962</v>
      </c>
      <c r="C963" s="6" t="str">
        <f>UPPER(Sheet1!B963)</f>
        <v>NEIL RISHKAN</v>
      </c>
      <c r="D963" s="7" t="str">
        <f>IF(Sheet1!F963="F","FEMALE","MALE")</f>
        <v>MALE</v>
      </c>
      <c r="E963" s="6" t="str">
        <f>UPPER(Sheet1!G963)</f>
        <v>NEIL RAO</v>
      </c>
      <c r="F963" s="6" t="str">
        <f>UPPER(Sheet1!H963)</f>
        <v>RIYA RAO</v>
      </c>
      <c r="G963" s="5" t="str">
        <f>TEXT(Sheet1!C963,"dd/mm/yyyy") &amp; "," &amp; Sheet1!D963</f>
        <v>10/10/2025,GEELONG</v>
      </c>
      <c r="H963" s="39" t="str">
        <f>UPPER(Sheet1!J963 &amp; "," &amp; Sheet1!K963 &amp; "," &amp; Sheet1!L963)</f>
        <v>28 BIRCHWOOD LANE,EMERALD ROAD,PIN:862049 GEELONG</v>
      </c>
      <c r="I963" s="8">
        <f>Sheet1!I963</f>
        <v>46053</v>
      </c>
      <c r="J963" s="5" t="str">
        <f>Sheet1!M963 &amp; "," &amp; TEXT(Sheet1!N963,"dd/mm/yy")</f>
        <v>MHA/IND/01054,13/07/25</v>
      </c>
      <c r="K963" s="5" t="s">
        <v>5752</v>
      </c>
      <c r="L963" t="s">
        <v>14</v>
      </c>
      <c r="M963" s="31" t="s">
        <v>15</v>
      </c>
      <c r="N963" s="31"/>
    </row>
    <row r="964" spans="1:14" x14ac:dyDescent="0.25">
      <c r="A964" s="4" t="str">
        <f>Sheet1!A964 &amp; "/" &amp; "2025"</f>
        <v>963/2025</v>
      </c>
      <c r="B964" s="5" t="str">
        <f>Sheet1!E964</f>
        <v>IND/MEL/00963</v>
      </c>
      <c r="C964" s="6" t="str">
        <f>UPPER(Sheet1!B964)</f>
        <v>RIYA SHARMA</v>
      </c>
      <c r="D964" s="7" t="str">
        <f>IF(Sheet1!F964="F","FEMALE","MALE")</f>
        <v>MALE</v>
      </c>
      <c r="E964" s="6" t="str">
        <f>UPPER(Sheet1!G964)</f>
        <v>AREN SHARMA</v>
      </c>
      <c r="F964" s="6" t="str">
        <f>UPPER(Sheet1!H964)</f>
        <v>TARA SHARMA</v>
      </c>
      <c r="G964" s="5" t="str">
        <f>TEXT(Sheet1!C964,"dd/mm/yyyy") &amp; "," &amp; Sheet1!D964</f>
        <v>10/02/2025,WONTHAGGI</v>
      </c>
      <c r="H964" s="39" t="str">
        <f>UPPER(Sheet1!J964 &amp; "," &amp; Sheet1!K964 &amp; "," &amp; Sheet1!L964)</f>
        <v>49 BIRCHWOOD LANE,EMERALD ROAD,PIN:481640 WONTHAGGI</v>
      </c>
      <c r="I964" s="8">
        <f>Sheet1!I964</f>
        <v>45746</v>
      </c>
      <c r="J964" s="5" t="str">
        <f>Sheet1!M964 &amp; "," &amp; TEXT(Sheet1!N964,"dd/mm/yy")</f>
        <v>MHA/IND/01055,16/08/25</v>
      </c>
      <c r="K964" s="5" t="s">
        <v>5752</v>
      </c>
      <c r="L964" t="s">
        <v>14</v>
      </c>
      <c r="M964" s="31" t="s">
        <v>15</v>
      </c>
      <c r="N964" s="31"/>
    </row>
    <row r="965" spans="1:14" x14ac:dyDescent="0.25">
      <c r="A965" s="4" t="str">
        <f>Sheet1!A965 &amp; "/" &amp; "2025"</f>
        <v>964/2025</v>
      </c>
      <c r="B965" s="5" t="str">
        <f>Sheet1!E965</f>
        <v>IND/MEL/00964</v>
      </c>
      <c r="C965" s="6" t="str">
        <f>UPPER(Sheet1!B965)</f>
        <v>ALYA SHARMA</v>
      </c>
      <c r="D965" s="7" t="str">
        <f>IF(Sheet1!F965="F","FEMALE","MALE")</f>
        <v>FEMALE</v>
      </c>
      <c r="E965" s="6" t="str">
        <f>UPPER(Sheet1!G965)</f>
        <v>NEIL RAO</v>
      </c>
      <c r="F965" s="6" t="str">
        <f>UPPER(Sheet1!H965)</f>
        <v>ANYA RAO</v>
      </c>
      <c r="G965" s="5" t="str">
        <f>TEXT(Sheet1!C965,"dd/mm/yyyy") &amp; "," &amp; Sheet1!D965</f>
        <v>09/05/2025,BELCONNEN</v>
      </c>
      <c r="H965" s="39" t="str">
        <f>UPPER(Sheet1!J965 &amp; "," &amp; Sheet1!K965 &amp; "," &amp; Sheet1!L965)</f>
        <v>139 BIRCHWOOD LANE,EMERALD ROAD,PIN:562907 BELCONNEN</v>
      </c>
      <c r="I965" s="8">
        <f>Sheet1!I965</f>
        <v>45815</v>
      </c>
      <c r="J965" s="5" t="str">
        <f>Sheet1!M965 &amp; "," &amp; TEXT(Sheet1!N965,"dd/mm/yy")</f>
        <v>MHA/IND/01056,28/08/25</v>
      </c>
      <c r="K965" s="5" t="s">
        <v>5752</v>
      </c>
      <c r="L965" t="s">
        <v>14</v>
      </c>
      <c r="M965" s="31" t="s">
        <v>15</v>
      </c>
      <c r="N965" s="31"/>
    </row>
    <row r="966" spans="1:14" x14ac:dyDescent="0.25">
      <c r="A966" s="4" t="str">
        <f>Sheet1!A966 &amp; "/" &amp; "2025"</f>
        <v>965/2025</v>
      </c>
      <c r="B966" s="5" t="str">
        <f>Sheet1!E966</f>
        <v>IND/MEL/00965</v>
      </c>
      <c r="C966" s="6" t="str">
        <f>UPPER(Sheet1!B966)</f>
        <v>SARA KALEON</v>
      </c>
      <c r="D966" s="7" t="str">
        <f>IF(Sheet1!F966="F","FEMALE","MALE")</f>
        <v>FEMALE</v>
      </c>
      <c r="E966" s="6" t="str">
        <f>UPPER(Sheet1!G966)</f>
        <v>DEV VALZARI</v>
      </c>
      <c r="F966" s="6" t="str">
        <f>UPPER(Sheet1!H966)</f>
        <v>TARA VALZARI</v>
      </c>
      <c r="G966" s="5" t="str">
        <f>TEXT(Sheet1!C966,"dd/mm/yyyy") &amp; "," &amp; Sheet1!D966</f>
        <v>20/06/2025,ST ALBANS</v>
      </c>
      <c r="H966" s="39" t="str">
        <f>UPPER(Sheet1!J966 &amp; "," &amp; Sheet1!K966 &amp; "," &amp; Sheet1!L966)</f>
        <v>121 BIRCHWOOD LANE,EMERALD ROAD,PIN:447933 ST ALBANS</v>
      </c>
      <c r="I966" s="8">
        <f>Sheet1!I966</f>
        <v>45852</v>
      </c>
      <c r="J966" s="5" t="str">
        <f>Sheet1!M966 &amp; "," &amp; TEXT(Sheet1!N966,"dd/mm/yy")</f>
        <v>MHA/IND/01057,20/07/25</v>
      </c>
      <c r="K966" s="5" t="s">
        <v>5752</v>
      </c>
      <c r="L966" t="s">
        <v>14</v>
      </c>
      <c r="M966" s="31" t="s">
        <v>15</v>
      </c>
      <c r="N966" s="31"/>
    </row>
    <row r="967" spans="1:14" x14ac:dyDescent="0.25">
      <c r="A967" s="4" t="str">
        <f>Sheet1!A967 &amp; "/" &amp; "2025"</f>
        <v>966/2025</v>
      </c>
      <c r="B967" s="5" t="str">
        <f>Sheet1!E967</f>
        <v>IND/MEL/00966</v>
      </c>
      <c r="C967" s="6" t="str">
        <f>UPPER(Sheet1!B967)</f>
        <v>ARJUN VALZARI</v>
      </c>
      <c r="D967" s="7" t="str">
        <f>IF(Sheet1!F967="F","FEMALE","MALE")</f>
        <v>FEMALE</v>
      </c>
      <c r="E967" s="6" t="str">
        <f>UPPER(Sheet1!G967)</f>
        <v>ROHIT RISHKAN</v>
      </c>
      <c r="F967" s="6" t="str">
        <f>UPPER(Sheet1!H967)</f>
        <v>DIYA RISHKAN</v>
      </c>
      <c r="G967" s="5" t="str">
        <f>TEXT(Sheet1!C967,"dd/mm/yyyy") &amp; "," &amp; Sheet1!D967</f>
        <v>11/02/2025,TOWNSVILLE</v>
      </c>
      <c r="H967" s="39" t="str">
        <f>UPPER(Sheet1!J967 &amp; "," &amp; Sheet1!K967 &amp; "," &amp; Sheet1!L967)</f>
        <v>13 BIRCHWOOD LANE,EMERALD ROAD,PIN:803740 TOWNSVILLE</v>
      </c>
      <c r="I967" s="8">
        <f>Sheet1!I967</f>
        <v>45809</v>
      </c>
      <c r="J967" s="5" t="str">
        <f>Sheet1!M967 &amp; "," &amp; TEXT(Sheet1!N967,"dd/mm/yy")</f>
        <v>MHA/IND/01058,21/07/25</v>
      </c>
      <c r="K967" s="5" t="s">
        <v>5752</v>
      </c>
      <c r="L967" t="s">
        <v>14</v>
      </c>
      <c r="M967" s="31" t="s">
        <v>15</v>
      </c>
      <c r="N967" s="31"/>
    </row>
    <row r="968" spans="1:14" x14ac:dyDescent="0.25">
      <c r="A968" s="4" t="str">
        <f>Sheet1!A968 &amp; "/" &amp; "2025"</f>
        <v>967/2025</v>
      </c>
      <c r="B968" s="5" t="str">
        <f>Sheet1!E968</f>
        <v>IND/MEL/00967</v>
      </c>
      <c r="C968" s="6" t="str">
        <f>UPPER(Sheet1!B968)</f>
        <v>NEIL VALZARI</v>
      </c>
      <c r="D968" s="7" t="str">
        <f>IF(Sheet1!F968="F","FEMALE","MALE")</f>
        <v>FEMALE</v>
      </c>
      <c r="E968" s="6" t="str">
        <f>UPPER(Sheet1!G968)</f>
        <v>KABIR KALEON</v>
      </c>
      <c r="F968" s="6" t="str">
        <f>UPPER(Sheet1!H968)</f>
        <v>RIYA KALEON</v>
      </c>
      <c r="G968" s="5" t="str">
        <f>TEXT(Sheet1!C968,"dd/mm/yyyy") &amp; "," &amp; Sheet1!D968</f>
        <v>15/02/2025,WOLLONGONG</v>
      </c>
      <c r="H968" s="39" t="str">
        <f>UPPER(Sheet1!J968 &amp; "," &amp; Sheet1!K968 &amp; "," &amp; Sheet1!L968)</f>
        <v>31 BIRCHWOOD LANE,EMERALD ROAD,PIN:595547 WOLLONGONG</v>
      </c>
      <c r="I968" s="8">
        <f>Sheet1!I968</f>
        <v>45820</v>
      </c>
      <c r="J968" s="5" t="str">
        <f>Sheet1!M968 &amp; "," &amp; TEXT(Sheet1!N968,"dd/mm/yy")</f>
        <v>MHA/IND/01059,26/08/25</v>
      </c>
      <c r="K968" s="5" t="s">
        <v>5752</v>
      </c>
      <c r="L968" t="s">
        <v>14</v>
      </c>
      <c r="M968" s="31" t="s">
        <v>15</v>
      </c>
      <c r="N968" s="31"/>
    </row>
    <row r="969" spans="1:14" x14ac:dyDescent="0.25">
      <c r="A969" s="4" t="str">
        <f>Sheet1!A969 &amp; "/" &amp; "2025"</f>
        <v>968/2025</v>
      </c>
      <c r="B969" s="5" t="str">
        <f>Sheet1!E969</f>
        <v>IND/MEL/00968</v>
      </c>
      <c r="C969" s="6" t="str">
        <f>UPPER(Sheet1!B969)</f>
        <v>ANYA RISHKAN</v>
      </c>
      <c r="D969" s="7" t="str">
        <f>IF(Sheet1!F969="F","FEMALE","MALE")</f>
        <v>MALE</v>
      </c>
      <c r="E969" s="6" t="str">
        <f>UPPER(Sheet1!G969)</f>
        <v>ROHIT MYRTHOS</v>
      </c>
      <c r="F969" s="6" t="str">
        <f>UPPER(Sheet1!H969)</f>
        <v>ALYA MYRTHOS</v>
      </c>
      <c r="G969" s="5" t="str">
        <f>TEXT(Sheet1!C969,"dd/mm/yyyy") &amp; "," &amp; Sheet1!D969</f>
        <v>21/03/2025,CAMPBELLTOWN</v>
      </c>
      <c r="H969" s="39" t="str">
        <f>UPPER(Sheet1!J969 &amp; "," &amp; Sheet1!K969 &amp; "," &amp; Sheet1!L969)</f>
        <v>59 BIRCHWOOD LANE,EMERALD ROAD,PIN:475285 CAMPBELLTOWN</v>
      </c>
      <c r="I969" s="8">
        <f>Sheet1!I969</f>
        <v>45800</v>
      </c>
      <c r="J969" s="5" t="str">
        <f>Sheet1!M969 &amp; "," &amp; TEXT(Sheet1!N969,"dd/mm/yy")</f>
        <v>MHA/IND/01060,15/08/25</v>
      </c>
      <c r="K969" s="5" t="s">
        <v>5752</v>
      </c>
      <c r="L969" t="s">
        <v>14</v>
      </c>
      <c r="M969" s="31" t="s">
        <v>15</v>
      </c>
      <c r="N969" s="31"/>
    </row>
    <row r="970" spans="1:14" x14ac:dyDescent="0.25">
      <c r="A970" s="4" t="str">
        <f>Sheet1!A970 &amp; "/" &amp; "2025"</f>
        <v>969/2025</v>
      </c>
      <c r="B970" s="5" t="str">
        <f>Sheet1!E970</f>
        <v>IND/MEL/00969</v>
      </c>
      <c r="C970" s="6" t="str">
        <f>UPPER(Sheet1!B970)</f>
        <v>RIYA VALZARI</v>
      </c>
      <c r="D970" s="7" t="str">
        <f>IF(Sheet1!F970="F","FEMALE","MALE")</f>
        <v>MALE</v>
      </c>
      <c r="E970" s="6" t="str">
        <f>UPPER(Sheet1!G970)</f>
        <v>DEV SHARMA</v>
      </c>
      <c r="F970" s="6" t="str">
        <f>UPPER(Sheet1!H970)</f>
        <v>RIYA SHARMA</v>
      </c>
      <c r="G970" s="5" t="str">
        <f>TEXT(Sheet1!C970,"dd/mm/yyyy") &amp; "," &amp; Sheet1!D970</f>
        <v>25/10/2025,LENAH VALLEY</v>
      </c>
      <c r="H970" s="39" t="str">
        <f>UPPER(Sheet1!J970 &amp; "," &amp; Sheet1!K970 &amp; "," &amp; Sheet1!L970)</f>
        <v>55 BIRCHWOOD LANE,EMERALD ROAD,PIN:883192 LENAH VALLEY</v>
      </c>
      <c r="I970" s="8">
        <f>Sheet1!I970</f>
        <v>45983</v>
      </c>
      <c r="J970" s="5" t="str">
        <f>Sheet1!M970 &amp; "," &amp; TEXT(Sheet1!N970,"dd/mm/yy")</f>
        <v>MHA/IND/01061,19/07/25</v>
      </c>
      <c r="K970" s="5" t="s">
        <v>5752</v>
      </c>
      <c r="L970" t="s">
        <v>14</v>
      </c>
      <c r="M970" s="31" t="s">
        <v>15</v>
      </c>
      <c r="N970" s="31"/>
    </row>
    <row r="971" spans="1:14" x14ac:dyDescent="0.25">
      <c r="A971" s="4" t="str">
        <f>Sheet1!A971 &amp; "/" &amp; "2025"</f>
        <v>970/2025</v>
      </c>
      <c r="B971" s="5" t="str">
        <f>Sheet1!E971</f>
        <v>IND/MEL/00970</v>
      </c>
      <c r="C971" s="6" t="str">
        <f>UPPER(Sheet1!B971)</f>
        <v>NINA MYRTHOS</v>
      </c>
      <c r="D971" s="7" t="str">
        <f>IF(Sheet1!F971="F","FEMALE","MALE")</f>
        <v>MALE</v>
      </c>
      <c r="E971" s="6" t="str">
        <f>UPPER(Sheet1!G971)</f>
        <v>KABIR VALZARI</v>
      </c>
      <c r="F971" s="6" t="str">
        <f>UPPER(Sheet1!H971)</f>
        <v>ANYA VALZARI</v>
      </c>
      <c r="G971" s="5" t="str">
        <f>TEXT(Sheet1!C971,"dd/mm/yyyy") &amp; "," &amp; Sheet1!D971</f>
        <v>18/06/2025,PARRAMATTA</v>
      </c>
      <c r="H971" s="39" t="str">
        <f>UPPER(Sheet1!J971 &amp; "," &amp; Sheet1!K971 &amp; "," &amp; Sheet1!L971)</f>
        <v>18 BIRCHWOOD LANE,EMERALD ROAD,PIN:623840 PARRAMATTA</v>
      </c>
      <c r="I971" s="8">
        <f>Sheet1!I971</f>
        <v>45840</v>
      </c>
      <c r="J971" s="5" t="str">
        <f>Sheet1!M971 &amp; "," &amp; TEXT(Sheet1!N971,"dd/mm/yy")</f>
        <v>MHA/IND/01062,18/07/25</v>
      </c>
      <c r="K971" s="5" t="s">
        <v>5752</v>
      </c>
      <c r="L971" t="s">
        <v>14</v>
      </c>
      <c r="M971" s="31" t="s">
        <v>15</v>
      </c>
      <c r="N971" s="31"/>
    </row>
    <row r="972" spans="1:14" x14ac:dyDescent="0.25">
      <c r="A972" s="4" t="str">
        <f>Sheet1!A972 &amp; "/" &amp; "2025"</f>
        <v>971/2025</v>
      </c>
      <c r="B972" s="5" t="str">
        <f>Sheet1!E972</f>
        <v>IND/MEL/00971</v>
      </c>
      <c r="C972" s="6" t="str">
        <f>UPPER(Sheet1!B972)</f>
        <v>KABIR KALEON</v>
      </c>
      <c r="D972" s="7" t="str">
        <f>IF(Sheet1!F972="F","FEMALE","MALE")</f>
        <v>FEMALE</v>
      </c>
      <c r="E972" s="6" t="str">
        <f>UPPER(Sheet1!G972)</f>
        <v>ROHIT RAO</v>
      </c>
      <c r="F972" s="6" t="str">
        <f>UPPER(Sheet1!H972)</f>
        <v>ALYA RAO</v>
      </c>
      <c r="G972" s="5" t="str">
        <f>TEXT(Sheet1!C972,"dd/mm/yyyy") &amp; "," &amp; Sheet1!D972</f>
        <v>05/05/2025,GEELONG</v>
      </c>
      <c r="H972" s="39" t="str">
        <f>UPPER(Sheet1!J972 &amp; "," &amp; Sheet1!K972 &amp; "," &amp; Sheet1!L972)</f>
        <v>112 BIRCHWOOD LANE,EMERALD ROAD,PIN:153426 GEELONG</v>
      </c>
      <c r="I972" s="8">
        <f>Sheet1!I972</f>
        <v>45787</v>
      </c>
      <c r="J972" s="5" t="str">
        <f>Sheet1!M972 &amp; "," &amp; TEXT(Sheet1!N972,"dd/mm/yy")</f>
        <v>MHA/IND/01063,01/08/25</v>
      </c>
      <c r="K972" s="5" t="s">
        <v>5752</v>
      </c>
      <c r="L972" t="s">
        <v>14</v>
      </c>
      <c r="M972" s="31" t="s">
        <v>15</v>
      </c>
      <c r="N972" s="31"/>
    </row>
    <row r="973" spans="1:14" x14ac:dyDescent="0.25">
      <c r="A973" s="4" t="str">
        <f>Sheet1!A973 &amp; "/" &amp; "2025"</f>
        <v>972/2025</v>
      </c>
      <c r="B973" s="5" t="str">
        <f>Sheet1!E973</f>
        <v>IND/MEL/00972</v>
      </c>
      <c r="C973" s="6" t="str">
        <f>UPPER(Sheet1!B973)</f>
        <v>MIRA MYRTHOS</v>
      </c>
      <c r="D973" s="7" t="str">
        <f>IF(Sheet1!F973="F","FEMALE","MALE")</f>
        <v>MALE</v>
      </c>
      <c r="E973" s="6" t="str">
        <f>UPPER(Sheet1!G973)</f>
        <v>AREN VALZARI</v>
      </c>
      <c r="F973" s="6" t="str">
        <f>UPPER(Sheet1!H973)</f>
        <v>ANYA VALZARI</v>
      </c>
      <c r="G973" s="5" t="str">
        <f>TEXT(Sheet1!C973,"dd/mm/yyyy") &amp; "," &amp; Sheet1!D973</f>
        <v>07/04/2025,PALMERSTON</v>
      </c>
      <c r="H973" s="39" t="str">
        <f>UPPER(Sheet1!J973 &amp; "," &amp; Sheet1!K973 &amp; "," &amp; Sheet1!L973)</f>
        <v>20 BIRCHWOOD LANE,EMERALD ROAD,PIN:548726 PALMERSTON</v>
      </c>
      <c r="I973" s="8">
        <f>Sheet1!I973</f>
        <v>45765</v>
      </c>
      <c r="J973" s="5" t="str">
        <f>Sheet1!M973 &amp; "," &amp; TEXT(Sheet1!N973,"dd/mm/yy")</f>
        <v>MHA/IND/01064,16/08/25</v>
      </c>
      <c r="K973" s="5" t="s">
        <v>5752</v>
      </c>
      <c r="L973" t="s">
        <v>14</v>
      </c>
      <c r="M973" s="31" t="s">
        <v>15</v>
      </c>
      <c r="N973" s="31"/>
    </row>
    <row r="974" spans="1:14" x14ac:dyDescent="0.25">
      <c r="A974" s="4" t="str">
        <f>Sheet1!A974 &amp; "/" &amp; "2025"</f>
        <v>973/2025</v>
      </c>
      <c r="B974" s="5" t="str">
        <f>Sheet1!E974</f>
        <v>IND/MEL/00973</v>
      </c>
      <c r="C974" s="6" t="str">
        <f>UPPER(Sheet1!B974)</f>
        <v>KIRAN SHARMA</v>
      </c>
      <c r="D974" s="7" t="str">
        <f>IF(Sheet1!F974="F","FEMALE","MALE")</f>
        <v>MALE</v>
      </c>
      <c r="E974" s="6" t="str">
        <f>UPPER(Sheet1!G974)</f>
        <v>KABIR KALEON</v>
      </c>
      <c r="F974" s="6" t="str">
        <f>UPPER(Sheet1!H974)</f>
        <v>RIYA KALEON</v>
      </c>
      <c r="G974" s="5" t="str">
        <f>TEXT(Sheet1!C974,"dd/mm/yyyy") &amp; "," &amp; Sheet1!D974</f>
        <v>21/10/2025,LENAH VALLEY</v>
      </c>
      <c r="H974" s="39" t="str">
        <f>UPPER(Sheet1!J974 &amp; "," &amp; Sheet1!K974 &amp; "," &amp; Sheet1!L974)</f>
        <v>163 BIRCHWOOD LANE,EMERALD ROAD,PIN:398774 LENAH VALLEY</v>
      </c>
      <c r="I974" s="8">
        <f>Sheet1!I974</f>
        <v>46031</v>
      </c>
      <c r="J974" s="5" t="str">
        <f>Sheet1!M974 &amp; "," &amp; TEXT(Sheet1!N974,"dd/mm/yy")</f>
        <v>MHA/IND/01065,02/08/25</v>
      </c>
      <c r="K974" s="5" t="s">
        <v>5752</v>
      </c>
      <c r="L974" t="s">
        <v>14</v>
      </c>
      <c r="M974" s="31" t="s">
        <v>15</v>
      </c>
      <c r="N974" s="31"/>
    </row>
    <row r="975" spans="1:14" x14ac:dyDescent="0.25">
      <c r="A975" s="4" t="str">
        <f>Sheet1!A975 &amp; "/" &amp; "2025"</f>
        <v>974/2025</v>
      </c>
      <c r="B975" s="5" t="str">
        <f>Sheet1!E975</f>
        <v>IND/MEL/00974</v>
      </c>
      <c r="C975" s="6" t="str">
        <f>UPPER(Sheet1!B975)</f>
        <v>KIRAN KALEON</v>
      </c>
      <c r="D975" s="7" t="str">
        <f>IF(Sheet1!F975="F","FEMALE","MALE")</f>
        <v>MALE</v>
      </c>
      <c r="E975" s="6" t="str">
        <f>UPPER(Sheet1!G975)</f>
        <v>KABIR MYRTHOS</v>
      </c>
      <c r="F975" s="6" t="str">
        <f>UPPER(Sheet1!H975)</f>
        <v>NINA MYRTHOS</v>
      </c>
      <c r="G975" s="5" t="str">
        <f>TEXT(Sheet1!C975,"dd/mm/yyyy") &amp; "," &amp; Sheet1!D975</f>
        <v>27/05/2025,MIDLAND</v>
      </c>
      <c r="H975" s="39" t="str">
        <f>UPPER(Sheet1!J975 &amp; "," &amp; Sheet1!K975 &amp; "," &amp; Sheet1!L975)</f>
        <v>179 BIRCHWOOD LANE,EMERALD ROAD,PIN:688803 MIDLAND</v>
      </c>
      <c r="I975" s="8">
        <f>Sheet1!I975</f>
        <v>45918</v>
      </c>
      <c r="J975" s="5" t="str">
        <f>Sheet1!M975 &amp; "," &amp; TEXT(Sheet1!N975,"dd/mm/yy")</f>
        <v>MHA/IND/01066,23/07/25</v>
      </c>
      <c r="K975" s="5" t="s">
        <v>5752</v>
      </c>
      <c r="L975" t="s">
        <v>14</v>
      </c>
      <c r="M975" s="31" t="s">
        <v>15</v>
      </c>
      <c r="N975" s="31"/>
    </row>
    <row r="976" spans="1:14" x14ac:dyDescent="0.25">
      <c r="A976" s="4" t="str">
        <f>Sheet1!A976 &amp; "/" &amp; "2025"</f>
        <v>975/2025</v>
      </c>
      <c r="B976" s="5" t="str">
        <f>Sheet1!E976</f>
        <v>IND/MEL/00975</v>
      </c>
      <c r="C976" s="6" t="str">
        <f>UPPER(Sheet1!B976)</f>
        <v>TARA SINDALE</v>
      </c>
      <c r="D976" s="7" t="str">
        <f>IF(Sheet1!F976="F","FEMALE","MALE")</f>
        <v>FEMALE</v>
      </c>
      <c r="E976" s="6" t="str">
        <f>UPPER(Sheet1!G976)</f>
        <v>ISHAN SINDALE</v>
      </c>
      <c r="F976" s="6" t="str">
        <f>UPPER(Sheet1!H976)</f>
        <v>ANYA SINDALE</v>
      </c>
      <c r="G976" s="5" t="str">
        <f>TEXT(Sheet1!C976,"dd/mm/yyyy") &amp; "," &amp; Sheet1!D976</f>
        <v>08/09/2025,ROCKHAMPTON</v>
      </c>
      <c r="H976" s="39" t="str">
        <f>UPPER(Sheet1!J976 &amp; "," &amp; Sheet1!K976 &amp; "," &amp; Sheet1!L976)</f>
        <v>11 BIRCHWOOD LANE,EMERALD ROAD,PIN:572879 ROCKHAMPTON</v>
      </c>
      <c r="I976" s="8">
        <f>Sheet1!I976</f>
        <v>45915</v>
      </c>
      <c r="J976" s="5" t="str">
        <f>Sheet1!M976 &amp; "," &amp; TEXT(Sheet1!N976,"dd/mm/yy")</f>
        <v>MHA/IND/01067,04/08/25</v>
      </c>
      <c r="K976" s="5" t="s">
        <v>5752</v>
      </c>
      <c r="L976" t="s">
        <v>14</v>
      </c>
      <c r="M976" s="31" t="s">
        <v>15</v>
      </c>
      <c r="N976" s="31"/>
    </row>
    <row r="977" spans="1:14" x14ac:dyDescent="0.25">
      <c r="A977" s="4" t="str">
        <f>Sheet1!A977 &amp; "/" &amp; "2025"</f>
        <v>976/2025</v>
      </c>
      <c r="B977" s="5" t="str">
        <f>Sheet1!E977</f>
        <v>IND/MEL/00976</v>
      </c>
      <c r="C977" s="6" t="str">
        <f>UPPER(Sheet1!B977)</f>
        <v>DEV RAO</v>
      </c>
      <c r="D977" s="7" t="str">
        <f>IF(Sheet1!F977="F","FEMALE","MALE")</f>
        <v>FEMALE</v>
      </c>
      <c r="E977" s="6" t="str">
        <f>UPPER(Sheet1!G977)</f>
        <v>DEV VALZARI</v>
      </c>
      <c r="F977" s="6" t="str">
        <f>UPPER(Sheet1!H977)</f>
        <v>ALYA VALZARI</v>
      </c>
      <c r="G977" s="5" t="str">
        <f>TEXT(Sheet1!C977,"dd/mm/yyyy") &amp; "," &amp; Sheet1!D977</f>
        <v>04/02/2025,MANDURAH</v>
      </c>
      <c r="H977" s="39" t="str">
        <f>UPPER(Sheet1!J977 &amp; "," &amp; Sheet1!K977 &amp; "," &amp; Sheet1!L977)</f>
        <v>69 BIRCHWOOD LANE,EMERALD ROAD,PIN:775685 MANDURAH</v>
      </c>
      <c r="I977" s="8">
        <f>Sheet1!I977</f>
        <v>45717</v>
      </c>
      <c r="J977" s="5" t="str">
        <f>Sheet1!M977 &amp; "," &amp; TEXT(Sheet1!N977,"dd/mm/yy")</f>
        <v>MHA/IND/01068,15/07/25</v>
      </c>
      <c r="K977" s="5" t="s">
        <v>5752</v>
      </c>
      <c r="L977" t="s">
        <v>14</v>
      </c>
      <c r="M977" s="31" t="s">
        <v>15</v>
      </c>
      <c r="N977" s="31"/>
    </row>
    <row r="978" spans="1:14" x14ac:dyDescent="0.25">
      <c r="A978" s="4" t="str">
        <f>Sheet1!A978 &amp; "/" &amp; "2025"</f>
        <v>977/2025</v>
      </c>
      <c r="B978" s="5" t="str">
        <f>Sheet1!E978</f>
        <v>IND/MEL/00977</v>
      </c>
      <c r="C978" s="6" t="str">
        <f>UPPER(Sheet1!B978)</f>
        <v>ISHAN RISHKAN</v>
      </c>
      <c r="D978" s="7" t="str">
        <f>IF(Sheet1!F978="F","FEMALE","MALE")</f>
        <v>MALE</v>
      </c>
      <c r="E978" s="6" t="str">
        <f>UPPER(Sheet1!G978)</f>
        <v>ARJUN RISHKAN</v>
      </c>
      <c r="F978" s="6" t="str">
        <f>UPPER(Sheet1!H978)</f>
        <v>RIYA RISHKAN</v>
      </c>
      <c r="G978" s="5" t="str">
        <f>TEXT(Sheet1!C978,"dd/mm/yyyy") &amp; "," &amp; Sheet1!D978</f>
        <v>07/02/2025,DALBY</v>
      </c>
      <c r="H978" s="39" t="str">
        <f>UPPER(Sheet1!J978 &amp; "," &amp; Sheet1!K978 &amp; "," &amp; Sheet1!L978)</f>
        <v>16 BIRCHWOOD LANE,EMERALD ROAD,PIN:294333 DALBY</v>
      </c>
      <c r="I978" s="8">
        <f>Sheet1!I978</f>
        <v>45747</v>
      </c>
      <c r="J978" s="5" t="str">
        <f>Sheet1!M978 &amp; "," &amp; TEXT(Sheet1!N978,"dd/mm/yy")</f>
        <v>MHA/IND/01069,27/07/25</v>
      </c>
      <c r="K978" s="5" t="s">
        <v>5752</v>
      </c>
      <c r="L978" t="s">
        <v>14</v>
      </c>
      <c r="M978" s="31" t="s">
        <v>15</v>
      </c>
      <c r="N978" s="31"/>
    </row>
    <row r="979" spans="1:14" x14ac:dyDescent="0.25">
      <c r="A979" s="4" t="str">
        <f>Sheet1!A979 &amp; "/" &amp; "2025"</f>
        <v>978/2025</v>
      </c>
      <c r="B979" s="5" t="str">
        <f>Sheet1!E979</f>
        <v>IND/MEL/00978</v>
      </c>
      <c r="C979" s="6" t="str">
        <f>UPPER(Sheet1!B979)</f>
        <v>KABIR SINDALE</v>
      </c>
      <c r="D979" s="7" t="str">
        <f>IF(Sheet1!F979="F","FEMALE","MALE")</f>
        <v>FEMALE</v>
      </c>
      <c r="E979" s="6" t="str">
        <f>UPPER(Sheet1!G979)</f>
        <v>ISHAN RAO</v>
      </c>
      <c r="F979" s="6" t="str">
        <f>UPPER(Sheet1!H979)</f>
        <v>RIYA RAO</v>
      </c>
      <c r="G979" s="5" t="str">
        <f>TEXT(Sheet1!C979,"dd/mm/yyyy") &amp; "," &amp; Sheet1!D979</f>
        <v>25/06/2025,PARKVILLE</v>
      </c>
      <c r="H979" s="39" t="str">
        <f>UPPER(Sheet1!J979 &amp; "," &amp; Sheet1!K979 &amp; "," &amp; Sheet1!L979)</f>
        <v>89 BIRCHWOOD LANE,EMERALD ROAD,PIN:778480 PARKVILLE</v>
      </c>
      <c r="I979" s="8">
        <f>Sheet1!I979</f>
        <v>45856</v>
      </c>
      <c r="J979" s="5" t="str">
        <f>Sheet1!M979 &amp; "," &amp; TEXT(Sheet1!N979,"dd/mm/yy")</f>
        <v>MHA/IND/01070,02/07/25</v>
      </c>
      <c r="K979" s="5" t="s">
        <v>5752</v>
      </c>
      <c r="L979" t="s">
        <v>14</v>
      </c>
      <c r="M979" s="31" t="s">
        <v>15</v>
      </c>
      <c r="N979" s="31"/>
    </row>
    <row r="980" spans="1:14" x14ac:dyDescent="0.25">
      <c r="A980" s="4" t="str">
        <f>Sheet1!A980 &amp; "/" &amp; "2025"</f>
        <v>979/2025</v>
      </c>
      <c r="B980" s="5" t="str">
        <f>Sheet1!E980</f>
        <v>IND/MEL/00979</v>
      </c>
      <c r="C980" s="6" t="str">
        <f>UPPER(Sheet1!B980)</f>
        <v>KABIR SINDALE</v>
      </c>
      <c r="D980" s="7" t="str">
        <f>IF(Sheet1!F980="F","FEMALE","MALE")</f>
        <v>FEMALE</v>
      </c>
      <c r="E980" s="6" t="str">
        <f>UPPER(Sheet1!G980)</f>
        <v>KABIR RISHKAN</v>
      </c>
      <c r="F980" s="6" t="str">
        <f>UPPER(Sheet1!H980)</f>
        <v>SARA RISHKAN</v>
      </c>
      <c r="G980" s="5" t="str">
        <f>TEXT(Sheet1!C980,"dd/mm/yyyy") &amp; "," &amp; Sheet1!D980</f>
        <v>04/06/2025,ADELAIDE</v>
      </c>
      <c r="H980" s="39" t="str">
        <f>UPPER(Sheet1!J980 &amp; "," &amp; Sheet1!K980 &amp; "," &amp; Sheet1!L980)</f>
        <v>77 BIRCHWOOD LANE,EMERALD ROAD,PIN:952963 ADELAIDE</v>
      </c>
      <c r="I980" s="8">
        <f>Sheet1!I980</f>
        <v>45931</v>
      </c>
      <c r="J980" s="5" t="str">
        <f>Sheet1!M980 &amp; "," &amp; TEXT(Sheet1!N980,"dd/mm/yy")</f>
        <v>MHA/IND/01071,09/08/25</v>
      </c>
      <c r="K980" s="5" t="s">
        <v>5752</v>
      </c>
      <c r="L980" t="s">
        <v>14</v>
      </c>
      <c r="M980" s="31" t="s">
        <v>15</v>
      </c>
      <c r="N980" s="31"/>
    </row>
    <row r="981" spans="1:14" x14ac:dyDescent="0.25">
      <c r="A981" s="4" t="str">
        <f>Sheet1!A981 &amp; "/" &amp; "2025"</f>
        <v>980/2025</v>
      </c>
      <c r="B981" s="5" t="str">
        <f>Sheet1!E981</f>
        <v>IND/MEL/00980</v>
      </c>
      <c r="C981" s="6" t="str">
        <f>UPPER(Sheet1!B981)</f>
        <v>AREN RAO</v>
      </c>
      <c r="D981" s="7" t="str">
        <f>IF(Sheet1!F981="F","FEMALE","MALE")</f>
        <v>MALE</v>
      </c>
      <c r="E981" s="6" t="str">
        <f>UPPER(Sheet1!G981)</f>
        <v>ARJUN RAO</v>
      </c>
      <c r="F981" s="6" t="str">
        <f>UPPER(Sheet1!H981)</f>
        <v>NINA RAO</v>
      </c>
      <c r="G981" s="5" t="str">
        <f>TEXT(Sheet1!C981,"dd/mm/yyyy") &amp; "," &amp; Sheet1!D981</f>
        <v>25/06/2025,LOGAN</v>
      </c>
      <c r="H981" s="39" t="str">
        <f>UPPER(Sheet1!J981 &amp; "," &amp; Sheet1!K981 &amp; "," &amp; Sheet1!L981)</f>
        <v>190 BIRCHWOOD LANE,EMERALD ROAD,PIN:921501 LOGAN</v>
      </c>
      <c r="I981" s="8">
        <f>Sheet1!I981</f>
        <v>45935</v>
      </c>
      <c r="J981" s="5" t="str">
        <f>Sheet1!M981 &amp; "," &amp; TEXT(Sheet1!N981,"dd/mm/yy")</f>
        <v>MHA/IND/01072,07/07/25</v>
      </c>
      <c r="K981" s="5" t="s">
        <v>5752</v>
      </c>
      <c r="L981" t="s">
        <v>14</v>
      </c>
      <c r="M981" s="31" t="s">
        <v>15</v>
      </c>
      <c r="N981" s="31"/>
    </row>
    <row r="982" spans="1:14" x14ac:dyDescent="0.25">
      <c r="A982" s="4" t="str">
        <f>Sheet1!A982 &amp; "/" &amp; "2025"</f>
        <v>981/2025</v>
      </c>
      <c r="B982" s="5" t="str">
        <f>Sheet1!E982</f>
        <v>IND/MEL/00981</v>
      </c>
      <c r="C982" s="6" t="str">
        <f>UPPER(Sheet1!B982)</f>
        <v>ANYA KALEON</v>
      </c>
      <c r="D982" s="7" t="str">
        <f>IF(Sheet1!F982="F","FEMALE","MALE")</f>
        <v>MALE</v>
      </c>
      <c r="E982" s="6" t="str">
        <f>UPPER(Sheet1!G982)</f>
        <v>NEIL RISHKAN</v>
      </c>
      <c r="F982" s="6" t="str">
        <f>UPPER(Sheet1!H982)</f>
        <v>TARA RISHKAN</v>
      </c>
      <c r="G982" s="5" t="str">
        <f>TEXT(Sheet1!C982,"dd/mm/yyyy") &amp; "," &amp; Sheet1!D982</f>
        <v>26/06/2025,FRANKSTON</v>
      </c>
      <c r="H982" s="39" t="str">
        <f>UPPER(Sheet1!J982 &amp; "," &amp; Sheet1!K982 &amp; "," &amp; Sheet1!L982)</f>
        <v>135 BIRCHWOOD LANE,EMERALD ROAD,PIN:461997 FRANKSTON</v>
      </c>
      <c r="I982" s="8">
        <f>Sheet1!I982</f>
        <v>45866</v>
      </c>
      <c r="J982" s="5" t="str">
        <f>Sheet1!M982 &amp; "," &amp; TEXT(Sheet1!N982,"dd/mm/yy")</f>
        <v>MHA/IND/01073,20/07/25</v>
      </c>
      <c r="K982" s="5" t="s">
        <v>5752</v>
      </c>
      <c r="L982" t="s">
        <v>14</v>
      </c>
      <c r="M982" s="31" t="s">
        <v>15</v>
      </c>
      <c r="N982" s="31"/>
    </row>
    <row r="983" spans="1:14" x14ac:dyDescent="0.25">
      <c r="A983" s="4" t="str">
        <f>Sheet1!A983 &amp; "/" &amp; "2025"</f>
        <v>982/2025</v>
      </c>
      <c r="B983" s="5" t="str">
        <f>Sheet1!E983</f>
        <v>IND/MEL/00982</v>
      </c>
      <c r="C983" s="6" t="str">
        <f>UPPER(Sheet1!B983)</f>
        <v>TARA SHARMA</v>
      </c>
      <c r="D983" s="7" t="str">
        <f>IF(Sheet1!F983="F","FEMALE","MALE")</f>
        <v>MALE</v>
      </c>
      <c r="E983" s="6" t="str">
        <f>UPPER(Sheet1!G983)</f>
        <v>ARJUN MYRTHOS</v>
      </c>
      <c r="F983" s="6" t="str">
        <f>UPPER(Sheet1!H983)</f>
        <v>SARA MYRTHOS</v>
      </c>
      <c r="G983" s="5" t="str">
        <f>TEXT(Sheet1!C983,"dd/mm/yyyy") &amp; "," &amp; Sheet1!D983</f>
        <v>10/05/2025,ST ALBANS</v>
      </c>
      <c r="H983" s="39" t="str">
        <f>UPPER(Sheet1!J983 &amp; "," &amp; Sheet1!K983 &amp; "," &amp; Sheet1!L983)</f>
        <v>118 BIRCHWOOD LANE,EMERALD ROAD,PIN:541304 ST ALBANS</v>
      </c>
      <c r="I983" s="8">
        <f>Sheet1!I983</f>
        <v>45833</v>
      </c>
      <c r="J983" s="5" t="str">
        <f>Sheet1!M983 &amp; "," &amp; TEXT(Sheet1!N983,"dd/mm/yy")</f>
        <v>MHA/IND/01074,27/07/25</v>
      </c>
      <c r="K983" s="5" t="s">
        <v>5752</v>
      </c>
      <c r="L983" t="s">
        <v>14</v>
      </c>
      <c r="M983" s="31" t="s">
        <v>15</v>
      </c>
      <c r="N983" s="31"/>
    </row>
    <row r="984" spans="1:14" x14ac:dyDescent="0.25">
      <c r="A984" s="4" t="str">
        <f>Sheet1!A984 &amp; "/" &amp; "2025"</f>
        <v>983/2025</v>
      </c>
      <c r="B984" s="5" t="str">
        <f>Sheet1!E984</f>
        <v>IND/MEL/00983</v>
      </c>
      <c r="C984" s="6" t="str">
        <f>UPPER(Sheet1!B984)</f>
        <v>NINA RISHKAN</v>
      </c>
      <c r="D984" s="7" t="str">
        <f>IF(Sheet1!F984="F","FEMALE","MALE")</f>
        <v>MALE</v>
      </c>
      <c r="E984" s="6" t="str">
        <f>UPPER(Sheet1!G984)</f>
        <v>ARJUN RISHKAN</v>
      </c>
      <c r="F984" s="6" t="str">
        <f>UPPER(Sheet1!H984)</f>
        <v>SARA RISHKAN</v>
      </c>
      <c r="G984" s="5" t="str">
        <f>TEXT(Sheet1!C984,"dd/mm/yyyy") &amp; "," &amp; Sheet1!D984</f>
        <v>10/01/2025,MANDURAH</v>
      </c>
      <c r="H984" s="39" t="str">
        <f>UPPER(Sheet1!J984 &amp; "," &amp; Sheet1!K984 &amp; "," &amp; Sheet1!L984)</f>
        <v>10 BIRCHWOOD LANE,EMERALD ROAD,PIN:613365 MANDURAH</v>
      </c>
      <c r="I984" s="8">
        <f>Sheet1!I984</f>
        <v>45721</v>
      </c>
      <c r="J984" s="5" t="str">
        <f>Sheet1!M984 &amp; "," &amp; TEXT(Sheet1!N984,"dd/mm/yy")</f>
        <v>MHA/IND/01075,16/08/25</v>
      </c>
      <c r="K984" s="5" t="s">
        <v>5752</v>
      </c>
      <c r="L984" t="s">
        <v>14</v>
      </c>
      <c r="M984" s="31" t="s">
        <v>15</v>
      </c>
      <c r="N984" s="31"/>
    </row>
    <row r="985" spans="1:14" x14ac:dyDescent="0.25">
      <c r="A985" s="4" t="str">
        <f>Sheet1!A985 &amp; "/" &amp; "2025"</f>
        <v>984/2025</v>
      </c>
      <c r="B985" s="5" t="str">
        <f>Sheet1!E985</f>
        <v>IND/MEL/00984</v>
      </c>
      <c r="C985" s="6" t="str">
        <f>UPPER(Sheet1!B985)</f>
        <v>ISHAN SHARMA</v>
      </c>
      <c r="D985" s="7" t="str">
        <f>IF(Sheet1!F985="F","FEMALE","MALE")</f>
        <v>FEMALE</v>
      </c>
      <c r="E985" s="6" t="str">
        <f>UPPER(Sheet1!G985)</f>
        <v>ARJUN VALZARI</v>
      </c>
      <c r="F985" s="6" t="str">
        <f>UPPER(Sheet1!H985)</f>
        <v>DIYA VALZARI</v>
      </c>
      <c r="G985" s="5" t="str">
        <f>TEXT(Sheet1!C985,"dd/mm/yyyy") &amp; "," &amp; Sheet1!D985</f>
        <v>26/10/2025,BEDFORD PARK</v>
      </c>
      <c r="H985" s="39" t="str">
        <f>UPPER(Sheet1!J985 &amp; "," &amp; Sheet1!K985 &amp; "," &amp; Sheet1!L985)</f>
        <v>184 BIRCHWOOD LANE,EMERALD ROAD,PIN:462170 BEDFORD PARK</v>
      </c>
      <c r="I985" s="8">
        <f>Sheet1!I985</f>
        <v>45962</v>
      </c>
      <c r="J985" s="5" t="str">
        <f>Sheet1!M985 &amp; "," &amp; TEXT(Sheet1!N985,"dd/mm/yy")</f>
        <v>MHA/IND/01076,29/07/25</v>
      </c>
      <c r="K985" s="5" t="s">
        <v>5752</v>
      </c>
      <c r="L985" t="s">
        <v>14</v>
      </c>
      <c r="M985" s="31" t="s">
        <v>15</v>
      </c>
      <c r="N985" s="31"/>
    </row>
    <row r="986" spans="1:14" x14ac:dyDescent="0.25">
      <c r="A986" s="4" t="str">
        <f>Sheet1!A986 &amp; "/" &amp; "2025"</f>
        <v>985/2025</v>
      </c>
      <c r="B986" s="5" t="str">
        <f>Sheet1!E986</f>
        <v>IND/MEL/00985</v>
      </c>
      <c r="C986" s="6" t="str">
        <f>UPPER(Sheet1!B986)</f>
        <v>DIYA KALEON</v>
      </c>
      <c r="D986" s="7" t="str">
        <f>IF(Sheet1!F986="F","FEMALE","MALE")</f>
        <v>MALE</v>
      </c>
      <c r="E986" s="6" t="str">
        <f>UPPER(Sheet1!G986)</f>
        <v>ARJUN MYRTHOS</v>
      </c>
      <c r="F986" s="6" t="str">
        <f>UPPER(Sheet1!H986)</f>
        <v>NINA MYRTHOS</v>
      </c>
      <c r="G986" s="5" t="str">
        <f>TEXT(Sheet1!C986,"dd/mm/yyyy") &amp; "," &amp; Sheet1!D986</f>
        <v>01/09/2025,WERRIBEE</v>
      </c>
      <c r="H986" s="39" t="str">
        <f>UPPER(Sheet1!J986 &amp; "," &amp; Sheet1!K986 &amp; "," &amp; Sheet1!L986)</f>
        <v>35 BIRCHWOOD LANE,EMERALD ROAD,PIN:345085 WERRIBEE</v>
      </c>
      <c r="I986" s="8">
        <f>Sheet1!I986</f>
        <v>45941</v>
      </c>
      <c r="J986" s="5" t="str">
        <f>Sheet1!M986 &amp; "," &amp; TEXT(Sheet1!N986,"dd/mm/yy")</f>
        <v>MHA/IND/01077,26/08/25</v>
      </c>
      <c r="K986" s="5" t="s">
        <v>5752</v>
      </c>
      <c r="L986" t="s">
        <v>14</v>
      </c>
      <c r="M986" s="31" t="s">
        <v>15</v>
      </c>
      <c r="N986" s="31"/>
    </row>
    <row r="987" spans="1:14" x14ac:dyDescent="0.25">
      <c r="A987" s="4" t="str">
        <f>Sheet1!A987 &amp; "/" &amp; "2025"</f>
        <v>986/2025</v>
      </c>
      <c r="B987" s="5" t="str">
        <f>Sheet1!E987</f>
        <v>IND/MEL/00986</v>
      </c>
      <c r="C987" s="6" t="str">
        <f>UPPER(Sheet1!B987)</f>
        <v>SARA SINDALE</v>
      </c>
      <c r="D987" s="7" t="str">
        <f>IF(Sheet1!F987="F","FEMALE","MALE")</f>
        <v>MALE</v>
      </c>
      <c r="E987" s="6" t="str">
        <f>UPPER(Sheet1!G987)</f>
        <v>NEIL RAO</v>
      </c>
      <c r="F987" s="6" t="str">
        <f>UPPER(Sheet1!H987)</f>
        <v>SARA RAO</v>
      </c>
      <c r="G987" s="5" t="str">
        <f>TEXT(Sheet1!C987,"dd/mm/yyyy") &amp; "," &amp; Sheet1!D987</f>
        <v>22/07/2025,BUNDABERG</v>
      </c>
      <c r="H987" s="39" t="str">
        <f>UPPER(Sheet1!J987 &amp; "," &amp; Sheet1!K987 &amp; "," &amp; Sheet1!L987)</f>
        <v>131 BIRCHWOOD LANE,EMERALD ROAD,PIN:834366 BUNDABERG</v>
      </c>
      <c r="I987" s="8">
        <f>Sheet1!I987</f>
        <v>45905</v>
      </c>
      <c r="J987" s="5" t="str">
        <f>Sheet1!M987 &amp; "," &amp; TEXT(Sheet1!N987,"dd/mm/yy")</f>
        <v>MHA/IND/01078,09/07/25</v>
      </c>
      <c r="K987" s="5" t="s">
        <v>5752</v>
      </c>
      <c r="L987" t="s">
        <v>14</v>
      </c>
      <c r="M987" s="31" t="s">
        <v>15</v>
      </c>
      <c r="N987" s="31"/>
    </row>
    <row r="988" spans="1:14" x14ac:dyDescent="0.25">
      <c r="A988" s="4" t="str">
        <f>Sheet1!A988 &amp; "/" &amp; "2025"</f>
        <v>987/2025</v>
      </c>
      <c r="B988" s="5" t="str">
        <f>Sheet1!E988</f>
        <v>IND/MEL/00987</v>
      </c>
      <c r="C988" s="6" t="str">
        <f>UPPER(Sheet1!B988)</f>
        <v>ANYA RISHKAN</v>
      </c>
      <c r="D988" s="7" t="str">
        <f>IF(Sheet1!F988="F","FEMALE","MALE")</f>
        <v>FEMALE</v>
      </c>
      <c r="E988" s="6" t="str">
        <f>UPPER(Sheet1!G988)</f>
        <v>NEIL RAO</v>
      </c>
      <c r="F988" s="6" t="str">
        <f>UPPER(Sheet1!H988)</f>
        <v>RIYA RAO</v>
      </c>
      <c r="G988" s="5" t="str">
        <f>TEXT(Sheet1!C988,"dd/mm/yyyy") &amp; "," &amp; Sheet1!D988</f>
        <v>20/06/2025,PERTH</v>
      </c>
      <c r="H988" s="39" t="str">
        <f>UPPER(Sheet1!J988 &amp; "," &amp; Sheet1!K988 &amp; "," &amp; Sheet1!L988)</f>
        <v>32 BIRCHWOOD LANE,EMERALD ROAD,PIN:127602 PERTH</v>
      </c>
      <c r="I988" s="8">
        <f>Sheet1!I988</f>
        <v>45872</v>
      </c>
      <c r="J988" s="5" t="str">
        <f>Sheet1!M988 &amp; "," &amp; TEXT(Sheet1!N988,"dd/mm/yy")</f>
        <v>MHA/IND/01079,27/08/25</v>
      </c>
      <c r="K988" s="5" t="s">
        <v>5752</v>
      </c>
      <c r="L988" t="s">
        <v>14</v>
      </c>
      <c r="M988" s="31" t="s">
        <v>15</v>
      </c>
      <c r="N988" s="31"/>
    </row>
    <row r="989" spans="1:14" x14ac:dyDescent="0.25">
      <c r="A989" s="4" t="str">
        <f>Sheet1!A989 &amp; "/" &amp; "2025"</f>
        <v>988/2025</v>
      </c>
      <c r="B989" s="5" t="str">
        <f>Sheet1!E989</f>
        <v>IND/MEL/00988</v>
      </c>
      <c r="C989" s="6" t="str">
        <f>UPPER(Sheet1!B989)</f>
        <v>ISHAN VALZARI</v>
      </c>
      <c r="D989" s="7" t="str">
        <f>IF(Sheet1!F989="F","FEMALE","MALE")</f>
        <v>MALE</v>
      </c>
      <c r="E989" s="6" t="str">
        <f>UPPER(Sheet1!G989)</f>
        <v>ISHAN MYRTHOS</v>
      </c>
      <c r="F989" s="6" t="str">
        <f>UPPER(Sheet1!H989)</f>
        <v>ANYA MYRTHOS</v>
      </c>
      <c r="G989" s="5" t="str">
        <f>TEXT(Sheet1!C989,"dd/mm/yyyy") &amp; "," &amp; Sheet1!D989</f>
        <v>28/04/2025,NEWCASTLE</v>
      </c>
      <c r="H989" s="39" t="str">
        <f>UPPER(Sheet1!J989 &amp; "," &amp; Sheet1!K989 &amp; "," &amp; Sheet1!L989)</f>
        <v>139 BIRCHWOOD LANE,EMERALD ROAD,PIN:884260 NEWCASTLE</v>
      </c>
      <c r="I989" s="8">
        <f>Sheet1!I989</f>
        <v>45873</v>
      </c>
      <c r="J989" s="5" t="str">
        <f>Sheet1!M989 &amp; "," &amp; TEXT(Sheet1!N989,"dd/mm/yy")</f>
        <v>MHA/IND/01080,20/07/25</v>
      </c>
      <c r="K989" s="5" t="s">
        <v>5752</v>
      </c>
      <c r="L989" t="s">
        <v>14</v>
      </c>
      <c r="M989" s="31" t="s">
        <v>15</v>
      </c>
      <c r="N989" s="31"/>
    </row>
    <row r="990" spans="1:14" x14ac:dyDescent="0.25">
      <c r="A990" s="4" t="str">
        <f>Sheet1!A990 &amp; "/" &amp; "2025"</f>
        <v>989/2025</v>
      </c>
      <c r="B990" s="5" t="str">
        <f>Sheet1!E990</f>
        <v>IND/MEL/00989</v>
      </c>
      <c r="C990" s="6" t="str">
        <f>UPPER(Sheet1!B990)</f>
        <v>ANYA SHARMA</v>
      </c>
      <c r="D990" s="7" t="str">
        <f>IF(Sheet1!F990="F","FEMALE","MALE")</f>
        <v>FEMALE</v>
      </c>
      <c r="E990" s="6" t="str">
        <f>UPPER(Sheet1!G990)</f>
        <v>CRISTIAN DUFFY</v>
      </c>
      <c r="F990" s="6" t="str">
        <f>UPPER(Sheet1!H990)</f>
        <v>SARAH WEAVER</v>
      </c>
      <c r="G990" s="5" t="str">
        <f>TEXT(Sheet1!C990,"dd/mm/yyyy") &amp; "," &amp; Sheet1!D990</f>
        <v>21/12/2025,NORTH LEONARD</v>
      </c>
      <c r="H990" s="39" t="str">
        <f>UPPER(Sheet1!J990 &amp; "," &amp; Sheet1!K990 &amp; "," &amp; Sheet1!L990)</f>
        <v>2679 BENDER STRAVENUE,APT. 991,PIN:36472 LAKE JAMES</v>
      </c>
      <c r="I990" s="8">
        <f>Sheet1!I990</f>
        <v>46065</v>
      </c>
      <c r="J990" s="5" t="str">
        <f>Sheet1!M990 &amp; "," &amp; TEXT(Sheet1!N990,"dd/mm/yy")</f>
        <v>MHA/IND/01081,31/07/25</v>
      </c>
      <c r="K990" s="5" t="s">
        <v>5752</v>
      </c>
      <c r="L990" t="s">
        <v>14</v>
      </c>
      <c r="M990" s="31" t="s">
        <v>15</v>
      </c>
      <c r="N990" s="31"/>
    </row>
    <row r="991" spans="1:14" x14ac:dyDescent="0.25">
      <c r="A991" s="4" t="str">
        <f>Sheet1!A991 &amp; "/" &amp; "2025"</f>
        <v>990/2025</v>
      </c>
      <c r="B991" s="5" t="str">
        <f>Sheet1!E991</f>
        <v>IND/MEL/00990</v>
      </c>
      <c r="C991" s="6" t="str">
        <f>UPPER(Sheet1!B991)</f>
        <v>AREN SHARMA</v>
      </c>
      <c r="D991" s="7" t="str">
        <f>IF(Sheet1!F991="F","FEMALE","MALE")</f>
        <v>FEMALE</v>
      </c>
      <c r="E991" s="6" t="str">
        <f>UPPER(Sheet1!G991)</f>
        <v>CRISTIAN DUFFY</v>
      </c>
      <c r="F991" s="6" t="str">
        <f>UPPER(Sheet1!H991)</f>
        <v>SARAH WEAVER</v>
      </c>
      <c r="G991" s="5" t="str">
        <f>TEXT(Sheet1!C991,"dd/mm/yyyy") &amp; "," &amp; Sheet1!D991</f>
        <v>21/12/2025,NORTH LEONARD</v>
      </c>
      <c r="H991" s="39" t="str">
        <f>UPPER(Sheet1!J991 &amp; "," &amp; Sheet1!K991 &amp; "," &amp; Sheet1!L991)</f>
        <v>2679 BENDER STRAVENUE,APT. 991,PIN:36472 LAKE JAMES</v>
      </c>
      <c r="I991" s="8">
        <f>Sheet1!I991</f>
        <v>46065</v>
      </c>
      <c r="J991" s="5" t="str">
        <f>Sheet1!M991 &amp; "," &amp; TEXT(Sheet1!N991,"dd/mm/yy")</f>
        <v>MHA/IND/01081,15/07/25</v>
      </c>
      <c r="K991" s="5" t="s">
        <v>5752</v>
      </c>
      <c r="L991" t="s">
        <v>14</v>
      </c>
      <c r="M991" s="31" t="s">
        <v>15</v>
      </c>
      <c r="N991" s="31"/>
    </row>
    <row r="992" spans="1:14" x14ac:dyDescent="0.25">
      <c r="A992" s="4" t="str">
        <f>Sheet1!A992 &amp; "/" &amp; "2025"</f>
        <v>991/2025</v>
      </c>
      <c r="B992" s="5" t="str">
        <f>Sheet1!E992</f>
        <v>IND/MEL/00991</v>
      </c>
      <c r="C992" s="6" t="str">
        <f>UPPER(Sheet1!B992)</f>
        <v>KIRAN RAO</v>
      </c>
      <c r="D992" s="7" t="str">
        <f>IF(Sheet1!F992="F","FEMALE","MALE")</f>
        <v>FEMALE</v>
      </c>
      <c r="E992" s="6" t="str">
        <f>UPPER(Sheet1!G992)</f>
        <v>RICHARD WHITE</v>
      </c>
      <c r="F992" s="6" t="str">
        <f>UPPER(Sheet1!H992)</f>
        <v>JEANNE BAKER</v>
      </c>
      <c r="G992" s="5" t="str">
        <f>TEXT(Sheet1!C992,"dd/mm/yyyy") &amp; "," &amp; Sheet1!D992</f>
        <v>04/04/2025,GAILBURGH</v>
      </c>
      <c r="H992" s="39" t="str">
        <f>UPPER(Sheet1!J992 &amp; "," &amp; Sheet1!K992 &amp; "," &amp; Sheet1!L992)</f>
        <v>730 PATTON ROADS SUITE 968,APT. 059,PIN:12864 HOPKINSSTAD</v>
      </c>
      <c r="I992" s="8">
        <f>Sheet1!I992</f>
        <v>46065</v>
      </c>
      <c r="J992" s="5" t="str">
        <f>Sheet1!M992 &amp; "," &amp; TEXT(Sheet1!N992,"dd/mm/yy")</f>
        <v>MHA/IND/01082,24/08/25</v>
      </c>
      <c r="K992" s="5" t="s">
        <v>5752</v>
      </c>
      <c r="L992" t="s">
        <v>14</v>
      </c>
      <c r="M992" s="31" t="s">
        <v>15</v>
      </c>
      <c r="N992" s="31"/>
    </row>
    <row r="993" spans="1:14" x14ac:dyDescent="0.25">
      <c r="A993" s="4" t="str">
        <f>Sheet1!A993 &amp; "/" &amp; "2025"</f>
        <v>992/2025</v>
      </c>
      <c r="B993" s="5" t="str">
        <f>Sheet1!E993</f>
        <v>IND/MEL/00992</v>
      </c>
      <c r="C993" s="6" t="str">
        <f>UPPER(Sheet1!B993)</f>
        <v>DIYA MYRTHOS</v>
      </c>
      <c r="D993" s="7" t="str">
        <f>IF(Sheet1!F993="F","FEMALE","MALE")</f>
        <v>FEMALE</v>
      </c>
      <c r="E993" s="6" t="str">
        <f>UPPER(Sheet1!G993)</f>
        <v>RICHARD WHITE</v>
      </c>
      <c r="F993" s="6" t="str">
        <f>UPPER(Sheet1!H993)</f>
        <v>JEANNE BAKER</v>
      </c>
      <c r="G993" s="5" t="str">
        <f>TEXT(Sheet1!C993,"dd/mm/yyyy") &amp; "," &amp; Sheet1!D993</f>
        <v>04/04/2025,GAILBURGH</v>
      </c>
      <c r="H993" s="39" t="str">
        <f>UPPER(Sheet1!J993 &amp; "," &amp; Sheet1!K993 &amp; "," &amp; Sheet1!L993)</f>
        <v>730 PATTON ROADS SUITE 968,APT. 059,PIN:12864 HOPKINSSTAD</v>
      </c>
      <c r="I993" s="8">
        <f>Sheet1!I993</f>
        <v>46065</v>
      </c>
      <c r="J993" s="5" t="str">
        <f>Sheet1!M993 &amp; "," &amp; TEXT(Sheet1!N993,"dd/mm/yy")</f>
        <v>MHA/IND/01082,30/07/25</v>
      </c>
      <c r="K993" s="5" t="s">
        <v>5752</v>
      </c>
      <c r="L993" t="s">
        <v>14</v>
      </c>
      <c r="M993" s="31" t="s">
        <v>15</v>
      </c>
      <c r="N993" s="31"/>
    </row>
    <row r="994" spans="1:14" x14ac:dyDescent="0.25">
      <c r="A994" s="4" t="str">
        <f>Sheet1!A994 &amp; "/" &amp; "2025"</f>
        <v>993/2025</v>
      </c>
      <c r="B994" s="5" t="str">
        <f>Sheet1!E994</f>
        <v>IND/MEL/00993</v>
      </c>
      <c r="C994" s="6" t="str">
        <f>UPPER(Sheet1!B994)</f>
        <v>RIYA KALEON</v>
      </c>
      <c r="D994" s="7" t="str">
        <f>IF(Sheet1!F994="F","FEMALE","MALE")</f>
        <v>MALE</v>
      </c>
      <c r="E994" s="6" t="str">
        <f>UPPER(Sheet1!G994)</f>
        <v>MAURICE DAVIS</v>
      </c>
      <c r="F994" s="6" t="str">
        <f>UPPER(Sheet1!H994)</f>
        <v>ANGELA BROWN MD</v>
      </c>
      <c r="G994" s="5" t="str">
        <f>TEXT(Sheet1!C994,"dd/mm/yyyy") &amp; "," &amp; Sheet1!D994</f>
        <v>01/12/2025,SOUTH BRIAN</v>
      </c>
      <c r="H994" s="39" t="str">
        <f>UPPER(Sheet1!J994 &amp; "," &amp; Sheet1!K994 &amp; "," &amp; Sheet1!L994)</f>
        <v>178 GOMEZ BROOK,APT. 678,PIN:37134 JORDANHAVEN</v>
      </c>
      <c r="I994" s="8">
        <f>Sheet1!I994</f>
        <v>46065</v>
      </c>
      <c r="J994" s="5" t="str">
        <f>Sheet1!M994 &amp; "," &amp; TEXT(Sheet1!N994,"dd/mm/yy")</f>
        <v>MHA/IND/01083,16/08/25</v>
      </c>
      <c r="K994" s="5" t="s">
        <v>5752</v>
      </c>
      <c r="L994" t="s">
        <v>14</v>
      </c>
      <c r="M994" s="31" t="s">
        <v>15</v>
      </c>
      <c r="N994" s="31"/>
    </row>
    <row r="995" spans="1:14" x14ac:dyDescent="0.25">
      <c r="A995" s="4" t="str">
        <f>Sheet1!A995 &amp; "/" &amp; "2025"</f>
        <v>994/2025</v>
      </c>
      <c r="B995" s="5" t="str">
        <f>Sheet1!E995</f>
        <v>IND/MEL/00994</v>
      </c>
      <c r="C995" s="6" t="str">
        <f>UPPER(Sheet1!B995)</f>
        <v>AREN VALZARI</v>
      </c>
      <c r="D995" s="7" t="str">
        <f>IF(Sheet1!F995="F","FEMALE","MALE")</f>
        <v>MALE</v>
      </c>
      <c r="E995" s="6" t="str">
        <f>UPPER(Sheet1!G995)</f>
        <v>MAURICE DAVIS</v>
      </c>
      <c r="F995" s="6" t="str">
        <f>UPPER(Sheet1!H995)</f>
        <v>ANGELA BROWN MD</v>
      </c>
      <c r="G995" s="5" t="str">
        <f>TEXT(Sheet1!C995,"dd/mm/yyyy") &amp; "," &amp; Sheet1!D995</f>
        <v>01/12/2025,SOUTH BRIAN</v>
      </c>
      <c r="H995" s="39" t="str">
        <f>UPPER(Sheet1!J995 &amp; "," &amp; Sheet1!K995 &amp; "," &amp; Sheet1!L995)</f>
        <v>178 GOMEZ BROOK,APT. 678,PIN:37134 JORDANHAVEN</v>
      </c>
      <c r="I995" s="8">
        <f>Sheet1!I995</f>
        <v>46065</v>
      </c>
      <c r="J995" s="5" t="str">
        <f>Sheet1!M995 &amp; "," &amp; TEXT(Sheet1!N995,"dd/mm/yy")</f>
        <v>MHA/IND/01083,09/08/25</v>
      </c>
      <c r="K995" s="5" t="s">
        <v>5752</v>
      </c>
      <c r="L995" t="s">
        <v>14</v>
      </c>
      <c r="M995" s="31" t="s">
        <v>15</v>
      </c>
      <c r="N995" s="31"/>
    </row>
    <row r="996" spans="1:14" x14ac:dyDescent="0.25">
      <c r="A996" s="4" t="str">
        <f>Sheet1!A996 &amp; "/" &amp; "2025"</f>
        <v>995/2025</v>
      </c>
      <c r="B996" s="5" t="str">
        <f>Sheet1!E996</f>
        <v>IND/MEL/00995</v>
      </c>
      <c r="C996" s="6" t="str">
        <f>UPPER(Sheet1!B996)</f>
        <v>SARA VALZARI</v>
      </c>
      <c r="D996" s="7" t="str">
        <f>IF(Sheet1!F996="F","FEMALE","MALE")</f>
        <v>FEMALE</v>
      </c>
      <c r="E996" s="6" t="str">
        <f>UPPER(Sheet1!G996)</f>
        <v>BRYAN MAYER</v>
      </c>
      <c r="F996" s="6" t="str">
        <f>UPPER(Sheet1!H996)</f>
        <v>MISTY JACKSON DDS</v>
      </c>
      <c r="G996" s="5" t="str">
        <f>TEXT(Sheet1!C996,"dd/mm/yyyy") &amp; "," &amp; Sheet1!D996</f>
        <v>11/10/2025,SARAHBURY</v>
      </c>
      <c r="H996" s="39" t="str">
        <f>UPPER(Sheet1!J996 &amp; "," &amp; Sheet1!K996 &amp; "," &amp; Sheet1!L996)</f>
        <v>68226 HILL STRAVENUE,APT. 954,PIN:73369 AMYPORT</v>
      </c>
      <c r="I996" s="8">
        <f>Sheet1!I996</f>
        <v>46065</v>
      </c>
      <c r="J996" s="5" t="str">
        <f>Sheet1!M996 &amp; "," &amp; TEXT(Sheet1!N996,"dd/mm/yy")</f>
        <v>MHA/IND/01084,16/07/25</v>
      </c>
      <c r="K996" s="5" t="s">
        <v>5752</v>
      </c>
      <c r="L996" t="s">
        <v>14</v>
      </c>
      <c r="M996" s="31" t="s">
        <v>15</v>
      </c>
      <c r="N996" s="31"/>
    </row>
    <row r="997" spans="1:14" x14ac:dyDescent="0.25">
      <c r="A997" s="4" t="str">
        <f>Sheet1!A997 &amp; "/" &amp; "2025"</f>
        <v>996/2025</v>
      </c>
      <c r="B997" s="5" t="str">
        <f>Sheet1!E997</f>
        <v>IND/MEL/00996</v>
      </c>
      <c r="C997" s="6" t="str">
        <f>UPPER(Sheet1!B997)</f>
        <v>KABIR MYRTHOS</v>
      </c>
      <c r="D997" s="7" t="str">
        <f>IF(Sheet1!F997="F","FEMALE","MALE")</f>
        <v>FEMALE</v>
      </c>
      <c r="E997" s="6" t="str">
        <f>UPPER(Sheet1!G997)</f>
        <v>BRYAN MAYER</v>
      </c>
      <c r="F997" s="6" t="str">
        <f>UPPER(Sheet1!H997)</f>
        <v>MISTY JACKSON DDS</v>
      </c>
      <c r="G997" s="5" t="str">
        <f>TEXT(Sheet1!C997,"dd/mm/yyyy") &amp; "," &amp; Sheet1!D997</f>
        <v>11/10/2025,SARAHBURY</v>
      </c>
      <c r="H997" s="39" t="str">
        <f>UPPER(Sheet1!J997 &amp; "," &amp; Sheet1!K997 &amp; "," &amp; Sheet1!L997)</f>
        <v>68226 HILL STRAVENUE,APT. 954,PIN:73369 AMYPORT</v>
      </c>
      <c r="I997" s="8">
        <f>Sheet1!I997</f>
        <v>46065</v>
      </c>
      <c r="J997" s="5" t="str">
        <f>Sheet1!M997 &amp; "," &amp; TEXT(Sheet1!N997,"dd/mm/yy")</f>
        <v>MHA/IND/01084,06/07/25</v>
      </c>
      <c r="K997" s="5" t="s">
        <v>5752</v>
      </c>
      <c r="L997" t="s">
        <v>14</v>
      </c>
      <c r="M997" s="31" t="s">
        <v>15</v>
      </c>
      <c r="N997" s="31"/>
    </row>
    <row r="998" spans="1:14" x14ac:dyDescent="0.25">
      <c r="A998" s="4" t="str">
        <f>Sheet1!A998 &amp; "/" &amp; "2025"</f>
        <v>997/2025</v>
      </c>
      <c r="B998" s="5" t="str">
        <f>Sheet1!E998</f>
        <v>IND/MEL/00997</v>
      </c>
      <c r="C998" s="6" t="str">
        <f>UPPER(Sheet1!B998)</f>
        <v>KIRAN SHARMA</v>
      </c>
      <c r="D998" s="7" t="str">
        <f>IF(Sheet1!F998="F","FEMALE","MALE")</f>
        <v>FEMALE</v>
      </c>
      <c r="E998" s="6" t="str">
        <f>UPPER(Sheet1!G998)</f>
        <v>DAVID BRANDT</v>
      </c>
      <c r="F998" s="6" t="str">
        <f>UPPER(Sheet1!H998)</f>
        <v>AMANDA LAWSON</v>
      </c>
      <c r="G998" s="5" t="str">
        <f>TEXT(Sheet1!C998,"dd/mm/yyyy") &amp; "," &amp; Sheet1!D998</f>
        <v>12/12/2025,PORT BETHANYVIEW</v>
      </c>
      <c r="H998" s="39" t="str">
        <f>UPPER(Sheet1!J998 &amp; "," &amp; Sheet1!K998 &amp; "," &amp; Sheet1!L998)</f>
        <v>12541 CASEY LANDING,SUITE 978,PIN:86124 PORT WANDA</v>
      </c>
      <c r="I998" s="8">
        <f>Sheet1!I998</f>
        <v>46065</v>
      </c>
      <c r="J998" s="5" t="str">
        <f>Sheet1!M998 &amp; "," &amp; TEXT(Sheet1!N998,"dd/mm/yy")</f>
        <v>MHA/IND/01085,16/08/25</v>
      </c>
      <c r="K998" s="5" t="s">
        <v>5752</v>
      </c>
      <c r="L998" t="s">
        <v>14</v>
      </c>
      <c r="M998" s="31" t="s">
        <v>15</v>
      </c>
      <c r="N998" s="31"/>
    </row>
    <row r="999" spans="1:14" x14ac:dyDescent="0.25">
      <c r="A999" s="4" t="str">
        <f>Sheet1!A999 &amp; "/" &amp; "2025"</f>
        <v>998/2025</v>
      </c>
      <c r="B999" s="5" t="str">
        <f>Sheet1!E999</f>
        <v>IND/MEL/00998</v>
      </c>
      <c r="C999" s="6" t="str">
        <f>UPPER(Sheet1!B999)</f>
        <v>TARA SINDALE</v>
      </c>
      <c r="D999" s="7" t="str">
        <f>IF(Sheet1!F999="F","FEMALE","MALE")</f>
        <v>FEMALE</v>
      </c>
      <c r="E999" s="6" t="str">
        <f>UPPER(Sheet1!G999)</f>
        <v>DAVID BRANDT</v>
      </c>
      <c r="F999" s="6" t="str">
        <f>UPPER(Sheet1!H999)</f>
        <v>AMANDA LAWSON</v>
      </c>
      <c r="G999" s="5" t="str">
        <f>TEXT(Sheet1!C999,"dd/mm/yyyy") &amp; "," &amp; Sheet1!D999</f>
        <v>12/12/2025,PORT BETHANYVIEW</v>
      </c>
      <c r="H999" s="39" t="str">
        <f>UPPER(Sheet1!J999 &amp; "," &amp; Sheet1!K999 &amp; "," &amp; Sheet1!L999)</f>
        <v>12541 CASEY LANDING,SUITE 978,PIN:86124 PORT WANDA</v>
      </c>
      <c r="I999" s="8">
        <f>Sheet1!I999</f>
        <v>46065</v>
      </c>
      <c r="J999" s="5" t="str">
        <f>Sheet1!M999 &amp; "," &amp; TEXT(Sheet1!N999,"dd/mm/yy")</f>
        <v>MHA/IND/01085,22/08/25</v>
      </c>
      <c r="K999" s="5" t="s">
        <v>5752</v>
      </c>
      <c r="L999" t="s">
        <v>14</v>
      </c>
      <c r="M999" s="31" t="s">
        <v>15</v>
      </c>
      <c r="N999" s="31"/>
    </row>
    <row r="1000" spans="1:14" x14ac:dyDescent="0.25">
      <c r="A1000" s="4" t="str">
        <f>Sheet1!A1000 &amp; "/" &amp; "2025"</f>
        <v>999/2025</v>
      </c>
      <c r="B1000" s="5" t="str">
        <f>Sheet1!E1000</f>
        <v>IND/MEL/00999</v>
      </c>
      <c r="C1000" s="6" t="str">
        <f>UPPER(Sheet1!B1000)</f>
        <v>ARJUN KALEON</v>
      </c>
      <c r="D1000" s="7" t="str">
        <f>IF(Sheet1!F1000="F","FEMALE","MALE")</f>
        <v>FEMALE</v>
      </c>
      <c r="E1000" s="6" t="str">
        <f>UPPER(Sheet1!G1000)</f>
        <v>CHRISTOPHER BROWN</v>
      </c>
      <c r="F1000" s="6" t="str">
        <f>UPPER(Sheet1!H1000)</f>
        <v>LISA JONES</v>
      </c>
      <c r="G1000" s="5" t="str">
        <f>TEXT(Sheet1!C1000,"dd/mm/yyyy") &amp; "," &amp; Sheet1!D1000</f>
        <v>16/07/2025,HERRERABURGH</v>
      </c>
      <c r="H1000" s="39" t="str">
        <f>UPPER(Sheet1!J1000 &amp; "," &amp; Sheet1!K1000 &amp; "," &amp; Sheet1!L1000)</f>
        <v>7447 CHAD ESTATE,APT. 153,PIN:74060 AMYSIDE</v>
      </c>
      <c r="I1000" s="8">
        <f>Sheet1!I1000</f>
        <v>46065</v>
      </c>
      <c r="J1000" s="5" t="str">
        <f>Sheet1!M1000 &amp; "," &amp; TEXT(Sheet1!N1000,"dd/mm/yy")</f>
        <v>MHA/IND/01086,09/07/25</v>
      </c>
      <c r="K1000" s="5" t="s">
        <v>5752</v>
      </c>
      <c r="L1000" t="s">
        <v>14</v>
      </c>
      <c r="M1000" s="31" t="s">
        <v>15</v>
      </c>
      <c r="N1000" s="31"/>
    </row>
    <row r="1001" spans="1:14" x14ac:dyDescent="0.25">
      <c r="A1001" s="4" t="str">
        <f>Sheet1!A1001 &amp; "/" &amp; "2025"</f>
        <v>1000/2025</v>
      </c>
      <c r="B1001" s="5" t="str">
        <f>Sheet1!E1001</f>
        <v>IND/MEL/01000</v>
      </c>
      <c r="C1001" s="6" t="str">
        <f>UPPER(Sheet1!B1001)</f>
        <v>DEV SHARMA</v>
      </c>
      <c r="D1001" s="7" t="str">
        <f>IF(Sheet1!F1001="F","FEMALE","MALE")</f>
        <v>FEMALE</v>
      </c>
      <c r="E1001" s="6" t="str">
        <f>UPPER(Sheet1!G1001)</f>
        <v>CHRISTOPHER BROWN</v>
      </c>
      <c r="F1001" s="6" t="str">
        <f>UPPER(Sheet1!H1001)</f>
        <v>LISA JONES</v>
      </c>
      <c r="G1001" s="5" t="str">
        <f>TEXT(Sheet1!C1001,"dd/mm/yyyy") &amp; "," &amp; Sheet1!D1001</f>
        <v>16/07/2025,HERRERABURGH</v>
      </c>
      <c r="H1001" s="39" t="str">
        <f>UPPER(Sheet1!J1001 &amp; "," &amp; Sheet1!K1001 &amp; "," &amp; Sheet1!L1001)</f>
        <v>7447 CHAD ESTATE,APT. 153,PIN:74060 AMYSIDE</v>
      </c>
      <c r="I1001" s="8">
        <f>Sheet1!I1001</f>
        <v>46065</v>
      </c>
      <c r="J1001" s="5" t="str">
        <f>Sheet1!M1001 &amp; "," &amp; TEXT(Sheet1!N1001,"dd/mm/yy")</f>
        <v>MHA/IND/01086,15/08/25</v>
      </c>
      <c r="K1001" s="5" t="s">
        <v>5752</v>
      </c>
      <c r="L1001" t="s">
        <v>14</v>
      </c>
      <c r="M1001" s="31" t="s">
        <v>15</v>
      </c>
      <c r="N1001" s="31"/>
    </row>
    <row r="1002" spans="1:14" x14ac:dyDescent="0.25">
      <c r="A1002" s="4" t="str">
        <f>Sheet1!A1002 &amp; "/" &amp; "2025"</f>
        <v>1001/2025</v>
      </c>
      <c r="B1002" s="5" t="str">
        <f>Sheet1!E1002</f>
        <v>IND/MEL/01001</v>
      </c>
      <c r="C1002" s="6" t="str">
        <f>UPPER(Sheet1!B1002)</f>
        <v>KABIR KALEON</v>
      </c>
      <c r="D1002" s="7" t="str">
        <f>IF(Sheet1!F1002="F","FEMALE","MALE")</f>
        <v>FEMALE</v>
      </c>
      <c r="E1002" s="6" t="str">
        <f>UPPER(Sheet1!G1002)</f>
        <v>ALEX RUIZ</v>
      </c>
      <c r="F1002" s="6" t="str">
        <f>UPPER(Sheet1!H1002)</f>
        <v>MISS TERESA HERNANDEZ</v>
      </c>
      <c r="G1002" s="5" t="str">
        <f>TEXT(Sheet1!C1002,"dd/mm/yyyy") &amp; "," &amp; Sheet1!D1002</f>
        <v>04/11/2025,KINGTOWN</v>
      </c>
      <c r="H1002" s="39" t="str">
        <f>UPPER(Sheet1!J1002 &amp; "," &amp; Sheet1!K1002 &amp; "," &amp; Sheet1!L1002)</f>
        <v>2500 ALICIA SQUARES SUITE 319,APT. 911,PIN:51258 GARYFORT</v>
      </c>
      <c r="I1002" s="8">
        <f>Sheet1!I1002</f>
        <v>46065</v>
      </c>
      <c r="J1002" s="5" t="str">
        <f>Sheet1!M1002 &amp; "," &amp; TEXT(Sheet1!N1002,"dd/mm/yy")</f>
        <v>MHA/IND/01087,04/08/25</v>
      </c>
      <c r="K1002" s="5" t="s">
        <v>5752</v>
      </c>
      <c r="L1002" t="s">
        <v>14</v>
      </c>
      <c r="M1002" s="31" t="s">
        <v>15</v>
      </c>
      <c r="N1002" s="31"/>
    </row>
    <row r="1003" spans="1:14" x14ac:dyDescent="0.25">
      <c r="A1003" s="4" t="str">
        <f>Sheet1!A1003 &amp; "/" &amp; "2025"</f>
        <v>1002/2025</v>
      </c>
      <c r="B1003" s="5" t="str">
        <f>Sheet1!E1003</f>
        <v>IND/MEL/01002</v>
      </c>
      <c r="C1003" s="6" t="str">
        <f>UPPER(Sheet1!B1003)</f>
        <v>ALYA SINDALE</v>
      </c>
      <c r="D1003" s="7" t="str">
        <f>IF(Sheet1!F1003="F","FEMALE","MALE")</f>
        <v>FEMALE</v>
      </c>
      <c r="E1003" s="6" t="str">
        <f>UPPER(Sheet1!G1003)</f>
        <v>ALEX RUIZ</v>
      </c>
      <c r="F1003" s="6" t="str">
        <f>UPPER(Sheet1!H1003)</f>
        <v>MISS TERESA HERNANDEZ</v>
      </c>
      <c r="G1003" s="5" t="str">
        <f>TEXT(Sheet1!C1003,"dd/mm/yyyy") &amp; "," &amp; Sheet1!D1003</f>
        <v>04/11/2025,KINGTOWN</v>
      </c>
      <c r="H1003" s="39" t="str">
        <f>UPPER(Sheet1!J1003 &amp; "," &amp; Sheet1!K1003 &amp; "," &amp; Sheet1!L1003)</f>
        <v>2500 ALICIA SQUARES SUITE 319,APT. 911,PIN:51258 GARYFORT</v>
      </c>
      <c r="I1003" s="8">
        <f>Sheet1!I1003</f>
        <v>46065</v>
      </c>
      <c r="J1003" s="5" t="str">
        <f>Sheet1!M1003 &amp; "," &amp; TEXT(Sheet1!N1003,"dd/mm/yy")</f>
        <v>MHA/IND/01087,06/07/25</v>
      </c>
      <c r="K1003" s="5" t="s">
        <v>5752</v>
      </c>
      <c r="L1003" t="s">
        <v>14</v>
      </c>
      <c r="M1003" s="31" t="s">
        <v>15</v>
      </c>
      <c r="N1003" s="31"/>
    </row>
    <row r="1004" spans="1:14" x14ac:dyDescent="0.25">
      <c r="A1004" s="4" t="str">
        <f>Sheet1!A1004 &amp; "/" &amp; "2025"</f>
        <v>1003/2025</v>
      </c>
      <c r="B1004" s="5" t="str">
        <f>Sheet1!E1004</f>
        <v>IND/MEL/01003</v>
      </c>
      <c r="C1004" s="6" t="str">
        <f>UPPER(Sheet1!B1004)</f>
        <v>MIRA KALEON</v>
      </c>
      <c r="D1004" s="7" t="str">
        <f>IF(Sheet1!F1004="F","FEMALE","MALE")</f>
        <v>MALE</v>
      </c>
      <c r="E1004" s="6" t="str">
        <f>UPPER(Sheet1!G1004)</f>
        <v>FRANK GONZALEZ</v>
      </c>
      <c r="F1004" s="6" t="str">
        <f>UPPER(Sheet1!H1004)</f>
        <v>JENNIFER POWELL</v>
      </c>
      <c r="G1004" s="5" t="str">
        <f>TEXT(Sheet1!C1004,"dd/mm/yyyy") &amp; "," &amp; Sheet1!D1004</f>
        <v>04/03/2025,BOYDVILLE</v>
      </c>
      <c r="H1004" s="39" t="str">
        <f>UPPER(Sheet1!J1004 &amp; "," &amp; Sheet1!K1004 &amp; "," &amp; Sheet1!L1004)</f>
        <v>967 DEVIN RUE SUITE 129,APT. 860,PIN:73321 PORT MICHAELTON</v>
      </c>
      <c r="I1004" s="8">
        <f>Sheet1!I1004</f>
        <v>46065</v>
      </c>
      <c r="J1004" s="5" t="str">
        <f>Sheet1!M1004 &amp; "," &amp; TEXT(Sheet1!N1004,"dd/mm/yy")</f>
        <v>MHA/IND/01088,18/08/25</v>
      </c>
      <c r="K1004" s="5" t="s">
        <v>5752</v>
      </c>
      <c r="L1004" t="s">
        <v>14</v>
      </c>
      <c r="M1004" s="31" t="s">
        <v>15</v>
      </c>
      <c r="N1004" s="31"/>
    </row>
    <row r="1005" spans="1:14" x14ac:dyDescent="0.25">
      <c r="A1005" s="4" t="str">
        <f>Sheet1!A1005 &amp; "/" &amp; "2025"</f>
        <v>1004/2025</v>
      </c>
      <c r="B1005" s="5" t="str">
        <f>Sheet1!E1005</f>
        <v>IND/MEL/01004</v>
      </c>
      <c r="C1005" s="6" t="str">
        <f>UPPER(Sheet1!B1005)</f>
        <v>ROHIT MYRTHOS</v>
      </c>
      <c r="D1005" s="7" t="str">
        <f>IF(Sheet1!F1005="F","FEMALE","MALE")</f>
        <v>MALE</v>
      </c>
      <c r="E1005" s="6" t="str">
        <f>UPPER(Sheet1!G1005)</f>
        <v>FRANK GONZALEZ</v>
      </c>
      <c r="F1005" s="6" t="str">
        <f>UPPER(Sheet1!H1005)</f>
        <v>JENNIFER POWELL</v>
      </c>
      <c r="G1005" s="5" t="str">
        <f>TEXT(Sheet1!C1005,"dd/mm/yyyy") &amp; "," &amp; Sheet1!D1005</f>
        <v>04/03/2025,BOYDVILLE</v>
      </c>
      <c r="H1005" s="39" t="str">
        <f>UPPER(Sheet1!J1005 &amp; "," &amp; Sheet1!K1005 &amp; "," &amp; Sheet1!L1005)</f>
        <v>967 DEVIN RUE SUITE 129,APT. 860,PIN:73321 PORT MICHAELTON</v>
      </c>
      <c r="I1005" s="8">
        <f>Sheet1!I1005</f>
        <v>46065</v>
      </c>
      <c r="J1005" s="5" t="str">
        <f>Sheet1!M1005 &amp; "," &amp; TEXT(Sheet1!N1005,"dd/mm/yy")</f>
        <v>MHA/IND/01088,20/07/25</v>
      </c>
      <c r="K1005" s="5" t="s">
        <v>5752</v>
      </c>
      <c r="L1005" t="s">
        <v>14</v>
      </c>
      <c r="M1005" s="31" t="s">
        <v>15</v>
      </c>
      <c r="N1005" s="31"/>
    </row>
    <row r="1006" spans="1:14" x14ac:dyDescent="0.25">
      <c r="A1006" s="4" t="str">
        <f>Sheet1!A1006 &amp; "/" &amp; "2025"</f>
        <v>1005/2025</v>
      </c>
      <c r="B1006" s="5" t="str">
        <f>Sheet1!E1006</f>
        <v>IND/MEL/01005</v>
      </c>
      <c r="C1006" s="6" t="str">
        <f>UPPER(Sheet1!B1006)</f>
        <v>TARA SINDALE</v>
      </c>
      <c r="D1006" s="7" t="str">
        <f>IF(Sheet1!F1006="F","FEMALE","MALE")</f>
        <v>MALE</v>
      </c>
      <c r="E1006" s="6" t="str">
        <f>UPPER(Sheet1!G1006)</f>
        <v>RONALD MCDOWELL</v>
      </c>
      <c r="F1006" s="6" t="str">
        <f>UPPER(Sheet1!H1006)</f>
        <v>LAUREN HOWE</v>
      </c>
      <c r="G1006" s="5" t="str">
        <f>TEXT(Sheet1!C1006,"dd/mm/yyyy") &amp; "," &amp; Sheet1!D1006</f>
        <v>03/07/2025,LAKE ALEXISHAVEN</v>
      </c>
      <c r="H1006" s="39" t="str">
        <f>UPPER(Sheet1!J1006 &amp; "," &amp; Sheet1!K1006 &amp; "," &amp; Sheet1!L1006)</f>
        <v>07857 JAMES FORK,APT. 135,PIN:30488 HUGHESBOROUGH</v>
      </c>
      <c r="I1006" s="8">
        <f>Sheet1!I1006</f>
        <v>46065</v>
      </c>
      <c r="J1006" s="5" t="str">
        <f>Sheet1!M1006 &amp; "," &amp; TEXT(Sheet1!N1006,"dd/mm/yy")</f>
        <v>MHA/IND/01089,22/07/25</v>
      </c>
      <c r="K1006" s="5" t="s">
        <v>5752</v>
      </c>
      <c r="L1006" t="s">
        <v>14</v>
      </c>
      <c r="M1006" s="31" t="s">
        <v>15</v>
      </c>
      <c r="N1006" s="31"/>
    </row>
    <row r="1007" spans="1:14" x14ac:dyDescent="0.25">
      <c r="A1007" s="4" t="str">
        <f>Sheet1!A1007 &amp; "/" &amp; "2025"</f>
        <v>1006/2025</v>
      </c>
      <c r="B1007" s="5" t="str">
        <f>Sheet1!E1007</f>
        <v>IND/MEL/01006</v>
      </c>
      <c r="C1007" s="6" t="str">
        <f>UPPER(Sheet1!B1007)</f>
        <v>ANYA RAO</v>
      </c>
      <c r="D1007" s="7" t="str">
        <f>IF(Sheet1!F1007="F","FEMALE","MALE")</f>
        <v>MALE</v>
      </c>
      <c r="E1007" s="6" t="str">
        <f>UPPER(Sheet1!G1007)</f>
        <v>RONALD MCDOWELL</v>
      </c>
      <c r="F1007" s="6" t="str">
        <f>UPPER(Sheet1!H1007)</f>
        <v>LAUREN HOWE</v>
      </c>
      <c r="G1007" s="5" t="str">
        <f>TEXT(Sheet1!C1007,"dd/mm/yyyy") &amp; "," &amp; Sheet1!D1007</f>
        <v>03/07/2025,LAKE ALEXISHAVEN</v>
      </c>
      <c r="H1007" s="39" t="str">
        <f>UPPER(Sheet1!J1007 &amp; "," &amp; Sheet1!K1007 &amp; "," &amp; Sheet1!L1007)</f>
        <v>07857 JAMES FORK,APT. 135,PIN:30488 HUGHESBOROUGH</v>
      </c>
      <c r="I1007" s="8">
        <f>Sheet1!I1007</f>
        <v>46065</v>
      </c>
      <c r="J1007" s="5" t="str">
        <f>Sheet1!M1007 &amp; "," &amp; TEXT(Sheet1!N1007,"dd/mm/yy")</f>
        <v>MHA/IND/01089,01/08/25</v>
      </c>
      <c r="K1007" s="5" t="s">
        <v>5752</v>
      </c>
      <c r="L1007" t="s">
        <v>14</v>
      </c>
      <c r="M1007" s="31" t="s">
        <v>15</v>
      </c>
      <c r="N1007" s="31"/>
    </row>
    <row r="1008" spans="1:14" x14ac:dyDescent="0.25">
      <c r="A1008" s="4" t="str">
        <f>Sheet1!A1008 &amp; "/" &amp; "2025"</f>
        <v>1007/2025</v>
      </c>
      <c r="B1008" s="5" t="str">
        <f>Sheet1!E1008</f>
        <v>IND/MEL/01007</v>
      </c>
      <c r="C1008" s="6" t="str">
        <f>UPPER(Sheet1!B1008)</f>
        <v>TARA RISHKAN</v>
      </c>
      <c r="D1008" s="7" t="str">
        <f>IF(Sheet1!F1008="F","FEMALE","MALE")</f>
        <v>MALE</v>
      </c>
      <c r="E1008" s="6" t="str">
        <f>UPPER(Sheet1!G1008)</f>
        <v>KENNETH TURNER</v>
      </c>
      <c r="F1008" s="6" t="str">
        <f>UPPER(Sheet1!H1008)</f>
        <v>JESSICA MCGUIRE</v>
      </c>
      <c r="G1008" s="5" t="str">
        <f>TEXT(Sheet1!C1008,"dd/mm/yyyy") &amp; "," &amp; Sheet1!D1008</f>
        <v>13/04/2025,ROBERTMOUTH</v>
      </c>
      <c r="H1008" s="39" t="str">
        <f>UPPER(Sheet1!J1008 &amp; "," &amp; Sheet1!K1008 &amp; "," &amp; Sheet1!L1008)</f>
        <v>855 TIMOTHY STREAM SUITE 051,SUITE 297,PIN:78523 POTTERBURY</v>
      </c>
      <c r="I1008" s="8">
        <f>Sheet1!I1008</f>
        <v>46065</v>
      </c>
      <c r="J1008" s="5" t="str">
        <f>Sheet1!M1008 &amp; "," &amp; TEXT(Sheet1!N1008,"dd/mm/yy")</f>
        <v>MHA/IND/01090,28/07/25</v>
      </c>
      <c r="K1008" s="5" t="s">
        <v>5752</v>
      </c>
      <c r="L1008" t="s">
        <v>14</v>
      </c>
      <c r="M1008" s="31" t="s">
        <v>15</v>
      </c>
      <c r="N1008" s="31"/>
    </row>
    <row r="1009" spans="1:14" x14ac:dyDescent="0.25">
      <c r="A1009" s="4" t="str">
        <f>Sheet1!A1009 &amp; "/" &amp; "2025"</f>
        <v>1008/2025</v>
      </c>
      <c r="B1009" s="5" t="str">
        <f>Sheet1!E1009</f>
        <v>IND/MEL/01008</v>
      </c>
      <c r="C1009" s="6" t="str">
        <f>UPPER(Sheet1!B1009)</f>
        <v>KABIR SINDALE</v>
      </c>
      <c r="D1009" s="7" t="str">
        <f>IF(Sheet1!F1009="F","FEMALE","MALE")</f>
        <v>MALE</v>
      </c>
      <c r="E1009" s="6" t="str">
        <f>UPPER(Sheet1!G1009)</f>
        <v>KENNETH TURNER</v>
      </c>
      <c r="F1009" s="6" t="str">
        <f>UPPER(Sheet1!H1009)</f>
        <v>JESSICA MCGUIRE</v>
      </c>
      <c r="G1009" s="5" t="str">
        <f>TEXT(Sheet1!C1009,"dd/mm/yyyy") &amp; "," &amp; Sheet1!D1009</f>
        <v>13/04/2025,ROBERTMOUTH</v>
      </c>
      <c r="H1009" s="39" t="str">
        <f>UPPER(Sheet1!J1009 &amp; "," &amp; Sheet1!K1009 &amp; "," &amp; Sheet1!L1009)</f>
        <v>855 TIMOTHY STREAM SUITE 051,SUITE 297,PIN:78523 POTTERBURY</v>
      </c>
      <c r="I1009" s="8">
        <f>Sheet1!I1009</f>
        <v>46065</v>
      </c>
      <c r="J1009" s="5" t="str">
        <f>Sheet1!M1009 &amp; "," &amp; TEXT(Sheet1!N1009,"dd/mm/yy")</f>
        <v>MHA/IND/01090,20/07/25</v>
      </c>
      <c r="K1009" s="5" t="s">
        <v>5752</v>
      </c>
      <c r="L1009" t="s">
        <v>14</v>
      </c>
      <c r="M1009" s="31" t="s">
        <v>15</v>
      </c>
      <c r="N1009" s="31"/>
    </row>
    <row r="1010" spans="1:14" x14ac:dyDescent="0.25">
      <c r="A1010" s="4" t="str">
        <f>Sheet1!A1010 &amp; "/" &amp; "2025"</f>
        <v>1009/2025</v>
      </c>
      <c r="B1010" s="5" t="str">
        <f>Sheet1!E1010</f>
        <v>IND/MEL/01009</v>
      </c>
      <c r="C1010" s="6" t="str">
        <f>UPPER(Sheet1!B1010)</f>
        <v>MIRA SHARMA</v>
      </c>
      <c r="D1010" s="7" t="str">
        <f>IF(Sheet1!F1010="F","FEMALE","MALE")</f>
        <v>FEMALE</v>
      </c>
      <c r="E1010" s="6" t="str">
        <f>UPPER(Sheet1!G1010)</f>
        <v>JOSHUA MCCOY</v>
      </c>
      <c r="F1010" s="6" t="str">
        <f>UPPER(Sheet1!H1010)</f>
        <v>KELLY CAIN</v>
      </c>
      <c r="G1010" s="5" t="str">
        <f>TEXT(Sheet1!C1010,"dd/mm/yyyy") &amp; "," &amp; Sheet1!D1010</f>
        <v>25/08/2025,EAST DEREK</v>
      </c>
      <c r="H1010" s="39" t="str">
        <f>UPPER(Sheet1!J1010 &amp; "," &amp; Sheet1!K1010 &amp; "," &amp; Sheet1!L1010)</f>
        <v>205 PHILLIPS LANE SUITE 650,SUITE 714,PIN:73709 EDWARDSIDE</v>
      </c>
      <c r="I1010" s="8">
        <f>Sheet1!I1010</f>
        <v>46065</v>
      </c>
      <c r="J1010" s="5" t="str">
        <f>Sheet1!M1010 &amp; "," &amp; TEXT(Sheet1!N1010,"dd/mm/yy")</f>
        <v>MHA/IND/01091,11/08/25</v>
      </c>
      <c r="K1010" s="5" t="s">
        <v>5752</v>
      </c>
      <c r="L1010" t="s">
        <v>14</v>
      </c>
      <c r="M1010" s="31" t="s">
        <v>15</v>
      </c>
      <c r="N1010" s="31"/>
    </row>
    <row r="1011" spans="1:14" x14ac:dyDescent="0.25">
      <c r="A1011" s="4" t="str">
        <f>Sheet1!A1011 &amp; "/" &amp; "2025"</f>
        <v>1010/2025</v>
      </c>
      <c r="B1011" s="5" t="str">
        <f>Sheet1!E1011</f>
        <v>IND/MEL/01010</v>
      </c>
      <c r="C1011" s="6" t="str">
        <f>UPPER(Sheet1!B1011)</f>
        <v>ANYA KALEON</v>
      </c>
      <c r="D1011" s="7" t="str">
        <f>IF(Sheet1!F1011="F","FEMALE","MALE")</f>
        <v>FEMALE</v>
      </c>
      <c r="E1011" s="6" t="str">
        <f>UPPER(Sheet1!G1011)</f>
        <v>JOSHUA MCCOY</v>
      </c>
      <c r="F1011" s="6" t="str">
        <f>UPPER(Sheet1!H1011)</f>
        <v>KELLY CAIN</v>
      </c>
      <c r="G1011" s="5" t="str">
        <f>TEXT(Sheet1!C1011,"dd/mm/yyyy") &amp; "," &amp; Sheet1!D1011</f>
        <v>25/08/2025,EAST DEREK</v>
      </c>
      <c r="H1011" s="39" t="str">
        <f>UPPER(Sheet1!J1011 &amp; "," &amp; Sheet1!K1011 &amp; "," &amp; Sheet1!L1011)</f>
        <v>205 PHILLIPS LANE SUITE 650,SUITE 714,PIN:73709 EDWARDSIDE</v>
      </c>
      <c r="I1011" s="8">
        <f>Sheet1!I1011</f>
        <v>46065</v>
      </c>
      <c r="J1011" s="5" t="str">
        <f>Sheet1!M1011 &amp; "," &amp; TEXT(Sheet1!N1011,"dd/mm/yy")</f>
        <v>MHA/IND/01091,09/08/25</v>
      </c>
      <c r="K1011" s="5" t="s">
        <v>5752</v>
      </c>
      <c r="L1011" t="s">
        <v>14</v>
      </c>
      <c r="M1011" s="31" t="s">
        <v>15</v>
      </c>
      <c r="N1011" s="31"/>
    </row>
    <row r="1012" spans="1:14" x14ac:dyDescent="0.25">
      <c r="A1012" s="4" t="str">
        <f>Sheet1!A1012 &amp; "/" &amp; "2025"</f>
        <v>1011/2025</v>
      </c>
      <c r="B1012" s="5" t="str">
        <f>Sheet1!E1012</f>
        <v>IND/MEL/01011</v>
      </c>
      <c r="C1012" s="6" t="str">
        <f>UPPER(Sheet1!B1012)</f>
        <v>ALYA KALEON</v>
      </c>
      <c r="D1012" s="7" t="str">
        <f>IF(Sheet1!F1012="F","FEMALE","MALE")</f>
        <v>MALE</v>
      </c>
      <c r="E1012" s="6" t="str">
        <f>UPPER(Sheet1!G1012)</f>
        <v>MARVIN YOUNG</v>
      </c>
      <c r="F1012" s="6" t="str">
        <f>UPPER(Sheet1!H1012)</f>
        <v>BARBARA WHITE</v>
      </c>
      <c r="G1012" s="5" t="str">
        <f>TEXT(Sheet1!C1012,"dd/mm/yyyy") &amp; "," &amp; Sheet1!D1012</f>
        <v>29/12/2025,MASSEYFURT</v>
      </c>
      <c r="H1012" s="39" t="str">
        <f>UPPER(Sheet1!J1012 &amp; "," &amp; Sheet1!K1012 &amp; "," &amp; Sheet1!L1012)</f>
        <v>95822 BROWN SPRINGS APT. 401,SUITE 076,PIN:48135 MICHELELAND</v>
      </c>
      <c r="I1012" s="8">
        <f>Sheet1!I1012</f>
        <v>46065</v>
      </c>
      <c r="J1012" s="5" t="str">
        <f>Sheet1!M1012 &amp; "," &amp; TEXT(Sheet1!N1012,"dd/mm/yy")</f>
        <v>MHA/IND/01092,26/08/25</v>
      </c>
      <c r="K1012" s="5" t="s">
        <v>5752</v>
      </c>
      <c r="L1012" t="s">
        <v>14</v>
      </c>
      <c r="M1012" s="31" t="s">
        <v>15</v>
      </c>
      <c r="N1012" s="31"/>
    </row>
    <row r="1013" spans="1:14" x14ac:dyDescent="0.25">
      <c r="A1013" s="4" t="str">
        <f>Sheet1!A1013 &amp; "/" &amp; "2025"</f>
        <v>1012/2025</v>
      </c>
      <c r="B1013" s="5" t="str">
        <f>Sheet1!E1013</f>
        <v>IND/MEL/01012</v>
      </c>
      <c r="C1013" s="6" t="str">
        <f>UPPER(Sheet1!B1013)</f>
        <v>ANYA MYRTHOS</v>
      </c>
      <c r="D1013" s="7" t="str">
        <f>IF(Sheet1!F1013="F","FEMALE","MALE")</f>
        <v>MALE</v>
      </c>
      <c r="E1013" s="6" t="str">
        <f>UPPER(Sheet1!G1013)</f>
        <v>MARVIN YOUNG</v>
      </c>
      <c r="F1013" s="6" t="str">
        <f>UPPER(Sheet1!H1013)</f>
        <v>BARBARA WHITE</v>
      </c>
      <c r="G1013" s="5" t="str">
        <f>TEXT(Sheet1!C1013,"dd/mm/yyyy") &amp; "," &amp; Sheet1!D1013</f>
        <v>29/12/2025,MASSEYFURT</v>
      </c>
      <c r="H1013" s="39" t="str">
        <f>UPPER(Sheet1!J1013 &amp; "," &amp; Sheet1!K1013 &amp; "," &amp; Sheet1!L1013)</f>
        <v>95822 BROWN SPRINGS APT. 401,SUITE 076,PIN:48135 MICHELELAND</v>
      </c>
      <c r="I1013" s="8">
        <f>Sheet1!I1013</f>
        <v>46065</v>
      </c>
      <c r="J1013" s="5" t="str">
        <f>Sheet1!M1013 &amp; "," &amp; TEXT(Sheet1!N1013,"dd/mm/yy")</f>
        <v>MHA/IND/01092,25/08/25</v>
      </c>
      <c r="K1013" s="5" t="s">
        <v>5752</v>
      </c>
      <c r="L1013" t="s">
        <v>14</v>
      </c>
      <c r="M1013" s="31" t="s">
        <v>15</v>
      </c>
      <c r="N1013" s="31"/>
    </row>
    <row r="1014" spans="1:14" x14ac:dyDescent="0.25">
      <c r="A1014" s="4" t="str">
        <f>Sheet1!A1014 &amp; "/" &amp; "2025"</f>
        <v>1013/2025</v>
      </c>
      <c r="B1014" s="5" t="str">
        <f>Sheet1!E1014</f>
        <v>IND/MEL/01013</v>
      </c>
      <c r="C1014" s="6" t="str">
        <f>UPPER(Sheet1!B1014)</f>
        <v>ROHIT VALZARI</v>
      </c>
      <c r="D1014" s="7" t="str">
        <f>IF(Sheet1!F1014="F","FEMALE","MALE")</f>
        <v>MALE</v>
      </c>
      <c r="E1014" s="6" t="str">
        <f>UPPER(Sheet1!G1014)</f>
        <v>ROBERT KIM</v>
      </c>
      <c r="F1014" s="6" t="str">
        <f>UPPER(Sheet1!H1014)</f>
        <v>NICOLE TUCKER</v>
      </c>
      <c r="G1014" s="5" t="str">
        <f>TEXT(Sheet1!C1014,"dd/mm/yyyy") &amp; "," &amp; Sheet1!D1014</f>
        <v>13/03/2025,NEW PATRICIABURGH</v>
      </c>
      <c r="H1014" s="39" t="str">
        <f>UPPER(Sheet1!J1014 &amp; "," &amp; Sheet1!K1014 &amp; "," &amp; Sheet1!L1014)</f>
        <v>1979 WOODS UNION,APT. 325,PIN:84616 BOOKERBURY</v>
      </c>
      <c r="I1014" s="8">
        <f>Sheet1!I1014</f>
        <v>46065</v>
      </c>
      <c r="J1014" s="5" t="str">
        <f>Sheet1!M1014 &amp; "," &amp; TEXT(Sheet1!N1014,"dd/mm/yy")</f>
        <v>MHA/IND/01093,08/07/25</v>
      </c>
      <c r="K1014" s="5" t="s">
        <v>5752</v>
      </c>
      <c r="L1014" t="s">
        <v>14</v>
      </c>
      <c r="M1014" s="31" t="s">
        <v>15</v>
      </c>
      <c r="N1014" s="31"/>
    </row>
    <row r="1015" spans="1:14" x14ac:dyDescent="0.25">
      <c r="A1015" s="4" t="str">
        <f>Sheet1!A1015 &amp; "/" &amp; "2025"</f>
        <v>1014/2025</v>
      </c>
      <c r="B1015" s="5" t="str">
        <f>Sheet1!E1015</f>
        <v>IND/MEL/01014</v>
      </c>
      <c r="C1015" s="6" t="str">
        <f>UPPER(Sheet1!B1015)</f>
        <v>KIRAN VALZARI</v>
      </c>
      <c r="D1015" s="7" t="str">
        <f>IF(Sheet1!F1015="F","FEMALE","MALE")</f>
        <v>MALE</v>
      </c>
      <c r="E1015" s="6" t="str">
        <f>UPPER(Sheet1!G1015)</f>
        <v>ROBERT KIM</v>
      </c>
      <c r="F1015" s="6" t="str">
        <f>UPPER(Sheet1!H1015)</f>
        <v>NICOLE TUCKER</v>
      </c>
      <c r="G1015" s="5" t="str">
        <f>TEXT(Sheet1!C1015,"dd/mm/yyyy") &amp; "," &amp; Sheet1!D1015</f>
        <v>13/03/2025,NEW PATRICIABURGH</v>
      </c>
      <c r="H1015" s="39" t="str">
        <f>UPPER(Sheet1!J1015 &amp; "," &amp; Sheet1!K1015 &amp; "," &amp; Sheet1!L1015)</f>
        <v>1979 WOODS UNION,APT. 325,PIN:84616 BOOKERBURY</v>
      </c>
      <c r="I1015" s="8">
        <f>Sheet1!I1015</f>
        <v>46065</v>
      </c>
      <c r="J1015" s="5" t="str">
        <f>Sheet1!M1015 &amp; "," &amp; TEXT(Sheet1!N1015,"dd/mm/yy")</f>
        <v>MHA/IND/01093,24/07/25</v>
      </c>
      <c r="K1015" s="5" t="s">
        <v>5752</v>
      </c>
      <c r="L1015" t="s">
        <v>14</v>
      </c>
      <c r="M1015" s="31" t="s">
        <v>15</v>
      </c>
      <c r="N1015" s="31"/>
    </row>
    <row r="1016" spans="1:14" x14ac:dyDescent="0.25">
      <c r="A1016" s="4" t="str">
        <f>Sheet1!A1016 &amp; "/" &amp; "2025"</f>
        <v>1015/2025</v>
      </c>
      <c r="B1016" s="5" t="str">
        <f>Sheet1!E1016</f>
        <v>IND/MEL/01015</v>
      </c>
      <c r="C1016" s="6" t="str">
        <f>UPPER(Sheet1!B1016)</f>
        <v>DEV SINDALE</v>
      </c>
      <c r="D1016" s="7" t="str">
        <f>IF(Sheet1!F1016="F","FEMALE","MALE")</f>
        <v>MALE</v>
      </c>
      <c r="E1016" s="6" t="str">
        <f>UPPER(Sheet1!G1016)</f>
        <v>JONATHAN LEWIS</v>
      </c>
      <c r="F1016" s="6" t="str">
        <f>UPPER(Sheet1!H1016)</f>
        <v>BRITTANY WEST</v>
      </c>
      <c r="G1016" s="5" t="str">
        <f>TEXT(Sheet1!C1016,"dd/mm/yyyy") &amp; "," &amp; Sheet1!D1016</f>
        <v>31/10/2025,CHERYLTOWN</v>
      </c>
      <c r="H1016" s="39" t="str">
        <f>UPPER(Sheet1!J1016 &amp; "," &amp; Sheet1!K1016 &amp; "," &amp; Sheet1!L1016)</f>
        <v>743 WILLIAM PLAINS,APT. 288,PIN:43918 SHAWSTAD</v>
      </c>
      <c r="I1016" s="8">
        <f>Sheet1!I1016</f>
        <v>46065</v>
      </c>
      <c r="J1016" s="5" t="str">
        <f>Sheet1!M1016 &amp; "," &amp; TEXT(Sheet1!N1016,"dd/mm/yy")</f>
        <v>MHA/IND/01094,09/08/25</v>
      </c>
      <c r="K1016" s="5" t="s">
        <v>5752</v>
      </c>
      <c r="L1016" t="s">
        <v>14</v>
      </c>
      <c r="M1016" s="31" t="s">
        <v>15</v>
      </c>
      <c r="N1016" s="31"/>
    </row>
    <row r="1017" spans="1:14" x14ac:dyDescent="0.25">
      <c r="A1017" s="4" t="str">
        <f>Sheet1!A1017 &amp; "/" &amp; "2025"</f>
        <v>1016/2025</v>
      </c>
      <c r="B1017" s="5" t="str">
        <f>Sheet1!E1017</f>
        <v>IND/MEL/01016</v>
      </c>
      <c r="C1017" s="6" t="str">
        <f>UPPER(Sheet1!B1017)</f>
        <v>KIRAN SHARMA</v>
      </c>
      <c r="D1017" s="7" t="str">
        <f>IF(Sheet1!F1017="F","FEMALE","MALE")</f>
        <v>MALE</v>
      </c>
      <c r="E1017" s="6" t="str">
        <f>UPPER(Sheet1!G1017)</f>
        <v>JONATHAN LEWIS</v>
      </c>
      <c r="F1017" s="6" t="str">
        <f>UPPER(Sheet1!H1017)</f>
        <v>BRITTANY WEST</v>
      </c>
      <c r="G1017" s="5" t="str">
        <f>TEXT(Sheet1!C1017,"dd/mm/yyyy") &amp; "," &amp; Sheet1!D1017</f>
        <v>31/10/2025,CHERYLTOWN</v>
      </c>
      <c r="H1017" s="39" t="str">
        <f>UPPER(Sheet1!J1017 &amp; "," &amp; Sheet1!K1017 &amp; "," &amp; Sheet1!L1017)</f>
        <v>743 WILLIAM PLAINS,APT. 288,PIN:43918 SHAWSTAD</v>
      </c>
      <c r="I1017" s="8">
        <f>Sheet1!I1017</f>
        <v>46065</v>
      </c>
      <c r="J1017" s="5" t="str">
        <f>Sheet1!M1017 &amp; "," &amp; TEXT(Sheet1!N1017,"dd/mm/yy")</f>
        <v>MHA/IND/01094,26/08/25</v>
      </c>
      <c r="K1017" s="5" t="s">
        <v>5752</v>
      </c>
      <c r="L1017" t="s">
        <v>14</v>
      </c>
      <c r="M1017" s="31" t="s">
        <v>15</v>
      </c>
      <c r="N1017" s="31"/>
    </row>
    <row r="1018" spans="1:14" x14ac:dyDescent="0.25">
      <c r="A1018" s="4" t="str">
        <f>Sheet1!A1018 &amp; "/" &amp; "2025"</f>
        <v>1017/2025</v>
      </c>
      <c r="B1018" s="5" t="str">
        <f>Sheet1!E1018</f>
        <v>IND/MEL/01017</v>
      </c>
      <c r="C1018" s="6" t="str">
        <f>UPPER(Sheet1!B1018)</f>
        <v>MIRA SHARMA</v>
      </c>
      <c r="D1018" s="7" t="str">
        <f>IF(Sheet1!F1018="F","FEMALE","MALE")</f>
        <v>FEMALE</v>
      </c>
      <c r="E1018" s="6" t="str">
        <f>UPPER(Sheet1!G1018)</f>
        <v>BRANDON JOHNSON</v>
      </c>
      <c r="F1018" s="6" t="str">
        <f>UPPER(Sheet1!H1018)</f>
        <v>LAURA LOPEZ</v>
      </c>
      <c r="G1018" s="5" t="str">
        <f>TEXT(Sheet1!C1018,"dd/mm/yyyy") &amp; "," &amp; Sheet1!D1018</f>
        <v>18/12/2025,KAUFMANTOWN</v>
      </c>
      <c r="H1018" s="39" t="str">
        <f>UPPER(Sheet1!J1018 &amp; "," &amp; Sheet1!K1018 &amp; "," &amp; Sheet1!L1018)</f>
        <v>9967 JOSEPH MALL SUITE 809,APT. 401,PIN:54981 HILLSIDE</v>
      </c>
      <c r="I1018" s="8">
        <f>Sheet1!I1018</f>
        <v>46065</v>
      </c>
      <c r="J1018" s="5" t="str">
        <f>Sheet1!M1018 &amp; "," &amp; TEXT(Sheet1!N1018,"dd/mm/yy")</f>
        <v>MHA/IND/01095,06/07/25</v>
      </c>
      <c r="K1018" s="5" t="s">
        <v>5752</v>
      </c>
      <c r="L1018" t="s">
        <v>14</v>
      </c>
      <c r="M1018" s="31" t="s">
        <v>15</v>
      </c>
      <c r="N1018" s="31"/>
    </row>
    <row r="1019" spans="1:14" x14ac:dyDescent="0.25">
      <c r="A1019" s="4" t="str">
        <f>Sheet1!A1019 &amp; "/" &amp; "2025"</f>
        <v>1018/2025</v>
      </c>
      <c r="B1019" s="5" t="str">
        <f>Sheet1!E1019</f>
        <v>IND/MEL/01018</v>
      </c>
      <c r="C1019" s="6" t="str">
        <f>UPPER(Sheet1!B1019)</f>
        <v>SARA KALEON</v>
      </c>
      <c r="D1019" s="7" t="str">
        <f>IF(Sheet1!F1019="F","FEMALE","MALE")</f>
        <v>FEMALE</v>
      </c>
      <c r="E1019" s="6" t="str">
        <f>UPPER(Sheet1!G1019)</f>
        <v>BRANDON JOHNSON</v>
      </c>
      <c r="F1019" s="6" t="str">
        <f>UPPER(Sheet1!H1019)</f>
        <v>LAURA LOPEZ</v>
      </c>
      <c r="G1019" s="5" t="str">
        <f>TEXT(Sheet1!C1019,"dd/mm/yyyy") &amp; "," &amp; Sheet1!D1019</f>
        <v>18/12/2025,KAUFMANTOWN</v>
      </c>
      <c r="H1019" s="39" t="str">
        <f>UPPER(Sheet1!J1019 &amp; "," &amp; Sheet1!K1019 &amp; "," &amp; Sheet1!L1019)</f>
        <v>9967 JOSEPH MALL SUITE 809,APT. 401,PIN:54981 HILLSIDE</v>
      </c>
      <c r="I1019" s="8">
        <f>Sheet1!I1019</f>
        <v>46065</v>
      </c>
      <c r="J1019" s="5" t="str">
        <f>Sheet1!M1019 &amp; "," &amp; TEXT(Sheet1!N1019,"dd/mm/yy")</f>
        <v>MHA/IND/01095,03/08/25</v>
      </c>
      <c r="K1019" s="5" t="s">
        <v>5752</v>
      </c>
      <c r="L1019" t="s">
        <v>14</v>
      </c>
      <c r="M1019" s="31" t="s">
        <v>15</v>
      </c>
      <c r="N1019" s="31"/>
    </row>
    <row r="1020" spans="1:14" x14ac:dyDescent="0.25">
      <c r="A1020" s="4" t="str">
        <f>Sheet1!A1020 &amp; "/" &amp; "2025"</f>
        <v>1019/2025</v>
      </c>
      <c r="B1020" s="5" t="str">
        <f>Sheet1!E1020</f>
        <v>IND/MEL/01019</v>
      </c>
      <c r="C1020" s="6" t="str">
        <f>UPPER(Sheet1!B1020)</f>
        <v>RIYA RISHKAN</v>
      </c>
      <c r="D1020" s="7" t="str">
        <f>IF(Sheet1!F1020="F","FEMALE","MALE")</f>
        <v>MALE</v>
      </c>
      <c r="E1020" s="6" t="str">
        <f>UPPER(Sheet1!G1020)</f>
        <v>JOEL RUBIO</v>
      </c>
      <c r="F1020" s="6" t="str">
        <f>UPPER(Sheet1!H1020)</f>
        <v>MELISSA ANDERSON</v>
      </c>
      <c r="G1020" s="5" t="str">
        <f>TEXT(Sheet1!C1020,"dd/mm/yyyy") &amp; "," &amp; Sheet1!D1020</f>
        <v>23/05/2025,PORT NICHOLAS</v>
      </c>
      <c r="H1020" s="39" t="str">
        <f>UPPER(Sheet1!J1020 &amp; "," &amp; Sheet1!K1020 &amp; "," &amp; Sheet1!L1020)</f>
        <v>4137 RICKY FOREST,SUITE 210,PIN:48499 NEW ELIZABETH</v>
      </c>
      <c r="I1020" s="8">
        <f>Sheet1!I1020</f>
        <v>46065</v>
      </c>
      <c r="J1020" s="5" t="str">
        <f>Sheet1!M1020 &amp; "," &amp; TEXT(Sheet1!N1020,"dd/mm/yy")</f>
        <v>MHA/IND/01096,14/07/25</v>
      </c>
      <c r="K1020" s="5" t="s">
        <v>5752</v>
      </c>
      <c r="L1020" t="s">
        <v>14</v>
      </c>
      <c r="M1020" s="31" t="s">
        <v>15</v>
      </c>
      <c r="N1020" s="31"/>
    </row>
    <row r="1021" spans="1:14" x14ac:dyDescent="0.25">
      <c r="A1021" s="4" t="str">
        <f>Sheet1!A1021 &amp; "/" &amp; "2025"</f>
        <v>1020/2025</v>
      </c>
      <c r="B1021" s="5" t="str">
        <f>Sheet1!E1021</f>
        <v>IND/MEL/01020</v>
      </c>
      <c r="C1021" s="6" t="str">
        <f>UPPER(Sheet1!B1021)</f>
        <v>ANYA SHARMA</v>
      </c>
      <c r="D1021" s="7" t="str">
        <f>IF(Sheet1!F1021="F","FEMALE","MALE")</f>
        <v>MALE</v>
      </c>
      <c r="E1021" s="6" t="str">
        <f>UPPER(Sheet1!G1021)</f>
        <v>JOEL RUBIO</v>
      </c>
      <c r="F1021" s="6" t="str">
        <f>UPPER(Sheet1!H1021)</f>
        <v>MELISSA ANDERSON</v>
      </c>
      <c r="G1021" s="5" t="str">
        <f>TEXT(Sheet1!C1021,"dd/mm/yyyy") &amp; "," &amp; Sheet1!D1021</f>
        <v>23/05/2025,PORT NICHOLAS</v>
      </c>
      <c r="H1021" s="39" t="str">
        <f>UPPER(Sheet1!J1021 &amp; "," &amp; Sheet1!K1021 &amp; "," &amp; Sheet1!L1021)</f>
        <v>4137 RICKY FOREST,SUITE 210,PIN:48499 NEW ELIZABETH</v>
      </c>
      <c r="I1021" s="8">
        <f>Sheet1!I1021</f>
        <v>46065</v>
      </c>
      <c r="J1021" s="5" t="str">
        <f>Sheet1!M1021 &amp; "," &amp; TEXT(Sheet1!N1021,"dd/mm/yy")</f>
        <v>MHA/IND/01096,04/08/25</v>
      </c>
      <c r="K1021" s="5" t="s">
        <v>5752</v>
      </c>
      <c r="L1021" t="s">
        <v>14</v>
      </c>
      <c r="M1021" s="31" t="s">
        <v>15</v>
      </c>
      <c r="N1021" s="31"/>
    </row>
    <row r="1022" spans="1:14" x14ac:dyDescent="0.25">
      <c r="A1022" s="4" t="str">
        <f>Sheet1!A1022 &amp; "/" &amp; "2025"</f>
        <v>1021/2025</v>
      </c>
      <c r="B1022" s="5" t="str">
        <f>Sheet1!E1022</f>
        <v>IND/MEL/01021</v>
      </c>
      <c r="C1022" s="6" t="str">
        <f>UPPER(Sheet1!B1022)</f>
        <v>ANYA VALZARI</v>
      </c>
      <c r="D1022" s="7" t="str">
        <f>IF(Sheet1!F1022="F","FEMALE","MALE")</f>
        <v>MALE</v>
      </c>
      <c r="E1022" s="6" t="str">
        <f>UPPER(Sheet1!G1022)</f>
        <v>MARK MITCHELL</v>
      </c>
      <c r="F1022" s="6" t="str">
        <f>UPPER(Sheet1!H1022)</f>
        <v>JAMIE CALDWELL</v>
      </c>
      <c r="G1022" s="5" t="str">
        <f>TEXT(Sheet1!C1022,"dd/mm/yyyy") &amp; "," &amp; Sheet1!D1022</f>
        <v>25/08/2025,COLLEENMOUTH</v>
      </c>
      <c r="H1022" s="39" t="str">
        <f>UPPER(Sheet1!J1022 &amp; "," &amp; Sheet1!K1022 &amp; "," &amp; Sheet1!L1022)</f>
        <v>44946 PHILLIP SPRINGS APT. 733,APT. 493,PIN:30508 REEDBERG</v>
      </c>
      <c r="I1022" s="8">
        <f>Sheet1!I1022</f>
        <v>46065</v>
      </c>
      <c r="J1022" s="5" t="str">
        <f>Sheet1!M1022 &amp; "," &amp; TEXT(Sheet1!N1022,"dd/mm/yy")</f>
        <v>MHA/IND/01097,06/07/25</v>
      </c>
      <c r="K1022" s="5" t="s">
        <v>5752</v>
      </c>
      <c r="L1022" t="s">
        <v>14</v>
      </c>
      <c r="M1022" s="31" t="s">
        <v>15</v>
      </c>
      <c r="N1022" s="31"/>
    </row>
    <row r="1023" spans="1:14" x14ac:dyDescent="0.25">
      <c r="A1023" s="4" t="str">
        <f>Sheet1!A1023 &amp; "/" &amp; "2025"</f>
        <v>1022/2025</v>
      </c>
      <c r="B1023" s="5" t="str">
        <f>Sheet1!E1023</f>
        <v>IND/MEL/01022</v>
      </c>
      <c r="C1023" s="6" t="str">
        <f>UPPER(Sheet1!B1023)</f>
        <v>ARJUN SINDALE</v>
      </c>
      <c r="D1023" s="7" t="str">
        <f>IF(Sheet1!F1023="F","FEMALE","MALE")</f>
        <v>MALE</v>
      </c>
      <c r="E1023" s="6" t="str">
        <f>UPPER(Sheet1!G1023)</f>
        <v>MARK MITCHELL</v>
      </c>
      <c r="F1023" s="6" t="str">
        <f>UPPER(Sheet1!H1023)</f>
        <v>JAMIE CALDWELL</v>
      </c>
      <c r="G1023" s="5" t="str">
        <f>TEXT(Sheet1!C1023,"dd/mm/yyyy") &amp; "," &amp; Sheet1!D1023</f>
        <v>25/08/2025,COLLEENMOUTH</v>
      </c>
      <c r="H1023" s="39" t="str">
        <f>UPPER(Sheet1!J1023 &amp; "," &amp; Sheet1!K1023 &amp; "," &amp; Sheet1!L1023)</f>
        <v>44946 PHILLIP SPRINGS APT. 733,APT. 493,PIN:30508 REEDBERG</v>
      </c>
      <c r="I1023" s="8">
        <f>Sheet1!I1023</f>
        <v>46065</v>
      </c>
      <c r="J1023" s="5" t="str">
        <f>Sheet1!M1023 &amp; "," &amp; TEXT(Sheet1!N1023,"dd/mm/yy")</f>
        <v>MHA/IND/01097,28/08/25</v>
      </c>
      <c r="K1023" s="5" t="s">
        <v>5752</v>
      </c>
      <c r="L1023" t="s">
        <v>14</v>
      </c>
      <c r="M1023" s="31" t="s">
        <v>15</v>
      </c>
      <c r="N1023" s="31"/>
    </row>
    <row r="1024" spans="1:14" x14ac:dyDescent="0.25">
      <c r="A1024" s="4" t="str">
        <f>Sheet1!A1024 &amp; "/" &amp; "2025"</f>
        <v>1023/2025</v>
      </c>
      <c r="B1024" s="5" t="str">
        <f>Sheet1!E1024</f>
        <v>IND/MEL/01023</v>
      </c>
      <c r="C1024" s="6" t="str">
        <f>UPPER(Sheet1!B1024)</f>
        <v>TARA KALEON</v>
      </c>
      <c r="D1024" s="7" t="str">
        <f>IF(Sheet1!F1024="F","FEMALE","MALE")</f>
        <v>FEMALE</v>
      </c>
      <c r="E1024" s="6" t="str">
        <f>UPPER(Sheet1!G1024)</f>
        <v>MICHAEL HORTON</v>
      </c>
      <c r="F1024" s="6" t="str">
        <f>UPPER(Sheet1!H1024)</f>
        <v>TAMMY GRAVES</v>
      </c>
      <c r="G1024" s="5" t="str">
        <f>TEXT(Sheet1!C1024,"dd/mm/yyyy") &amp; "," &amp; Sheet1!D1024</f>
        <v>10/03/2025,DAVISHAVEN</v>
      </c>
      <c r="H1024" s="39" t="str">
        <f>UPPER(Sheet1!J1024 &amp; "," &amp; Sheet1!K1024 &amp; "," &amp; Sheet1!L1024)</f>
        <v>549 STACY PLAZA,SUITE 690,PIN:15569 SOUTH EMILYBOROUGH</v>
      </c>
      <c r="I1024" s="8">
        <f>Sheet1!I1024</f>
        <v>46065</v>
      </c>
      <c r="J1024" s="5" t="str">
        <f>Sheet1!M1024 &amp; "," &amp; TEXT(Sheet1!N1024,"dd/mm/yy")</f>
        <v>MHA/IND/01098,24/07/25</v>
      </c>
      <c r="K1024" s="5" t="s">
        <v>5752</v>
      </c>
      <c r="L1024" t="s">
        <v>14</v>
      </c>
      <c r="M1024" s="31" t="s">
        <v>15</v>
      </c>
      <c r="N1024" s="31"/>
    </row>
    <row r="1025" spans="1:14" x14ac:dyDescent="0.25">
      <c r="A1025" s="4" t="str">
        <f>Sheet1!A1025 &amp; "/" &amp; "2025"</f>
        <v>1024/2025</v>
      </c>
      <c r="B1025" s="5" t="str">
        <f>Sheet1!E1025</f>
        <v>IND/MEL/01024</v>
      </c>
      <c r="C1025" s="6" t="str">
        <f>UPPER(Sheet1!B1025)</f>
        <v>KIRAN SHARMA</v>
      </c>
      <c r="D1025" s="7" t="str">
        <f>IF(Sheet1!F1025="F","FEMALE","MALE")</f>
        <v>FEMALE</v>
      </c>
      <c r="E1025" s="6" t="str">
        <f>UPPER(Sheet1!G1025)</f>
        <v>MICHAEL HORTON</v>
      </c>
      <c r="F1025" s="6" t="str">
        <f>UPPER(Sheet1!H1025)</f>
        <v>TAMMY GRAVES</v>
      </c>
      <c r="G1025" s="5" t="str">
        <f>TEXT(Sheet1!C1025,"dd/mm/yyyy") &amp; "," &amp; Sheet1!D1025</f>
        <v>10/03/2025,DAVISHAVEN</v>
      </c>
      <c r="H1025" s="39" t="str">
        <f>UPPER(Sheet1!J1025 &amp; "," &amp; Sheet1!K1025 &amp; "," &amp; Sheet1!L1025)</f>
        <v>549 STACY PLAZA,SUITE 690,PIN:15569 SOUTH EMILYBOROUGH</v>
      </c>
      <c r="I1025" s="8">
        <f>Sheet1!I1025</f>
        <v>46065</v>
      </c>
      <c r="J1025" s="5" t="str">
        <f>Sheet1!M1025 &amp; "," &amp; TEXT(Sheet1!N1025,"dd/mm/yy")</f>
        <v>MHA/IND/01098,12/07/25</v>
      </c>
      <c r="K1025" s="5" t="s">
        <v>5752</v>
      </c>
      <c r="L1025" t="s">
        <v>14</v>
      </c>
      <c r="M1025" s="31" t="s">
        <v>15</v>
      </c>
      <c r="N1025" s="31"/>
    </row>
    <row r="1026" spans="1:14" x14ac:dyDescent="0.25">
      <c r="A1026" s="4" t="str">
        <f>Sheet1!A1026 &amp; "/" &amp; "2025"</f>
        <v>1025/2025</v>
      </c>
      <c r="B1026" s="5" t="str">
        <f>Sheet1!E1026</f>
        <v>IND/MEL/01025</v>
      </c>
      <c r="C1026" s="6" t="str">
        <f>UPPER(Sheet1!B1026)</f>
        <v>ANYA RAO</v>
      </c>
      <c r="D1026" s="7" t="str">
        <f>IF(Sheet1!F1026="F","FEMALE","MALE")</f>
        <v>MALE</v>
      </c>
      <c r="E1026" s="6" t="str">
        <f>UPPER(Sheet1!G1026)</f>
        <v>GREGORY SMITH</v>
      </c>
      <c r="F1026" s="6" t="str">
        <f>UPPER(Sheet1!H1026)</f>
        <v>MELINDA LESTER</v>
      </c>
      <c r="G1026" s="5" t="str">
        <f>TEXT(Sheet1!C1026,"dd/mm/yyyy") &amp; "," &amp; Sheet1!D1026</f>
        <v>22/07/2025,WEST TERESA</v>
      </c>
      <c r="H1026" s="39" t="str">
        <f>UPPER(Sheet1!J1026 &amp; "," &amp; Sheet1!K1026 &amp; "," &amp; Sheet1!L1026)</f>
        <v>94102 LAWRENCE POINTS,SUITE 024,PIN:84426 KELLYBOROUGH</v>
      </c>
      <c r="I1026" s="8">
        <f>Sheet1!I1026</f>
        <v>46065</v>
      </c>
      <c r="J1026" s="5" t="str">
        <f>Sheet1!M1026 &amp; "," &amp; TEXT(Sheet1!N1026,"dd/mm/yy")</f>
        <v>MHA/IND/01099,19/08/25</v>
      </c>
      <c r="K1026" s="5" t="s">
        <v>5752</v>
      </c>
      <c r="L1026" t="s">
        <v>14</v>
      </c>
      <c r="M1026" s="31" t="s">
        <v>15</v>
      </c>
      <c r="N1026" s="31"/>
    </row>
    <row r="1027" spans="1:14" x14ac:dyDescent="0.25">
      <c r="A1027" s="4" t="str">
        <f>Sheet1!A1027 &amp; "/" &amp; "2025"</f>
        <v>1026/2025</v>
      </c>
      <c r="B1027" s="5" t="str">
        <f>Sheet1!E1027</f>
        <v>IND/MEL/01026</v>
      </c>
      <c r="C1027" s="6" t="str">
        <f>UPPER(Sheet1!B1027)</f>
        <v>DIYA MYRTHOS</v>
      </c>
      <c r="D1027" s="7" t="str">
        <f>IF(Sheet1!F1027="F","FEMALE","MALE")</f>
        <v>MALE</v>
      </c>
      <c r="E1027" s="6" t="str">
        <f>UPPER(Sheet1!G1027)</f>
        <v>GREGORY SMITH</v>
      </c>
      <c r="F1027" s="6" t="str">
        <f>UPPER(Sheet1!H1027)</f>
        <v>MELINDA LESTER</v>
      </c>
      <c r="G1027" s="5" t="str">
        <f>TEXT(Sheet1!C1027,"dd/mm/yyyy") &amp; "," &amp; Sheet1!D1027</f>
        <v>22/07/2025,WEST TERESA</v>
      </c>
      <c r="H1027" s="39" t="str">
        <f>UPPER(Sheet1!J1027 &amp; "," &amp; Sheet1!K1027 &amp; "," &amp; Sheet1!L1027)</f>
        <v>94102 LAWRENCE POINTS,SUITE 024,PIN:84426 KELLYBOROUGH</v>
      </c>
      <c r="I1027" s="8">
        <f>Sheet1!I1027</f>
        <v>46065</v>
      </c>
      <c r="J1027" s="5" t="str">
        <f>Sheet1!M1027 &amp; "," &amp; TEXT(Sheet1!N1027,"dd/mm/yy")</f>
        <v>MHA/IND/01099,12/08/25</v>
      </c>
      <c r="K1027" s="5" t="s">
        <v>5752</v>
      </c>
      <c r="L1027" t="s">
        <v>14</v>
      </c>
      <c r="M1027" s="31" t="s">
        <v>15</v>
      </c>
      <c r="N1027" s="31"/>
    </row>
    <row r="1028" spans="1:14" x14ac:dyDescent="0.25">
      <c r="A1028" s="4" t="str">
        <f>Sheet1!A1028 &amp; "/" &amp; "2025"</f>
        <v>1027/2025</v>
      </c>
      <c r="B1028" s="5" t="str">
        <f>Sheet1!E1028</f>
        <v>IND/MEL/01027</v>
      </c>
      <c r="C1028" s="6" t="str">
        <f>UPPER(Sheet1!B1028)</f>
        <v>DIYA RISHKAN</v>
      </c>
      <c r="D1028" s="7" t="str">
        <f>IF(Sheet1!F1028="F","FEMALE","MALE")</f>
        <v>FEMALE</v>
      </c>
      <c r="E1028" s="6" t="str">
        <f>UPPER(Sheet1!G1028)</f>
        <v>MICHAEL LEE</v>
      </c>
      <c r="F1028" s="6" t="str">
        <f>UPPER(Sheet1!H1028)</f>
        <v>DONNA TURNER</v>
      </c>
      <c r="G1028" s="5" t="str">
        <f>TEXT(Sheet1!C1028,"dd/mm/yyyy") &amp; "," &amp; Sheet1!D1028</f>
        <v>23/11/2025,SOUTH RACHELMOUTH</v>
      </c>
      <c r="H1028" s="39" t="str">
        <f>UPPER(Sheet1!J1028 &amp; "," &amp; Sheet1!K1028 &amp; "," &amp; Sheet1!L1028)</f>
        <v>2187 SHAH WELLS SUITE 729,SUITE 647,PIN:40828 NORTH EMILY</v>
      </c>
      <c r="I1028" s="8">
        <f>Sheet1!I1028</f>
        <v>46065</v>
      </c>
      <c r="J1028" s="5" t="str">
        <f>Sheet1!M1028 &amp; "," &amp; TEXT(Sheet1!N1028,"dd/mm/yy")</f>
        <v>MHA/IND/01100,01/08/25</v>
      </c>
      <c r="K1028" s="5" t="s">
        <v>5752</v>
      </c>
      <c r="L1028" t="s">
        <v>14</v>
      </c>
      <c r="M1028" s="31" t="s">
        <v>15</v>
      </c>
      <c r="N1028" s="31"/>
    </row>
    <row r="1029" spans="1:14" x14ac:dyDescent="0.25">
      <c r="A1029" s="4" t="str">
        <f>Sheet1!A1029 &amp; "/" &amp; "2025"</f>
        <v>1028/2025</v>
      </c>
      <c r="B1029" s="5" t="str">
        <f>Sheet1!E1029</f>
        <v>IND/MEL/01028</v>
      </c>
      <c r="C1029" s="6" t="str">
        <f>UPPER(Sheet1!B1029)</f>
        <v>ANYA VALZARI</v>
      </c>
      <c r="D1029" s="7" t="str">
        <f>IF(Sheet1!F1029="F","FEMALE","MALE")</f>
        <v>FEMALE</v>
      </c>
      <c r="E1029" s="6" t="str">
        <f>UPPER(Sheet1!G1029)</f>
        <v>MICHAEL LEE</v>
      </c>
      <c r="F1029" s="6" t="str">
        <f>UPPER(Sheet1!H1029)</f>
        <v>DONNA TURNER</v>
      </c>
      <c r="G1029" s="5" t="str">
        <f>TEXT(Sheet1!C1029,"dd/mm/yyyy") &amp; "," &amp; Sheet1!D1029</f>
        <v>23/11/2025,SOUTH RACHELMOUTH</v>
      </c>
      <c r="H1029" s="39" t="str">
        <f>UPPER(Sheet1!J1029 &amp; "," &amp; Sheet1!K1029 &amp; "," &amp; Sheet1!L1029)</f>
        <v>2187 SHAH WELLS SUITE 729,SUITE 647,PIN:40828 NORTH EMILY</v>
      </c>
      <c r="I1029" s="8">
        <f>Sheet1!I1029</f>
        <v>46065</v>
      </c>
      <c r="J1029" s="5" t="str">
        <f>Sheet1!M1029 &amp; "," &amp; TEXT(Sheet1!N1029,"dd/mm/yy")</f>
        <v>MHA/IND/01100,10/08/25</v>
      </c>
      <c r="K1029" s="5" t="s">
        <v>5752</v>
      </c>
      <c r="L1029" t="s">
        <v>14</v>
      </c>
      <c r="M1029" s="31" t="s">
        <v>15</v>
      </c>
      <c r="N1029" s="31"/>
    </row>
    <row r="1030" spans="1:14" x14ac:dyDescent="0.25">
      <c r="A1030" s="4" t="str">
        <f>Sheet1!A1030 &amp; "/" &amp; "2025"</f>
        <v>1029/2025</v>
      </c>
      <c r="B1030" s="5" t="str">
        <f>Sheet1!E1030</f>
        <v>IND/MEL/01029</v>
      </c>
      <c r="C1030" s="6" t="str">
        <f>UPPER(Sheet1!B1030)</f>
        <v>DEV MYRTHOS</v>
      </c>
      <c r="D1030" s="7" t="str">
        <f>IF(Sheet1!F1030="F","FEMALE","MALE")</f>
        <v>MALE</v>
      </c>
      <c r="E1030" s="6" t="str">
        <f>UPPER(Sheet1!G1030)</f>
        <v>CHRISTOPHER MCCULLOUGH</v>
      </c>
      <c r="F1030" s="6" t="str">
        <f>UPPER(Sheet1!H1030)</f>
        <v>LAURA BAILEY</v>
      </c>
      <c r="G1030" s="5" t="str">
        <f>TEXT(Sheet1!C1030,"dd/mm/yyyy") &amp; "," &amp; Sheet1!D1030</f>
        <v>21/08/2025,EAST JOSEPH</v>
      </c>
      <c r="H1030" s="39" t="str">
        <f>UPPER(Sheet1!J1030 &amp; "," &amp; Sheet1!K1030 &amp; "," &amp; Sheet1!L1030)</f>
        <v>248 HANNAH FLAT,SUITE 858,PIN:23218 BRIGGSSTAD</v>
      </c>
      <c r="I1030" s="8">
        <f>Sheet1!I1030</f>
        <v>46065</v>
      </c>
      <c r="J1030" s="5" t="str">
        <f>Sheet1!M1030 &amp; "," &amp; TEXT(Sheet1!N1030,"dd/mm/yy")</f>
        <v>MHA/IND/01101,06/07/25</v>
      </c>
      <c r="K1030" s="5" t="s">
        <v>5752</v>
      </c>
      <c r="L1030" t="s">
        <v>14</v>
      </c>
      <c r="M1030" s="31" t="s">
        <v>15</v>
      </c>
      <c r="N1030" s="31"/>
    </row>
    <row r="1031" spans="1:14" x14ac:dyDescent="0.25">
      <c r="A1031" s="4" t="str">
        <f>Sheet1!A1031 &amp; "/" &amp; "2025"</f>
        <v>1030/2025</v>
      </c>
      <c r="B1031" s="5" t="str">
        <f>Sheet1!E1031</f>
        <v>IND/MEL/01030</v>
      </c>
      <c r="C1031" s="6" t="str">
        <f>UPPER(Sheet1!B1031)</f>
        <v>NINA MYRTHOS</v>
      </c>
      <c r="D1031" s="7" t="str">
        <f>IF(Sheet1!F1031="F","FEMALE","MALE")</f>
        <v>MALE</v>
      </c>
      <c r="E1031" s="6" t="str">
        <f>UPPER(Sheet1!G1031)</f>
        <v>CHRISTOPHER MCCULLOUGH</v>
      </c>
      <c r="F1031" s="6" t="str">
        <f>UPPER(Sheet1!H1031)</f>
        <v>LAURA BAILEY</v>
      </c>
      <c r="G1031" s="5" t="str">
        <f>TEXT(Sheet1!C1031,"dd/mm/yyyy") &amp; "," &amp; Sheet1!D1031</f>
        <v>21/08/2025,EAST JOSEPH</v>
      </c>
      <c r="H1031" s="39" t="str">
        <f>UPPER(Sheet1!J1031 &amp; "," &amp; Sheet1!K1031 &amp; "," &amp; Sheet1!L1031)</f>
        <v>248 HANNAH FLAT,SUITE 858,PIN:23218 BRIGGSSTAD</v>
      </c>
      <c r="I1031" s="8">
        <f>Sheet1!I1031</f>
        <v>46065</v>
      </c>
      <c r="J1031" s="5" t="str">
        <f>Sheet1!M1031 &amp; "," &amp; TEXT(Sheet1!N1031,"dd/mm/yy")</f>
        <v>MHA/IND/01101,29/08/25</v>
      </c>
      <c r="K1031" s="5" t="s">
        <v>5752</v>
      </c>
      <c r="L1031" t="s">
        <v>14</v>
      </c>
      <c r="M1031" s="31" t="s">
        <v>15</v>
      </c>
      <c r="N1031" s="31"/>
    </row>
    <row r="1032" spans="1:14" x14ac:dyDescent="0.25">
      <c r="A1032" s="4" t="str">
        <f>Sheet1!A1032 &amp; "/" &amp; "2025"</f>
        <v>1031/2025</v>
      </c>
      <c r="B1032" s="5" t="str">
        <f>Sheet1!E1032</f>
        <v>IND/MEL/01031</v>
      </c>
      <c r="C1032" s="6" t="str">
        <f>UPPER(Sheet1!B1032)</f>
        <v>ARJUN SINDALE</v>
      </c>
      <c r="D1032" s="7" t="str">
        <f>IF(Sheet1!F1032="F","FEMALE","MALE")</f>
        <v>FEMALE</v>
      </c>
      <c r="E1032" s="6" t="str">
        <f>UPPER(Sheet1!G1032)</f>
        <v>NATHAN PETERSON</v>
      </c>
      <c r="F1032" s="6" t="str">
        <f>UPPER(Sheet1!H1032)</f>
        <v>AMBER YOUNG</v>
      </c>
      <c r="G1032" s="5" t="str">
        <f>TEXT(Sheet1!C1032,"dd/mm/yyyy") &amp; "," &amp; Sheet1!D1032</f>
        <v>13/01/2026,VICTORIASIDE</v>
      </c>
      <c r="H1032" s="39" t="str">
        <f>UPPER(Sheet1!J1032 &amp; "," &amp; Sheet1!K1032 &amp; "," &amp; Sheet1!L1032)</f>
        <v>73050 BRIAN VILLAGE,APT. 784,PIN:47650 WEST STANLEY</v>
      </c>
      <c r="I1032" s="8">
        <f>Sheet1!I1032</f>
        <v>46065</v>
      </c>
      <c r="J1032" s="5" t="str">
        <f>Sheet1!M1032 &amp; "," &amp; TEXT(Sheet1!N1032,"dd/mm/yy")</f>
        <v>MHA/IND/01102,15/07/25</v>
      </c>
      <c r="K1032" s="5" t="s">
        <v>5752</v>
      </c>
      <c r="L1032" t="s">
        <v>14</v>
      </c>
      <c r="M1032" s="31" t="s">
        <v>15</v>
      </c>
      <c r="N1032" s="31"/>
    </row>
    <row r="1033" spans="1:14" x14ac:dyDescent="0.25">
      <c r="A1033" s="4" t="str">
        <f>Sheet1!A1033 &amp; "/" &amp; "2025"</f>
        <v>1032/2025</v>
      </c>
      <c r="B1033" s="5" t="str">
        <f>Sheet1!E1033</f>
        <v>IND/MEL/01032</v>
      </c>
      <c r="C1033" s="6" t="str">
        <f>UPPER(Sheet1!B1033)</f>
        <v>DIYA SHARMA</v>
      </c>
      <c r="D1033" s="7" t="str">
        <f>IF(Sheet1!F1033="F","FEMALE","MALE")</f>
        <v>FEMALE</v>
      </c>
      <c r="E1033" s="6" t="str">
        <f>UPPER(Sheet1!G1033)</f>
        <v>NATHAN PETERSON</v>
      </c>
      <c r="F1033" s="6" t="str">
        <f>UPPER(Sheet1!H1033)</f>
        <v>AMBER YOUNG</v>
      </c>
      <c r="G1033" s="5" t="str">
        <f>TEXT(Sheet1!C1033,"dd/mm/yyyy") &amp; "," &amp; Sheet1!D1033</f>
        <v>13/01/2026,VICTORIASIDE</v>
      </c>
      <c r="H1033" s="39" t="str">
        <f>UPPER(Sheet1!J1033 &amp; "," &amp; Sheet1!K1033 &amp; "," &amp; Sheet1!L1033)</f>
        <v>73050 BRIAN VILLAGE,APT. 784,PIN:47650 WEST STANLEY</v>
      </c>
      <c r="I1033" s="8">
        <f>Sheet1!I1033</f>
        <v>46065</v>
      </c>
      <c r="J1033" s="5" t="str">
        <f>Sheet1!M1033 &amp; "," &amp; TEXT(Sheet1!N1033,"dd/mm/yy")</f>
        <v>MHA/IND/01102,03/07/25</v>
      </c>
      <c r="K1033" s="5" t="s">
        <v>5752</v>
      </c>
      <c r="L1033" t="s">
        <v>14</v>
      </c>
      <c r="M1033" s="31" t="s">
        <v>15</v>
      </c>
      <c r="N1033" s="31"/>
    </row>
    <row r="1034" spans="1:14" x14ac:dyDescent="0.25">
      <c r="A1034" s="4" t="str">
        <f>Sheet1!A1034 &amp; "/" &amp; "2025"</f>
        <v>1033/2025</v>
      </c>
      <c r="B1034" s="5" t="str">
        <f>Sheet1!E1034</f>
        <v>IND/MEL/01033</v>
      </c>
      <c r="C1034" s="6" t="str">
        <f>UPPER(Sheet1!B1034)</f>
        <v>ISHAN SINDALE</v>
      </c>
      <c r="D1034" s="7" t="str">
        <f>IF(Sheet1!F1034="F","FEMALE","MALE")</f>
        <v>FEMALE</v>
      </c>
      <c r="E1034" s="6" t="str">
        <f>UPPER(Sheet1!G1034)</f>
        <v>CHARLES SKINNER</v>
      </c>
      <c r="F1034" s="6" t="str">
        <f>UPPER(Sheet1!H1034)</f>
        <v>JESSICA GUTIERREZ</v>
      </c>
      <c r="G1034" s="5" t="str">
        <f>TEXT(Sheet1!C1034,"dd/mm/yyyy") &amp; "," &amp; Sheet1!D1034</f>
        <v>24/02/2025,THOMPSONTOWN</v>
      </c>
      <c r="H1034" s="39" t="str">
        <f>UPPER(Sheet1!J1034 &amp; "," &amp; Sheet1!K1034 &amp; "," &amp; Sheet1!L1034)</f>
        <v>47700 CAMERON ISLANDS APT. 945,SUITE 157,PIN:37858 NORTH RONNIE</v>
      </c>
      <c r="I1034" s="8">
        <f>Sheet1!I1034</f>
        <v>46065</v>
      </c>
      <c r="J1034" s="5" t="str">
        <f>Sheet1!M1034 &amp; "," &amp; TEXT(Sheet1!N1034,"dd/mm/yy")</f>
        <v>MHA/IND/01103,13/07/25</v>
      </c>
      <c r="K1034" s="5" t="s">
        <v>5752</v>
      </c>
      <c r="L1034" t="s">
        <v>14</v>
      </c>
      <c r="M1034" s="31" t="s">
        <v>15</v>
      </c>
      <c r="N1034" s="31"/>
    </row>
    <row r="1035" spans="1:14" x14ac:dyDescent="0.25">
      <c r="A1035" s="4" t="str">
        <f>Sheet1!A1035 &amp; "/" &amp; "2025"</f>
        <v>1034/2025</v>
      </c>
      <c r="B1035" s="5" t="str">
        <f>Sheet1!E1035</f>
        <v>IND/MEL/01034</v>
      </c>
      <c r="C1035" s="6" t="str">
        <f>UPPER(Sheet1!B1035)</f>
        <v>ALYA RAO</v>
      </c>
      <c r="D1035" s="7" t="str">
        <f>IF(Sheet1!F1035="F","FEMALE","MALE")</f>
        <v>FEMALE</v>
      </c>
      <c r="E1035" s="6" t="str">
        <f>UPPER(Sheet1!G1035)</f>
        <v>CHARLES SKINNER</v>
      </c>
      <c r="F1035" s="6" t="str">
        <f>UPPER(Sheet1!H1035)</f>
        <v>JESSICA GUTIERREZ</v>
      </c>
      <c r="G1035" s="5" t="str">
        <f>TEXT(Sheet1!C1035,"dd/mm/yyyy") &amp; "," &amp; Sheet1!D1035</f>
        <v>24/02/2025,THOMPSONTOWN</v>
      </c>
      <c r="H1035" s="39" t="str">
        <f>UPPER(Sheet1!J1035 &amp; "," &amp; Sheet1!K1035 &amp; "," &amp; Sheet1!L1035)</f>
        <v>47700 CAMERON ISLANDS APT. 945,SUITE 157,PIN:37858 NORTH RONNIE</v>
      </c>
      <c r="I1035" s="8">
        <f>Sheet1!I1035</f>
        <v>46065</v>
      </c>
      <c r="J1035" s="5" t="str">
        <f>Sheet1!M1035 &amp; "," &amp; TEXT(Sheet1!N1035,"dd/mm/yy")</f>
        <v>MHA/IND/01103,11/07/25</v>
      </c>
      <c r="K1035" s="5" t="s">
        <v>5752</v>
      </c>
      <c r="L1035" t="s">
        <v>14</v>
      </c>
      <c r="M1035" s="31" t="s">
        <v>15</v>
      </c>
      <c r="N1035" s="31"/>
    </row>
    <row r="1036" spans="1:14" x14ac:dyDescent="0.25">
      <c r="A1036" s="4" t="str">
        <f>Sheet1!A1036 &amp; "/" &amp; "2025"</f>
        <v>1035/2025</v>
      </c>
      <c r="B1036" s="5" t="str">
        <f>Sheet1!E1036</f>
        <v>IND/MEL/01035</v>
      </c>
      <c r="C1036" s="6" t="str">
        <f>UPPER(Sheet1!B1036)</f>
        <v>ISHAN SINDALE</v>
      </c>
      <c r="D1036" s="7" t="str">
        <f>IF(Sheet1!F1036="F","FEMALE","MALE")</f>
        <v>MALE</v>
      </c>
      <c r="E1036" s="6" t="str">
        <f>UPPER(Sheet1!G1036)</f>
        <v>NATHAN GOMEZ</v>
      </c>
      <c r="F1036" s="6" t="str">
        <f>UPPER(Sheet1!H1036)</f>
        <v>AMY MORA</v>
      </c>
      <c r="G1036" s="5" t="str">
        <f>TEXT(Sheet1!C1036,"dd/mm/yyyy") &amp; "," &amp; Sheet1!D1036</f>
        <v>13/11/2025,LAKE TREVORFORT</v>
      </c>
      <c r="H1036" s="39" t="str">
        <f>UPPER(Sheet1!J1036 &amp; "," &amp; Sheet1!K1036 &amp; "," &amp; Sheet1!L1036)</f>
        <v>21161 GIBSON LODGE,SUITE 667,PIN:07129 SOUTH KRISTIN</v>
      </c>
      <c r="I1036" s="8">
        <f>Sheet1!I1036</f>
        <v>46065</v>
      </c>
      <c r="J1036" s="5" t="str">
        <f>Sheet1!M1036 &amp; "," &amp; TEXT(Sheet1!N1036,"dd/mm/yy")</f>
        <v>MHA/IND/01104,14/08/25</v>
      </c>
      <c r="K1036" s="5" t="s">
        <v>5752</v>
      </c>
      <c r="L1036" t="s">
        <v>14</v>
      </c>
      <c r="M1036" s="31" t="s">
        <v>15</v>
      </c>
      <c r="N1036" s="31"/>
    </row>
    <row r="1037" spans="1:14" x14ac:dyDescent="0.25">
      <c r="A1037" s="4" t="str">
        <f>Sheet1!A1037 &amp; "/" &amp; "2025"</f>
        <v>1036/2025</v>
      </c>
      <c r="B1037" s="5" t="str">
        <f>Sheet1!E1037</f>
        <v>IND/MEL/01036</v>
      </c>
      <c r="C1037" s="6" t="str">
        <f>UPPER(Sheet1!B1037)</f>
        <v>ISHAN KALEON</v>
      </c>
      <c r="D1037" s="7" t="str">
        <f>IF(Sheet1!F1037="F","FEMALE","MALE")</f>
        <v>MALE</v>
      </c>
      <c r="E1037" s="6" t="str">
        <f>UPPER(Sheet1!G1037)</f>
        <v>NATHAN GOMEZ</v>
      </c>
      <c r="F1037" s="6" t="str">
        <f>UPPER(Sheet1!H1037)</f>
        <v>AMY MORA</v>
      </c>
      <c r="G1037" s="5" t="str">
        <f>TEXT(Sheet1!C1037,"dd/mm/yyyy") &amp; "," &amp; Sheet1!D1037</f>
        <v>13/11/2025,LAKE TREVORFORT</v>
      </c>
      <c r="H1037" s="39" t="str">
        <f>UPPER(Sheet1!J1037 &amp; "," &amp; Sheet1!K1037 &amp; "," &amp; Sheet1!L1037)</f>
        <v>21161 GIBSON LODGE,SUITE 667,PIN:07129 SOUTH KRISTIN</v>
      </c>
      <c r="I1037" s="8">
        <f>Sheet1!I1037</f>
        <v>46065</v>
      </c>
      <c r="J1037" s="5" t="str">
        <f>Sheet1!M1037 &amp; "," &amp; TEXT(Sheet1!N1037,"dd/mm/yy")</f>
        <v>MHA/IND/01104,05/07/25</v>
      </c>
      <c r="K1037" s="5" t="s">
        <v>5752</v>
      </c>
      <c r="L1037" t="s">
        <v>14</v>
      </c>
      <c r="M1037" s="31" t="s">
        <v>15</v>
      </c>
      <c r="N1037" s="31"/>
    </row>
    <row r="1038" spans="1:14" x14ac:dyDescent="0.25">
      <c r="A1038" s="4" t="str">
        <f>Sheet1!A1038 &amp; "/" &amp; "2025"</f>
        <v>1037/2025</v>
      </c>
      <c r="B1038" s="5" t="str">
        <f>Sheet1!E1038</f>
        <v>IND/MEL/01037</v>
      </c>
      <c r="C1038" s="6" t="str">
        <f>UPPER(Sheet1!B1038)</f>
        <v>KIRAN MYRTHOS</v>
      </c>
      <c r="D1038" s="7" t="str">
        <f>IF(Sheet1!F1038="F","FEMALE","MALE")</f>
        <v>FEMALE</v>
      </c>
      <c r="E1038" s="6" t="str">
        <f>UPPER(Sheet1!G1038)</f>
        <v>JEFFREY BAKER</v>
      </c>
      <c r="F1038" s="6" t="str">
        <f>UPPER(Sheet1!H1038)</f>
        <v>ELIZABETH KIM</v>
      </c>
      <c r="G1038" s="5" t="str">
        <f>TEXT(Sheet1!C1038,"dd/mm/yyyy") &amp; "," &amp; Sheet1!D1038</f>
        <v>30/11/2025,BROOKSBERG</v>
      </c>
      <c r="H1038" s="39" t="str">
        <f>UPPER(Sheet1!J1038 &amp; "," &amp; Sheet1!K1038 &amp; "," &amp; Sheet1!L1038)</f>
        <v>068 BRENT SUMMIT APT. 991,APT. 866,PIN:87903 NEW KATELYN</v>
      </c>
      <c r="I1038" s="8">
        <f>Sheet1!I1038</f>
        <v>46065</v>
      </c>
      <c r="J1038" s="5" t="str">
        <f>Sheet1!M1038 &amp; "," &amp; TEXT(Sheet1!N1038,"dd/mm/yy")</f>
        <v>MHA/IND/01105,24/07/25</v>
      </c>
      <c r="K1038" s="5" t="s">
        <v>5752</v>
      </c>
      <c r="L1038" t="s">
        <v>14</v>
      </c>
      <c r="M1038" s="31" t="s">
        <v>15</v>
      </c>
      <c r="N1038" s="31"/>
    </row>
    <row r="1039" spans="1:14" x14ac:dyDescent="0.25">
      <c r="A1039" s="4" t="str">
        <f>Sheet1!A1039 &amp; "/" &amp; "2025"</f>
        <v>1038/2025</v>
      </c>
      <c r="B1039" s="5" t="str">
        <f>Sheet1!E1039</f>
        <v>IND/MEL/01038</v>
      </c>
      <c r="C1039" s="6" t="str">
        <f>UPPER(Sheet1!B1039)</f>
        <v>ISHAN MYRTHOS</v>
      </c>
      <c r="D1039" s="7" t="str">
        <f>IF(Sheet1!F1039="F","FEMALE","MALE")</f>
        <v>FEMALE</v>
      </c>
      <c r="E1039" s="6" t="str">
        <f>UPPER(Sheet1!G1039)</f>
        <v>JEFFREY BAKER</v>
      </c>
      <c r="F1039" s="6" t="str">
        <f>UPPER(Sheet1!H1039)</f>
        <v>ELIZABETH KIM</v>
      </c>
      <c r="G1039" s="5" t="str">
        <f>TEXT(Sheet1!C1039,"dd/mm/yyyy") &amp; "," &amp; Sheet1!D1039</f>
        <v>30/11/2025,BROOKSBERG</v>
      </c>
      <c r="H1039" s="39" t="str">
        <f>UPPER(Sheet1!J1039 &amp; "," &amp; Sheet1!K1039 &amp; "," &amp; Sheet1!L1039)</f>
        <v>068 BRENT SUMMIT APT. 991,APT. 866,PIN:87903 NEW KATELYN</v>
      </c>
      <c r="I1039" s="8">
        <f>Sheet1!I1039</f>
        <v>46065</v>
      </c>
      <c r="J1039" s="5" t="str">
        <f>Sheet1!M1039 &amp; "," &amp; TEXT(Sheet1!N1039,"dd/mm/yy")</f>
        <v>MHA/IND/01105,06/07/25</v>
      </c>
      <c r="K1039" s="5" t="s">
        <v>5752</v>
      </c>
      <c r="L1039" t="s">
        <v>14</v>
      </c>
      <c r="M1039" s="31" t="s">
        <v>15</v>
      </c>
      <c r="N1039" s="31"/>
    </row>
    <row r="1040" spans="1:14" x14ac:dyDescent="0.25">
      <c r="A1040" s="4" t="str">
        <f>Sheet1!A1040 &amp; "/" &amp; "2025"</f>
        <v>1039/2025</v>
      </c>
      <c r="B1040" s="5" t="str">
        <f>Sheet1!E1040</f>
        <v>IND/MEL/01039</v>
      </c>
      <c r="C1040" s="6" t="str">
        <f>UPPER(Sheet1!B1040)</f>
        <v>AREN SINDALE</v>
      </c>
      <c r="D1040" s="7" t="str">
        <f>IF(Sheet1!F1040="F","FEMALE","MALE")</f>
        <v>MALE</v>
      </c>
      <c r="E1040" s="6" t="str">
        <f>UPPER(Sheet1!G1040)</f>
        <v>BRANDON SMITH</v>
      </c>
      <c r="F1040" s="6" t="str">
        <f>UPPER(Sheet1!H1040)</f>
        <v>JODY BROWN</v>
      </c>
      <c r="G1040" s="5" t="str">
        <f>TEXT(Sheet1!C1040,"dd/mm/yyyy") &amp; "," &amp; Sheet1!D1040</f>
        <v>18/12/2025,NEW EMILYTON</v>
      </c>
      <c r="H1040" s="39" t="str">
        <f>UPPER(Sheet1!J1040 &amp; "," &amp; Sheet1!K1040 &amp; "," &amp; Sheet1!L1040)</f>
        <v>2543 BENNETT WELL,APT. 675,PIN:56240 DOUGLASMOUTH</v>
      </c>
      <c r="I1040" s="8">
        <f>Sheet1!I1040</f>
        <v>46065</v>
      </c>
      <c r="J1040" s="5" t="str">
        <f>Sheet1!M1040 &amp; "," &amp; TEXT(Sheet1!N1040,"dd/mm/yy")</f>
        <v>MHA/IND/01106,21/08/25</v>
      </c>
      <c r="K1040" s="5" t="s">
        <v>5752</v>
      </c>
      <c r="L1040" t="s">
        <v>14</v>
      </c>
      <c r="M1040" s="31" t="s">
        <v>15</v>
      </c>
      <c r="N1040" s="31"/>
    </row>
    <row r="1041" spans="1:14" x14ac:dyDescent="0.25">
      <c r="A1041" s="4" t="str">
        <f>Sheet1!A1041 &amp; "/" &amp; "2025"</f>
        <v>1040/2025</v>
      </c>
      <c r="B1041" s="5" t="str">
        <f>Sheet1!E1041</f>
        <v>IND/MEL/01040</v>
      </c>
      <c r="C1041" s="6" t="str">
        <f>UPPER(Sheet1!B1041)</f>
        <v>ARJUN SHARMA</v>
      </c>
      <c r="D1041" s="7" t="str">
        <f>IF(Sheet1!F1041="F","FEMALE","MALE")</f>
        <v>MALE</v>
      </c>
      <c r="E1041" s="6" t="str">
        <f>UPPER(Sheet1!G1041)</f>
        <v>BRANDON SMITH</v>
      </c>
      <c r="F1041" s="6" t="str">
        <f>UPPER(Sheet1!H1041)</f>
        <v>JODY BROWN</v>
      </c>
      <c r="G1041" s="5" t="str">
        <f>TEXT(Sheet1!C1041,"dd/mm/yyyy") &amp; "," &amp; Sheet1!D1041</f>
        <v>18/12/2025,NEW EMILYTON</v>
      </c>
      <c r="H1041" s="39" t="str">
        <f>UPPER(Sheet1!J1041 &amp; "," &amp; Sheet1!K1041 &amp; "," &amp; Sheet1!L1041)</f>
        <v>2543 BENNETT WELL,APT. 675,PIN:56240 DOUGLASMOUTH</v>
      </c>
      <c r="I1041" s="8">
        <f>Sheet1!I1041</f>
        <v>46065</v>
      </c>
      <c r="J1041" s="5" t="str">
        <f>Sheet1!M1041 &amp; "," &amp; TEXT(Sheet1!N1041,"dd/mm/yy")</f>
        <v>MHA/IND/01106,08/07/25</v>
      </c>
      <c r="K1041" s="5" t="s">
        <v>5752</v>
      </c>
      <c r="L1041" t="s">
        <v>14</v>
      </c>
      <c r="M1041" s="31" t="s">
        <v>15</v>
      </c>
      <c r="N1041" s="31"/>
    </row>
    <row r="1042" spans="1:14" x14ac:dyDescent="0.25">
      <c r="A1042" s="4" t="str">
        <f>Sheet1!A1042 &amp; "/" &amp; "2025"</f>
        <v>1041/2025</v>
      </c>
      <c r="B1042" s="5" t="str">
        <f>Sheet1!E1042</f>
        <v>IND/MEL/01041</v>
      </c>
      <c r="C1042" s="6" t="str">
        <f>UPPER(Sheet1!B1042)</f>
        <v>ALYA RAO</v>
      </c>
      <c r="D1042" s="7" t="str">
        <f>IF(Sheet1!F1042="F","FEMALE","MALE")</f>
        <v>FEMALE</v>
      </c>
      <c r="E1042" s="6" t="str">
        <f>UPPER(Sheet1!G1042)</f>
        <v>EDWARD PHILLIPS</v>
      </c>
      <c r="F1042" s="6" t="str">
        <f>UPPER(Sheet1!H1042)</f>
        <v>ASHLEY POWELL</v>
      </c>
      <c r="G1042" s="5" t="str">
        <f>TEXT(Sheet1!C1042,"dd/mm/yyyy") &amp; "," &amp; Sheet1!D1042</f>
        <v>13/07/2025,WALKERSHIRE</v>
      </c>
      <c r="H1042" s="39" t="str">
        <f>UPPER(Sheet1!J1042 &amp; "," &amp; Sheet1!K1042 &amp; "," &amp; Sheet1!L1042)</f>
        <v>61754 REILLY SHORES,SUITE 213,PIN:03313 SOUTH KEVIN</v>
      </c>
      <c r="I1042" s="8">
        <f>Sheet1!I1042</f>
        <v>46065</v>
      </c>
      <c r="J1042" s="5" t="str">
        <f>Sheet1!M1042 &amp; "," &amp; TEXT(Sheet1!N1042,"dd/mm/yy")</f>
        <v>MHA/IND/01107,07/07/25</v>
      </c>
      <c r="K1042" s="5" t="s">
        <v>5752</v>
      </c>
      <c r="L1042" t="s">
        <v>14</v>
      </c>
      <c r="M1042" s="31" t="s">
        <v>15</v>
      </c>
      <c r="N1042" s="31"/>
    </row>
    <row r="1043" spans="1:14" x14ac:dyDescent="0.25">
      <c r="A1043" s="4" t="str">
        <f>Sheet1!A1043 &amp; "/" &amp; "2025"</f>
        <v>1042/2025</v>
      </c>
      <c r="B1043" s="5" t="str">
        <f>Sheet1!E1043</f>
        <v>IND/MEL/01042</v>
      </c>
      <c r="C1043" s="6" t="str">
        <f>UPPER(Sheet1!B1043)</f>
        <v>DIYA KALEON</v>
      </c>
      <c r="D1043" s="7" t="str">
        <f>IF(Sheet1!F1043="F","FEMALE","MALE")</f>
        <v>FEMALE</v>
      </c>
      <c r="E1043" s="6" t="str">
        <f>UPPER(Sheet1!G1043)</f>
        <v>EDWARD PHILLIPS</v>
      </c>
      <c r="F1043" s="6" t="str">
        <f>UPPER(Sheet1!H1043)</f>
        <v>ASHLEY POWELL</v>
      </c>
      <c r="G1043" s="5" t="str">
        <f>TEXT(Sheet1!C1043,"dd/mm/yyyy") &amp; "," &amp; Sheet1!D1043</f>
        <v>13/07/2025,WALKERSHIRE</v>
      </c>
      <c r="H1043" s="39" t="str">
        <f>UPPER(Sheet1!J1043 &amp; "," &amp; Sheet1!K1043 &amp; "," &amp; Sheet1!L1043)</f>
        <v>61754 REILLY SHORES,SUITE 213,PIN:03313 SOUTH KEVIN</v>
      </c>
      <c r="I1043" s="8">
        <f>Sheet1!I1043</f>
        <v>46065</v>
      </c>
      <c r="J1043" s="5" t="str">
        <f>Sheet1!M1043 &amp; "," &amp; TEXT(Sheet1!N1043,"dd/mm/yy")</f>
        <v>MHA/IND/01107,29/08/25</v>
      </c>
      <c r="K1043" s="5" t="s">
        <v>5752</v>
      </c>
      <c r="L1043" t="s">
        <v>14</v>
      </c>
      <c r="M1043" s="31" t="s">
        <v>15</v>
      </c>
      <c r="N1043" s="31"/>
    </row>
    <row r="1044" spans="1:14" x14ac:dyDescent="0.25">
      <c r="A1044" s="4" t="str">
        <f>Sheet1!A1044 &amp; "/" &amp; "2025"</f>
        <v>1043/2025</v>
      </c>
      <c r="B1044" s="5" t="str">
        <f>Sheet1!E1044</f>
        <v>IND/MEL/01043</v>
      </c>
      <c r="C1044" s="6" t="str">
        <f>UPPER(Sheet1!B1044)</f>
        <v>ANYA RAO</v>
      </c>
      <c r="D1044" s="7" t="str">
        <f>IF(Sheet1!F1044="F","FEMALE","MALE")</f>
        <v>FEMALE</v>
      </c>
      <c r="E1044" s="6" t="str">
        <f>UPPER(Sheet1!G1044)</f>
        <v>CHRISTOPHER SUAREZ</v>
      </c>
      <c r="F1044" s="6" t="str">
        <f>UPPER(Sheet1!H1044)</f>
        <v>JENNIFER SCHNEIDER</v>
      </c>
      <c r="G1044" s="5" t="str">
        <f>TEXT(Sheet1!C1044,"dd/mm/yyyy") &amp; "," &amp; Sheet1!D1044</f>
        <v>24/07/2025,LOGANBERG</v>
      </c>
      <c r="H1044" s="39" t="str">
        <f>UPPER(Sheet1!J1044 &amp; "," &amp; Sheet1!K1044 &amp; "," &amp; Sheet1!L1044)</f>
        <v>322 HARTMAN EXTENSIONS SUITE 854,APT. 763,PIN:35770 NORTH DONNACHESTER</v>
      </c>
      <c r="I1044" s="8">
        <f>Sheet1!I1044</f>
        <v>46065</v>
      </c>
      <c r="J1044" s="5" t="str">
        <f>Sheet1!M1044 &amp; "," &amp; TEXT(Sheet1!N1044,"dd/mm/yy")</f>
        <v>MHA/IND/01108,08/08/25</v>
      </c>
      <c r="K1044" s="5" t="s">
        <v>5752</v>
      </c>
      <c r="L1044" t="s">
        <v>14</v>
      </c>
      <c r="M1044" s="31" t="s">
        <v>15</v>
      </c>
      <c r="N1044" s="31"/>
    </row>
    <row r="1045" spans="1:14" x14ac:dyDescent="0.25">
      <c r="A1045" s="4" t="str">
        <f>Sheet1!A1045 &amp; "/" &amp; "2025"</f>
        <v>1044/2025</v>
      </c>
      <c r="B1045" s="5" t="str">
        <f>Sheet1!E1045</f>
        <v>IND/MEL/01044</v>
      </c>
      <c r="C1045" s="6" t="str">
        <f>UPPER(Sheet1!B1045)</f>
        <v>NINA KALEON</v>
      </c>
      <c r="D1045" s="7" t="str">
        <f>IF(Sheet1!F1045="F","FEMALE","MALE")</f>
        <v>FEMALE</v>
      </c>
      <c r="E1045" s="6" t="str">
        <f>UPPER(Sheet1!G1045)</f>
        <v>CHRISTOPHER SUAREZ</v>
      </c>
      <c r="F1045" s="6" t="str">
        <f>UPPER(Sheet1!H1045)</f>
        <v>JENNIFER SCHNEIDER</v>
      </c>
      <c r="G1045" s="5" t="str">
        <f>TEXT(Sheet1!C1045,"dd/mm/yyyy") &amp; "," &amp; Sheet1!D1045</f>
        <v>24/07/2025,LOGANBERG</v>
      </c>
      <c r="H1045" s="39" t="str">
        <f>UPPER(Sheet1!J1045 &amp; "," &amp; Sheet1!K1045 &amp; "," &amp; Sheet1!L1045)</f>
        <v>322 HARTMAN EXTENSIONS SUITE 854,APT. 763,PIN:35770 NORTH DONNACHESTER</v>
      </c>
      <c r="I1045" s="8">
        <f>Sheet1!I1045</f>
        <v>46065</v>
      </c>
      <c r="J1045" s="5" t="str">
        <f>Sheet1!M1045 &amp; "," &amp; TEXT(Sheet1!N1045,"dd/mm/yy")</f>
        <v>MHA/IND/01108,03/08/25</v>
      </c>
      <c r="K1045" s="5" t="s">
        <v>5752</v>
      </c>
      <c r="L1045" t="s">
        <v>14</v>
      </c>
      <c r="M1045" s="31" t="s">
        <v>15</v>
      </c>
      <c r="N1045" s="31"/>
    </row>
    <row r="1046" spans="1:14" x14ac:dyDescent="0.25">
      <c r="A1046" s="4" t="str">
        <f>Sheet1!A1046 &amp; "/" &amp; "2025"</f>
        <v>1045/2025</v>
      </c>
      <c r="B1046" s="5" t="str">
        <f>Sheet1!E1046</f>
        <v>IND/MEL/01045</v>
      </c>
      <c r="C1046" s="6" t="str">
        <f>UPPER(Sheet1!B1046)</f>
        <v>ANYA MYRTHOS</v>
      </c>
      <c r="D1046" s="7" t="str">
        <f>IF(Sheet1!F1046="F","FEMALE","MALE")</f>
        <v>FEMALE</v>
      </c>
      <c r="E1046" s="6" t="str">
        <f>UPPER(Sheet1!G1046)</f>
        <v>RICARDO BLACK</v>
      </c>
      <c r="F1046" s="6" t="str">
        <f>UPPER(Sheet1!H1046)</f>
        <v>NICOLE HAYES</v>
      </c>
      <c r="G1046" s="5" t="str">
        <f>TEXT(Sheet1!C1046,"dd/mm/yyyy") &amp; "," &amp; Sheet1!D1046</f>
        <v>13/04/2025,WEST DALEFURT</v>
      </c>
      <c r="H1046" s="39" t="str">
        <f>UPPER(Sheet1!J1046 &amp; "," &amp; Sheet1!K1046 &amp; "," &amp; Sheet1!L1046)</f>
        <v>318 WILLIE VIA,SUITE 613,PIN:65403 COLLINSSHIRE</v>
      </c>
      <c r="I1046" s="8">
        <f>Sheet1!I1046</f>
        <v>46065</v>
      </c>
      <c r="J1046" s="5" t="str">
        <f>Sheet1!M1046 &amp; "," &amp; TEXT(Sheet1!N1046,"dd/mm/yy")</f>
        <v>MHA/IND/01109,02/07/25</v>
      </c>
      <c r="K1046" s="5" t="s">
        <v>5752</v>
      </c>
      <c r="L1046" t="s">
        <v>14</v>
      </c>
      <c r="M1046" s="31" t="s">
        <v>15</v>
      </c>
      <c r="N1046" s="31"/>
    </row>
    <row r="1047" spans="1:14" x14ac:dyDescent="0.25">
      <c r="A1047" s="4" t="str">
        <f>Sheet1!A1047 &amp; "/" &amp; "2025"</f>
        <v>1046/2025</v>
      </c>
      <c r="B1047" s="5" t="str">
        <f>Sheet1!E1047</f>
        <v>IND/MEL/01046</v>
      </c>
      <c r="C1047" s="6" t="str">
        <f>UPPER(Sheet1!B1047)</f>
        <v>ANYA KALEON</v>
      </c>
      <c r="D1047" s="7" t="str">
        <f>IF(Sheet1!F1047="F","FEMALE","MALE")</f>
        <v>FEMALE</v>
      </c>
      <c r="E1047" s="6" t="str">
        <f>UPPER(Sheet1!G1047)</f>
        <v>RICARDO BLACK</v>
      </c>
      <c r="F1047" s="6" t="str">
        <f>UPPER(Sheet1!H1047)</f>
        <v>NICOLE HAYES</v>
      </c>
      <c r="G1047" s="5" t="str">
        <f>TEXT(Sheet1!C1047,"dd/mm/yyyy") &amp; "," &amp; Sheet1!D1047</f>
        <v>13/04/2025,WEST DALEFURT</v>
      </c>
      <c r="H1047" s="39" t="str">
        <f>UPPER(Sheet1!J1047 &amp; "," &amp; Sheet1!K1047 &amp; "," &amp; Sheet1!L1047)</f>
        <v>318 WILLIE VIA,SUITE 613,PIN:65403 COLLINSSHIRE</v>
      </c>
      <c r="I1047" s="8">
        <f>Sheet1!I1047</f>
        <v>46065</v>
      </c>
      <c r="J1047" s="5" t="str">
        <f>Sheet1!M1047 &amp; "," &amp; TEXT(Sheet1!N1047,"dd/mm/yy")</f>
        <v>MHA/IND/01109,20/07/25</v>
      </c>
      <c r="K1047" s="5" t="s">
        <v>5752</v>
      </c>
      <c r="L1047" t="s">
        <v>14</v>
      </c>
      <c r="M1047" s="31" t="s">
        <v>15</v>
      </c>
      <c r="N1047" s="31"/>
    </row>
    <row r="1048" spans="1:14" x14ac:dyDescent="0.25">
      <c r="A1048" s="4" t="str">
        <f>Sheet1!A1048 &amp; "/" &amp; "2025"</f>
        <v>1047/2025</v>
      </c>
      <c r="B1048" s="5" t="str">
        <f>Sheet1!E1048</f>
        <v>IND/MEL/01047</v>
      </c>
      <c r="C1048" s="6" t="str">
        <f>UPPER(Sheet1!B1048)</f>
        <v>RIYA MYRTHOS</v>
      </c>
      <c r="D1048" s="7" t="str">
        <f>IF(Sheet1!F1048="F","FEMALE","MALE")</f>
        <v>FEMALE</v>
      </c>
      <c r="E1048" s="6" t="str">
        <f>UPPER(Sheet1!G1048)</f>
        <v>BRADLEY CASTRO</v>
      </c>
      <c r="F1048" s="6" t="str">
        <f>UPPER(Sheet1!H1048)</f>
        <v>PAMELA ROBERTS</v>
      </c>
      <c r="G1048" s="5" t="str">
        <f>TEXT(Sheet1!C1048,"dd/mm/yyyy") &amp; "," &amp; Sheet1!D1048</f>
        <v>21/09/2025,PORT WILLIAMMOUTH</v>
      </c>
      <c r="H1048" s="39" t="str">
        <f>UPPER(Sheet1!J1048 &amp; "," &amp; Sheet1!K1048 &amp; "," &amp; Sheet1!L1048)</f>
        <v>7936 LOPEZ CLUB,APT. 337,PIN:61936 MICHELEMOUTH</v>
      </c>
      <c r="I1048" s="8">
        <f>Sheet1!I1048</f>
        <v>46065</v>
      </c>
      <c r="J1048" s="5" t="str">
        <f>Sheet1!M1048 &amp; "," &amp; TEXT(Sheet1!N1048,"dd/mm/yy")</f>
        <v>MHA/IND/01110,21/07/25</v>
      </c>
      <c r="K1048" s="5" t="s">
        <v>5752</v>
      </c>
      <c r="L1048" t="s">
        <v>14</v>
      </c>
      <c r="M1048" s="31" t="s">
        <v>15</v>
      </c>
      <c r="N1048" s="31"/>
    </row>
    <row r="1049" spans="1:14" x14ac:dyDescent="0.25">
      <c r="A1049" s="4" t="str">
        <f>Sheet1!A1049 &amp; "/" &amp; "2025"</f>
        <v>1048/2025</v>
      </c>
      <c r="B1049" s="5" t="str">
        <f>Sheet1!E1049</f>
        <v>IND/MEL/01048</v>
      </c>
      <c r="C1049" s="6" t="str">
        <f>UPPER(Sheet1!B1049)</f>
        <v>NEIL KALEON</v>
      </c>
      <c r="D1049" s="7" t="str">
        <f>IF(Sheet1!F1049="F","FEMALE","MALE")</f>
        <v>FEMALE</v>
      </c>
      <c r="E1049" s="6" t="str">
        <f>UPPER(Sheet1!G1049)</f>
        <v>BRADLEY CASTRO</v>
      </c>
      <c r="F1049" s="6" t="str">
        <f>UPPER(Sheet1!H1049)</f>
        <v>PAMELA ROBERTS</v>
      </c>
      <c r="G1049" s="5" t="str">
        <f>TEXT(Sheet1!C1049,"dd/mm/yyyy") &amp; "," &amp; Sheet1!D1049</f>
        <v>21/09/2025,PORT WILLIAMMOUTH</v>
      </c>
      <c r="H1049" s="39" t="str">
        <f>UPPER(Sheet1!J1049 &amp; "," &amp; Sheet1!K1049 &amp; "," &amp; Sheet1!L1049)</f>
        <v>7936 LOPEZ CLUB,APT. 337,PIN:61936 MICHELEMOUTH</v>
      </c>
      <c r="I1049" s="8">
        <f>Sheet1!I1049</f>
        <v>46065</v>
      </c>
      <c r="J1049" s="5" t="str">
        <f>Sheet1!M1049 &amp; "," &amp; TEXT(Sheet1!N1049,"dd/mm/yy")</f>
        <v>MHA/IND/01110,08/07/25</v>
      </c>
      <c r="K1049" s="5" t="s">
        <v>5752</v>
      </c>
      <c r="L1049" t="s">
        <v>14</v>
      </c>
      <c r="M1049" s="31" t="s">
        <v>15</v>
      </c>
      <c r="N1049" s="31"/>
    </row>
    <row r="1050" spans="1:14" x14ac:dyDescent="0.25">
      <c r="A1050" s="4" t="str">
        <f>Sheet1!A1050 &amp; "/" &amp; "2025"</f>
        <v>1049/2025</v>
      </c>
      <c r="B1050" s="5" t="str">
        <f>Sheet1!E1050</f>
        <v>IND/MEL/01049</v>
      </c>
      <c r="C1050" s="6" t="str">
        <f>UPPER(Sheet1!B1050)</f>
        <v>KABIR SHARMA</v>
      </c>
      <c r="D1050" s="7" t="str">
        <f>IF(Sheet1!F1050="F","FEMALE","MALE")</f>
        <v>FEMALE</v>
      </c>
      <c r="E1050" s="6" t="str">
        <f>UPPER(Sheet1!G1050)</f>
        <v>DAVID MYERS</v>
      </c>
      <c r="F1050" s="6" t="str">
        <f>UPPER(Sheet1!H1050)</f>
        <v>STEPHANIE FERGUSON</v>
      </c>
      <c r="G1050" s="5" t="str">
        <f>TEXT(Sheet1!C1050,"dd/mm/yyyy") &amp; "," &amp; Sheet1!D1050</f>
        <v>12/01/2026,ANGELAVILLE</v>
      </c>
      <c r="H1050" s="39" t="str">
        <f>UPPER(Sheet1!J1050 &amp; "," &amp; Sheet1!K1050 &amp; "," &amp; Sheet1!L1050)</f>
        <v>4818 KEVIN CREST,APT. 789,PIN:83240 EAST WILLIAM</v>
      </c>
      <c r="I1050" s="8">
        <f>Sheet1!I1050</f>
        <v>46065</v>
      </c>
      <c r="J1050" s="5" t="str">
        <f>Sheet1!M1050 &amp; "," &amp; TEXT(Sheet1!N1050,"dd/mm/yy")</f>
        <v>MHA/IND/01111,27/08/25</v>
      </c>
      <c r="K1050" s="5" t="s">
        <v>5752</v>
      </c>
      <c r="L1050" t="s">
        <v>14</v>
      </c>
      <c r="M1050" s="31" t="s">
        <v>15</v>
      </c>
      <c r="N1050" s="31"/>
    </row>
    <row r="1051" spans="1:14" x14ac:dyDescent="0.25">
      <c r="A1051" s="4" t="str">
        <f>Sheet1!A1051 &amp; "/" &amp; "2025"</f>
        <v>1050/2025</v>
      </c>
      <c r="B1051" s="5" t="str">
        <f>Sheet1!E1051</f>
        <v>IND/MEL/01050</v>
      </c>
      <c r="C1051" s="6" t="str">
        <f>UPPER(Sheet1!B1051)</f>
        <v>ANYA RISHKAN</v>
      </c>
      <c r="D1051" s="7" t="str">
        <f>IF(Sheet1!F1051="F","FEMALE","MALE")</f>
        <v>FEMALE</v>
      </c>
      <c r="E1051" s="6" t="str">
        <f>UPPER(Sheet1!G1051)</f>
        <v>DAVID MYERS</v>
      </c>
      <c r="F1051" s="6" t="str">
        <f>UPPER(Sheet1!H1051)</f>
        <v>STEPHANIE FERGUSON</v>
      </c>
      <c r="G1051" s="5" t="str">
        <f>TEXT(Sheet1!C1051,"dd/mm/yyyy") &amp; "," &amp; Sheet1!D1051</f>
        <v>12/01/2026,ANGELAVILLE</v>
      </c>
      <c r="H1051" s="39" t="str">
        <f>UPPER(Sheet1!J1051 &amp; "," &amp; Sheet1!K1051 &amp; "," &amp; Sheet1!L1051)</f>
        <v>4818 KEVIN CREST,APT. 789,PIN:83240 EAST WILLIAM</v>
      </c>
      <c r="I1051" s="8">
        <f>Sheet1!I1051</f>
        <v>46065</v>
      </c>
      <c r="J1051" s="5" t="str">
        <f>Sheet1!M1051 &amp; "," &amp; TEXT(Sheet1!N1051,"dd/mm/yy")</f>
        <v>MHA/IND/01111,10/07/25</v>
      </c>
      <c r="K1051" s="5" t="s">
        <v>5752</v>
      </c>
      <c r="L1051" t="s">
        <v>14</v>
      </c>
      <c r="M1051" s="31" t="s">
        <v>15</v>
      </c>
      <c r="N1051" s="31"/>
    </row>
    <row r="1052" spans="1:14" x14ac:dyDescent="0.25">
      <c r="A1052" s="4" t="str">
        <f>Sheet1!A1052 &amp; "/" &amp; "2025"</f>
        <v>1051/2025</v>
      </c>
      <c r="B1052" s="5" t="str">
        <f>Sheet1!E1052</f>
        <v>IND/MEL/01051</v>
      </c>
      <c r="C1052" s="6" t="str">
        <f>UPPER(Sheet1!B1052)</f>
        <v>ISHAN RAO</v>
      </c>
      <c r="D1052" s="7" t="str">
        <f>IF(Sheet1!F1052="F","FEMALE","MALE")</f>
        <v>MALE</v>
      </c>
      <c r="E1052" s="6" t="str">
        <f>UPPER(Sheet1!G1052)</f>
        <v>JOHN OCONNOR</v>
      </c>
      <c r="F1052" s="6" t="str">
        <f>UPPER(Sheet1!H1052)</f>
        <v>LAUREN BULLOCK</v>
      </c>
      <c r="G1052" s="5" t="str">
        <f>TEXT(Sheet1!C1052,"dd/mm/yyyy") &amp; "," &amp; Sheet1!D1052</f>
        <v>24/05/2025,PORT WENDY</v>
      </c>
      <c r="H1052" s="39" t="str">
        <f>UPPER(Sheet1!J1052 &amp; "," &amp; Sheet1!K1052 &amp; "," &amp; Sheet1!L1052)</f>
        <v>50762 DURAN SHOALS SUITE 408,APT. 399,PIN:56202 TOWNSENDVILLE</v>
      </c>
      <c r="I1052" s="8">
        <f>Sheet1!I1052</f>
        <v>46065</v>
      </c>
      <c r="J1052" s="5" t="str">
        <f>Sheet1!M1052 &amp; "," &amp; TEXT(Sheet1!N1052,"dd/mm/yy")</f>
        <v>MHA/IND/01112,15/08/25</v>
      </c>
      <c r="K1052" s="5" t="s">
        <v>5752</v>
      </c>
      <c r="L1052" t="s">
        <v>14</v>
      </c>
      <c r="M1052" s="31" t="s">
        <v>15</v>
      </c>
      <c r="N1052" s="31"/>
    </row>
    <row r="1053" spans="1:14" x14ac:dyDescent="0.25">
      <c r="A1053" s="4" t="str">
        <f>Sheet1!A1053 &amp; "/" &amp; "2025"</f>
        <v>1052/2025</v>
      </c>
      <c r="B1053" s="5" t="str">
        <f>Sheet1!E1053</f>
        <v>IND/MEL/01052</v>
      </c>
      <c r="C1053" s="6" t="str">
        <f>UPPER(Sheet1!B1053)</f>
        <v>DIYA SHARMA</v>
      </c>
      <c r="D1053" s="7" t="str">
        <f>IF(Sheet1!F1053="F","FEMALE","MALE")</f>
        <v>MALE</v>
      </c>
      <c r="E1053" s="6" t="str">
        <f>UPPER(Sheet1!G1053)</f>
        <v>JOHN OCONNOR</v>
      </c>
      <c r="F1053" s="6" t="str">
        <f>UPPER(Sheet1!H1053)</f>
        <v>LAUREN BULLOCK</v>
      </c>
      <c r="G1053" s="5" t="str">
        <f>TEXT(Sheet1!C1053,"dd/mm/yyyy") &amp; "," &amp; Sheet1!D1053</f>
        <v>24/05/2025,PORT WENDY</v>
      </c>
      <c r="H1053" s="39" t="str">
        <f>UPPER(Sheet1!J1053 &amp; "," &amp; Sheet1!K1053 &amp; "," &amp; Sheet1!L1053)</f>
        <v>50762 DURAN SHOALS SUITE 408,APT. 399,PIN:56202 TOWNSENDVILLE</v>
      </c>
      <c r="I1053" s="8">
        <f>Sheet1!I1053</f>
        <v>46065</v>
      </c>
      <c r="J1053" s="5" t="str">
        <f>Sheet1!M1053 &amp; "," &amp; TEXT(Sheet1!N1053,"dd/mm/yy")</f>
        <v>MHA/IND/01112,03/08/25</v>
      </c>
      <c r="K1053" s="5" t="s">
        <v>5752</v>
      </c>
      <c r="L1053" t="s">
        <v>14</v>
      </c>
      <c r="M1053" s="31" t="s">
        <v>15</v>
      </c>
      <c r="N1053" s="31"/>
    </row>
    <row r="1054" spans="1:14" x14ac:dyDescent="0.25">
      <c r="A1054" s="4" t="str">
        <f>Sheet1!A1054 &amp; "/" &amp; "2025"</f>
        <v>1053/2025</v>
      </c>
      <c r="B1054" s="5" t="str">
        <f>Sheet1!E1054</f>
        <v>IND/MEL/01053</v>
      </c>
      <c r="C1054" s="6" t="str">
        <f>UPPER(Sheet1!B1054)</f>
        <v>SARA KALEON</v>
      </c>
      <c r="D1054" s="7" t="str">
        <f>IF(Sheet1!F1054="F","FEMALE","MALE")</f>
        <v>MALE</v>
      </c>
      <c r="E1054" s="6" t="str">
        <f>UPPER(Sheet1!G1054)</f>
        <v>EVAN RAMOS</v>
      </c>
      <c r="F1054" s="6" t="str">
        <f>UPPER(Sheet1!H1054)</f>
        <v>ANGELA KENNEDY</v>
      </c>
      <c r="G1054" s="5" t="str">
        <f>TEXT(Sheet1!C1054,"dd/mm/yyyy") &amp; "," &amp; Sheet1!D1054</f>
        <v>03/09/2025,WEST JOSE</v>
      </c>
      <c r="H1054" s="39" t="str">
        <f>UPPER(Sheet1!J1054 &amp; "," &amp; Sheet1!K1054 &amp; "," &amp; Sheet1!L1054)</f>
        <v>5568 BELL ORCHARD,SUITE 592,PIN:67840 JASMINEVIEW</v>
      </c>
      <c r="I1054" s="8">
        <f>Sheet1!I1054</f>
        <v>46065</v>
      </c>
      <c r="J1054" s="5" t="str">
        <f>Sheet1!M1054 &amp; "," &amp; TEXT(Sheet1!N1054,"dd/mm/yy")</f>
        <v>MHA/IND/01113,03/07/25</v>
      </c>
      <c r="K1054" s="5" t="s">
        <v>5752</v>
      </c>
      <c r="L1054" t="s">
        <v>14</v>
      </c>
      <c r="M1054" s="31" t="s">
        <v>15</v>
      </c>
      <c r="N1054" s="31"/>
    </row>
    <row r="1055" spans="1:14" x14ac:dyDescent="0.25">
      <c r="A1055" s="4" t="str">
        <f>Sheet1!A1055 &amp; "/" &amp; "2025"</f>
        <v>1054/2025</v>
      </c>
      <c r="B1055" s="5" t="str">
        <f>Sheet1!E1055</f>
        <v>IND/MEL/01054</v>
      </c>
      <c r="C1055" s="6" t="str">
        <f>UPPER(Sheet1!B1055)</f>
        <v>KABIR RAO</v>
      </c>
      <c r="D1055" s="7" t="str">
        <f>IF(Sheet1!F1055="F","FEMALE","MALE")</f>
        <v>MALE</v>
      </c>
      <c r="E1055" s="6" t="str">
        <f>UPPER(Sheet1!G1055)</f>
        <v>EVAN RAMOS</v>
      </c>
      <c r="F1055" s="6" t="str">
        <f>UPPER(Sheet1!H1055)</f>
        <v>ANGELA KENNEDY</v>
      </c>
      <c r="G1055" s="5" t="str">
        <f>TEXT(Sheet1!C1055,"dd/mm/yyyy") &amp; "," &amp; Sheet1!D1055</f>
        <v>03/09/2025,WEST JOSE</v>
      </c>
      <c r="H1055" s="39" t="str">
        <f>UPPER(Sheet1!J1055 &amp; "," &amp; Sheet1!K1055 &amp; "," &amp; Sheet1!L1055)</f>
        <v>5568 BELL ORCHARD,SUITE 592,PIN:67840 JASMINEVIEW</v>
      </c>
      <c r="I1055" s="8">
        <f>Sheet1!I1055</f>
        <v>46065</v>
      </c>
      <c r="J1055" s="5" t="str">
        <f>Sheet1!M1055 &amp; "," &amp; TEXT(Sheet1!N1055,"dd/mm/yy")</f>
        <v>MHA/IND/01113,07/07/25</v>
      </c>
      <c r="K1055" s="5" t="s">
        <v>5752</v>
      </c>
      <c r="L1055" t="s">
        <v>14</v>
      </c>
      <c r="M1055" s="31" t="s">
        <v>15</v>
      </c>
      <c r="N1055" s="31"/>
    </row>
    <row r="1056" spans="1:14" x14ac:dyDescent="0.25">
      <c r="A1056" s="4" t="str">
        <f>Sheet1!A1056 &amp; "/" &amp; "2025"</f>
        <v>1055/2025</v>
      </c>
      <c r="B1056" s="5" t="str">
        <f>Sheet1!E1056</f>
        <v>IND/MEL/01055</v>
      </c>
      <c r="C1056" s="6" t="str">
        <f>UPPER(Sheet1!B1056)</f>
        <v>NEIL SHARMA</v>
      </c>
      <c r="D1056" s="7" t="str">
        <f>IF(Sheet1!F1056="F","FEMALE","MALE")</f>
        <v>MALE</v>
      </c>
      <c r="E1056" s="6" t="str">
        <f>UPPER(Sheet1!G1056)</f>
        <v>JACOB BATES</v>
      </c>
      <c r="F1056" s="6" t="str">
        <f>UPPER(Sheet1!H1056)</f>
        <v>JILLIAN WILLIAMS</v>
      </c>
      <c r="G1056" s="5" t="str">
        <f>TEXT(Sheet1!C1056,"dd/mm/yyyy") &amp; "," &amp; Sheet1!D1056</f>
        <v>06/01/2026,NEW ELIZABETH</v>
      </c>
      <c r="H1056" s="39" t="str">
        <f>UPPER(Sheet1!J1056 &amp; "," &amp; Sheet1!K1056 &amp; "," &amp; Sheet1!L1056)</f>
        <v>27246 ANTHONY WAYS SUITE 909,SUITE 087,PIN:12448 RYANFORT</v>
      </c>
      <c r="I1056" s="8">
        <f>Sheet1!I1056</f>
        <v>46065</v>
      </c>
      <c r="J1056" s="5" t="str">
        <f>Sheet1!M1056 &amp; "," &amp; TEXT(Sheet1!N1056,"dd/mm/yy")</f>
        <v>MHA/IND/01114,07/08/25</v>
      </c>
      <c r="K1056" s="5" t="s">
        <v>5752</v>
      </c>
      <c r="L1056" t="s">
        <v>14</v>
      </c>
      <c r="M1056" s="31" t="s">
        <v>15</v>
      </c>
      <c r="N1056" s="31"/>
    </row>
    <row r="1057" spans="1:14" x14ac:dyDescent="0.25">
      <c r="A1057" s="4" t="str">
        <f>Sheet1!A1057 &amp; "/" &amp; "2025"</f>
        <v>1056/2025</v>
      </c>
      <c r="B1057" s="5" t="str">
        <f>Sheet1!E1057</f>
        <v>IND/MEL/01056</v>
      </c>
      <c r="C1057" s="6" t="str">
        <f>UPPER(Sheet1!B1057)</f>
        <v>NINA RAO</v>
      </c>
      <c r="D1057" s="7" t="str">
        <f>IF(Sheet1!F1057="F","FEMALE","MALE")</f>
        <v>MALE</v>
      </c>
      <c r="E1057" s="6" t="str">
        <f>UPPER(Sheet1!G1057)</f>
        <v>JACOB BATES</v>
      </c>
      <c r="F1057" s="6" t="str">
        <f>UPPER(Sheet1!H1057)</f>
        <v>JILLIAN WILLIAMS</v>
      </c>
      <c r="G1057" s="5" t="str">
        <f>TEXT(Sheet1!C1057,"dd/mm/yyyy") &amp; "," &amp; Sheet1!D1057</f>
        <v>06/01/2026,NEW ELIZABETH</v>
      </c>
      <c r="H1057" s="39" t="str">
        <f>UPPER(Sheet1!J1057 &amp; "," &amp; Sheet1!K1057 &amp; "," &amp; Sheet1!L1057)</f>
        <v>27246 ANTHONY WAYS SUITE 909,SUITE 087,PIN:12448 RYANFORT</v>
      </c>
      <c r="I1057" s="8">
        <f>Sheet1!I1057</f>
        <v>46065</v>
      </c>
      <c r="J1057" s="5" t="str">
        <f>Sheet1!M1057 &amp; "," &amp; TEXT(Sheet1!N1057,"dd/mm/yy")</f>
        <v>MHA/IND/01114,21/08/25</v>
      </c>
      <c r="K1057" s="5" t="s">
        <v>5752</v>
      </c>
      <c r="L1057" t="s">
        <v>14</v>
      </c>
      <c r="M1057" s="31" t="s">
        <v>15</v>
      </c>
      <c r="N1057" s="31"/>
    </row>
    <row r="1058" spans="1:14" x14ac:dyDescent="0.25">
      <c r="A1058" s="4" t="str">
        <f>Sheet1!A1058 &amp; "/" &amp; "2025"</f>
        <v>1057/2025</v>
      </c>
      <c r="B1058" s="5" t="str">
        <f>Sheet1!E1058</f>
        <v>IND/MEL/01057</v>
      </c>
      <c r="C1058" s="6" t="str">
        <f>UPPER(Sheet1!B1058)</f>
        <v>ANYA VALZARI</v>
      </c>
      <c r="D1058" s="7" t="str">
        <f>IF(Sheet1!F1058="F","FEMALE","MALE")</f>
        <v>MALE</v>
      </c>
      <c r="E1058" s="6" t="str">
        <f>UPPER(Sheet1!G1058)</f>
        <v>COREY GILL</v>
      </c>
      <c r="F1058" s="6" t="str">
        <f>UPPER(Sheet1!H1058)</f>
        <v>ASHLEY KENT</v>
      </c>
      <c r="G1058" s="5" t="str">
        <f>TEXT(Sheet1!C1058,"dd/mm/yyyy") &amp; "," &amp; Sheet1!D1058</f>
        <v>14/03/2025,WEST ANTHONY</v>
      </c>
      <c r="H1058" s="39" t="str">
        <f>UPPER(Sheet1!J1058 &amp; "," &amp; Sheet1!K1058 &amp; "," &amp; Sheet1!L1058)</f>
        <v>836 HARRIS HARBORS,SUITE 454,PIN:20523 BRANDONFURT</v>
      </c>
      <c r="I1058" s="8">
        <f>Sheet1!I1058</f>
        <v>46065</v>
      </c>
      <c r="J1058" s="5" t="str">
        <f>Sheet1!M1058 &amp; "," &amp; TEXT(Sheet1!N1058,"dd/mm/yy")</f>
        <v>MHA/IND/01115,29/08/25</v>
      </c>
      <c r="K1058" s="5" t="s">
        <v>5752</v>
      </c>
      <c r="L1058" t="s">
        <v>14</v>
      </c>
      <c r="M1058" s="31" t="s">
        <v>15</v>
      </c>
      <c r="N1058" s="31"/>
    </row>
    <row r="1059" spans="1:14" x14ac:dyDescent="0.25">
      <c r="A1059" s="4" t="str">
        <f>Sheet1!A1059 &amp; "/" &amp; "2025"</f>
        <v>1058/2025</v>
      </c>
      <c r="B1059" s="5" t="str">
        <f>Sheet1!E1059</f>
        <v>IND/MEL/01058</v>
      </c>
      <c r="C1059" s="6" t="str">
        <f>UPPER(Sheet1!B1059)</f>
        <v>NINA RISHKAN</v>
      </c>
      <c r="D1059" s="7" t="str">
        <f>IF(Sheet1!F1059="F","FEMALE","MALE")</f>
        <v>MALE</v>
      </c>
      <c r="E1059" s="6" t="str">
        <f>UPPER(Sheet1!G1059)</f>
        <v>COREY GILL</v>
      </c>
      <c r="F1059" s="6" t="str">
        <f>UPPER(Sheet1!H1059)</f>
        <v>ASHLEY KENT</v>
      </c>
      <c r="G1059" s="5" t="str">
        <f>TEXT(Sheet1!C1059,"dd/mm/yyyy") &amp; "," &amp; Sheet1!D1059</f>
        <v>14/03/2025,WEST ANTHONY</v>
      </c>
      <c r="H1059" s="39" t="str">
        <f>UPPER(Sheet1!J1059 &amp; "," &amp; Sheet1!K1059 &amp; "," &amp; Sheet1!L1059)</f>
        <v>836 HARRIS HARBORS,SUITE 454,PIN:20523 BRANDONFURT</v>
      </c>
      <c r="I1059" s="8">
        <f>Sheet1!I1059</f>
        <v>46065</v>
      </c>
      <c r="J1059" s="5" t="str">
        <f>Sheet1!M1059 &amp; "," &amp; TEXT(Sheet1!N1059,"dd/mm/yy")</f>
        <v>MHA/IND/01115,28/07/25</v>
      </c>
      <c r="K1059" s="5" t="s">
        <v>5752</v>
      </c>
      <c r="L1059" t="s">
        <v>14</v>
      </c>
      <c r="M1059" s="31" t="s">
        <v>15</v>
      </c>
      <c r="N1059" s="31"/>
    </row>
    <row r="1060" spans="1:14" x14ac:dyDescent="0.25">
      <c r="A1060" s="4" t="str">
        <f>Sheet1!A1060 &amp; "/" &amp; "2025"</f>
        <v>1059/2025</v>
      </c>
      <c r="B1060" s="5" t="str">
        <f>Sheet1!E1060</f>
        <v>IND/MEL/01059</v>
      </c>
      <c r="C1060" s="6" t="str">
        <f>UPPER(Sheet1!B1060)</f>
        <v>MIRA KALEON</v>
      </c>
      <c r="D1060" s="7" t="str">
        <f>IF(Sheet1!F1060="F","FEMALE","MALE")</f>
        <v>FEMALE</v>
      </c>
      <c r="E1060" s="6" t="str">
        <f>UPPER(Sheet1!G1060)</f>
        <v>KRISTOPHER BURTON</v>
      </c>
      <c r="F1060" s="6" t="str">
        <f>UPPER(Sheet1!H1060)</f>
        <v>TASHA LAWRENCE</v>
      </c>
      <c r="G1060" s="5" t="str">
        <f>TEXT(Sheet1!C1060,"dd/mm/yyyy") &amp; "," &amp; Sheet1!D1060</f>
        <v>23/08/2025,NEW GLORIABURY</v>
      </c>
      <c r="H1060" s="39" t="str">
        <f>UPPER(Sheet1!J1060 &amp; "," &amp; Sheet1!K1060 &amp; "," &amp; Sheet1!L1060)</f>
        <v>624 ADAMS PIKE APT. 094,SUITE 608,PIN:43743 NORTH MELISSA</v>
      </c>
      <c r="I1060" s="8">
        <f>Sheet1!I1060</f>
        <v>46065</v>
      </c>
      <c r="J1060" s="5" t="str">
        <f>Sheet1!M1060 &amp; "," &amp; TEXT(Sheet1!N1060,"dd/mm/yy")</f>
        <v>MHA/IND/01116,28/08/25</v>
      </c>
      <c r="K1060" s="5" t="s">
        <v>5752</v>
      </c>
      <c r="L1060" t="s">
        <v>14</v>
      </c>
      <c r="M1060" s="31" t="s">
        <v>15</v>
      </c>
      <c r="N1060" s="31"/>
    </row>
    <row r="1061" spans="1:14" x14ac:dyDescent="0.25">
      <c r="A1061" s="4" t="str">
        <f>Sheet1!A1061 &amp; "/" &amp; "2025"</f>
        <v>1060/2025</v>
      </c>
      <c r="B1061" s="5" t="str">
        <f>Sheet1!E1061</f>
        <v>IND/MEL/01060</v>
      </c>
      <c r="C1061" s="6" t="str">
        <f>UPPER(Sheet1!B1061)</f>
        <v>ROHIT MYRTHOS</v>
      </c>
      <c r="D1061" s="7" t="str">
        <f>IF(Sheet1!F1061="F","FEMALE","MALE")</f>
        <v>FEMALE</v>
      </c>
      <c r="E1061" s="6" t="str">
        <f>UPPER(Sheet1!G1061)</f>
        <v>KRISTOPHER BURTON</v>
      </c>
      <c r="F1061" s="6" t="str">
        <f>UPPER(Sheet1!H1061)</f>
        <v>TASHA LAWRENCE</v>
      </c>
      <c r="G1061" s="5" t="str">
        <f>TEXT(Sheet1!C1061,"dd/mm/yyyy") &amp; "," &amp; Sheet1!D1061</f>
        <v>23/08/2025,NEW GLORIABURY</v>
      </c>
      <c r="H1061" s="39" t="str">
        <f>UPPER(Sheet1!J1061 &amp; "," &amp; Sheet1!K1061 &amp; "," &amp; Sheet1!L1061)</f>
        <v>624 ADAMS PIKE APT. 094,SUITE 608,PIN:43743 NORTH MELISSA</v>
      </c>
      <c r="I1061" s="8">
        <f>Sheet1!I1061</f>
        <v>46065</v>
      </c>
      <c r="J1061" s="5" t="str">
        <f>Sheet1!M1061 &amp; "," &amp; TEXT(Sheet1!N1061,"dd/mm/yy")</f>
        <v>MHA/IND/01116,16/08/25</v>
      </c>
      <c r="K1061" s="5" t="s">
        <v>5752</v>
      </c>
      <c r="L1061" t="s">
        <v>14</v>
      </c>
      <c r="M1061" s="31" t="s">
        <v>15</v>
      </c>
      <c r="N1061" s="31"/>
    </row>
    <row r="1062" spans="1:14" x14ac:dyDescent="0.25">
      <c r="A1062" s="4" t="str">
        <f>Sheet1!A1062 &amp; "/" &amp; "2025"</f>
        <v>1061/2025</v>
      </c>
      <c r="B1062" s="5" t="str">
        <f>Sheet1!E1062</f>
        <v>IND/MEL/01061</v>
      </c>
      <c r="C1062" s="6" t="str">
        <f>UPPER(Sheet1!B1062)</f>
        <v>ISHAN SHARMA</v>
      </c>
      <c r="D1062" s="7" t="str">
        <f>IF(Sheet1!F1062="F","FEMALE","MALE")</f>
        <v>FEMALE</v>
      </c>
      <c r="E1062" s="6" t="str">
        <f>UPPER(Sheet1!G1062)</f>
        <v>WILLIAM JACKSON</v>
      </c>
      <c r="F1062" s="6" t="str">
        <f>UPPER(Sheet1!H1062)</f>
        <v>LINDA BEASLEY</v>
      </c>
      <c r="G1062" s="5" t="str">
        <f>TEXT(Sheet1!C1062,"dd/mm/yyyy") &amp; "," &amp; Sheet1!D1062</f>
        <v>28/07/2025,PORT DOUGLAS</v>
      </c>
      <c r="H1062" s="39" t="str">
        <f>UPPER(Sheet1!J1062 &amp; "," &amp; Sheet1!K1062 &amp; "," &amp; Sheet1!L1062)</f>
        <v>48743 NICHOLS UNIONS APT. 060,SUITE 073,PIN:91349 NORTH LAURA</v>
      </c>
      <c r="I1062" s="8">
        <f>Sheet1!I1062</f>
        <v>46065</v>
      </c>
      <c r="J1062" s="5" t="str">
        <f>Sheet1!M1062 &amp; "," &amp; TEXT(Sheet1!N1062,"dd/mm/yy")</f>
        <v>MHA/IND/01117,30/07/25</v>
      </c>
      <c r="K1062" s="5" t="s">
        <v>5752</v>
      </c>
      <c r="L1062" t="s">
        <v>14</v>
      </c>
      <c r="M1062" s="31" t="s">
        <v>15</v>
      </c>
      <c r="N1062" s="31"/>
    </row>
    <row r="1063" spans="1:14" x14ac:dyDescent="0.25">
      <c r="A1063" s="4" t="str">
        <f>Sheet1!A1063 &amp; "/" &amp; "2025"</f>
        <v>1062/2025</v>
      </c>
      <c r="B1063" s="5" t="str">
        <f>Sheet1!E1063</f>
        <v>IND/MEL/01062</v>
      </c>
      <c r="C1063" s="6" t="str">
        <f>UPPER(Sheet1!B1063)</f>
        <v>DEV VALZARI</v>
      </c>
      <c r="D1063" s="7" t="str">
        <f>IF(Sheet1!F1063="F","FEMALE","MALE")</f>
        <v>FEMALE</v>
      </c>
      <c r="E1063" s="6" t="str">
        <f>UPPER(Sheet1!G1063)</f>
        <v>WILLIAM JACKSON</v>
      </c>
      <c r="F1063" s="6" t="str">
        <f>UPPER(Sheet1!H1063)</f>
        <v>LINDA BEASLEY</v>
      </c>
      <c r="G1063" s="5" t="str">
        <f>TEXT(Sheet1!C1063,"dd/mm/yyyy") &amp; "," &amp; Sheet1!D1063</f>
        <v>28/07/2025,PORT DOUGLAS</v>
      </c>
      <c r="H1063" s="39" t="str">
        <f>UPPER(Sheet1!J1063 &amp; "," &amp; Sheet1!K1063 &amp; "," &amp; Sheet1!L1063)</f>
        <v>48743 NICHOLS UNIONS APT. 060,SUITE 073,PIN:91349 NORTH LAURA</v>
      </c>
      <c r="I1063" s="8">
        <f>Sheet1!I1063</f>
        <v>46065</v>
      </c>
      <c r="J1063" s="5" t="str">
        <f>Sheet1!M1063 &amp; "," &amp; TEXT(Sheet1!N1063,"dd/mm/yy")</f>
        <v>MHA/IND/01117,20/07/25</v>
      </c>
      <c r="K1063" s="5" t="s">
        <v>5752</v>
      </c>
      <c r="L1063" t="s">
        <v>14</v>
      </c>
      <c r="M1063" s="31" t="s">
        <v>15</v>
      </c>
      <c r="N1063" s="31"/>
    </row>
    <row r="1064" spans="1:14" x14ac:dyDescent="0.25">
      <c r="A1064" s="4" t="str">
        <f>Sheet1!A1064 &amp; "/" &amp; "2025"</f>
        <v>1063/2025</v>
      </c>
      <c r="B1064" s="5" t="str">
        <f>Sheet1!E1064</f>
        <v>IND/MEL/01063</v>
      </c>
      <c r="C1064" s="6" t="str">
        <f>UPPER(Sheet1!B1064)</f>
        <v>ANYA RAO</v>
      </c>
      <c r="D1064" s="7" t="str">
        <f>IF(Sheet1!F1064="F","FEMALE","MALE")</f>
        <v>FEMALE</v>
      </c>
      <c r="E1064" s="6" t="str">
        <f>UPPER(Sheet1!G1064)</f>
        <v>DAVID BOWEN</v>
      </c>
      <c r="F1064" s="6" t="str">
        <f>UPPER(Sheet1!H1064)</f>
        <v>DEANNA SMITH</v>
      </c>
      <c r="G1064" s="5" t="str">
        <f>TEXT(Sheet1!C1064,"dd/mm/yyyy") &amp; "," &amp; Sheet1!D1064</f>
        <v>14/12/2025,EAST COURTNEY</v>
      </c>
      <c r="H1064" s="39" t="str">
        <f>UPPER(Sheet1!J1064 &amp; "," &amp; Sheet1!K1064 &amp; "," &amp; Sheet1!L1064)</f>
        <v>817 SARAH ISLANDS APT. 423,SUITE 566,PIN:25841 LAKE KRISTEN</v>
      </c>
      <c r="I1064" s="8">
        <f>Sheet1!I1064</f>
        <v>46065</v>
      </c>
      <c r="J1064" s="5" t="str">
        <f>Sheet1!M1064 &amp; "," &amp; TEXT(Sheet1!N1064,"dd/mm/yy")</f>
        <v>MHA/IND/01118,14/07/25</v>
      </c>
      <c r="K1064" s="5" t="s">
        <v>5752</v>
      </c>
      <c r="L1064" t="s">
        <v>14</v>
      </c>
      <c r="M1064" s="31" t="s">
        <v>15</v>
      </c>
      <c r="N1064" s="31"/>
    </row>
    <row r="1065" spans="1:14" x14ac:dyDescent="0.25">
      <c r="A1065" s="4" t="str">
        <f>Sheet1!A1065 &amp; "/" &amp; "2025"</f>
        <v>1064/2025</v>
      </c>
      <c r="B1065" s="5" t="str">
        <f>Sheet1!E1065</f>
        <v>IND/MEL/01064</v>
      </c>
      <c r="C1065" s="6" t="str">
        <f>UPPER(Sheet1!B1065)</f>
        <v>ROHIT VALZARI</v>
      </c>
      <c r="D1065" s="7" t="str">
        <f>IF(Sheet1!F1065="F","FEMALE","MALE")</f>
        <v>FEMALE</v>
      </c>
      <c r="E1065" s="6" t="str">
        <f>UPPER(Sheet1!G1065)</f>
        <v>DAVID BOWEN</v>
      </c>
      <c r="F1065" s="6" t="str">
        <f>UPPER(Sheet1!H1065)</f>
        <v>DEANNA SMITH</v>
      </c>
      <c r="G1065" s="5" t="str">
        <f>TEXT(Sheet1!C1065,"dd/mm/yyyy") &amp; "," &amp; Sheet1!D1065</f>
        <v>14/12/2025,EAST COURTNEY</v>
      </c>
      <c r="H1065" s="39" t="str">
        <f>UPPER(Sheet1!J1065 &amp; "," &amp; Sheet1!K1065 &amp; "," &amp; Sheet1!L1065)</f>
        <v>817 SARAH ISLANDS APT. 423,SUITE 566,PIN:25841 LAKE KRISTEN</v>
      </c>
      <c r="I1065" s="8">
        <f>Sheet1!I1065</f>
        <v>46065</v>
      </c>
      <c r="J1065" s="5" t="str">
        <f>Sheet1!M1065 &amp; "," &amp; TEXT(Sheet1!N1065,"dd/mm/yy")</f>
        <v>MHA/IND/01118,17/07/25</v>
      </c>
      <c r="K1065" s="5" t="s">
        <v>5752</v>
      </c>
      <c r="L1065" t="s">
        <v>14</v>
      </c>
      <c r="M1065" s="31" t="s">
        <v>15</v>
      </c>
      <c r="N1065" s="31"/>
    </row>
    <row r="1066" spans="1:14" x14ac:dyDescent="0.25">
      <c r="A1066" s="4" t="str">
        <f>Sheet1!A1066 &amp; "/" &amp; "2025"</f>
        <v>1065/2025</v>
      </c>
      <c r="B1066" s="5" t="str">
        <f>Sheet1!E1066</f>
        <v>IND/MEL/01065</v>
      </c>
      <c r="C1066" s="6" t="str">
        <f>UPPER(Sheet1!B1066)</f>
        <v>ARJUN KALEON</v>
      </c>
      <c r="D1066" s="7" t="str">
        <f>IF(Sheet1!F1066="F","FEMALE","MALE")</f>
        <v>MALE</v>
      </c>
      <c r="E1066" s="6" t="str">
        <f>UPPER(Sheet1!G1066)</f>
        <v>AUSTIN EDWARDS</v>
      </c>
      <c r="F1066" s="6" t="str">
        <f>UPPER(Sheet1!H1066)</f>
        <v>KRISTEN GRIFFIN</v>
      </c>
      <c r="G1066" s="5" t="str">
        <f>TEXT(Sheet1!C1066,"dd/mm/yyyy") &amp; "," &amp; Sheet1!D1066</f>
        <v>01/01/2026,TAMARASHIRE</v>
      </c>
      <c r="H1066" s="39" t="str">
        <f>UPPER(Sheet1!J1066 &amp; "," &amp; Sheet1!K1066 &amp; "," &amp; Sheet1!L1066)</f>
        <v>53414 KIM AVENUE SUITE 622,APT. 746,PIN:36369 THOMASBURY</v>
      </c>
      <c r="I1066" s="8">
        <f>Sheet1!I1066</f>
        <v>46065</v>
      </c>
      <c r="J1066" s="5" t="str">
        <f>Sheet1!M1066 &amp; "," &amp; TEXT(Sheet1!N1066,"dd/mm/yy")</f>
        <v>MHA/IND/01119,11/08/25</v>
      </c>
      <c r="K1066" s="5" t="s">
        <v>5752</v>
      </c>
      <c r="L1066" t="s">
        <v>14</v>
      </c>
      <c r="M1066" s="31" t="s">
        <v>15</v>
      </c>
      <c r="N1066" s="31"/>
    </row>
    <row r="1067" spans="1:14" x14ac:dyDescent="0.25">
      <c r="A1067" s="4" t="str">
        <f>Sheet1!A1067 &amp; "/" &amp; "2025"</f>
        <v>1066/2025</v>
      </c>
      <c r="B1067" s="5" t="str">
        <f>Sheet1!E1067</f>
        <v>IND/MEL/01066</v>
      </c>
      <c r="C1067" s="6" t="str">
        <f>UPPER(Sheet1!B1067)</f>
        <v>AREN MYRTHOS</v>
      </c>
      <c r="D1067" s="7" t="str">
        <f>IF(Sheet1!F1067="F","FEMALE","MALE")</f>
        <v>MALE</v>
      </c>
      <c r="E1067" s="6" t="str">
        <f>UPPER(Sheet1!G1067)</f>
        <v>AUSTIN EDWARDS</v>
      </c>
      <c r="F1067" s="6" t="str">
        <f>UPPER(Sheet1!H1067)</f>
        <v>KRISTEN GRIFFIN</v>
      </c>
      <c r="G1067" s="5" t="str">
        <f>TEXT(Sheet1!C1067,"dd/mm/yyyy") &amp; "," &amp; Sheet1!D1067</f>
        <v>01/01/2026,TAMARASHIRE</v>
      </c>
      <c r="H1067" s="39" t="str">
        <f>UPPER(Sheet1!J1067 &amp; "," &amp; Sheet1!K1067 &amp; "," &amp; Sheet1!L1067)</f>
        <v>53414 KIM AVENUE SUITE 622,APT. 746,PIN:36369 THOMASBURY</v>
      </c>
      <c r="I1067" s="8">
        <f>Sheet1!I1067</f>
        <v>46065</v>
      </c>
      <c r="J1067" s="5" t="str">
        <f>Sheet1!M1067 &amp; "," &amp; TEXT(Sheet1!N1067,"dd/mm/yy")</f>
        <v>MHA/IND/01119,21/07/25</v>
      </c>
      <c r="K1067" s="5" t="s">
        <v>5752</v>
      </c>
      <c r="L1067" t="s">
        <v>14</v>
      </c>
      <c r="M1067" s="31" t="s">
        <v>15</v>
      </c>
      <c r="N1067" s="31"/>
    </row>
    <row r="1068" spans="1:14" x14ac:dyDescent="0.25">
      <c r="A1068" s="4" t="str">
        <f>Sheet1!A1068 &amp; "/" &amp; "2025"</f>
        <v>1067/2025</v>
      </c>
      <c r="B1068" s="5" t="str">
        <f>Sheet1!E1068</f>
        <v>IND/MEL/01067</v>
      </c>
      <c r="C1068" s="6" t="str">
        <f>UPPER(Sheet1!B1068)</f>
        <v>MIRA SINDALE</v>
      </c>
      <c r="D1068" s="7" t="str">
        <f>IF(Sheet1!F1068="F","FEMALE","MALE")</f>
        <v>MALE</v>
      </c>
      <c r="E1068" s="6" t="str">
        <f>UPPER(Sheet1!G1068)</f>
        <v>MATTHEW BAKER</v>
      </c>
      <c r="F1068" s="6" t="str">
        <f>UPPER(Sheet1!H1068)</f>
        <v>ANGELA HAMILTON</v>
      </c>
      <c r="G1068" s="5" t="str">
        <f>TEXT(Sheet1!C1068,"dd/mm/yyyy") &amp; "," &amp; Sheet1!D1068</f>
        <v>21/07/2025,LOGANMOUTH</v>
      </c>
      <c r="H1068" s="39" t="str">
        <f>UPPER(Sheet1!J1068 &amp; "," &amp; Sheet1!K1068 &amp; "," &amp; Sheet1!L1068)</f>
        <v>253 DONNA CREEK,SUITE 852,PIN:96824 SOUTH LAURENBERG</v>
      </c>
      <c r="I1068" s="8">
        <f>Sheet1!I1068</f>
        <v>46065</v>
      </c>
      <c r="J1068" s="5" t="str">
        <f>Sheet1!M1068 &amp; "," &amp; TEXT(Sheet1!N1068,"dd/mm/yy")</f>
        <v>MHA/IND/01120,04/07/25</v>
      </c>
      <c r="K1068" s="5" t="s">
        <v>5752</v>
      </c>
      <c r="L1068" t="s">
        <v>14</v>
      </c>
      <c r="M1068" s="31" t="s">
        <v>15</v>
      </c>
      <c r="N1068" s="31"/>
    </row>
    <row r="1069" spans="1:14" x14ac:dyDescent="0.25">
      <c r="A1069" s="4" t="str">
        <f>Sheet1!A1069 &amp; "/" &amp; "2025"</f>
        <v>1068/2025</v>
      </c>
      <c r="B1069" s="5" t="str">
        <f>Sheet1!E1069</f>
        <v>IND/MEL/01068</v>
      </c>
      <c r="C1069" s="6" t="str">
        <f>UPPER(Sheet1!B1069)</f>
        <v>ALYA VALZARI</v>
      </c>
      <c r="D1069" s="7" t="str">
        <f>IF(Sheet1!F1069="F","FEMALE","MALE")</f>
        <v>MALE</v>
      </c>
      <c r="E1069" s="6" t="str">
        <f>UPPER(Sheet1!G1069)</f>
        <v>MATTHEW BAKER</v>
      </c>
      <c r="F1069" s="6" t="str">
        <f>UPPER(Sheet1!H1069)</f>
        <v>ANGELA HAMILTON</v>
      </c>
      <c r="G1069" s="5" t="str">
        <f>TEXT(Sheet1!C1069,"dd/mm/yyyy") &amp; "," &amp; Sheet1!D1069</f>
        <v>21/07/2025,LOGANMOUTH</v>
      </c>
      <c r="H1069" s="39" t="str">
        <f>UPPER(Sheet1!J1069 &amp; "," &amp; Sheet1!K1069 &amp; "," &amp; Sheet1!L1069)</f>
        <v>253 DONNA CREEK,SUITE 852,PIN:96824 SOUTH LAURENBERG</v>
      </c>
      <c r="I1069" s="8">
        <f>Sheet1!I1069</f>
        <v>46065</v>
      </c>
      <c r="J1069" s="5" t="str">
        <f>Sheet1!M1069 &amp; "," &amp; TEXT(Sheet1!N1069,"dd/mm/yy")</f>
        <v>MHA/IND/01120,17/08/25</v>
      </c>
      <c r="K1069" s="5" t="s">
        <v>5752</v>
      </c>
      <c r="L1069" t="s">
        <v>14</v>
      </c>
      <c r="M1069" s="31" t="s">
        <v>15</v>
      </c>
      <c r="N1069" s="31"/>
    </row>
    <row r="1070" spans="1:14" x14ac:dyDescent="0.25">
      <c r="A1070" s="4" t="str">
        <f>Sheet1!A1070 &amp; "/" &amp; "2025"</f>
        <v>1069/2025</v>
      </c>
      <c r="B1070" s="5" t="str">
        <f>Sheet1!E1070</f>
        <v>IND/MEL/01069</v>
      </c>
      <c r="C1070" s="6" t="str">
        <f>UPPER(Sheet1!B1070)</f>
        <v>ARJUN RISHKAN</v>
      </c>
      <c r="D1070" s="7" t="str">
        <f>IF(Sheet1!F1070="F","FEMALE","MALE")</f>
        <v>MALE</v>
      </c>
      <c r="E1070" s="6" t="str">
        <f>UPPER(Sheet1!G1070)</f>
        <v>NICHOLAS LOPEZ</v>
      </c>
      <c r="F1070" s="6" t="str">
        <f>UPPER(Sheet1!H1070)</f>
        <v>BETHANY ROMERO</v>
      </c>
      <c r="G1070" s="5" t="str">
        <f>TEXT(Sheet1!C1070,"dd/mm/yyyy") &amp; "," &amp; Sheet1!D1070</f>
        <v>22/05/2025,JASONMOUTH</v>
      </c>
      <c r="H1070" s="39" t="str">
        <f>UPPER(Sheet1!J1070 &amp; "," &amp; Sheet1!K1070 &amp; "," &amp; Sheet1!L1070)</f>
        <v>8328 BASS FREEWAY APT. 037,APT. 375,PIN:42375 MARIATON</v>
      </c>
      <c r="I1070" s="8">
        <f>Sheet1!I1070</f>
        <v>46065</v>
      </c>
      <c r="J1070" s="5" t="str">
        <f>Sheet1!M1070 &amp; "," &amp; TEXT(Sheet1!N1070,"dd/mm/yy")</f>
        <v>MHA/IND/01121,23/08/25</v>
      </c>
      <c r="K1070" s="5" t="s">
        <v>5752</v>
      </c>
      <c r="L1070" t="s">
        <v>14</v>
      </c>
      <c r="M1070" s="31" t="s">
        <v>15</v>
      </c>
      <c r="N1070" s="31"/>
    </row>
    <row r="1071" spans="1:14" x14ac:dyDescent="0.25">
      <c r="A1071" s="4" t="str">
        <f>Sheet1!A1071 &amp; "/" &amp; "2025"</f>
        <v>1070/2025</v>
      </c>
      <c r="B1071" s="5" t="str">
        <f>Sheet1!E1071</f>
        <v>IND/MEL/01070</v>
      </c>
      <c r="C1071" s="6" t="str">
        <f>UPPER(Sheet1!B1071)</f>
        <v>ANYA RAO</v>
      </c>
      <c r="D1071" s="7" t="str">
        <f>IF(Sheet1!F1071="F","FEMALE","MALE")</f>
        <v>MALE</v>
      </c>
      <c r="E1071" s="6" t="str">
        <f>UPPER(Sheet1!G1071)</f>
        <v>NICHOLAS LOPEZ</v>
      </c>
      <c r="F1071" s="6" t="str">
        <f>UPPER(Sheet1!H1071)</f>
        <v>BETHANY ROMERO</v>
      </c>
      <c r="G1071" s="5" t="str">
        <f>TEXT(Sheet1!C1071,"dd/mm/yyyy") &amp; "," &amp; Sheet1!D1071</f>
        <v>22/05/2025,JASONMOUTH</v>
      </c>
      <c r="H1071" s="39" t="str">
        <f>UPPER(Sheet1!J1071 &amp; "," &amp; Sheet1!K1071 &amp; "," &amp; Sheet1!L1071)</f>
        <v>8328 BASS FREEWAY APT. 037,APT. 375,PIN:42375 MARIATON</v>
      </c>
      <c r="I1071" s="8">
        <f>Sheet1!I1071</f>
        <v>46065</v>
      </c>
      <c r="J1071" s="5" t="str">
        <f>Sheet1!M1071 &amp; "," &amp; TEXT(Sheet1!N1071,"dd/mm/yy")</f>
        <v>MHA/IND/01121,24/08/25</v>
      </c>
      <c r="K1071" s="5" t="s">
        <v>5752</v>
      </c>
      <c r="L1071" t="s">
        <v>14</v>
      </c>
      <c r="M1071" s="31" t="s">
        <v>15</v>
      </c>
      <c r="N1071" s="31"/>
    </row>
    <row r="1072" spans="1:14" x14ac:dyDescent="0.25">
      <c r="A1072" s="4" t="str">
        <f>Sheet1!A1072 &amp; "/" &amp; "2025"</f>
        <v>1071/2025</v>
      </c>
      <c r="B1072" s="5" t="str">
        <f>Sheet1!E1072</f>
        <v>IND/MEL/01071</v>
      </c>
      <c r="C1072" s="6" t="str">
        <f>UPPER(Sheet1!B1072)</f>
        <v>TARA RISHKAN</v>
      </c>
      <c r="D1072" s="7" t="str">
        <f>IF(Sheet1!F1072="F","FEMALE","MALE")</f>
        <v>FEMALE</v>
      </c>
      <c r="E1072" s="6" t="str">
        <f>UPPER(Sheet1!G1072)</f>
        <v>MATTHEW TAYLOR</v>
      </c>
      <c r="F1072" s="6" t="str">
        <f>UPPER(Sheet1!H1072)</f>
        <v>MEGAN SILVA</v>
      </c>
      <c r="G1072" s="5" t="str">
        <f>TEXT(Sheet1!C1072,"dd/mm/yyyy") &amp; "," &amp; Sheet1!D1072</f>
        <v>22/06/2025,NORTH DAVID</v>
      </c>
      <c r="H1072" s="39" t="str">
        <f>UPPER(Sheet1!J1072 &amp; "," &amp; Sheet1!K1072 &amp; "," &amp; Sheet1!L1072)</f>
        <v>99130 KATHRYN BROOK SUITE 994,APT. 872,PIN:67258 LOPEZMOUTH</v>
      </c>
      <c r="I1072" s="8">
        <f>Sheet1!I1072</f>
        <v>46065</v>
      </c>
      <c r="J1072" s="5" t="str">
        <f>Sheet1!M1072 &amp; "," &amp; TEXT(Sheet1!N1072,"dd/mm/yy")</f>
        <v>MHA/IND/01122,08/08/25</v>
      </c>
      <c r="K1072" s="5" t="s">
        <v>5752</v>
      </c>
      <c r="L1072" t="s">
        <v>14</v>
      </c>
      <c r="M1072" s="31" t="s">
        <v>15</v>
      </c>
      <c r="N1072" s="31"/>
    </row>
    <row r="1073" spans="1:14" x14ac:dyDescent="0.25">
      <c r="A1073" s="4" t="str">
        <f>Sheet1!A1073 &amp; "/" &amp; "2025"</f>
        <v>1072/2025</v>
      </c>
      <c r="B1073" s="5" t="str">
        <f>Sheet1!E1073</f>
        <v>IND/MEL/01072</v>
      </c>
      <c r="C1073" s="6" t="str">
        <f>UPPER(Sheet1!B1073)</f>
        <v>ISHAN RAO</v>
      </c>
      <c r="D1073" s="7" t="str">
        <f>IF(Sheet1!F1073="F","FEMALE","MALE")</f>
        <v>FEMALE</v>
      </c>
      <c r="E1073" s="6" t="str">
        <f>UPPER(Sheet1!G1073)</f>
        <v>MATTHEW TAYLOR</v>
      </c>
      <c r="F1073" s="6" t="str">
        <f>UPPER(Sheet1!H1073)</f>
        <v>MEGAN SILVA</v>
      </c>
      <c r="G1073" s="5" t="str">
        <f>TEXT(Sheet1!C1073,"dd/mm/yyyy") &amp; "," &amp; Sheet1!D1073</f>
        <v>22/06/2025,NORTH DAVID</v>
      </c>
      <c r="H1073" s="39" t="str">
        <f>UPPER(Sheet1!J1073 &amp; "," &amp; Sheet1!K1073 &amp; "," &amp; Sheet1!L1073)</f>
        <v>99130 KATHRYN BROOK SUITE 994,APT. 872,PIN:67258 LOPEZMOUTH</v>
      </c>
      <c r="I1073" s="8">
        <f>Sheet1!I1073</f>
        <v>46065</v>
      </c>
      <c r="J1073" s="5" t="str">
        <f>Sheet1!M1073 &amp; "," &amp; TEXT(Sheet1!N1073,"dd/mm/yy")</f>
        <v>MHA/IND/01122,10/07/25</v>
      </c>
      <c r="K1073" s="5" t="s">
        <v>5752</v>
      </c>
      <c r="L1073" t="s">
        <v>14</v>
      </c>
      <c r="M1073" s="31" t="s">
        <v>15</v>
      </c>
      <c r="N1073" s="31"/>
    </row>
    <row r="1074" spans="1:14" x14ac:dyDescent="0.25">
      <c r="A1074" s="4" t="str">
        <f>Sheet1!A1074 &amp; "/" &amp; "2025"</f>
        <v>1073/2025</v>
      </c>
      <c r="B1074" s="5" t="str">
        <f>Sheet1!E1074</f>
        <v>IND/MEL/01073</v>
      </c>
      <c r="C1074" s="6" t="str">
        <f>UPPER(Sheet1!B1074)</f>
        <v>NEIL RISHKAN</v>
      </c>
      <c r="D1074" s="7" t="str">
        <f>IF(Sheet1!F1074="F","FEMALE","MALE")</f>
        <v>FEMALE</v>
      </c>
      <c r="E1074" s="6" t="str">
        <f>UPPER(Sheet1!G1074)</f>
        <v>STEVEN GOMEZ</v>
      </c>
      <c r="F1074" s="6" t="str">
        <f>UPPER(Sheet1!H1074)</f>
        <v>BRANDY CABRERA</v>
      </c>
      <c r="G1074" s="5" t="str">
        <f>TEXT(Sheet1!C1074,"dd/mm/yyyy") &amp; "," &amp; Sheet1!D1074</f>
        <v>05/12/2025,LAKE DIANA</v>
      </c>
      <c r="H1074" s="39" t="str">
        <f>UPPER(Sheet1!J1074 &amp; "," &amp; Sheet1!K1074 &amp; "," &amp; Sheet1!L1074)</f>
        <v>4204 HENDERSON BRANCH SUITE 280,SUITE 269,PIN:05616 WEST JULIELAND</v>
      </c>
      <c r="I1074" s="8">
        <f>Sheet1!I1074</f>
        <v>46065</v>
      </c>
      <c r="J1074" s="5" t="str">
        <f>Sheet1!M1074 &amp; "," &amp; TEXT(Sheet1!N1074,"dd/mm/yy")</f>
        <v>MHA/IND/01123,12/08/25</v>
      </c>
      <c r="K1074" s="5" t="s">
        <v>5752</v>
      </c>
      <c r="L1074" t="s">
        <v>14</v>
      </c>
      <c r="M1074" s="31" t="s">
        <v>15</v>
      </c>
      <c r="N1074" s="31"/>
    </row>
    <row r="1075" spans="1:14" x14ac:dyDescent="0.25">
      <c r="A1075" s="4" t="str">
        <f>Sheet1!A1075 &amp; "/" &amp; "2025"</f>
        <v>1074/2025</v>
      </c>
      <c r="B1075" s="5" t="str">
        <f>Sheet1!E1075</f>
        <v>IND/MEL/01074</v>
      </c>
      <c r="C1075" s="6" t="str">
        <f>UPPER(Sheet1!B1075)</f>
        <v>KIRAN MYRTHOS</v>
      </c>
      <c r="D1075" s="7" t="str">
        <f>IF(Sheet1!F1075="F","FEMALE","MALE")</f>
        <v>FEMALE</v>
      </c>
      <c r="E1075" s="6" t="str">
        <f>UPPER(Sheet1!G1075)</f>
        <v>STEVEN GOMEZ</v>
      </c>
      <c r="F1075" s="6" t="str">
        <f>UPPER(Sheet1!H1075)</f>
        <v>BRANDY CABRERA</v>
      </c>
      <c r="G1075" s="5" t="str">
        <f>TEXT(Sheet1!C1075,"dd/mm/yyyy") &amp; "," &amp; Sheet1!D1075</f>
        <v>05/12/2025,LAKE DIANA</v>
      </c>
      <c r="H1075" s="39" t="str">
        <f>UPPER(Sheet1!J1075 &amp; "," &amp; Sheet1!K1075 &amp; "," &amp; Sheet1!L1075)</f>
        <v>4204 HENDERSON BRANCH SUITE 280,SUITE 269,PIN:05616 WEST JULIELAND</v>
      </c>
      <c r="I1075" s="8">
        <f>Sheet1!I1075</f>
        <v>46065</v>
      </c>
      <c r="J1075" s="5" t="str">
        <f>Sheet1!M1075 &amp; "," &amp; TEXT(Sheet1!N1075,"dd/mm/yy")</f>
        <v>MHA/IND/01123,09/08/25</v>
      </c>
      <c r="K1075" s="5" t="s">
        <v>5752</v>
      </c>
      <c r="L1075" t="s">
        <v>14</v>
      </c>
      <c r="M1075" s="31" t="s">
        <v>15</v>
      </c>
      <c r="N1075" s="31"/>
    </row>
    <row r="1076" spans="1:14" x14ac:dyDescent="0.25">
      <c r="A1076" s="4" t="str">
        <f>Sheet1!A1076 &amp; "/" &amp; "2025"</f>
        <v>1075/2025</v>
      </c>
      <c r="B1076" s="5" t="str">
        <f>Sheet1!E1076</f>
        <v>IND/MEL/01075</v>
      </c>
      <c r="C1076" s="6" t="str">
        <f>UPPER(Sheet1!B1076)</f>
        <v>DEV RISHKAN</v>
      </c>
      <c r="D1076" s="7" t="str">
        <f>IF(Sheet1!F1076="F","FEMALE","MALE")</f>
        <v>MALE</v>
      </c>
      <c r="E1076" s="6" t="str">
        <f>UPPER(Sheet1!G1076)</f>
        <v>JOSE PETERSON</v>
      </c>
      <c r="F1076" s="6" t="str">
        <f>UPPER(Sheet1!H1076)</f>
        <v>DEBORAH BRANDT</v>
      </c>
      <c r="G1076" s="5" t="str">
        <f>TEXT(Sheet1!C1076,"dd/mm/yyyy") &amp; "," &amp; Sheet1!D1076</f>
        <v>04/05/2025,EAST CONNIE</v>
      </c>
      <c r="H1076" s="39" t="str">
        <f>UPPER(Sheet1!J1076 &amp; "," &amp; Sheet1!K1076 &amp; "," &amp; Sheet1!L1076)</f>
        <v>332 ERICKSON PORTS APT. 733,SUITE 554,PIN:91952 PETERSENTOWN</v>
      </c>
      <c r="I1076" s="8">
        <f>Sheet1!I1076</f>
        <v>46065</v>
      </c>
      <c r="J1076" s="5" t="str">
        <f>Sheet1!M1076 &amp; "," &amp; TEXT(Sheet1!N1076,"dd/mm/yy")</f>
        <v>MHA/IND/01124,08/08/25</v>
      </c>
      <c r="K1076" s="5" t="s">
        <v>5752</v>
      </c>
      <c r="L1076" t="s">
        <v>14</v>
      </c>
      <c r="M1076" s="31" t="s">
        <v>15</v>
      </c>
      <c r="N1076" s="31"/>
    </row>
    <row r="1077" spans="1:14" x14ac:dyDescent="0.25">
      <c r="A1077" s="4" t="str">
        <f>Sheet1!A1077 &amp; "/" &amp; "2025"</f>
        <v>1076/2025</v>
      </c>
      <c r="B1077" s="5" t="str">
        <f>Sheet1!E1077</f>
        <v>IND/MEL/01076</v>
      </c>
      <c r="C1077" s="6" t="str">
        <f>UPPER(Sheet1!B1077)</f>
        <v>SARA VALZARI</v>
      </c>
      <c r="D1077" s="7" t="str">
        <f>IF(Sheet1!F1077="F","FEMALE","MALE")</f>
        <v>MALE</v>
      </c>
      <c r="E1077" s="6" t="str">
        <f>UPPER(Sheet1!G1077)</f>
        <v>JOSE PETERSON</v>
      </c>
      <c r="F1077" s="6" t="str">
        <f>UPPER(Sheet1!H1077)</f>
        <v>DEBORAH BRANDT</v>
      </c>
      <c r="G1077" s="5" t="str">
        <f>TEXT(Sheet1!C1077,"dd/mm/yyyy") &amp; "," &amp; Sheet1!D1077</f>
        <v>04/05/2025,EAST CONNIE</v>
      </c>
      <c r="H1077" s="39" t="str">
        <f>UPPER(Sheet1!J1077 &amp; "," &amp; Sheet1!K1077 &amp; "," &amp; Sheet1!L1077)</f>
        <v>332 ERICKSON PORTS APT. 733,SUITE 554,PIN:91952 PETERSENTOWN</v>
      </c>
      <c r="I1077" s="8">
        <f>Sheet1!I1077</f>
        <v>46065</v>
      </c>
      <c r="J1077" s="5" t="str">
        <f>Sheet1!M1077 &amp; "," &amp; TEXT(Sheet1!N1077,"dd/mm/yy")</f>
        <v>MHA/IND/01124,26/07/25</v>
      </c>
      <c r="K1077" s="5" t="s">
        <v>5752</v>
      </c>
      <c r="L1077" t="s">
        <v>14</v>
      </c>
      <c r="M1077" s="31" t="s">
        <v>15</v>
      </c>
      <c r="N1077" s="31"/>
    </row>
    <row r="1078" spans="1:14" x14ac:dyDescent="0.25">
      <c r="A1078" s="4" t="str">
        <f>Sheet1!A1078 &amp; "/" &amp; "2025"</f>
        <v>1077/2025</v>
      </c>
      <c r="B1078" s="5" t="str">
        <f>Sheet1!E1078</f>
        <v>IND/MEL/01077</v>
      </c>
      <c r="C1078" s="6" t="str">
        <f>UPPER(Sheet1!B1078)</f>
        <v>ROHIT MYRTHOS</v>
      </c>
      <c r="D1078" s="7" t="str">
        <f>IF(Sheet1!F1078="F","FEMALE","MALE")</f>
        <v>FEMALE</v>
      </c>
      <c r="E1078" s="6" t="str">
        <f>UPPER(Sheet1!G1078)</f>
        <v>RICKY BROWN</v>
      </c>
      <c r="F1078" s="6" t="str">
        <f>UPPER(Sheet1!H1078)</f>
        <v>CHRISTINE ANDERSON</v>
      </c>
      <c r="G1078" s="5" t="str">
        <f>TEXT(Sheet1!C1078,"dd/mm/yyyy") &amp; "," &amp; Sheet1!D1078</f>
        <v>08/03/2025,NORTH MEGANPORT</v>
      </c>
      <c r="H1078" s="39" t="str">
        <f>UPPER(Sheet1!J1078 &amp; "," &amp; Sheet1!K1078 &amp; "," &amp; Sheet1!L1078)</f>
        <v>5163 ROBERTS STREAM,APT. 078,PIN:34147 NEW MEGANCHESTER</v>
      </c>
      <c r="I1078" s="8">
        <f>Sheet1!I1078</f>
        <v>46065</v>
      </c>
      <c r="J1078" s="5" t="str">
        <f>Sheet1!M1078 &amp; "," &amp; TEXT(Sheet1!N1078,"dd/mm/yy")</f>
        <v>MHA/IND/01125,19/07/25</v>
      </c>
      <c r="K1078" s="5" t="s">
        <v>5752</v>
      </c>
      <c r="L1078" t="s">
        <v>14</v>
      </c>
      <c r="M1078" s="31" t="s">
        <v>15</v>
      </c>
      <c r="N1078" s="31"/>
    </row>
    <row r="1079" spans="1:14" x14ac:dyDescent="0.25">
      <c r="A1079" s="4" t="str">
        <f>Sheet1!A1079 &amp; "/" &amp; "2025"</f>
        <v>1078/2025</v>
      </c>
      <c r="B1079" s="5" t="str">
        <f>Sheet1!E1079</f>
        <v>IND/MEL/01078</v>
      </c>
      <c r="C1079" s="6" t="str">
        <f>UPPER(Sheet1!B1079)</f>
        <v>KABIR RAO</v>
      </c>
      <c r="D1079" s="7" t="str">
        <f>IF(Sheet1!F1079="F","FEMALE","MALE")</f>
        <v>FEMALE</v>
      </c>
      <c r="E1079" s="6" t="str">
        <f>UPPER(Sheet1!G1079)</f>
        <v>RICKY BROWN</v>
      </c>
      <c r="F1079" s="6" t="str">
        <f>UPPER(Sheet1!H1079)</f>
        <v>CHRISTINE ANDERSON</v>
      </c>
      <c r="G1079" s="5" t="str">
        <f>TEXT(Sheet1!C1079,"dd/mm/yyyy") &amp; "," &amp; Sheet1!D1079</f>
        <v>08/03/2025,NORTH MEGANPORT</v>
      </c>
      <c r="H1079" s="39" t="str">
        <f>UPPER(Sheet1!J1079 &amp; "," &amp; Sheet1!K1079 &amp; "," &amp; Sheet1!L1079)</f>
        <v>5163 ROBERTS STREAM,APT. 078,PIN:34147 NEW MEGANCHESTER</v>
      </c>
      <c r="I1079" s="8">
        <f>Sheet1!I1079</f>
        <v>46065</v>
      </c>
      <c r="J1079" s="5" t="str">
        <f>Sheet1!M1079 &amp; "," &amp; TEXT(Sheet1!N1079,"dd/mm/yy")</f>
        <v>MHA/IND/01125,06/07/25</v>
      </c>
      <c r="K1079" s="5" t="s">
        <v>5752</v>
      </c>
      <c r="L1079" t="s">
        <v>14</v>
      </c>
      <c r="M1079" s="31" t="s">
        <v>15</v>
      </c>
      <c r="N1079" s="31"/>
    </row>
    <row r="1080" spans="1:14" x14ac:dyDescent="0.25">
      <c r="A1080" s="4" t="str">
        <f>Sheet1!A1080 &amp; "/" &amp; "2025"</f>
        <v>1079/2025</v>
      </c>
      <c r="B1080" s="5" t="str">
        <f>Sheet1!E1080</f>
        <v>IND/MEL/01079</v>
      </c>
      <c r="C1080" s="6" t="str">
        <f>UPPER(Sheet1!B1080)</f>
        <v>DIYA RAO</v>
      </c>
      <c r="D1080" s="7" t="str">
        <f>IF(Sheet1!F1080="F","FEMALE","MALE")</f>
        <v>FEMALE</v>
      </c>
      <c r="E1080" s="6" t="str">
        <f>UPPER(Sheet1!G1080)</f>
        <v>JOHN WILLIAMS</v>
      </c>
      <c r="F1080" s="6" t="str">
        <f>UPPER(Sheet1!H1080)</f>
        <v>ROBIN HOLMES</v>
      </c>
      <c r="G1080" s="5" t="str">
        <f>TEXT(Sheet1!C1080,"dd/mm/yyyy") &amp; "," &amp; Sheet1!D1080</f>
        <v>28/12/2025,NEW MARY</v>
      </c>
      <c r="H1080" s="39" t="str">
        <f>UPPER(Sheet1!J1080 &amp; "," &amp; Sheet1!K1080 &amp; "," &amp; Sheet1!L1080)</f>
        <v>608 BELL FREEWAY,SUITE 328,PIN:87436 PORT KRISTINA</v>
      </c>
      <c r="I1080" s="8">
        <f>Sheet1!I1080</f>
        <v>46065</v>
      </c>
      <c r="J1080" s="5" t="str">
        <f>Sheet1!M1080 &amp; "," &amp; TEXT(Sheet1!N1080,"dd/mm/yy")</f>
        <v>MHA/IND/01126,26/07/25</v>
      </c>
      <c r="K1080" s="5" t="s">
        <v>5752</v>
      </c>
      <c r="L1080" t="s">
        <v>14</v>
      </c>
      <c r="M1080" s="31" t="s">
        <v>15</v>
      </c>
      <c r="N1080" s="31"/>
    </row>
    <row r="1081" spans="1:14" x14ac:dyDescent="0.25">
      <c r="A1081" s="4" t="str">
        <f>Sheet1!A1081 &amp; "/" &amp; "2025"</f>
        <v>1080/2025</v>
      </c>
      <c r="B1081" s="5" t="str">
        <f>Sheet1!E1081</f>
        <v>IND/MEL/01080</v>
      </c>
      <c r="C1081" s="6" t="str">
        <f>UPPER(Sheet1!B1081)</f>
        <v>KIRAN MYRTHOS</v>
      </c>
      <c r="D1081" s="7" t="str">
        <f>IF(Sheet1!F1081="F","FEMALE","MALE")</f>
        <v>FEMALE</v>
      </c>
      <c r="E1081" s="6" t="str">
        <f>UPPER(Sheet1!G1081)</f>
        <v>JOHN WILLIAMS</v>
      </c>
      <c r="F1081" s="6" t="str">
        <f>UPPER(Sheet1!H1081)</f>
        <v>ROBIN HOLMES</v>
      </c>
      <c r="G1081" s="5" t="str">
        <f>TEXT(Sheet1!C1081,"dd/mm/yyyy") &amp; "," &amp; Sheet1!D1081</f>
        <v>28/12/2025,NEW MARY</v>
      </c>
      <c r="H1081" s="39" t="str">
        <f>UPPER(Sheet1!J1081 &amp; "," &amp; Sheet1!K1081 &amp; "," &amp; Sheet1!L1081)</f>
        <v>608 BELL FREEWAY,SUITE 328,PIN:87436 PORT KRISTINA</v>
      </c>
      <c r="I1081" s="8">
        <f>Sheet1!I1081</f>
        <v>46065</v>
      </c>
      <c r="J1081" s="5" t="str">
        <f>Sheet1!M1081 &amp; "," &amp; TEXT(Sheet1!N1081,"dd/mm/yy")</f>
        <v>MHA/IND/01126,02/07/25</v>
      </c>
      <c r="K1081" s="5" t="s">
        <v>5752</v>
      </c>
      <c r="L1081" t="s">
        <v>14</v>
      </c>
      <c r="M1081" s="31" t="s">
        <v>15</v>
      </c>
      <c r="N1081" s="31"/>
    </row>
    <row r="1082" spans="1:14" x14ac:dyDescent="0.25">
      <c r="A1082" s="4" t="str">
        <f>Sheet1!A1082 &amp; "/" &amp; "2025"</f>
        <v>1081/2025</v>
      </c>
      <c r="B1082" s="5" t="str">
        <f>Sheet1!E1082</f>
        <v>IND/MEL/01081</v>
      </c>
      <c r="C1082" s="6" t="str">
        <f>UPPER(Sheet1!B1082)</f>
        <v>CASSANDRA BRADY</v>
      </c>
      <c r="D1082" s="7" t="str">
        <f>IF(Sheet1!F1082="F","FEMALE","MALE")</f>
        <v>MALE</v>
      </c>
      <c r="E1082" s="6" t="str">
        <f>UPPER(Sheet1!G1082)</f>
        <v>MICHAEL BRYANT</v>
      </c>
      <c r="F1082" s="6" t="str">
        <f>UPPER(Sheet1!H1082)</f>
        <v>LINDSAY CAMPBELL</v>
      </c>
      <c r="G1082" s="5" t="str">
        <f>TEXT(Sheet1!C1082,"dd/mm/yyyy") &amp; "," &amp; Sheet1!D1082</f>
        <v>10/09/2025,ASHLEYHAVEN</v>
      </c>
      <c r="H1082" s="39" t="str">
        <f>UPPER(Sheet1!J1082 &amp; "," &amp; Sheet1!K1082 &amp; "," &amp; Sheet1!L1082)</f>
        <v>835 WHITNEY CLUB SUITE 518,APT. 286,PIN:38138 LARSONFURT</v>
      </c>
      <c r="I1082" s="8">
        <f>Sheet1!I1082</f>
        <v>46065</v>
      </c>
      <c r="J1082" s="5" t="str">
        <f>Sheet1!M1082 &amp; "," &amp; TEXT(Sheet1!N1082,"dd/mm/yy")</f>
        <v>MHA/IND/01127,28/02/26</v>
      </c>
      <c r="K1082" s="5" t="s">
        <v>5752</v>
      </c>
      <c r="L1082" t="s">
        <v>14</v>
      </c>
      <c r="M1082" s="31" t="s">
        <v>15</v>
      </c>
      <c r="N1082" s="31"/>
    </row>
    <row r="1083" spans="1:14" x14ac:dyDescent="0.25">
      <c r="A1083" s="4" t="str">
        <f>Sheet1!A1083 &amp; "/" &amp; "2025"</f>
        <v>1082/2025</v>
      </c>
      <c r="B1083" s="5" t="str">
        <f>Sheet1!E1083</f>
        <v>IND/MEL/01082</v>
      </c>
      <c r="C1083" s="6" t="str">
        <f>UPPER(Sheet1!B1083)</f>
        <v>PAMELA JONES</v>
      </c>
      <c r="D1083" s="7" t="str">
        <f>IF(Sheet1!F1083="F","FEMALE","MALE")</f>
        <v>MALE</v>
      </c>
      <c r="E1083" s="6" t="str">
        <f>UPPER(Sheet1!G1083)</f>
        <v>MICHAEL BRYANT</v>
      </c>
      <c r="F1083" s="6" t="str">
        <f>UPPER(Sheet1!H1083)</f>
        <v>LINDSAY CAMPBELL</v>
      </c>
      <c r="G1083" s="5" t="str">
        <f>TEXT(Sheet1!C1083,"dd/mm/yyyy") &amp; "," &amp; Sheet1!D1083</f>
        <v>10/09/2025,ASHLEYHAVEN</v>
      </c>
      <c r="H1083" s="39" t="str">
        <f>UPPER(Sheet1!J1083 &amp; "," &amp; Sheet1!K1083 &amp; "," &amp; Sheet1!L1083)</f>
        <v>835 WHITNEY CLUB SUITE 518,APT. 286,PIN:38138 LARSONFURT</v>
      </c>
      <c r="I1083" s="8">
        <f>Sheet1!I1083</f>
        <v>46065</v>
      </c>
      <c r="J1083" s="5" t="str">
        <f>Sheet1!M1083 &amp; "," &amp; TEXT(Sheet1!N1083,"dd/mm/yy")</f>
        <v>MHA/IND/01127,22/02/26</v>
      </c>
      <c r="K1083" s="5" t="s">
        <v>5752</v>
      </c>
      <c r="L1083" t="s">
        <v>14</v>
      </c>
      <c r="M1083" s="31" t="s">
        <v>15</v>
      </c>
      <c r="N1083" s="31"/>
    </row>
    <row r="1084" spans="1:14" x14ac:dyDescent="0.25">
      <c r="A1084" s="4" t="str">
        <f>Sheet1!A1084 &amp; "/" &amp; "2025"</f>
        <v>1083/2025</v>
      </c>
      <c r="B1084" s="5" t="str">
        <f>Sheet1!E1084</f>
        <v>IND/MEL/01083</v>
      </c>
      <c r="C1084" s="6" t="str">
        <f>UPPER(Sheet1!B1084)</f>
        <v>DYLAN RICHMOND</v>
      </c>
      <c r="D1084" s="7" t="str">
        <f>IF(Sheet1!F1084="F","FEMALE","MALE")</f>
        <v>FEMALE</v>
      </c>
      <c r="E1084" s="6" t="str">
        <f>UPPER(Sheet1!G1084)</f>
        <v>JOHN WILLIAMS</v>
      </c>
      <c r="F1084" s="6" t="str">
        <f>UPPER(Sheet1!H1084)</f>
        <v>CAITLYN LOPEZ</v>
      </c>
      <c r="G1084" s="5" t="str">
        <f>TEXT(Sheet1!C1084,"dd/mm/yyyy") &amp; "," &amp; Sheet1!D1084</f>
        <v>01/10/2025,DAVISCHESTER</v>
      </c>
      <c r="H1084" s="39" t="str">
        <f>UPPER(Sheet1!J1084 &amp; "," &amp; Sheet1!K1084 &amp; "," &amp; Sheet1!L1084)</f>
        <v>06236 NORRIS KEYS,SUITE 685,PIN:14411 LYNNMOUTH</v>
      </c>
      <c r="I1084" s="8">
        <f>Sheet1!I1084</f>
        <v>46065</v>
      </c>
      <c r="J1084" s="5" t="str">
        <f>Sheet1!M1084 &amp; "," &amp; TEXT(Sheet1!N1084,"dd/mm/yy")</f>
        <v>MHA/IND/01128,15/02/26</v>
      </c>
      <c r="K1084" s="5" t="s">
        <v>5752</v>
      </c>
      <c r="L1084" t="s">
        <v>14</v>
      </c>
      <c r="M1084" s="31" t="s">
        <v>15</v>
      </c>
      <c r="N1084" s="31"/>
    </row>
    <row r="1085" spans="1:14" x14ac:dyDescent="0.25">
      <c r="A1085" s="4" t="str">
        <f>Sheet1!A1085 &amp; "/" &amp; "2025"</f>
        <v>1084/2025</v>
      </c>
      <c r="B1085" s="5" t="str">
        <f>Sheet1!E1085</f>
        <v>IND/MEL/01084</v>
      </c>
      <c r="C1085" s="6" t="str">
        <f>UPPER(Sheet1!B1085)</f>
        <v>CRYSTAL BROWN</v>
      </c>
      <c r="D1085" s="7" t="str">
        <f>IF(Sheet1!F1085="F","FEMALE","MALE")</f>
        <v>FEMALE</v>
      </c>
      <c r="E1085" s="6" t="str">
        <f>UPPER(Sheet1!G1085)</f>
        <v>JOHN WILLIAMS</v>
      </c>
      <c r="F1085" s="6" t="str">
        <f>UPPER(Sheet1!H1085)</f>
        <v>CAITLYN LOPEZ</v>
      </c>
      <c r="G1085" s="5" t="str">
        <f>TEXT(Sheet1!C1085,"dd/mm/yyyy") &amp; "," &amp; Sheet1!D1085</f>
        <v>01/10/2025,DAVISCHESTER</v>
      </c>
      <c r="H1085" s="39" t="str">
        <f>UPPER(Sheet1!J1085 &amp; "," &amp; Sheet1!K1085 &amp; "," &amp; Sheet1!L1085)</f>
        <v>06236 NORRIS KEYS,SUITE 685,PIN:14411 LYNNMOUTH</v>
      </c>
      <c r="I1085" s="8">
        <f>Sheet1!I1085</f>
        <v>46065</v>
      </c>
      <c r="J1085" s="5" t="str">
        <f>Sheet1!M1085 &amp; "," &amp; TEXT(Sheet1!N1085,"dd/mm/yy")</f>
        <v>MHA/IND/01128,28/02/26</v>
      </c>
      <c r="K1085" s="5" t="s">
        <v>5752</v>
      </c>
      <c r="L1085" t="s">
        <v>14</v>
      </c>
      <c r="M1085" s="31" t="s">
        <v>15</v>
      </c>
      <c r="N1085" s="31"/>
    </row>
    <row r="1086" spans="1:14" x14ac:dyDescent="0.25">
      <c r="A1086" s="4" t="str">
        <f>Sheet1!A1086 &amp; "/" &amp; "2025"</f>
        <v>1085/2025</v>
      </c>
      <c r="B1086" s="5" t="str">
        <f>Sheet1!E1086</f>
        <v>IND/MEL/01085</v>
      </c>
      <c r="C1086" s="6" t="str">
        <f>UPPER(Sheet1!B1086)</f>
        <v>REBECCA PRINCE</v>
      </c>
      <c r="D1086" s="7" t="str">
        <f>IF(Sheet1!F1086="F","FEMALE","MALE")</f>
        <v>MALE</v>
      </c>
      <c r="E1086" s="6" t="str">
        <f>UPPER(Sheet1!G1086)</f>
        <v>PAUL GONZALES</v>
      </c>
      <c r="F1086" s="6" t="str">
        <f>UPPER(Sheet1!H1086)</f>
        <v>ERIKA MILLER</v>
      </c>
      <c r="G1086" s="5" t="str">
        <f>TEXT(Sheet1!C1086,"dd/mm/yyyy") &amp; "," &amp; Sheet1!D1086</f>
        <v>02/07/2025,NORTH LAURA</v>
      </c>
      <c r="H1086" s="39" t="str">
        <f>UPPER(Sheet1!J1086 &amp; "," &amp; Sheet1!K1086 &amp; "," &amp; Sheet1!L1086)</f>
        <v>8805 MATTHEW STREAM,SUITE 204,PIN:91591 NEW MATTHEWTON</v>
      </c>
      <c r="I1086" s="8">
        <f>Sheet1!I1086</f>
        <v>46065</v>
      </c>
      <c r="J1086" s="5" t="str">
        <f>Sheet1!M1086 &amp; "," &amp; TEXT(Sheet1!N1086,"dd/mm/yy")</f>
        <v>MHA/IND/01129,01/03/26</v>
      </c>
      <c r="K1086" s="5" t="s">
        <v>5752</v>
      </c>
      <c r="L1086" t="s">
        <v>14</v>
      </c>
      <c r="M1086" s="31" t="s">
        <v>15</v>
      </c>
      <c r="N1086" s="31"/>
    </row>
    <row r="1087" spans="1:14" x14ac:dyDescent="0.25">
      <c r="A1087" s="4" t="str">
        <f>Sheet1!A1087 &amp; "/" &amp; "2025"</f>
        <v>1086/2025</v>
      </c>
      <c r="B1087" s="5" t="str">
        <f>Sheet1!E1087</f>
        <v>IND/MEL/01086</v>
      </c>
      <c r="C1087" s="6" t="str">
        <f>UPPER(Sheet1!B1087)</f>
        <v>KRISTIN SCHWARTZ MD</v>
      </c>
      <c r="D1087" s="7" t="str">
        <f>IF(Sheet1!F1087="F","FEMALE","MALE")</f>
        <v>MALE</v>
      </c>
      <c r="E1087" s="6" t="str">
        <f>UPPER(Sheet1!G1087)</f>
        <v>PAUL GONZALES</v>
      </c>
      <c r="F1087" s="6" t="str">
        <f>UPPER(Sheet1!H1087)</f>
        <v>ERIKA MILLER</v>
      </c>
      <c r="G1087" s="5" t="str">
        <f>TEXT(Sheet1!C1087,"dd/mm/yyyy") &amp; "," &amp; Sheet1!D1087</f>
        <v>02/07/2025,NORTH LAURA</v>
      </c>
      <c r="H1087" s="39" t="str">
        <f>UPPER(Sheet1!J1087 &amp; "," &amp; Sheet1!K1087 &amp; "," &amp; Sheet1!L1087)</f>
        <v>8805 MATTHEW STREAM,SUITE 204,PIN:91591 NEW MATTHEWTON</v>
      </c>
      <c r="I1087" s="8">
        <f>Sheet1!I1087</f>
        <v>46065</v>
      </c>
      <c r="J1087" s="5" t="str">
        <f>Sheet1!M1087 &amp; "," &amp; TEXT(Sheet1!N1087,"dd/mm/yy")</f>
        <v>MHA/IND/01129,19/02/26</v>
      </c>
      <c r="K1087" s="5" t="s">
        <v>5752</v>
      </c>
      <c r="L1087" t="s">
        <v>14</v>
      </c>
      <c r="M1087" s="31" t="s">
        <v>15</v>
      </c>
      <c r="N1087" s="31"/>
    </row>
    <row r="1088" spans="1:14" x14ac:dyDescent="0.25">
      <c r="A1088" s="4" t="str">
        <f>Sheet1!A1088 &amp; "/" &amp; "2025"</f>
        <v>1087/2025</v>
      </c>
      <c r="B1088" s="5" t="str">
        <f>Sheet1!E1088</f>
        <v>IND/MEL/01087</v>
      </c>
      <c r="C1088" s="6" t="str">
        <f>UPPER(Sheet1!B1088)</f>
        <v>JESSICA SANDERS</v>
      </c>
      <c r="D1088" s="7" t="str">
        <f>IF(Sheet1!F1088="F","FEMALE","MALE")</f>
        <v>FEMALE</v>
      </c>
      <c r="E1088" s="6" t="str">
        <f>UPPER(Sheet1!G1088)</f>
        <v>JEREMY WHITE</v>
      </c>
      <c r="F1088" s="6" t="str">
        <f>UPPER(Sheet1!H1088)</f>
        <v>TARA MCCOY</v>
      </c>
      <c r="G1088" s="5" t="str">
        <f>TEXT(Sheet1!C1088,"dd/mm/yyyy") &amp; "," &amp; Sheet1!D1088</f>
        <v>01/05/2025,KELLIVILLE</v>
      </c>
      <c r="H1088" s="39" t="str">
        <f>UPPER(Sheet1!J1088 &amp; "," &amp; Sheet1!K1088 &amp; "," &amp; Sheet1!L1088)</f>
        <v>990 JESSICA CREST,APT. 706,PIN:05017 CHRISTIANVIEW</v>
      </c>
      <c r="I1088" s="8">
        <f>Sheet1!I1088</f>
        <v>46065</v>
      </c>
      <c r="J1088" s="5" t="str">
        <f>Sheet1!M1088 &amp; "," &amp; TEXT(Sheet1!N1088,"dd/mm/yy")</f>
        <v>MHA/IND/01130,08/03/26</v>
      </c>
      <c r="K1088" s="5" t="s">
        <v>5752</v>
      </c>
      <c r="L1088" t="s">
        <v>14</v>
      </c>
      <c r="M1088" s="31" t="s">
        <v>15</v>
      </c>
      <c r="N1088" s="31"/>
    </row>
    <row r="1089" spans="1:14" x14ac:dyDescent="0.25">
      <c r="A1089" s="4" t="str">
        <f>Sheet1!A1089 &amp; "/" &amp; "2025"</f>
        <v>1088/2025</v>
      </c>
      <c r="B1089" s="5" t="str">
        <f>Sheet1!E1089</f>
        <v>IND/MEL/01088</v>
      </c>
      <c r="C1089" s="6" t="str">
        <f>UPPER(Sheet1!B1089)</f>
        <v>PATRICK JONES</v>
      </c>
      <c r="D1089" s="7" t="str">
        <f>IF(Sheet1!F1089="F","FEMALE","MALE")</f>
        <v>FEMALE</v>
      </c>
      <c r="E1089" s="6" t="str">
        <f>UPPER(Sheet1!G1089)</f>
        <v>JEREMY WHITE</v>
      </c>
      <c r="F1089" s="6" t="str">
        <f>UPPER(Sheet1!H1089)</f>
        <v>TARA MCCOY</v>
      </c>
      <c r="G1089" s="5" t="str">
        <f>TEXT(Sheet1!C1089,"dd/mm/yyyy") &amp; "," &amp; Sheet1!D1089</f>
        <v>01/05/2025,KELLIVILLE</v>
      </c>
      <c r="H1089" s="39" t="str">
        <f>UPPER(Sheet1!J1089 &amp; "," &amp; Sheet1!K1089 &amp; "," &amp; Sheet1!L1089)</f>
        <v>990 JESSICA CREST,APT. 706,PIN:05017 CHRISTIANVIEW</v>
      </c>
      <c r="I1089" s="8">
        <f>Sheet1!I1089</f>
        <v>46065</v>
      </c>
      <c r="J1089" s="5" t="str">
        <f>Sheet1!M1089 &amp; "," &amp; TEXT(Sheet1!N1089,"dd/mm/yy")</f>
        <v>MHA/IND/01130,26/02/26</v>
      </c>
      <c r="K1089" s="5" t="s">
        <v>5752</v>
      </c>
      <c r="L1089" t="s">
        <v>14</v>
      </c>
      <c r="M1089" s="31" t="s">
        <v>15</v>
      </c>
      <c r="N1089" s="31"/>
    </row>
    <row r="1090" spans="1:14" x14ac:dyDescent="0.25">
      <c r="A1090" s="4" t="str">
        <f>Sheet1!A1090 &amp; "/" &amp; "2025"</f>
        <v>1089/2025</v>
      </c>
      <c r="B1090" s="5" t="str">
        <f>Sheet1!E1090</f>
        <v>IND/MEL/01089</v>
      </c>
      <c r="C1090" s="6" t="str">
        <f>UPPER(Sheet1!B1090)</f>
        <v>TODD MILLER</v>
      </c>
      <c r="D1090" s="7" t="str">
        <f>IF(Sheet1!F1090="F","FEMALE","MALE")</f>
        <v>FEMALE</v>
      </c>
      <c r="E1090" s="6" t="str">
        <f>UPPER(Sheet1!G1090)</f>
        <v>WILLIAM MCCOY</v>
      </c>
      <c r="F1090" s="6" t="str">
        <f>UPPER(Sheet1!H1090)</f>
        <v>LAUREN GREGORY</v>
      </c>
      <c r="G1090" s="5" t="str">
        <f>TEXT(Sheet1!C1090,"dd/mm/yyyy") &amp; "," &amp; Sheet1!D1090</f>
        <v>17/05/2025,LAURENPORT</v>
      </c>
      <c r="H1090" s="39" t="str">
        <f>UPPER(Sheet1!J1090 &amp; "," &amp; Sheet1!K1090 &amp; "," &amp; Sheet1!L1090)</f>
        <v>72700 JENNIFER PARKWAYS SUITE 651,APT. 291,PIN:34580 WRIGHTMOUTH</v>
      </c>
      <c r="I1090" s="8">
        <f>Sheet1!I1090</f>
        <v>46065</v>
      </c>
      <c r="J1090" s="5" t="str">
        <f>Sheet1!M1090 &amp; "," &amp; TEXT(Sheet1!N1090,"dd/mm/yy")</f>
        <v>MHA/IND/01131,19/02/26</v>
      </c>
      <c r="K1090" s="5" t="s">
        <v>5752</v>
      </c>
      <c r="L1090" t="s">
        <v>14</v>
      </c>
      <c r="M1090" s="31" t="s">
        <v>15</v>
      </c>
      <c r="N1090" s="31"/>
    </row>
    <row r="1091" spans="1:14" x14ac:dyDescent="0.25">
      <c r="A1091" s="4" t="str">
        <f>Sheet1!A1091 &amp; "/" &amp; "2025"</f>
        <v>1090/2025</v>
      </c>
      <c r="B1091" s="5" t="str">
        <f>Sheet1!E1091</f>
        <v>IND/MEL/01090</v>
      </c>
      <c r="C1091" s="6" t="str">
        <f>UPPER(Sheet1!B1091)</f>
        <v>BRANDON SIMPSON</v>
      </c>
      <c r="D1091" s="7" t="str">
        <f>IF(Sheet1!F1091="F","FEMALE","MALE")</f>
        <v>FEMALE</v>
      </c>
      <c r="E1091" s="6" t="str">
        <f>UPPER(Sheet1!G1091)</f>
        <v>WILLIAM MCCOY</v>
      </c>
      <c r="F1091" s="6" t="str">
        <f>UPPER(Sheet1!H1091)</f>
        <v>LAUREN GREGORY</v>
      </c>
      <c r="G1091" s="5" t="str">
        <f>TEXT(Sheet1!C1091,"dd/mm/yyyy") &amp; "," &amp; Sheet1!D1091</f>
        <v>17/05/2025,LAURENPORT</v>
      </c>
      <c r="H1091" s="39" t="str">
        <f>UPPER(Sheet1!J1091 &amp; "," &amp; Sheet1!K1091 &amp; "," &amp; Sheet1!L1091)</f>
        <v>72700 JENNIFER PARKWAYS SUITE 651,APT. 291,PIN:34580 WRIGHTMOUTH</v>
      </c>
      <c r="I1091" s="8">
        <f>Sheet1!I1091</f>
        <v>46065</v>
      </c>
      <c r="J1091" s="5" t="str">
        <f>Sheet1!M1091 &amp; "," &amp; TEXT(Sheet1!N1091,"dd/mm/yy")</f>
        <v>MHA/IND/01131,12/03/26</v>
      </c>
      <c r="K1091" s="5" t="s">
        <v>5752</v>
      </c>
      <c r="L1091" t="s">
        <v>14</v>
      </c>
      <c r="M1091" s="31" t="s">
        <v>15</v>
      </c>
      <c r="N1091" s="31"/>
    </row>
    <row r="1092" spans="1:14" x14ac:dyDescent="0.25">
      <c r="A1092" s="4" t="str">
        <f>Sheet1!A1092 &amp; "/" &amp; "2025"</f>
        <v>1091/2025</v>
      </c>
      <c r="B1092" s="5" t="str">
        <f>Sheet1!E1092</f>
        <v>IND/MEL/01091</v>
      </c>
      <c r="C1092" s="6" t="str">
        <f>UPPER(Sheet1!B1092)</f>
        <v>ANNA BOOKER</v>
      </c>
      <c r="D1092" s="7" t="str">
        <f>IF(Sheet1!F1092="F","FEMALE","MALE")</f>
        <v>FEMALE</v>
      </c>
      <c r="E1092" s="6" t="str">
        <f>UPPER(Sheet1!G1092)</f>
        <v>WILLIAM MCKINNEY</v>
      </c>
      <c r="F1092" s="6" t="str">
        <f>UPPER(Sheet1!H1092)</f>
        <v>SARA GARCIA</v>
      </c>
      <c r="G1092" s="5" t="str">
        <f>TEXT(Sheet1!C1092,"dd/mm/yyyy") &amp; "," &amp; Sheet1!D1092</f>
        <v>11/04/2025,ERICFORT</v>
      </c>
      <c r="H1092" s="39" t="str">
        <f>UPPER(Sheet1!J1092 &amp; "," &amp; Sheet1!K1092 &amp; "," &amp; Sheet1!L1092)</f>
        <v>358 BUTLER SUMMIT,SUITE 682,PIN:26130 NEW APRIL</v>
      </c>
      <c r="I1092" s="8">
        <f>Sheet1!I1092</f>
        <v>46065</v>
      </c>
      <c r="J1092" s="5" t="str">
        <f>Sheet1!M1092 &amp; "," &amp; TEXT(Sheet1!N1092,"dd/mm/yy")</f>
        <v>MHA/IND/01132,19/02/26</v>
      </c>
      <c r="K1092" s="5" t="s">
        <v>5752</v>
      </c>
      <c r="L1092" t="s">
        <v>14</v>
      </c>
      <c r="M1092" s="31" t="s">
        <v>15</v>
      </c>
      <c r="N1092" s="31"/>
    </row>
    <row r="1093" spans="1:14" x14ac:dyDescent="0.25">
      <c r="A1093" s="4" t="str">
        <f>Sheet1!A1093 &amp; "/" &amp; "2025"</f>
        <v>1092/2025</v>
      </c>
      <c r="B1093" s="5" t="str">
        <f>Sheet1!E1093</f>
        <v>IND/MEL/01092</v>
      </c>
      <c r="C1093" s="6" t="str">
        <f>UPPER(Sheet1!B1093)</f>
        <v>GARY MASON</v>
      </c>
      <c r="D1093" s="7" t="str">
        <f>IF(Sheet1!F1093="F","FEMALE","MALE")</f>
        <v>FEMALE</v>
      </c>
      <c r="E1093" s="6" t="str">
        <f>UPPER(Sheet1!G1093)</f>
        <v>WILLIAM MCKINNEY</v>
      </c>
      <c r="F1093" s="6" t="str">
        <f>UPPER(Sheet1!H1093)</f>
        <v>SARA GARCIA</v>
      </c>
      <c r="G1093" s="5" t="str">
        <f>TEXT(Sheet1!C1093,"dd/mm/yyyy") &amp; "," &amp; Sheet1!D1093</f>
        <v>11/04/2025,ERICFORT</v>
      </c>
      <c r="H1093" s="39" t="str">
        <f>UPPER(Sheet1!J1093 &amp; "," &amp; Sheet1!K1093 &amp; "," &amp; Sheet1!L1093)</f>
        <v>358 BUTLER SUMMIT,SUITE 682,PIN:26130 NEW APRIL</v>
      </c>
      <c r="I1093" s="8">
        <f>Sheet1!I1093</f>
        <v>46065</v>
      </c>
      <c r="J1093" s="5" t="str">
        <f>Sheet1!M1093 &amp; "," &amp; TEXT(Sheet1!N1093,"dd/mm/yy")</f>
        <v>MHA/IND/01132,11/03/26</v>
      </c>
      <c r="K1093" s="5" t="s">
        <v>5752</v>
      </c>
      <c r="L1093" t="s">
        <v>14</v>
      </c>
      <c r="M1093" s="31" t="s">
        <v>15</v>
      </c>
      <c r="N1093" s="31"/>
    </row>
    <row r="1094" spans="1:14" x14ac:dyDescent="0.25">
      <c r="A1094" s="4" t="str">
        <f>Sheet1!A1094 &amp; "/" &amp; "2025"</f>
        <v>1093/2025</v>
      </c>
      <c r="B1094" s="5" t="str">
        <f>Sheet1!E1094</f>
        <v>IND/MEL/01093</v>
      </c>
      <c r="C1094" s="6" t="str">
        <f>UPPER(Sheet1!B1094)</f>
        <v>DAVID BLAIR</v>
      </c>
      <c r="D1094" s="7" t="str">
        <f>IF(Sheet1!F1094="F","FEMALE","MALE")</f>
        <v>MALE</v>
      </c>
      <c r="E1094" s="6" t="str">
        <f>UPPER(Sheet1!G1094)</f>
        <v>MARTIN STEWART</v>
      </c>
      <c r="F1094" s="6" t="str">
        <f>UPPER(Sheet1!H1094)</f>
        <v>TAMMY RODRIGUEZ</v>
      </c>
      <c r="G1094" s="5" t="str">
        <f>TEXT(Sheet1!C1094,"dd/mm/yyyy") &amp; "," &amp; Sheet1!D1094</f>
        <v>26/08/2025,NEW JARED</v>
      </c>
      <c r="H1094" s="39" t="str">
        <f>UPPER(Sheet1!J1094 &amp; "," &amp; Sheet1!K1094 &amp; "," &amp; Sheet1!L1094)</f>
        <v>712 HOLDER KNOLLS,SUITE 214,PIN:46570 POWERSFORT</v>
      </c>
      <c r="I1094" s="8">
        <f>Sheet1!I1094</f>
        <v>46065</v>
      </c>
      <c r="J1094" s="5" t="str">
        <f>Sheet1!M1094 &amp; "," &amp; TEXT(Sheet1!N1094,"dd/mm/yy")</f>
        <v>MHA/IND/01133,16/02/26</v>
      </c>
      <c r="K1094" s="5" t="s">
        <v>5752</v>
      </c>
      <c r="L1094" t="s">
        <v>14</v>
      </c>
      <c r="M1094" s="31" t="s">
        <v>15</v>
      </c>
      <c r="N1094" s="31"/>
    </row>
    <row r="1095" spans="1:14" x14ac:dyDescent="0.25">
      <c r="A1095" s="4" t="str">
        <f>Sheet1!A1095 &amp; "/" &amp; "2025"</f>
        <v>1094/2025</v>
      </c>
      <c r="B1095" s="5" t="str">
        <f>Sheet1!E1095</f>
        <v>IND/MEL/01094</v>
      </c>
      <c r="C1095" s="6" t="str">
        <f>UPPER(Sheet1!B1095)</f>
        <v>ZACHARY FISCHER</v>
      </c>
      <c r="D1095" s="7" t="str">
        <f>IF(Sheet1!F1095="F","FEMALE","MALE")</f>
        <v>MALE</v>
      </c>
      <c r="E1095" s="6" t="str">
        <f>UPPER(Sheet1!G1095)</f>
        <v>MARTIN STEWART</v>
      </c>
      <c r="F1095" s="6" t="str">
        <f>UPPER(Sheet1!H1095)</f>
        <v>TAMMY RODRIGUEZ</v>
      </c>
      <c r="G1095" s="5" t="str">
        <f>TEXT(Sheet1!C1095,"dd/mm/yyyy") &amp; "," &amp; Sheet1!D1095</f>
        <v>26/08/2025,NEW JARED</v>
      </c>
      <c r="H1095" s="39" t="str">
        <f>UPPER(Sheet1!J1095 &amp; "," &amp; Sheet1!K1095 &amp; "," &amp; Sheet1!L1095)</f>
        <v>712 HOLDER KNOLLS,SUITE 214,PIN:46570 POWERSFORT</v>
      </c>
      <c r="I1095" s="8">
        <f>Sheet1!I1095</f>
        <v>46065</v>
      </c>
      <c r="J1095" s="5" t="str">
        <f>Sheet1!M1095 &amp; "," &amp; TEXT(Sheet1!N1095,"dd/mm/yy")</f>
        <v>MHA/IND/01133,15/02/26</v>
      </c>
      <c r="K1095" s="5" t="s">
        <v>5752</v>
      </c>
      <c r="L1095" t="s">
        <v>14</v>
      </c>
      <c r="M1095" s="31" t="s">
        <v>15</v>
      </c>
      <c r="N1095" s="31"/>
    </row>
    <row r="1096" spans="1:14" x14ac:dyDescent="0.25">
      <c r="A1096" s="4" t="str">
        <f>Sheet1!A1096 &amp; "/" &amp; "2025"</f>
        <v>1095/2025</v>
      </c>
      <c r="B1096" s="5" t="str">
        <f>Sheet1!E1096</f>
        <v>IND/MEL/01095</v>
      </c>
      <c r="C1096" s="6" t="str">
        <f>UPPER(Sheet1!B1096)</f>
        <v>MARY PERRY</v>
      </c>
      <c r="D1096" s="7" t="str">
        <f>IF(Sheet1!F1096="F","FEMALE","MALE")</f>
        <v>FEMALE</v>
      </c>
      <c r="E1096" s="6" t="str">
        <f>UPPER(Sheet1!G1096)</f>
        <v>JAMES BALL</v>
      </c>
      <c r="F1096" s="6" t="str">
        <f>UPPER(Sheet1!H1096)</f>
        <v>JENNIFER SWANSON</v>
      </c>
      <c r="G1096" s="5" t="str">
        <f>TEXT(Sheet1!C1096,"dd/mm/yyyy") &amp; "," &amp; Sheet1!D1096</f>
        <v>28/11/2025,LAKE DAVID</v>
      </c>
      <c r="H1096" s="39" t="str">
        <f>UPPER(Sheet1!J1096 &amp; "," &amp; Sheet1!K1096 &amp; "," &amp; Sheet1!L1096)</f>
        <v>095 CHRISTINA TRAIL,SUITE 143,PIN:02209 NORTH THERESABURGH</v>
      </c>
      <c r="I1096" s="8">
        <f>Sheet1!I1096</f>
        <v>46065</v>
      </c>
      <c r="J1096" s="5" t="str">
        <f>Sheet1!M1096 &amp; "," &amp; TEXT(Sheet1!N1096,"dd/mm/yy")</f>
        <v>MHA/IND/01134,24/02/26</v>
      </c>
      <c r="K1096" s="5" t="s">
        <v>5752</v>
      </c>
      <c r="L1096" t="s">
        <v>14</v>
      </c>
      <c r="M1096" s="31" t="s">
        <v>15</v>
      </c>
      <c r="N1096" s="31"/>
    </row>
    <row r="1097" spans="1:14" x14ac:dyDescent="0.25">
      <c r="A1097" s="4" t="str">
        <f>Sheet1!A1097 &amp; "/" &amp; "2025"</f>
        <v>1096/2025</v>
      </c>
      <c r="B1097" s="5" t="str">
        <f>Sheet1!E1097</f>
        <v>IND/MEL/01096</v>
      </c>
      <c r="C1097" s="6" t="str">
        <f>UPPER(Sheet1!B1097)</f>
        <v>ANDREW ANDRADE</v>
      </c>
      <c r="D1097" s="7" t="str">
        <f>IF(Sheet1!F1097="F","FEMALE","MALE")</f>
        <v>FEMALE</v>
      </c>
      <c r="E1097" s="6" t="str">
        <f>UPPER(Sheet1!G1097)</f>
        <v>JAMES BALL</v>
      </c>
      <c r="F1097" s="6" t="str">
        <f>UPPER(Sheet1!H1097)</f>
        <v>JENNIFER SWANSON</v>
      </c>
      <c r="G1097" s="5" t="str">
        <f>TEXT(Sheet1!C1097,"dd/mm/yyyy") &amp; "," &amp; Sheet1!D1097</f>
        <v>28/11/2025,LAKE DAVID</v>
      </c>
      <c r="H1097" s="39" t="str">
        <f>UPPER(Sheet1!J1097 &amp; "," &amp; Sheet1!K1097 &amp; "," &amp; Sheet1!L1097)</f>
        <v>095 CHRISTINA TRAIL,SUITE 143,PIN:02209 NORTH THERESABURGH</v>
      </c>
      <c r="I1097" s="8">
        <f>Sheet1!I1097</f>
        <v>46065</v>
      </c>
      <c r="J1097" s="5" t="str">
        <f>Sheet1!M1097 &amp; "," &amp; TEXT(Sheet1!N1097,"dd/mm/yy")</f>
        <v>MHA/IND/01134,16/02/26</v>
      </c>
      <c r="K1097" s="5" t="s">
        <v>5752</v>
      </c>
      <c r="L1097" t="s">
        <v>14</v>
      </c>
      <c r="M1097" s="31" t="s">
        <v>15</v>
      </c>
      <c r="N1097" s="31"/>
    </row>
    <row r="1098" spans="1:14" x14ac:dyDescent="0.25">
      <c r="A1098" s="4" t="str">
        <f>Sheet1!A1098 &amp; "/" &amp; "2025"</f>
        <v>1097/2025</v>
      </c>
      <c r="B1098" s="5" t="str">
        <f>Sheet1!E1098</f>
        <v>IND/MEL/01097</v>
      </c>
      <c r="C1098" s="6" t="str">
        <f>UPPER(Sheet1!B1098)</f>
        <v>TYLER MOORE</v>
      </c>
      <c r="D1098" s="7" t="str">
        <f>IF(Sheet1!F1098="F","FEMALE","MALE")</f>
        <v>MALE</v>
      </c>
      <c r="E1098" s="6" t="str">
        <f>UPPER(Sheet1!G1098)</f>
        <v>JOHN RUIZ</v>
      </c>
      <c r="F1098" s="6" t="str">
        <f>UPPER(Sheet1!H1098)</f>
        <v>CARLA KIM</v>
      </c>
      <c r="G1098" s="5" t="str">
        <f>TEXT(Sheet1!C1098,"dd/mm/yyyy") &amp; "," &amp; Sheet1!D1098</f>
        <v>25/11/2025,NORTH DAVIDTOWN</v>
      </c>
      <c r="H1098" s="39" t="str">
        <f>UPPER(Sheet1!J1098 &amp; "," &amp; Sheet1!K1098 &amp; "," &amp; Sheet1!L1098)</f>
        <v>94910 THOMAS TURNPIKE SUITE 782,APT. 633,PIN:97120 NORTH CORYMOUTH</v>
      </c>
      <c r="I1098" s="8">
        <f>Sheet1!I1098</f>
        <v>46065</v>
      </c>
      <c r="J1098" s="5" t="str">
        <f>Sheet1!M1098 &amp; "," &amp; TEXT(Sheet1!N1098,"dd/mm/yy")</f>
        <v>MHA/IND/01135,28/02/26</v>
      </c>
      <c r="K1098" s="5" t="s">
        <v>5752</v>
      </c>
      <c r="L1098" t="s">
        <v>14</v>
      </c>
      <c r="M1098" s="31" t="s">
        <v>15</v>
      </c>
      <c r="N1098" s="31"/>
    </row>
    <row r="1099" spans="1:14" x14ac:dyDescent="0.25">
      <c r="A1099" s="4" t="str">
        <f>Sheet1!A1099 &amp; "/" &amp; "2025"</f>
        <v>1098/2025</v>
      </c>
      <c r="B1099" s="5" t="str">
        <f>Sheet1!E1099</f>
        <v>IND/MEL/01098</v>
      </c>
      <c r="C1099" s="6" t="str">
        <f>UPPER(Sheet1!B1099)</f>
        <v>CONNIE MAXWELL</v>
      </c>
      <c r="D1099" s="7" t="str">
        <f>IF(Sheet1!F1099="F","FEMALE","MALE")</f>
        <v>MALE</v>
      </c>
      <c r="E1099" s="6" t="str">
        <f>UPPER(Sheet1!G1099)</f>
        <v>JOHN RUIZ</v>
      </c>
      <c r="F1099" s="6" t="str">
        <f>UPPER(Sheet1!H1099)</f>
        <v>CARLA KIM</v>
      </c>
      <c r="G1099" s="5" t="str">
        <f>TEXT(Sheet1!C1099,"dd/mm/yyyy") &amp; "," &amp; Sheet1!D1099</f>
        <v>25/11/2025,NORTH DAVIDTOWN</v>
      </c>
      <c r="H1099" s="39" t="str">
        <f>UPPER(Sheet1!J1099 &amp; "," &amp; Sheet1!K1099 &amp; "," &amp; Sheet1!L1099)</f>
        <v>94910 THOMAS TURNPIKE SUITE 782,APT. 633,PIN:97120 NORTH CORYMOUTH</v>
      </c>
      <c r="I1099" s="8">
        <f>Sheet1!I1099</f>
        <v>46065</v>
      </c>
      <c r="J1099" s="5" t="str">
        <f>Sheet1!M1099 &amp; "," &amp; TEXT(Sheet1!N1099,"dd/mm/yy")</f>
        <v>MHA/IND/01135,24/02/26</v>
      </c>
      <c r="K1099" s="5" t="s">
        <v>5752</v>
      </c>
      <c r="L1099" t="s">
        <v>14</v>
      </c>
      <c r="M1099" s="31" t="s">
        <v>15</v>
      </c>
      <c r="N1099" s="31"/>
    </row>
    <row r="1100" spans="1:14" x14ac:dyDescent="0.25">
      <c r="A1100" s="4" t="str">
        <f>Sheet1!A1100 &amp; "/" &amp; "2025"</f>
        <v>1099/2025</v>
      </c>
      <c r="B1100" s="5" t="str">
        <f>Sheet1!E1100</f>
        <v>IND/MEL/01099</v>
      </c>
      <c r="C1100" s="6" t="str">
        <f>UPPER(Sheet1!B1100)</f>
        <v>CHRISTOPHER ALI</v>
      </c>
      <c r="D1100" s="7" t="str">
        <f>IF(Sheet1!F1100="F","FEMALE","MALE")</f>
        <v>MALE</v>
      </c>
      <c r="E1100" s="6" t="str">
        <f>UPPER(Sheet1!G1100)</f>
        <v>ALEX LOPEZ</v>
      </c>
      <c r="F1100" s="6" t="str">
        <f>UPPER(Sheet1!H1100)</f>
        <v>RACHEL BRADSHAW</v>
      </c>
      <c r="G1100" s="5" t="str">
        <f>TEXT(Sheet1!C1100,"dd/mm/yyyy") &amp; "," &amp; Sheet1!D1100</f>
        <v>17/06/2025,EAST LARRYBURGH</v>
      </c>
      <c r="H1100" s="39" t="str">
        <f>UPPER(Sheet1!J1100 &amp; "," &amp; Sheet1!K1100 &amp; "," &amp; Sheet1!L1100)</f>
        <v>91091 HAMPTON HIGHWAY SUITE 967,SUITE 191,PIN:50406 FERGUSONVILLE</v>
      </c>
      <c r="I1100" s="8">
        <f>Sheet1!I1100</f>
        <v>46065</v>
      </c>
      <c r="J1100" s="5" t="str">
        <f>Sheet1!M1100 &amp; "," &amp; TEXT(Sheet1!N1100,"dd/mm/yy")</f>
        <v>MHA/IND/01136,05/03/26</v>
      </c>
      <c r="K1100" s="5" t="s">
        <v>5752</v>
      </c>
      <c r="L1100" t="s">
        <v>14</v>
      </c>
      <c r="M1100" s="31" t="s">
        <v>15</v>
      </c>
      <c r="N1100" s="31"/>
    </row>
    <row r="1101" spans="1:14" x14ac:dyDescent="0.25">
      <c r="A1101" s="4" t="str">
        <f>Sheet1!A1101 &amp; "/" &amp; "2025"</f>
        <v>1100/2025</v>
      </c>
      <c r="B1101" s="5" t="str">
        <f>Sheet1!E1101</f>
        <v>IND/MEL/01100</v>
      </c>
      <c r="C1101" s="6" t="str">
        <f>UPPER(Sheet1!B1101)</f>
        <v>ALEJANDRA BUTLER</v>
      </c>
      <c r="D1101" s="7" t="str">
        <f>IF(Sheet1!F1101="F","FEMALE","MALE")</f>
        <v>MALE</v>
      </c>
      <c r="E1101" s="6" t="str">
        <f>UPPER(Sheet1!G1101)</f>
        <v>ALEX LOPEZ</v>
      </c>
      <c r="F1101" s="6" t="str">
        <f>UPPER(Sheet1!H1101)</f>
        <v>RACHEL BRADSHAW</v>
      </c>
      <c r="G1101" s="5" t="str">
        <f>TEXT(Sheet1!C1101,"dd/mm/yyyy") &amp; "," &amp; Sheet1!D1101</f>
        <v>17/06/2025,EAST LARRYBURGH</v>
      </c>
      <c r="H1101" s="39" t="str">
        <f>UPPER(Sheet1!J1101 &amp; "," &amp; Sheet1!K1101 &amp; "," &amp; Sheet1!L1101)</f>
        <v>91091 HAMPTON HIGHWAY SUITE 967,SUITE 191,PIN:50406 FERGUSONVILLE</v>
      </c>
      <c r="I1101" s="8">
        <f>Sheet1!I1101</f>
        <v>46065</v>
      </c>
      <c r="J1101" s="5" t="str">
        <f>Sheet1!M1101 &amp; "," &amp; TEXT(Sheet1!N1101,"dd/mm/yy")</f>
        <v>MHA/IND/01136,10/03/26</v>
      </c>
      <c r="K1101" s="5" t="s">
        <v>5752</v>
      </c>
      <c r="L1101" t="s">
        <v>14</v>
      </c>
      <c r="M1101" s="31" t="s">
        <v>15</v>
      </c>
      <c r="N1101" s="31"/>
    </row>
    <row r="1102" spans="1:14" x14ac:dyDescent="0.25">
      <c r="A1102" s="4" t="str">
        <f>Sheet1!A1102 &amp; "/" &amp; "2025"</f>
        <v>1101/2025</v>
      </c>
      <c r="B1102" s="5" t="str">
        <f>Sheet1!E1102</f>
        <v>IND/MEL/01101</v>
      </c>
      <c r="C1102" s="6" t="str">
        <f>UPPER(Sheet1!B1102)</f>
        <v>RANDALL STONE</v>
      </c>
      <c r="D1102" s="7" t="str">
        <f>IF(Sheet1!F1102="F","FEMALE","MALE")</f>
        <v>FEMALE</v>
      </c>
      <c r="E1102" s="6" t="str">
        <f>UPPER(Sheet1!G1102)</f>
        <v>RYAN BUCHANAN</v>
      </c>
      <c r="F1102" s="6" t="str">
        <f>UPPER(Sheet1!H1102)</f>
        <v>JULIE CRAWFORD</v>
      </c>
      <c r="G1102" s="5" t="str">
        <f>TEXT(Sheet1!C1102,"dd/mm/yyyy") &amp; "," &amp; Sheet1!D1102</f>
        <v>08/06/2025,JASONFURT</v>
      </c>
      <c r="H1102" s="39" t="str">
        <f>UPPER(Sheet1!J1102 &amp; "," &amp; Sheet1!K1102 &amp; "," &amp; Sheet1!L1102)</f>
        <v>52457 HOLLAND ISLANDS APT. 487,SUITE 180,PIN:22260 WILLIAMBURGH</v>
      </c>
      <c r="I1102" s="8">
        <f>Sheet1!I1102</f>
        <v>46065</v>
      </c>
      <c r="J1102" s="5" t="str">
        <f>Sheet1!M1102 &amp; "," &amp; TEXT(Sheet1!N1102,"dd/mm/yy")</f>
        <v>MHA/IND/01137,16/02/26</v>
      </c>
      <c r="K1102" s="5" t="s">
        <v>5752</v>
      </c>
      <c r="L1102" t="s">
        <v>14</v>
      </c>
      <c r="M1102" s="31" t="s">
        <v>15</v>
      </c>
      <c r="N1102" s="31"/>
    </row>
    <row r="1103" spans="1:14" x14ac:dyDescent="0.25">
      <c r="A1103" s="4" t="str">
        <f>Sheet1!A1103 &amp; "/" &amp; "2025"</f>
        <v>1102/2025</v>
      </c>
      <c r="B1103" s="5" t="str">
        <f>Sheet1!E1103</f>
        <v>IND/MEL/01102</v>
      </c>
      <c r="C1103" s="6" t="str">
        <f>UPPER(Sheet1!B1103)</f>
        <v>CAROL COOPER</v>
      </c>
      <c r="D1103" s="7" t="str">
        <f>IF(Sheet1!F1103="F","FEMALE","MALE")</f>
        <v>FEMALE</v>
      </c>
      <c r="E1103" s="6" t="str">
        <f>UPPER(Sheet1!G1103)</f>
        <v>RYAN BUCHANAN</v>
      </c>
      <c r="F1103" s="6" t="str">
        <f>UPPER(Sheet1!H1103)</f>
        <v>JULIE CRAWFORD</v>
      </c>
      <c r="G1103" s="5" t="str">
        <f>TEXT(Sheet1!C1103,"dd/mm/yyyy") &amp; "," &amp; Sheet1!D1103</f>
        <v>08/06/2025,JASONFURT</v>
      </c>
      <c r="H1103" s="39" t="str">
        <f>UPPER(Sheet1!J1103 &amp; "," &amp; Sheet1!K1103 &amp; "," &amp; Sheet1!L1103)</f>
        <v>52457 HOLLAND ISLANDS APT. 487,SUITE 180,PIN:22260 WILLIAMBURGH</v>
      </c>
      <c r="I1103" s="8">
        <f>Sheet1!I1103</f>
        <v>46065</v>
      </c>
      <c r="J1103" s="5" t="str">
        <f>Sheet1!M1103 &amp; "," &amp; TEXT(Sheet1!N1103,"dd/mm/yy")</f>
        <v>MHA/IND/01137,07/03/26</v>
      </c>
      <c r="K1103" s="5" t="s">
        <v>5752</v>
      </c>
      <c r="L1103" t="s">
        <v>14</v>
      </c>
      <c r="M1103" s="31" t="s">
        <v>15</v>
      </c>
      <c r="N1103" s="31"/>
    </row>
    <row r="1104" spans="1:14" x14ac:dyDescent="0.25">
      <c r="A1104" s="4" t="str">
        <f>Sheet1!A1104 &amp; "/" &amp; "2025"</f>
        <v>1103/2025</v>
      </c>
      <c r="B1104" s="5" t="str">
        <f>Sheet1!E1104</f>
        <v>IND/MEL/01103</v>
      </c>
      <c r="C1104" s="6" t="str">
        <f>UPPER(Sheet1!B1104)</f>
        <v>KIMBERLY HARRISON</v>
      </c>
      <c r="D1104" s="7" t="str">
        <f>IF(Sheet1!F1104="F","FEMALE","MALE")</f>
        <v>MALE</v>
      </c>
      <c r="E1104" s="6" t="str">
        <f>UPPER(Sheet1!G1104)</f>
        <v>JOHN WARD</v>
      </c>
      <c r="F1104" s="6" t="str">
        <f>UPPER(Sheet1!H1104)</f>
        <v>RENEE FISCHER</v>
      </c>
      <c r="G1104" s="5" t="str">
        <f>TEXT(Sheet1!C1104,"dd/mm/yyyy") &amp; "," &amp; Sheet1!D1104</f>
        <v>14/01/2026,WEST KRISTEN</v>
      </c>
      <c r="H1104" s="39" t="str">
        <f>UPPER(Sheet1!J1104 &amp; "," &amp; Sheet1!K1104 &amp; "," &amp; Sheet1!L1104)</f>
        <v>208 KYLE ESTATE,SUITE 899,PIN:57455 SMITHFURT</v>
      </c>
      <c r="I1104" s="8">
        <f>Sheet1!I1104</f>
        <v>46065</v>
      </c>
      <c r="J1104" s="5" t="str">
        <f>Sheet1!M1104 &amp; "," &amp; TEXT(Sheet1!N1104,"dd/mm/yy")</f>
        <v>MHA/IND/01138,11/03/26</v>
      </c>
      <c r="K1104" s="5" t="s">
        <v>5752</v>
      </c>
      <c r="L1104" t="s">
        <v>14</v>
      </c>
      <c r="M1104" s="31" t="s">
        <v>15</v>
      </c>
      <c r="N1104" s="31"/>
    </row>
    <row r="1105" spans="1:14" x14ac:dyDescent="0.25">
      <c r="A1105" s="4" t="str">
        <f>Sheet1!A1105 &amp; "/" &amp; "2025"</f>
        <v>1104/2025</v>
      </c>
      <c r="B1105" s="5" t="str">
        <f>Sheet1!E1105</f>
        <v>IND/MEL/01104</v>
      </c>
      <c r="C1105" s="6" t="str">
        <f>UPPER(Sheet1!B1105)</f>
        <v>ALAN KELLER</v>
      </c>
      <c r="D1105" s="7" t="str">
        <f>IF(Sheet1!F1105="F","FEMALE","MALE")</f>
        <v>MALE</v>
      </c>
      <c r="E1105" s="6" t="str">
        <f>UPPER(Sheet1!G1105)</f>
        <v>JOHN WARD</v>
      </c>
      <c r="F1105" s="6" t="str">
        <f>UPPER(Sheet1!H1105)</f>
        <v>RENEE FISCHER</v>
      </c>
      <c r="G1105" s="5" t="str">
        <f>TEXT(Sheet1!C1105,"dd/mm/yyyy") &amp; "," &amp; Sheet1!D1105</f>
        <v>14/01/2026,WEST KRISTEN</v>
      </c>
      <c r="H1105" s="39" t="str">
        <f>UPPER(Sheet1!J1105 &amp; "," &amp; Sheet1!K1105 &amp; "," &amp; Sheet1!L1105)</f>
        <v>208 KYLE ESTATE,SUITE 899,PIN:57455 SMITHFURT</v>
      </c>
      <c r="I1105" s="8">
        <f>Sheet1!I1105</f>
        <v>46065</v>
      </c>
      <c r="J1105" s="5" t="str">
        <f>Sheet1!M1105 &amp; "," &amp; TEXT(Sheet1!N1105,"dd/mm/yy")</f>
        <v>MHA/IND/01138,22/02/26</v>
      </c>
      <c r="K1105" s="5" t="s">
        <v>5752</v>
      </c>
      <c r="L1105" t="s">
        <v>14</v>
      </c>
      <c r="M1105" s="31" t="s">
        <v>15</v>
      </c>
      <c r="N1105" s="31"/>
    </row>
    <row r="1106" spans="1:14" x14ac:dyDescent="0.25">
      <c r="A1106" s="4" t="str">
        <f>Sheet1!A1106 &amp; "/" &amp; "2025"</f>
        <v>1105/2025</v>
      </c>
      <c r="B1106" s="5" t="str">
        <f>Sheet1!E1106</f>
        <v>IND/MEL/01105</v>
      </c>
      <c r="C1106" s="6" t="str">
        <f>UPPER(Sheet1!B1106)</f>
        <v>CATHY MOORE</v>
      </c>
      <c r="D1106" s="7" t="str">
        <f>IF(Sheet1!F1106="F","FEMALE","MALE")</f>
        <v>MALE</v>
      </c>
      <c r="E1106" s="6" t="str">
        <f>UPPER(Sheet1!G1106)</f>
        <v>ANDREW LEVINE</v>
      </c>
      <c r="F1106" s="6" t="str">
        <f>UPPER(Sheet1!H1106)</f>
        <v>DONNA HAWKINS</v>
      </c>
      <c r="G1106" s="5" t="str">
        <f>TEXT(Sheet1!C1106,"dd/mm/yyyy") &amp; "," &amp; Sheet1!D1106</f>
        <v>10/12/2025,KENNETHTOWN</v>
      </c>
      <c r="H1106" s="39" t="str">
        <f>UPPER(Sheet1!J1106 &amp; "," &amp; Sheet1!K1106 &amp; "," &amp; Sheet1!L1106)</f>
        <v>1493 ARIEL BROOK,APT. 498,PIN:10618 SOUTH PATRICKPORT</v>
      </c>
      <c r="I1106" s="8">
        <f>Sheet1!I1106</f>
        <v>46065</v>
      </c>
      <c r="J1106" s="5" t="str">
        <f>Sheet1!M1106 &amp; "," &amp; TEXT(Sheet1!N1106,"dd/mm/yy")</f>
        <v>MHA/IND/01139,15/02/26</v>
      </c>
      <c r="K1106" s="5" t="s">
        <v>5752</v>
      </c>
      <c r="L1106" t="s">
        <v>14</v>
      </c>
      <c r="M1106" s="31" t="s">
        <v>15</v>
      </c>
      <c r="N1106" s="31"/>
    </row>
    <row r="1107" spans="1:14" x14ac:dyDescent="0.25">
      <c r="A1107" s="4" t="str">
        <f>Sheet1!A1107 &amp; "/" &amp; "2025"</f>
        <v>1106/2025</v>
      </c>
      <c r="B1107" s="5" t="str">
        <f>Sheet1!E1107</f>
        <v>IND/MEL/01106</v>
      </c>
      <c r="C1107" s="6" t="str">
        <f>UPPER(Sheet1!B1107)</f>
        <v>RANDY WILLIAMS</v>
      </c>
      <c r="D1107" s="7" t="str">
        <f>IF(Sheet1!F1107="F","FEMALE","MALE")</f>
        <v>MALE</v>
      </c>
      <c r="E1107" s="6" t="str">
        <f>UPPER(Sheet1!G1107)</f>
        <v>ANDREW LEVINE</v>
      </c>
      <c r="F1107" s="6" t="str">
        <f>UPPER(Sheet1!H1107)</f>
        <v>DONNA HAWKINS</v>
      </c>
      <c r="G1107" s="5" t="str">
        <f>TEXT(Sheet1!C1107,"dd/mm/yyyy") &amp; "," &amp; Sheet1!D1107</f>
        <v>10/12/2025,KENNETHTOWN</v>
      </c>
      <c r="H1107" s="39" t="str">
        <f>UPPER(Sheet1!J1107 &amp; "," &amp; Sheet1!K1107 &amp; "," &amp; Sheet1!L1107)</f>
        <v>1493 ARIEL BROOK,APT. 498,PIN:10618 SOUTH PATRICKPORT</v>
      </c>
      <c r="I1107" s="8">
        <f>Sheet1!I1107</f>
        <v>46065</v>
      </c>
      <c r="J1107" s="5" t="str">
        <f>Sheet1!M1107 &amp; "," &amp; TEXT(Sheet1!N1107,"dd/mm/yy")</f>
        <v>MHA/IND/01139,17/02/26</v>
      </c>
      <c r="K1107" s="5" t="s">
        <v>5752</v>
      </c>
      <c r="L1107" t="s">
        <v>14</v>
      </c>
      <c r="M1107" s="31" t="s">
        <v>15</v>
      </c>
      <c r="N1107" s="31"/>
    </row>
    <row r="1108" spans="1:14" x14ac:dyDescent="0.25">
      <c r="A1108" s="4" t="str">
        <f>Sheet1!A1108 &amp; "/" &amp; "2025"</f>
        <v>1107/2025</v>
      </c>
      <c r="B1108" s="5" t="str">
        <f>Sheet1!E1108</f>
        <v>IND/MEL/01107</v>
      </c>
      <c r="C1108" s="6" t="str">
        <f>UPPER(Sheet1!B1108)</f>
        <v>MELINDA JONES</v>
      </c>
      <c r="D1108" s="7" t="str">
        <f>IF(Sheet1!F1108="F","FEMALE","MALE")</f>
        <v>MALE</v>
      </c>
      <c r="E1108" s="6" t="str">
        <f>UPPER(Sheet1!G1108)</f>
        <v>RYAN COLE</v>
      </c>
      <c r="F1108" s="6" t="str">
        <f>UPPER(Sheet1!H1108)</f>
        <v>KIMBERLY POWELL</v>
      </c>
      <c r="G1108" s="5" t="str">
        <f>TEXT(Sheet1!C1108,"dd/mm/yyyy") &amp; "," &amp; Sheet1!D1108</f>
        <v>07/10/2025,WARRENSTAD</v>
      </c>
      <c r="H1108" s="39" t="str">
        <f>UPPER(Sheet1!J1108 &amp; "," &amp; Sheet1!K1108 &amp; "," &amp; Sheet1!L1108)</f>
        <v>4960 LORRAINE CREEK,APT. 148,PIN:22069 EAST ALEXANDRACHESTER</v>
      </c>
      <c r="I1108" s="8">
        <f>Sheet1!I1108</f>
        <v>46065</v>
      </c>
      <c r="J1108" s="5" t="str">
        <f>Sheet1!M1108 &amp; "," &amp; TEXT(Sheet1!N1108,"dd/mm/yy")</f>
        <v>MHA/IND/01140,10/03/26</v>
      </c>
      <c r="K1108" s="5" t="s">
        <v>5752</v>
      </c>
      <c r="L1108" t="s">
        <v>14</v>
      </c>
      <c r="M1108" s="31" t="s">
        <v>15</v>
      </c>
      <c r="N1108" s="31"/>
    </row>
    <row r="1109" spans="1:14" x14ac:dyDescent="0.25">
      <c r="A1109" s="4" t="str">
        <f>Sheet1!A1109 &amp; "/" &amp; "2025"</f>
        <v>1108/2025</v>
      </c>
      <c r="B1109" s="5" t="str">
        <f>Sheet1!E1109</f>
        <v>IND/MEL/01108</v>
      </c>
      <c r="C1109" s="6" t="str">
        <f>UPPER(Sheet1!B1109)</f>
        <v>KATHLEEN YOUNG</v>
      </c>
      <c r="D1109" s="7" t="str">
        <f>IF(Sheet1!F1109="F","FEMALE","MALE")</f>
        <v>MALE</v>
      </c>
      <c r="E1109" s="6" t="str">
        <f>UPPER(Sheet1!G1109)</f>
        <v>RYAN COLE</v>
      </c>
      <c r="F1109" s="6" t="str">
        <f>UPPER(Sheet1!H1109)</f>
        <v>KIMBERLY POWELL</v>
      </c>
      <c r="G1109" s="5" t="str">
        <f>TEXT(Sheet1!C1109,"dd/mm/yyyy") &amp; "," &amp; Sheet1!D1109</f>
        <v>07/10/2025,WARRENSTAD</v>
      </c>
      <c r="H1109" s="39" t="str">
        <f>UPPER(Sheet1!J1109 &amp; "," &amp; Sheet1!K1109 &amp; "," &amp; Sheet1!L1109)</f>
        <v>4960 LORRAINE CREEK,APT. 148,PIN:22069 EAST ALEXANDRACHESTER</v>
      </c>
      <c r="I1109" s="8">
        <f>Sheet1!I1109</f>
        <v>46065</v>
      </c>
      <c r="J1109" s="5" t="str">
        <f>Sheet1!M1109 &amp; "," &amp; TEXT(Sheet1!N1109,"dd/mm/yy")</f>
        <v>MHA/IND/01140,11/03/26</v>
      </c>
      <c r="K1109" s="5" t="s">
        <v>5752</v>
      </c>
      <c r="L1109" t="s">
        <v>14</v>
      </c>
      <c r="M1109" s="31" t="s">
        <v>15</v>
      </c>
      <c r="N1109" s="31"/>
    </row>
    <row r="1110" spans="1:14" x14ac:dyDescent="0.25">
      <c r="A1110" s="4" t="str">
        <f>Sheet1!A1110 &amp; "/" &amp; "2025"</f>
        <v>1109/2025</v>
      </c>
      <c r="B1110" s="5" t="str">
        <f>Sheet1!E1110</f>
        <v>IND/MEL/01109</v>
      </c>
      <c r="C1110" s="6" t="str">
        <f>UPPER(Sheet1!B1110)</f>
        <v>KAREN LEE</v>
      </c>
      <c r="D1110" s="7" t="str">
        <f>IF(Sheet1!F1110="F","FEMALE","MALE")</f>
        <v>FEMALE</v>
      </c>
      <c r="E1110" s="6" t="str">
        <f>UPPER(Sheet1!G1110)</f>
        <v>CRAIG SMITH</v>
      </c>
      <c r="F1110" s="6" t="str">
        <f>UPPER(Sheet1!H1110)</f>
        <v>TAYLOR LOPEZ</v>
      </c>
      <c r="G1110" s="5" t="str">
        <f>TEXT(Sheet1!C1110,"dd/mm/yyyy") &amp; "," &amp; Sheet1!D1110</f>
        <v>15/10/2025,VINCENTBOROUGH</v>
      </c>
      <c r="H1110" s="39" t="str">
        <f>UPPER(Sheet1!J1110 &amp; "," &amp; Sheet1!K1110 &amp; "," &amp; Sheet1!L1110)</f>
        <v>973 MACIAS TUNNEL APT. 004,SUITE 445,PIN:41313 DAVIDBERG</v>
      </c>
      <c r="I1110" s="8">
        <f>Sheet1!I1110</f>
        <v>46065</v>
      </c>
      <c r="J1110" s="5" t="str">
        <f>Sheet1!M1110 &amp; "," &amp; TEXT(Sheet1!N1110,"dd/mm/yy")</f>
        <v>MHA/IND/01141,24/02/26</v>
      </c>
      <c r="K1110" s="5" t="s">
        <v>5752</v>
      </c>
      <c r="L1110" t="s">
        <v>14</v>
      </c>
      <c r="M1110" s="31" t="s">
        <v>15</v>
      </c>
      <c r="N1110" s="31"/>
    </row>
    <row r="1111" spans="1:14" x14ac:dyDescent="0.25">
      <c r="A1111" s="4" t="str">
        <f>Sheet1!A1111 &amp; "/" &amp; "2025"</f>
        <v>1110/2025</v>
      </c>
      <c r="B1111" s="5" t="str">
        <f>Sheet1!E1111</f>
        <v>IND/MEL/01110</v>
      </c>
      <c r="C1111" s="6" t="str">
        <f>UPPER(Sheet1!B1111)</f>
        <v>TINA PEARSON</v>
      </c>
      <c r="D1111" s="7" t="str">
        <f>IF(Sheet1!F1111="F","FEMALE","MALE")</f>
        <v>FEMALE</v>
      </c>
      <c r="E1111" s="6" t="str">
        <f>UPPER(Sheet1!G1111)</f>
        <v>CRAIG SMITH</v>
      </c>
      <c r="F1111" s="6" t="str">
        <f>UPPER(Sheet1!H1111)</f>
        <v>TAYLOR LOPEZ</v>
      </c>
      <c r="G1111" s="5" t="str">
        <f>TEXT(Sheet1!C1111,"dd/mm/yyyy") &amp; "," &amp; Sheet1!D1111</f>
        <v>15/10/2025,VINCENTBOROUGH</v>
      </c>
      <c r="H1111" s="39" t="str">
        <f>UPPER(Sheet1!J1111 &amp; "," &amp; Sheet1!K1111 &amp; "," &amp; Sheet1!L1111)</f>
        <v>973 MACIAS TUNNEL APT. 004,SUITE 445,PIN:41313 DAVIDBERG</v>
      </c>
      <c r="I1111" s="8">
        <f>Sheet1!I1111</f>
        <v>46065</v>
      </c>
      <c r="J1111" s="5" t="str">
        <f>Sheet1!M1111 &amp; "," &amp; TEXT(Sheet1!N1111,"dd/mm/yy")</f>
        <v>MHA/IND/01141,20/02/26</v>
      </c>
      <c r="K1111" s="5" t="s">
        <v>5752</v>
      </c>
      <c r="L1111" t="s">
        <v>14</v>
      </c>
      <c r="M1111" s="31" t="s">
        <v>15</v>
      </c>
      <c r="N1111" s="31"/>
    </row>
    <row r="1112" spans="1:14" x14ac:dyDescent="0.25">
      <c r="A1112" s="4" t="str">
        <f>Sheet1!A1112 &amp; "/" &amp; "2025"</f>
        <v>1111/2025</v>
      </c>
      <c r="B1112" s="5" t="str">
        <f>Sheet1!E1112</f>
        <v>IND/MEL/01111</v>
      </c>
      <c r="C1112" s="6" t="str">
        <f>UPPER(Sheet1!B1112)</f>
        <v>STACEY BAILEY</v>
      </c>
      <c r="D1112" s="7" t="str">
        <f>IF(Sheet1!F1112="F","FEMALE","MALE")</f>
        <v>MALE</v>
      </c>
      <c r="E1112" s="6" t="str">
        <f>UPPER(Sheet1!G1112)</f>
        <v>DANIEL ALVAREZ</v>
      </c>
      <c r="F1112" s="6" t="str">
        <f>UPPER(Sheet1!H1112)</f>
        <v>MARY MURPHY</v>
      </c>
      <c r="G1112" s="5" t="str">
        <f>TEXT(Sheet1!C1112,"dd/mm/yyyy") &amp; "," &amp; Sheet1!D1112</f>
        <v>29/07/2025,NEW ROBERTFURT</v>
      </c>
      <c r="H1112" s="39" t="str">
        <f>UPPER(Sheet1!J1112 &amp; "," &amp; Sheet1!K1112 &amp; "," &amp; Sheet1!L1112)</f>
        <v>9380 JENNA MILLS APT. 075,APT. 254,PIN:61881 DAVILABURY</v>
      </c>
      <c r="I1112" s="8">
        <f>Sheet1!I1112</f>
        <v>46065</v>
      </c>
      <c r="J1112" s="5" t="str">
        <f>Sheet1!M1112 &amp; "," &amp; TEXT(Sheet1!N1112,"dd/mm/yy")</f>
        <v>MHA/IND/01142,21/02/26</v>
      </c>
      <c r="K1112" s="5" t="s">
        <v>5752</v>
      </c>
      <c r="L1112" t="s">
        <v>14</v>
      </c>
      <c r="M1112" s="31" t="s">
        <v>15</v>
      </c>
      <c r="N1112" s="31"/>
    </row>
    <row r="1113" spans="1:14" x14ac:dyDescent="0.25">
      <c r="A1113" s="4" t="str">
        <f>Sheet1!A1113 &amp; "/" &amp; "2025"</f>
        <v>1112/2025</v>
      </c>
      <c r="B1113" s="5" t="str">
        <f>Sheet1!E1113</f>
        <v>IND/MEL/01112</v>
      </c>
      <c r="C1113" s="6" t="str">
        <f>UPPER(Sheet1!B1113)</f>
        <v>JUSTIN GUZMAN</v>
      </c>
      <c r="D1113" s="7" t="str">
        <f>IF(Sheet1!F1113="F","FEMALE","MALE")</f>
        <v>MALE</v>
      </c>
      <c r="E1113" s="6" t="str">
        <f>UPPER(Sheet1!G1113)</f>
        <v>DANIEL ALVAREZ</v>
      </c>
      <c r="F1113" s="6" t="str">
        <f>UPPER(Sheet1!H1113)</f>
        <v>MARY MURPHY</v>
      </c>
      <c r="G1113" s="5" t="str">
        <f>TEXT(Sheet1!C1113,"dd/mm/yyyy") &amp; "," &amp; Sheet1!D1113</f>
        <v>29/07/2025,NEW ROBERTFURT</v>
      </c>
      <c r="H1113" s="39" t="str">
        <f>UPPER(Sheet1!J1113 &amp; "," &amp; Sheet1!K1113 &amp; "," &amp; Sheet1!L1113)</f>
        <v>9380 JENNA MILLS APT. 075,APT. 254,PIN:61881 DAVILABURY</v>
      </c>
      <c r="I1113" s="8">
        <f>Sheet1!I1113</f>
        <v>46065</v>
      </c>
      <c r="J1113" s="5" t="str">
        <f>Sheet1!M1113 &amp; "," &amp; TEXT(Sheet1!N1113,"dd/mm/yy")</f>
        <v>MHA/IND/01142,24/02/26</v>
      </c>
      <c r="K1113" s="5" t="s">
        <v>5752</v>
      </c>
      <c r="L1113" t="s">
        <v>14</v>
      </c>
      <c r="M1113" s="31" t="s">
        <v>15</v>
      </c>
      <c r="N1113" s="31"/>
    </row>
    <row r="1114" spans="1:14" x14ac:dyDescent="0.25">
      <c r="A1114" s="4" t="str">
        <f>Sheet1!A1114 &amp; "/" &amp; "2025"</f>
        <v>1113/2025</v>
      </c>
      <c r="B1114" s="5" t="str">
        <f>Sheet1!E1114</f>
        <v>IND/MEL/01113</v>
      </c>
      <c r="C1114" s="6" t="str">
        <f>UPPER(Sheet1!B1114)</f>
        <v>BRYAN GARRETT</v>
      </c>
      <c r="D1114" s="7" t="str">
        <f>IF(Sheet1!F1114="F","FEMALE","MALE")</f>
        <v>FEMALE</v>
      </c>
      <c r="E1114" s="6" t="str">
        <f>UPPER(Sheet1!G1114)</f>
        <v>JUSTIN NICHOLSON</v>
      </c>
      <c r="F1114" s="6" t="str">
        <f>UPPER(Sheet1!H1114)</f>
        <v>KRISTIN TURNER</v>
      </c>
      <c r="G1114" s="5" t="str">
        <f>TEXT(Sheet1!C1114,"dd/mm/yyyy") &amp; "," &amp; Sheet1!D1114</f>
        <v>13/09/2025,GARYTOWN</v>
      </c>
      <c r="H1114" s="39" t="str">
        <f>UPPER(Sheet1!J1114 &amp; "," &amp; Sheet1!K1114 &amp; "," &amp; Sheet1!L1114)</f>
        <v>29433 WRIGHT WALL APT. 874,SUITE 888,PIN:55344 PORT JENNIFERBURY</v>
      </c>
      <c r="I1114" s="8">
        <f>Sheet1!I1114</f>
        <v>46065</v>
      </c>
      <c r="J1114" s="5" t="str">
        <f>Sheet1!M1114 &amp; "," &amp; TEXT(Sheet1!N1114,"dd/mm/yy")</f>
        <v>MHA/IND/01143,01/03/26</v>
      </c>
      <c r="K1114" s="5" t="s">
        <v>5752</v>
      </c>
      <c r="L1114" t="s">
        <v>14</v>
      </c>
      <c r="M1114" s="31" t="s">
        <v>15</v>
      </c>
      <c r="N1114" s="31"/>
    </row>
    <row r="1115" spans="1:14" x14ac:dyDescent="0.25">
      <c r="A1115" s="4" t="str">
        <f>Sheet1!A1115 &amp; "/" &amp; "2025"</f>
        <v>1114/2025</v>
      </c>
      <c r="B1115" s="5" t="str">
        <f>Sheet1!E1115</f>
        <v>IND/MEL/01114</v>
      </c>
      <c r="C1115" s="6" t="str">
        <f>UPPER(Sheet1!B1115)</f>
        <v>TONY CABRERA</v>
      </c>
      <c r="D1115" s="7" t="str">
        <f>IF(Sheet1!F1115="F","FEMALE","MALE")</f>
        <v>FEMALE</v>
      </c>
      <c r="E1115" s="6" t="str">
        <f>UPPER(Sheet1!G1115)</f>
        <v>JUSTIN NICHOLSON</v>
      </c>
      <c r="F1115" s="6" t="str">
        <f>UPPER(Sheet1!H1115)</f>
        <v>KRISTIN TURNER</v>
      </c>
      <c r="G1115" s="5" t="str">
        <f>TEXT(Sheet1!C1115,"dd/mm/yyyy") &amp; "," &amp; Sheet1!D1115</f>
        <v>13/09/2025,GARYTOWN</v>
      </c>
      <c r="H1115" s="39" t="str">
        <f>UPPER(Sheet1!J1115 &amp; "," &amp; Sheet1!K1115 &amp; "," &amp; Sheet1!L1115)</f>
        <v>29433 WRIGHT WALL APT. 874,SUITE 888,PIN:55344 PORT JENNIFERBURY</v>
      </c>
      <c r="I1115" s="8">
        <f>Sheet1!I1115</f>
        <v>46065</v>
      </c>
      <c r="J1115" s="5" t="str">
        <f>Sheet1!M1115 &amp; "," &amp; TEXT(Sheet1!N1115,"dd/mm/yy")</f>
        <v>MHA/IND/01143,16/02/26</v>
      </c>
      <c r="K1115" s="5" t="s">
        <v>5752</v>
      </c>
      <c r="L1115" t="s">
        <v>14</v>
      </c>
      <c r="M1115" s="31" t="s">
        <v>15</v>
      </c>
      <c r="N1115" s="31"/>
    </row>
    <row r="1116" spans="1:14" x14ac:dyDescent="0.25">
      <c r="A1116" s="4" t="str">
        <f>Sheet1!A1116 &amp; "/" &amp; "2025"</f>
        <v>1115/2025</v>
      </c>
      <c r="B1116" s="5" t="str">
        <f>Sheet1!E1116</f>
        <v>IND/MEL/01115</v>
      </c>
      <c r="C1116" s="6" t="str">
        <f>UPPER(Sheet1!B1116)</f>
        <v>DEVIN BAILEY</v>
      </c>
      <c r="D1116" s="7" t="str">
        <f>IF(Sheet1!F1116="F","FEMALE","MALE")</f>
        <v>FEMALE</v>
      </c>
      <c r="E1116" s="6" t="str">
        <f>UPPER(Sheet1!G1116)</f>
        <v>DAVID YU</v>
      </c>
      <c r="F1116" s="6" t="str">
        <f>UPPER(Sheet1!H1116)</f>
        <v>JENNIFER MURPHY</v>
      </c>
      <c r="G1116" s="5" t="str">
        <f>TEXT(Sheet1!C1116,"dd/mm/yyyy") &amp; "," &amp; Sheet1!D1116</f>
        <v>15/02/2025,KRISTENSHIRE</v>
      </c>
      <c r="H1116" s="39" t="str">
        <f>UPPER(Sheet1!J1116 &amp; "," &amp; Sheet1!K1116 &amp; "," &amp; Sheet1!L1116)</f>
        <v>02308 RUIZ SQUARES APT. 083,APT. 225,PIN:74968 POOLEFORT</v>
      </c>
      <c r="I1116" s="8">
        <f>Sheet1!I1116</f>
        <v>46065</v>
      </c>
      <c r="J1116" s="5" t="str">
        <f>Sheet1!M1116 &amp; "," &amp; TEXT(Sheet1!N1116,"dd/mm/yy")</f>
        <v>MHA/IND/01144,07/03/26</v>
      </c>
      <c r="K1116" s="5" t="s">
        <v>5752</v>
      </c>
      <c r="L1116" t="s">
        <v>14</v>
      </c>
      <c r="M1116" s="31" t="s">
        <v>15</v>
      </c>
      <c r="N1116" s="31"/>
    </row>
    <row r="1117" spans="1:14" x14ac:dyDescent="0.25">
      <c r="A1117" s="4" t="str">
        <f>Sheet1!A1117 &amp; "/" &amp; "2025"</f>
        <v>1116/2025</v>
      </c>
      <c r="B1117" s="5" t="str">
        <f>Sheet1!E1117</f>
        <v>IND/MEL/01116</v>
      </c>
      <c r="C1117" s="6" t="str">
        <f>UPPER(Sheet1!B1117)</f>
        <v>CHRISTINA SMITH</v>
      </c>
      <c r="D1117" s="7" t="str">
        <f>IF(Sheet1!F1117="F","FEMALE","MALE")</f>
        <v>FEMALE</v>
      </c>
      <c r="E1117" s="6" t="str">
        <f>UPPER(Sheet1!G1117)</f>
        <v>DAVID YU</v>
      </c>
      <c r="F1117" s="6" t="str">
        <f>UPPER(Sheet1!H1117)</f>
        <v>JENNIFER MURPHY</v>
      </c>
      <c r="G1117" s="5" t="str">
        <f>TEXT(Sheet1!C1117,"dd/mm/yyyy") &amp; "," &amp; Sheet1!D1117</f>
        <v>15/02/2025,KRISTENSHIRE</v>
      </c>
      <c r="H1117" s="39" t="str">
        <f>UPPER(Sheet1!J1117 &amp; "," &amp; Sheet1!K1117 &amp; "," &amp; Sheet1!L1117)</f>
        <v>02308 RUIZ SQUARES APT. 083,APT. 225,PIN:74968 POOLEFORT</v>
      </c>
      <c r="I1117" s="8">
        <f>Sheet1!I1117</f>
        <v>46065</v>
      </c>
      <c r="J1117" s="5" t="str">
        <f>Sheet1!M1117 &amp; "," &amp; TEXT(Sheet1!N1117,"dd/mm/yy")</f>
        <v>MHA/IND/01144,28/02/26</v>
      </c>
      <c r="K1117" s="5" t="s">
        <v>5752</v>
      </c>
      <c r="L1117" t="s">
        <v>14</v>
      </c>
      <c r="M1117" s="31" t="s">
        <v>15</v>
      </c>
      <c r="N1117" s="31"/>
    </row>
    <row r="1118" spans="1:14" x14ac:dyDescent="0.25">
      <c r="A1118" s="4" t="str">
        <f>Sheet1!A1118 &amp; "/" &amp; "2025"</f>
        <v>1117/2025</v>
      </c>
      <c r="B1118" s="5" t="str">
        <f>Sheet1!E1118</f>
        <v>IND/MEL/01117</v>
      </c>
      <c r="C1118" s="6" t="str">
        <f>UPPER(Sheet1!B1118)</f>
        <v>ASHLEY HAWKINS</v>
      </c>
      <c r="D1118" s="7" t="str">
        <f>IF(Sheet1!F1118="F","FEMALE","MALE")</f>
        <v>MALE</v>
      </c>
      <c r="E1118" s="6" t="str">
        <f>UPPER(Sheet1!G1118)</f>
        <v>RICHARD HAYES</v>
      </c>
      <c r="F1118" s="6" t="str">
        <f>UPPER(Sheet1!H1118)</f>
        <v>DEBORAH GRAY</v>
      </c>
      <c r="G1118" s="5" t="str">
        <f>TEXT(Sheet1!C1118,"dd/mm/yyyy") &amp; "," &amp; Sheet1!D1118</f>
        <v>24/04/2025,NEW MELVINSIDE</v>
      </c>
      <c r="H1118" s="39" t="str">
        <f>UPPER(Sheet1!J1118 &amp; "," &amp; Sheet1!K1118 &amp; "," &amp; Sheet1!L1118)</f>
        <v>114 INGRAM RIVER SUITE 450,SUITE 572,PIN:58440 ALEXISBERG</v>
      </c>
      <c r="I1118" s="8">
        <f>Sheet1!I1118</f>
        <v>46065</v>
      </c>
      <c r="J1118" s="5" t="str">
        <f>Sheet1!M1118 &amp; "," &amp; TEXT(Sheet1!N1118,"dd/mm/yy")</f>
        <v>MHA/IND/01145,26/02/26</v>
      </c>
      <c r="K1118" s="5" t="s">
        <v>5752</v>
      </c>
      <c r="L1118" t="s">
        <v>14</v>
      </c>
      <c r="M1118" s="31" t="s">
        <v>15</v>
      </c>
      <c r="N1118" s="31"/>
    </row>
    <row r="1119" spans="1:14" x14ac:dyDescent="0.25">
      <c r="A1119" s="4" t="str">
        <f>Sheet1!A1119 &amp; "/" &amp; "2025"</f>
        <v>1118/2025</v>
      </c>
      <c r="B1119" s="5" t="str">
        <f>Sheet1!E1119</f>
        <v>IND/MEL/01118</v>
      </c>
      <c r="C1119" s="6" t="str">
        <f>UPPER(Sheet1!B1119)</f>
        <v>KIMBERLY HORTON</v>
      </c>
      <c r="D1119" s="7" t="str">
        <f>IF(Sheet1!F1119="F","FEMALE","MALE")</f>
        <v>MALE</v>
      </c>
      <c r="E1119" s="6" t="str">
        <f>UPPER(Sheet1!G1119)</f>
        <v>RICHARD HAYES</v>
      </c>
      <c r="F1119" s="6" t="str">
        <f>UPPER(Sheet1!H1119)</f>
        <v>DEBORAH GRAY</v>
      </c>
      <c r="G1119" s="5" t="str">
        <f>TEXT(Sheet1!C1119,"dd/mm/yyyy") &amp; "," &amp; Sheet1!D1119</f>
        <v>24/04/2025,NEW MELVINSIDE</v>
      </c>
      <c r="H1119" s="39" t="str">
        <f>UPPER(Sheet1!J1119 &amp; "," &amp; Sheet1!K1119 &amp; "," &amp; Sheet1!L1119)</f>
        <v>114 INGRAM RIVER SUITE 450,SUITE 572,PIN:58440 ALEXISBERG</v>
      </c>
      <c r="I1119" s="8">
        <f>Sheet1!I1119</f>
        <v>46065</v>
      </c>
      <c r="J1119" s="5" t="str">
        <f>Sheet1!M1119 &amp; "," &amp; TEXT(Sheet1!N1119,"dd/mm/yy")</f>
        <v>MHA/IND/01145,20/02/26</v>
      </c>
      <c r="K1119" s="5" t="s">
        <v>5752</v>
      </c>
      <c r="L1119" t="s">
        <v>14</v>
      </c>
      <c r="M1119" s="31" t="s">
        <v>15</v>
      </c>
      <c r="N1119" s="31"/>
    </row>
    <row r="1120" spans="1:14" x14ac:dyDescent="0.25">
      <c r="A1120" s="4" t="str">
        <f>Sheet1!A1120 &amp; "/" &amp; "2025"</f>
        <v>1119/2025</v>
      </c>
      <c r="B1120" s="5" t="str">
        <f>Sheet1!E1120</f>
        <v>IND/MEL/01119</v>
      </c>
      <c r="C1120" s="6" t="str">
        <f>UPPER(Sheet1!B1120)</f>
        <v>ROBERT REYES</v>
      </c>
      <c r="D1120" s="7" t="str">
        <f>IF(Sheet1!F1120="F","FEMALE","MALE")</f>
        <v>MALE</v>
      </c>
      <c r="E1120" s="6" t="str">
        <f>UPPER(Sheet1!G1120)</f>
        <v>JARED EVANS</v>
      </c>
      <c r="F1120" s="6" t="str">
        <f>UPPER(Sheet1!H1120)</f>
        <v>JENNIFER MEDINA</v>
      </c>
      <c r="G1120" s="5" t="str">
        <f>TEXT(Sheet1!C1120,"dd/mm/yyyy") &amp; "," &amp; Sheet1!D1120</f>
        <v>06/12/2025,PORT THOMASBURY</v>
      </c>
      <c r="H1120" s="39" t="str">
        <f>UPPER(Sheet1!J1120 &amp; "," &amp; Sheet1!K1120 &amp; "," &amp; Sheet1!L1120)</f>
        <v>7768 ANDERSON DRIVE,APT. 811,PIN:36158 CODYSIDE</v>
      </c>
      <c r="I1120" s="8">
        <f>Sheet1!I1120</f>
        <v>46065</v>
      </c>
      <c r="J1120" s="5" t="str">
        <f>Sheet1!M1120 &amp; "," &amp; TEXT(Sheet1!N1120,"dd/mm/yy")</f>
        <v>MHA/IND/01146,18/02/26</v>
      </c>
      <c r="K1120" s="5" t="s">
        <v>5752</v>
      </c>
      <c r="L1120" t="s">
        <v>14</v>
      </c>
      <c r="M1120" s="31" t="s">
        <v>15</v>
      </c>
      <c r="N1120" s="31"/>
    </row>
    <row r="1121" spans="1:14" x14ac:dyDescent="0.25">
      <c r="A1121" s="4" t="str">
        <f>Sheet1!A1121 &amp; "/" &amp; "2025"</f>
        <v>1120/2025</v>
      </c>
      <c r="B1121" s="5" t="str">
        <f>Sheet1!E1121</f>
        <v>IND/MEL/01120</v>
      </c>
      <c r="C1121" s="6" t="str">
        <f>UPPER(Sheet1!B1121)</f>
        <v>ROBERT COOKE</v>
      </c>
      <c r="D1121" s="7" t="str">
        <f>IF(Sheet1!F1121="F","FEMALE","MALE")</f>
        <v>MALE</v>
      </c>
      <c r="E1121" s="6" t="str">
        <f>UPPER(Sheet1!G1121)</f>
        <v>JARED EVANS</v>
      </c>
      <c r="F1121" s="6" t="str">
        <f>UPPER(Sheet1!H1121)</f>
        <v>JENNIFER MEDINA</v>
      </c>
      <c r="G1121" s="5" t="str">
        <f>TEXT(Sheet1!C1121,"dd/mm/yyyy") &amp; "," &amp; Sheet1!D1121</f>
        <v>06/12/2025,PORT THOMASBURY</v>
      </c>
      <c r="H1121" s="39" t="str">
        <f>UPPER(Sheet1!J1121 &amp; "," &amp; Sheet1!K1121 &amp; "," &amp; Sheet1!L1121)</f>
        <v>7768 ANDERSON DRIVE,APT. 811,PIN:36158 CODYSIDE</v>
      </c>
      <c r="I1121" s="8">
        <f>Sheet1!I1121</f>
        <v>46065</v>
      </c>
      <c r="J1121" s="5" t="str">
        <f>Sheet1!M1121 &amp; "," &amp; TEXT(Sheet1!N1121,"dd/mm/yy")</f>
        <v>MHA/IND/01146,04/03/26</v>
      </c>
      <c r="K1121" s="5" t="s">
        <v>5752</v>
      </c>
      <c r="L1121" t="s">
        <v>14</v>
      </c>
      <c r="M1121" s="31" t="s">
        <v>15</v>
      </c>
      <c r="N1121" s="31"/>
    </row>
    <row r="1122" spans="1:14" x14ac:dyDescent="0.25">
      <c r="A1122" s="4" t="str">
        <f>Sheet1!A1122 &amp; "/" &amp; "2025"</f>
        <v>1121/2025</v>
      </c>
      <c r="B1122" s="5" t="str">
        <f>Sheet1!E1122</f>
        <v>IND/MEL/01121</v>
      </c>
      <c r="C1122" s="6" t="str">
        <f>UPPER(Sheet1!B1122)</f>
        <v>JOSEPH MOSES</v>
      </c>
      <c r="D1122" s="7" t="str">
        <f>IF(Sheet1!F1122="F","FEMALE","MALE")</f>
        <v>MALE</v>
      </c>
      <c r="E1122" s="6" t="str">
        <f>UPPER(Sheet1!G1122)</f>
        <v>MR. CORY MATTHEWS</v>
      </c>
      <c r="F1122" s="6" t="str">
        <f>UPPER(Sheet1!H1122)</f>
        <v>JUDY SCOTT</v>
      </c>
      <c r="G1122" s="5" t="str">
        <f>TEXT(Sheet1!C1122,"dd/mm/yyyy") &amp; "," &amp; Sheet1!D1122</f>
        <v>29/01/2026,JEFFERSONBERG</v>
      </c>
      <c r="H1122" s="39" t="str">
        <f>UPPER(Sheet1!J1122 &amp; "," &amp; Sheet1!K1122 &amp; "," &amp; Sheet1!L1122)</f>
        <v>54256 RHONDA FALL,SUITE 778,PIN:24510 CRYSTALFORT</v>
      </c>
      <c r="I1122" s="8">
        <f>Sheet1!I1122</f>
        <v>46065</v>
      </c>
      <c r="J1122" s="5" t="str">
        <f>Sheet1!M1122 &amp; "," &amp; TEXT(Sheet1!N1122,"dd/mm/yy")</f>
        <v>MHA/IND/01147,13/03/26</v>
      </c>
      <c r="K1122" s="5" t="s">
        <v>5752</v>
      </c>
      <c r="L1122" t="s">
        <v>14</v>
      </c>
      <c r="M1122" s="31" t="s">
        <v>15</v>
      </c>
      <c r="N1122" s="31"/>
    </row>
    <row r="1123" spans="1:14" x14ac:dyDescent="0.25">
      <c r="A1123" s="4" t="str">
        <f>Sheet1!A1123 &amp; "/" &amp; "2025"</f>
        <v>1122/2025</v>
      </c>
      <c r="B1123" s="5" t="str">
        <f>Sheet1!E1123</f>
        <v>IND/MEL/01122</v>
      </c>
      <c r="C1123" s="6" t="str">
        <f>UPPER(Sheet1!B1123)</f>
        <v>MARY POOLE</v>
      </c>
      <c r="D1123" s="7" t="str">
        <f>IF(Sheet1!F1123="F","FEMALE","MALE")</f>
        <v>MALE</v>
      </c>
      <c r="E1123" s="6" t="str">
        <f>UPPER(Sheet1!G1123)</f>
        <v>MR. CORY MATTHEWS</v>
      </c>
      <c r="F1123" s="6" t="str">
        <f>UPPER(Sheet1!H1123)</f>
        <v>JUDY SCOTT</v>
      </c>
      <c r="G1123" s="5" t="str">
        <f>TEXT(Sheet1!C1123,"dd/mm/yyyy") &amp; "," &amp; Sheet1!D1123</f>
        <v>29/01/2026,JEFFERSONBERG</v>
      </c>
      <c r="H1123" s="39" t="str">
        <f>UPPER(Sheet1!J1123 &amp; "," &amp; Sheet1!K1123 &amp; "," &amp; Sheet1!L1123)</f>
        <v>54256 RHONDA FALL,SUITE 778,PIN:24510 CRYSTALFORT</v>
      </c>
      <c r="I1123" s="8">
        <f>Sheet1!I1123</f>
        <v>46065</v>
      </c>
      <c r="J1123" s="5" t="str">
        <f>Sheet1!M1123 &amp; "," &amp; TEXT(Sheet1!N1123,"dd/mm/yy")</f>
        <v>MHA/IND/01147,06/03/26</v>
      </c>
      <c r="K1123" s="5" t="s">
        <v>5752</v>
      </c>
      <c r="L1123" t="s">
        <v>14</v>
      </c>
      <c r="M1123" s="31" t="s">
        <v>15</v>
      </c>
      <c r="N1123" s="31"/>
    </row>
    <row r="1124" spans="1:14" x14ac:dyDescent="0.25">
      <c r="A1124" s="4" t="str">
        <f>Sheet1!A1124 &amp; "/" &amp; "2025"</f>
        <v>1123/2025</v>
      </c>
      <c r="B1124" s="5" t="str">
        <f>Sheet1!E1124</f>
        <v>IND/MEL/01123</v>
      </c>
      <c r="C1124" s="6" t="str">
        <f>UPPER(Sheet1!B1124)</f>
        <v>ANNE JOHNSON</v>
      </c>
      <c r="D1124" s="7" t="str">
        <f>IF(Sheet1!F1124="F","FEMALE","MALE")</f>
        <v>FEMALE</v>
      </c>
      <c r="E1124" s="6" t="str">
        <f>UPPER(Sheet1!G1124)</f>
        <v>RALPH WU</v>
      </c>
      <c r="F1124" s="6" t="str">
        <f>UPPER(Sheet1!H1124)</f>
        <v>CHELSEA HINES</v>
      </c>
      <c r="G1124" s="5" t="str">
        <f>TEXT(Sheet1!C1124,"dd/mm/yyyy") &amp; "," &amp; Sheet1!D1124</f>
        <v>23/05/2025,SOUTH SARA</v>
      </c>
      <c r="H1124" s="39" t="str">
        <f>UPPER(Sheet1!J1124 &amp; "," &amp; Sheet1!K1124 &amp; "," &amp; Sheet1!L1124)</f>
        <v>817 NANCY ROAD APT. 634,APT. 641,PIN:24479 NEW RYANFORT</v>
      </c>
      <c r="I1124" s="8">
        <f>Sheet1!I1124</f>
        <v>46065</v>
      </c>
      <c r="J1124" s="5" t="str">
        <f>Sheet1!M1124 &amp; "," &amp; TEXT(Sheet1!N1124,"dd/mm/yy")</f>
        <v>MHA/IND/01148,24/02/26</v>
      </c>
      <c r="K1124" s="5" t="s">
        <v>5752</v>
      </c>
      <c r="L1124" t="s">
        <v>14</v>
      </c>
      <c r="M1124" s="31" t="s">
        <v>15</v>
      </c>
      <c r="N1124" s="31"/>
    </row>
    <row r="1125" spans="1:14" x14ac:dyDescent="0.25">
      <c r="A1125" s="4" t="str">
        <f>Sheet1!A1125 &amp; "/" &amp; "2025"</f>
        <v>1124/2025</v>
      </c>
      <c r="B1125" s="5" t="str">
        <f>Sheet1!E1125</f>
        <v>IND/MEL/01124</v>
      </c>
      <c r="C1125" s="6" t="str">
        <f>UPPER(Sheet1!B1125)</f>
        <v>FREDERICK BROWN</v>
      </c>
      <c r="D1125" s="7" t="str">
        <f>IF(Sheet1!F1125="F","FEMALE","MALE")</f>
        <v>FEMALE</v>
      </c>
      <c r="E1125" s="6" t="str">
        <f>UPPER(Sheet1!G1125)</f>
        <v>RALPH WU</v>
      </c>
      <c r="F1125" s="6" t="str">
        <f>UPPER(Sheet1!H1125)</f>
        <v>CHELSEA HINES</v>
      </c>
      <c r="G1125" s="5" t="str">
        <f>TEXT(Sheet1!C1125,"dd/mm/yyyy") &amp; "," &amp; Sheet1!D1125</f>
        <v>23/05/2025,SOUTH SARA</v>
      </c>
      <c r="H1125" s="39" t="str">
        <f>UPPER(Sheet1!J1125 &amp; "," &amp; Sheet1!K1125 &amp; "," &amp; Sheet1!L1125)</f>
        <v>817 NANCY ROAD APT. 634,APT. 641,PIN:24479 NEW RYANFORT</v>
      </c>
      <c r="I1125" s="8">
        <f>Sheet1!I1125</f>
        <v>46065</v>
      </c>
      <c r="J1125" s="5" t="str">
        <f>Sheet1!M1125 &amp; "," &amp; TEXT(Sheet1!N1125,"dd/mm/yy")</f>
        <v>MHA/IND/01148,03/03/26</v>
      </c>
      <c r="K1125" s="5" t="s">
        <v>5752</v>
      </c>
      <c r="L1125" t="s">
        <v>14</v>
      </c>
      <c r="M1125" s="31" t="s">
        <v>15</v>
      </c>
      <c r="N1125" s="31"/>
    </row>
    <row r="1126" spans="1:14" x14ac:dyDescent="0.25">
      <c r="A1126" s="4" t="str">
        <f>Sheet1!A1126 &amp; "/" &amp; "2025"</f>
        <v>1125/2025</v>
      </c>
      <c r="B1126" s="5" t="str">
        <f>Sheet1!E1126</f>
        <v>IND/MEL/01125</v>
      </c>
      <c r="C1126" s="6" t="str">
        <f>UPPER(Sheet1!B1126)</f>
        <v>SANDRA ANDERSON</v>
      </c>
      <c r="D1126" s="7" t="str">
        <f>IF(Sheet1!F1126="F","FEMALE","MALE")</f>
        <v>MALE</v>
      </c>
      <c r="E1126" s="6" t="str">
        <f>UPPER(Sheet1!G1126)</f>
        <v>SEAN MARTINEZ</v>
      </c>
      <c r="F1126" s="6" t="str">
        <f>UPPER(Sheet1!H1126)</f>
        <v>JACQUELINE SNYDER</v>
      </c>
      <c r="G1126" s="5" t="str">
        <f>TEXT(Sheet1!C1126,"dd/mm/yyyy") &amp; "," &amp; Sheet1!D1126</f>
        <v>04/04/2025,HALEFURT</v>
      </c>
      <c r="H1126" s="39" t="str">
        <f>UPPER(Sheet1!J1126 &amp; "," &amp; Sheet1!K1126 &amp; "," &amp; Sheet1!L1126)</f>
        <v>0375 GERALD FERRY APT. 387,APT. 644,PIN:71066 NORTH STEPHENFURT</v>
      </c>
      <c r="I1126" s="8">
        <f>Sheet1!I1126</f>
        <v>46065</v>
      </c>
      <c r="J1126" s="5" t="str">
        <f>Sheet1!M1126 &amp; "," &amp; TEXT(Sheet1!N1126,"dd/mm/yy")</f>
        <v>MHA/IND/01149,25/02/26</v>
      </c>
      <c r="K1126" s="5" t="s">
        <v>5752</v>
      </c>
      <c r="L1126" t="s">
        <v>14</v>
      </c>
      <c r="M1126" s="31" t="s">
        <v>15</v>
      </c>
      <c r="N1126" s="31"/>
    </row>
    <row r="1127" spans="1:14" x14ac:dyDescent="0.25">
      <c r="A1127" s="4" t="str">
        <f>Sheet1!A1127 &amp; "/" &amp; "2025"</f>
        <v>1126/2025</v>
      </c>
      <c r="B1127" s="5" t="str">
        <f>Sheet1!E1127</f>
        <v>IND/MEL/01126</v>
      </c>
      <c r="C1127" s="6" t="str">
        <f>UPPER(Sheet1!B1127)</f>
        <v>ANGELA GUTIERREZ</v>
      </c>
      <c r="D1127" s="7" t="str">
        <f>IF(Sheet1!F1127="F","FEMALE","MALE")</f>
        <v>MALE</v>
      </c>
      <c r="E1127" s="6" t="str">
        <f>UPPER(Sheet1!G1127)</f>
        <v>SEAN MARTINEZ</v>
      </c>
      <c r="F1127" s="6" t="str">
        <f>UPPER(Sheet1!H1127)</f>
        <v>JACQUELINE SNYDER</v>
      </c>
      <c r="G1127" s="5" t="str">
        <f>TEXT(Sheet1!C1127,"dd/mm/yyyy") &amp; "," &amp; Sheet1!D1127</f>
        <v>04/04/2025,HALEFURT</v>
      </c>
      <c r="H1127" s="39" t="str">
        <f>UPPER(Sheet1!J1127 &amp; "," &amp; Sheet1!K1127 &amp; "," &amp; Sheet1!L1127)</f>
        <v>0375 GERALD FERRY APT. 387,APT. 644,PIN:71066 NORTH STEPHENFURT</v>
      </c>
      <c r="I1127" s="8">
        <f>Sheet1!I1127</f>
        <v>46065</v>
      </c>
      <c r="J1127" s="5" t="str">
        <f>Sheet1!M1127 &amp; "," &amp; TEXT(Sheet1!N1127,"dd/mm/yy")</f>
        <v>MHA/IND/01149,02/03/26</v>
      </c>
      <c r="K1127" s="5" t="s">
        <v>5752</v>
      </c>
      <c r="L1127" t="s">
        <v>14</v>
      </c>
      <c r="M1127" s="31" t="s">
        <v>15</v>
      </c>
      <c r="N1127" s="31"/>
    </row>
    <row r="1128" spans="1:14" x14ac:dyDescent="0.25">
      <c r="A1128" s="4" t="str">
        <f>Sheet1!A1128 &amp; "/" &amp; "2025"</f>
        <v>1127/2025</v>
      </c>
      <c r="B1128" s="5" t="str">
        <f>Sheet1!E1128</f>
        <v>IND/MEL/01127</v>
      </c>
      <c r="C1128" s="6" t="str">
        <f>UPPER(Sheet1!B1128)</f>
        <v>CRAIG MARTIN</v>
      </c>
      <c r="D1128" s="7" t="str">
        <f>IF(Sheet1!F1128="F","FEMALE","MALE")</f>
        <v>FEMALE</v>
      </c>
      <c r="E1128" s="6" t="str">
        <f>UPPER(Sheet1!G1128)</f>
        <v>TODD GARCIA</v>
      </c>
      <c r="F1128" s="6" t="str">
        <f>UPPER(Sheet1!H1128)</f>
        <v>RUTH FOLEY</v>
      </c>
      <c r="G1128" s="5" t="str">
        <f>TEXT(Sheet1!C1128,"dd/mm/yyyy") &amp; "," &amp; Sheet1!D1128</f>
        <v>18/05/2025,EAST STEVENLAND</v>
      </c>
      <c r="H1128" s="39" t="str">
        <f>UPPER(Sheet1!J1128 &amp; "," &amp; Sheet1!K1128 &amp; "," &amp; Sheet1!L1128)</f>
        <v>35061 STEPHEN FORGES,SUITE 349,PIN:94897 BALLTON</v>
      </c>
      <c r="I1128" s="8">
        <f>Sheet1!I1128</f>
        <v>46065</v>
      </c>
      <c r="J1128" s="5" t="str">
        <f>Sheet1!M1128 &amp; "," &amp; TEXT(Sheet1!N1128,"dd/mm/yy")</f>
        <v>MHA/IND/01150,18/02/26</v>
      </c>
      <c r="K1128" s="5" t="s">
        <v>5752</v>
      </c>
      <c r="L1128" t="s">
        <v>14</v>
      </c>
      <c r="M1128" s="31" t="s">
        <v>15</v>
      </c>
      <c r="N1128" s="31"/>
    </row>
    <row r="1129" spans="1:14" x14ac:dyDescent="0.25">
      <c r="A1129" s="4" t="str">
        <f>Sheet1!A1129 &amp; "/" &amp; "2025"</f>
        <v>1128/2025</v>
      </c>
      <c r="B1129" s="5" t="str">
        <f>Sheet1!E1129</f>
        <v>IND/MEL/01128</v>
      </c>
      <c r="C1129" s="6" t="str">
        <f>UPPER(Sheet1!B1129)</f>
        <v>RACHEL CARTER</v>
      </c>
      <c r="D1129" s="7" t="str">
        <f>IF(Sheet1!F1129="F","FEMALE","MALE")</f>
        <v>FEMALE</v>
      </c>
      <c r="E1129" s="6" t="str">
        <f>UPPER(Sheet1!G1129)</f>
        <v>TODD GARCIA</v>
      </c>
      <c r="F1129" s="6" t="str">
        <f>UPPER(Sheet1!H1129)</f>
        <v>RUTH FOLEY</v>
      </c>
      <c r="G1129" s="5" t="str">
        <f>TEXT(Sheet1!C1129,"dd/mm/yyyy") &amp; "," &amp; Sheet1!D1129</f>
        <v>18/05/2025,EAST STEVENLAND</v>
      </c>
      <c r="H1129" s="39" t="str">
        <f>UPPER(Sheet1!J1129 &amp; "," &amp; Sheet1!K1129 &amp; "," &amp; Sheet1!L1129)</f>
        <v>35061 STEPHEN FORGES,SUITE 349,PIN:94897 BALLTON</v>
      </c>
      <c r="I1129" s="8">
        <f>Sheet1!I1129</f>
        <v>46065</v>
      </c>
      <c r="J1129" s="5" t="str">
        <f>Sheet1!M1129 &amp; "," &amp; TEXT(Sheet1!N1129,"dd/mm/yy")</f>
        <v>MHA/IND/01150,26/02/26</v>
      </c>
      <c r="K1129" s="5" t="s">
        <v>5752</v>
      </c>
      <c r="L1129" t="s">
        <v>14</v>
      </c>
      <c r="M1129" s="31" t="s">
        <v>15</v>
      </c>
      <c r="N1129" s="31"/>
    </row>
    <row r="1130" spans="1:14" x14ac:dyDescent="0.25">
      <c r="A1130" s="4" t="str">
        <f>Sheet1!A1130 &amp; "/" &amp; "2025"</f>
        <v>1129/2025</v>
      </c>
      <c r="B1130" s="5" t="str">
        <f>Sheet1!E1130</f>
        <v>IND/MEL/01129</v>
      </c>
      <c r="C1130" s="6" t="str">
        <f>UPPER(Sheet1!B1130)</f>
        <v>JACK SMITH</v>
      </c>
      <c r="D1130" s="7" t="str">
        <f>IF(Sheet1!F1130="F","FEMALE","MALE")</f>
        <v>MALE</v>
      </c>
      <c r="E1130" s="6" t="str">
        <f>UPPER(Sheet1!G1130)</f>
        <v>JESSE BALDWIN</v>
      </c>
      <c r="F1130" s="6" t="str">
        <f>UPPER(Sheet1!H1130)</f>
        <v>ANNE GARCIA</v>
      </c>
      <c r="G1130" s="5" t="str">
        <f>TEXT(Sheet1!C1130,"dd/mm/yyyy") &amp; "," &amp; Sheet1!D1130</f>
        <v>04/09/2025,HARRISMOUTH</v>
      </c>
      <c r="H1130" s="39" t="str">
        <f>UPPER(Sheet1!J1130 &amp; "," &amp; Sheet1!K1130 &amp; "," &amp; Sheet1!L1130)</f>
        <v>6844 DOMINGUEZ PLAINS,SUITE 378,PIN:72340 TINACHESTER</v>
      </c>
      <c r="I1130" s="8">
        <f>Sheet1!I1130</f>
        <v>46065</v>
      </c>
      <c r="J1130" s="5" t="str">
        <f>Sheet1!M1130 &amp; "," &amp; TEXT(Sheet1!N1130,"dd/mm/yy")</f>
        <v>MHA/IND/01151,26/02/26</v>
      </c>
      <c r="K1130" s="5" t="s">
        <v>5752</v>
      </c>
      <c r="L1130" t="s">
        <v>14</v>
      </c>
      <c r="M1130" s="31" t="s">
        <v>15</v>
      </c>
      <c r="N1130" s="31"/>
    </row>
    <row r="1131" spans="1:14" x14ac:dyDescent="0.25">
      <c r="A1131" s="4" t="str">
        <f>Sheet1!A1131 &amp; "/" &amp; "2025"</f>
        <v>1130/2025</v>
      </c>
      <c r="B1131" s="5" t="str">
        <f>Sheet1!E1131</f>
        <v>IND/MEL/01130</v>
      </c>
      <c r="C1131" s="6" t="str">
        <f>UPPER(Sheet1!B1131)</f>
        <v>TINA LEWIS</v>
      </c>
      <c r="D1131" s="7" t="str">
        <f>IF(Sheet1!F1131="F","FEMALE","MALE")</f>
        <v>MALE</v>
      </c>
      <c r="E1131" s="6" t="str">
        <f>UPPER(Sheet1!G1131)</f>
        <v>JESSE BALDWIN</v>
      </c>
      <c r="F1131" s="6" t="str">
        <f>UPPER(Sheet1!H1131)</f>
        <v>ANNE GARCIA</v>
      </c>
      <c r="G1131" s="5" t="str">
        <f>TEXT(Sheet1!C1131,"dd/mm/yyyy") &amp; "," &amp; Sheet1!D1131</f>
        <v>04/09/2025,HARRISMOUTH</v>
      </c>
      <c r="H1131" s="39" t="str">
        <f>UPPER(Sheet1!J1131 &amp; "," &amp; Sheet1!K1131 &amp; "," &amp; Sheet1!L1131)</f>
        <v>6844 DOMINGUEZ PLAINS,SUITE 378,PIN:72340 TINACHESTER</v>
      </c>
      <c r="I1131" s="8">
        <f>Sheet1!I1131</f>
        <v>46065</v>
      </c>
      <c r="J1131" s="5" t="str">
        <f>Sheet1!M1131 &amp; "," &amp; TEXT(Sheet1!N1131,"dd/mm/yy")</f>
        <v>MHA/IND/01151,14/02/26</v>
      </c>
      <c r="K1131" s="5" t="s">
        <v>5752</v>
      </c>
      <c r="L1131" t="s">
        <v>14</v>
      </c>
      <c r="M1131" s="31" t="s">
        <v>15</v>
      </c>
      <c r="N1131" s="31"/>
    </row>
    <row r="1132" spans="1:14" x14ac:dyDescent="0.25">
      <c r="A1132" s="4" t="str">
        <f>Sheet1!A1132 &amp; "/" &amp; "2025"</f>
        <v>1131/2025</v>
      </c>
      <c r="B1132" s="5" t="str">
        <f>Sheet1!E1132</f>
        <v>IND/MEL/01131</v>
      </c>
      <c r="C1132" s="6" t="str">
        <f>UPPER(Sheet1!B1132)</f>
        <v>MARY DAVIES</v>
      </c>
      <c r="D1132" s="7" t="str">
        <f>IF(Sheet1!F1132="F","FEMALE","MALE")</f>
        <v>FEMALE</v>
      </c>
      <c r="E1132" s="6" t="str">
        <f>UPPER(Sheet1!G1132)</f>
        <v>SAMUEL SANCHEZ</v>
      </c>
      <c r="F1132" s="6" t="str">
        <f>UPPER(Sheet1!H1132)</f>
        <v>MARGARET THOMPSON</v>
      </c>
      <c r="G1132" s="5" t="str">
        <f>TEXT(Sheet1!C1132,"dd/mm/yyyy") &amp; "," &amp; Sheet1!D1132</f>
        <v>11/01/2026,PORT STACEY</v>
      </c>
      <c r="H1132" s="39" t="str">
        <f>UPPER(Sheet1!J1132 &amp; "," &amp; Sheet1!K1132 &amp; "," &amp; Sheet1!L1132)</f>
        <v>704 HARRIS KEYS APT. 873,SUITE 121,PIN:14500 WEST SANDRA</v>
      </c>
      <c r="I1132" s="8">
        <f>Sheet1!I1132</f>
        <v>46065</v>
      </c>
      <c r="J1132" s="5" t="str">
        <f>Sheet1!M1132 &amp; "," &amp; TEXT(Sheet1!N1132,"dd/mm/yy")</f>
        <v>MHA/IND/01152,24/02/26</v>
      </c>
      <c r="K1132" s="5" t="s">
        <v>5752</v>
      </c>
      <c r="L1132" t="s">
        <v>14</v>
      </c>
      <c r="M1132" s="31" t="s">
        <v>15</v>
      </c>
      <c r="N1132" s="31"/>
    </row>
    <row r="1133" spans="1:14" x14ac:dyDescent="0.25">
      <c r="A1133" s="4" t="str">
        <f>Sheet1!A1133 &amp; "/" &amp; "2025"</f>
        <v>1132/2025</v>
      </c>
      <c r="B1133" s="5" t="str">
        <f>Sheet1!E1133</f>
        <v>IND/MEL/01132</v>
      </c>
      <c r="C1133" s="6" t="str">
        <f>UPPER(Sheet1!B1133)</f>
        <v>TINA WILSON</v>
      </c>
      <c r="D1133" s="7" t="str">
        <f>IF(Sheet1!F1133="F","FEMALE","MALE")</f>
        <v>FEMALE</v>
      </c>
      <c r="E1133" s="6" t="str">
        <f>UPPER(Sheet1!G1133)</f>
        <v>SAMUEL SANCHEZ</v>
      </c>
      <c r="F1133" s="6" t="str">
        <f>UPPER(Sheet1!H1133)</f>
        <v>MARGARET THOMPSON</v>
      </c>
      <c r="G1133" s="5" t="str">
        <f>TEXT(Sheet1!C1133,"dd/mm/yyyy") &amp; "," &amp; Sheet1!D1133</f>
        <v>11/01/2026,PORT STACEY</v>
      </c>
      <c r="H1133" s="39" t="str">
        <f>UPPER(Sheet1!J1133 &amp; "," &amp; Sheet1!K1133 &amp; "," &amp; Sheet1!L1133)</f>
        <v>704 HARRIS KEYS APT. 873,SUITE 121,PIN:14500 WEST SANDRA</v>
      </c>
      <c r="I1133" s="8">
        <f>Sheet1!I1133</f>
        <v>46065</v>
      </c>
      <c r="J1133" s="5" t="str">
        <f>Sheet1!M1133 &amp; "," &amp; TEXT(Sheet1!N1133,"dd/mm/yy")</f>
        <v>MHA/IND/01152,02/03/26</v>
      </c>
      <c r="K1133" s="5" t="s">
        <v>5752</v>
      </c>
      <c r="L1133" t="s">
        <v>14</v>
      </c>
      <c r="M1133" s="31" t="s">
        <v>15</v>
      </c>
      <c r="N1133" s="31"/>
    </row>
    <row r="1134" spans="1:14" x14ac:dyDescent="0.25">
      <c r="A1134" s="4" t="str">
        <f>Sheet1!A1134 &amp; "/" &amp; "2025"</f>
        <v>1133/2025</v>
      </c>
      <c r="B1134" s="5" t="str">
        <f>Sheet1!E1134</f>
        <v>IND/MEL/01133</v>
      </c>
      <c r="C1134" s="6" t="str">
        <f>UPPER(Sheet1!B1134)</f>
        <v>MATTHEW MAXWELL</v>
      </c>
      <c r="D1134" s="7" t="str">
        <f>IF(Sheet1!F1134="F","FEMALE","MALE")</f>
        <v>MALE</v>
      </c>
      <c r="E1134" s="6" t="str">
        <f>UPPER(Sheet1!G1134)</f>
        <v>CHRISTOPHER ADAMS</v>
      </c>
      <c r="F1134" s="6" t="str">
        <f>UPPER(Sheet1!H1134)</f>
        <v>ANNA SULLIVAN</v>
      </c>
      <c r="G1134" s="5" t="str">
        <f>TEXT(Sheet1!C1134,"dd/mm/yyyy") &amp; "," &amp; Sheet1!D1134</f>
        <v>24/05/2025,LAKE JUDYPORT</v>
      </c>
      <c r="H1134" s="39" t="str">
        <f>UPPER(Sheet1!J1134 &amp; "," &amp; Sheet1!K1134 &amp; "," &amp; Sheet1!L1134)</f>
        <v>51551 NATHAN DRIVE,APT. 102,PIN:99274 HOWARDMOUTH</v>
      </c>
      <c r="I1134" s="8">
        <f>Sheet1!I1134</f>
        <v>46065</v>
      </c>
      <c r="J1134" s="5" t="str">
        <f>Sheet1!M1134 &amp; "," &amp; TEXT(Sheet1!N1134,"dd/mm/yy")</f>
        <v>MHA/IND/01153,03/03/26</v>
      </c>
      <c r="K1134" s="5" t="s">
        <v>5752</v>
      </c>
      <c r="L1134" t="s">
        <v>14</v>
      </c>
      <c r="M1134" s="31" t="s">
        <v>15</v>
      </c>
      <c r="N1134" s="31"/>
    </row>
    <row r="1135" spans="1:14" x14ac:dyDescent="0.25">
      <c r="A1135" s="4" t="str">
        <f>Sheet1!A1135 &amp; "/" &amp; "2025"</f>
        <v>1134/2025</v>
      </c>
      <c r="B1135" s="5" t="str">
        <f>Sheet1!E1135</f>
        <v>IND/MEL/01134</v>
      </c>
      <c r="C1135" s="6" t="str">
        <f>UPPER(Sheet1!B1135)</f>
        <v>SHEILA CERVANTES</v>
      </c>
      <c r="D1135" s="7" t="str">
        <f>IF(Sheet1!F1135="F","FEMALE","MALE")</f>
        <v>MALE</v>
      </c>
      <c r="E1135" s="6" t="str">
        <f>UPPER(Sheet1!G1135)</f>
        <v>CHRISTOPHER ADAMS</v>
      </c>
      <c r="F1135" s="6" t="str">
        <f>UPPER(Sheet1!H1135)</f>
        <v>ANNA SULLIVAN</v>
      </c>
      <c r="G1135" s="5" t="str">
        <f>TEXT(Sheet1!C1135,"dd/mm/yyyy") &amp; "," &amp; Sheet1!D1135</f>
        <v>24/05/2025,LAKE JUDYPORT</v>
      </c>
      <c r="H1135" s="39" t="str">
        <f>UPPER(Sheet1!J1135 &amp; "," &amp; Sheet1!K1135 &amp; "," &amp; Sheet1!L1135)</f>
        <v>51551 NATHAN DRIVE,APT. 102,PIN:99274 HOWARDMOUTH</v>
      </c>
      <c r="I1135" s="8">
        <f>Sheet1!I1135</f>
        <v>46065</v>
      </c>
      <c r="J1135" s="5" t="str">
        <f>Sheet1!M1135 &amp; "," &amp; TEXT(Sheet1!N1135,"dd/mm/yy")</f>
        <v>MHA/IND/01153,07/03/26</v>
      </c>
      <c r="K1135" s="5" t="s">
        <v>5752</v>
      </c>
      <c r="L1135" t="s">
        <v>14</v>
      </c>
      <c r="M1135" s="31" t="s">
        <v>15</v>
      </c>
      <c r="N1135" s="31"/>
    </row>
    <row r="1136" spans="1:14" x14ac:dyDescent="0.25">
      <c r="A1136" s="4" t="str">
        <f>Sheet1!A1136 &amp; "/" &amp; "2025"</f>
        <v>1135/2025</v>
      </c>
      <c r="B1136" s="5" t="str">
        <f>Sheet1!E1136</f>
        <v>IND/MEL/01135</v>
      </c>
      <c r="C1136" s="6" t="str">
        <f>UPPER(Sheet1!B1136)</f>
        <v>JOSEPH TAYLOR</v>
      </c>
      <c r="D1136" s="7" t="str">
        <f>IF(Sheet1!F1136="F","FEMALE","MALE")</f>
        <v>FEMALE</v>
      </c>
      <c r="E1136" s="6" t="str">
        <f>UPPER(Sheet1!G1136)</f>
        <v>KEVIN WADE</v>
      </c>
      <c r="F1136" s="6" t="str">
        <f>UPPER(Sheet1!H1136)</f>
        <v>MEGAN SOTO</v>
      </c>
      <c r="G1136" s="5" t="str">
        <f>TEXT(Sheet1!C1136,"dd/mm/yyyy") &amp; "," &amp; Sheet1!D1136</f>
        <v>30/11/2025,LAKE HEATHER</v>
      </c>
      <c r="H1136" s="39" t="str">
        <f>UPPER(Sheet1!J1136 &amp; "," &amp; Sheet1!K1136 &amp; "," &amp; Sheet1!L1136)</f>
        <v>0481 ETHAN JUNCTION,APT. 901,PIN:73433 NEW JANET</v>
      </c>
      <c r="I1136" s="8">
        <f>Sheet1!I1136</f>
        <v>46065</v>
      </c>
      <c r="J1136" s="5" t="str">
        <f>Sheet1!M1136 &amp; "," &amp; TEXT(Sheet1!N1136,"dd/mm/yy")</f>
        <v>MHA/IND/01154,08/03/26</v>
      </c>
      <c r="K1136" s="5" t="s">
        <v>5752</v>
      </c>
      <c r="L1136" t="s">
        <v>14</v>
      </c>
      <c r="M1136" s="31" t="s">
        <v>15</v>
      </c>
      <c r="N1136" s="31"/>
    </row>
    <row r="1137" spans="1:14" x14ac:dyDescent="0.25">
      <c r="A1137" s="4" t="str">
        <f>Sheet1!A1137 &amp; "/" &amp; "2025"</f>
        <v>1136/2025</v>
      </c>
      <c r="B1137" s="5" t="str">
        <f>Sheet1!E1137</f>
        <v>IND/MEL/01136</v>
      </c>
      <c r="C1137" s="6" t="str">
        <f>UPPER(Sheet1!B1137)</f>
        <v>CHRISTOPHER MURPHY</v>
      </c>
      <c r="D1137" s="7" t="str">
        <f>IF(Sheet1!F1137="F","FEMALE","MALE")</f>
        <v>FEMALE</v>
      </c>
      <c r="E1137" s="6" t="str">
        <f>UPPER(Sheet1!G1137)</f>
        <v>KEVIN WADE</v>
      </c>
      <c r="F1137" s="6" t="str">
        <f>UPPER(Sheet1!H1137)</f>
        <v>MEGAN SOTO</v>
      </c>
      <c r="G1137" s="5" t="str">
        <f>TEXT(Sheet1!C1137,"dd/mm/yyyy") &amp; "," &amp; Sheet1!D1137</f>
        <v>30/11/2025,LAKE HEATHER</v>
      </c>
      <c r="H1137" s="39" t="str">
        <f>UPPER(Sheet1!J1137 &amp; "," &amp; Sheet1!K1137 &amp; "," &amp; Sheet1!L1137)</f>
        <v>0481 ETHAN JUNCTION,APT. 901,PIN:73433 NEW JANET</v>
      </c>
      <c r="I1137" s="8">
        <f>Sheet1!I1137</f>
        <v>46065</v>
      </c>
      <c r="J1137" s="5" t="str">
        <f>Sheet1!M1137 &amp; "," &amp; TEXT(Sheet1!N1137,"dd/mm/yy")</f>
        <v>MHA/IND/01154,16/02/26</v>
      </c>
      <c r="K1137" s="5" t="s">
        <v>5752</v>
      </c>
      <c r="L1137" t="s">
        <v>14</v>
      </c>
      <c r="M1137" s="31" t="s">
        <v>15</v>
      </c>
      <c r="N1137" s="31"/>
    </row>
    <row r="1138" spans="1:14" x14ac:dyDescent="0.25">
      <c r="A1138" s="4" t="str">
        <f>Sheet1!A1138 &amp; "/" &amp; "2025"</f>
        <v>1137/2025</v>
      </c>
      <c r="B1138" s="5" t="str">
        <f>Sheet1!E1138</f>
        <v>IND/MEL/01137</v>
      </c>
      <c r="C1138" s="6" t="str">
        <f>UPPER(Sheet1!B1138)</f>
        <v>EMILY VAZQUEZ</v>
      </c>
      <c r="D1138" s="7" t="str">
        <f>IF(Sheet1!F1138="F","FEMALE","MALE")</f>
        <v>FEMALE</v>
      </c>
      <c r="E1138" s="6" t="str">
        <f>UPPER(Sheet1!G1138)</f>
        <v>STEVEN MANNING</v>
      </c>
      <c r="F1138" s="6" t="str">
        <f>UPPER(Sheet1!H1138)</f>
        <v>JENNIFER GRANT</v>
      </c>
      <c r="G1138" s="5" t="str">
        <f>TEXT(Sheet1!C1138,"dd/mm/yyyy") &amp; "," &amp; Sheet1!D1138</f>
        <v>25/05/2025,LAKE DIANA</v>
      </c>
      <c r="H1138" s="39" t="str">
        <f>UPPER(Sheet1!J1138 &amp; "," &amp; Sheet1!K1138 &amp; "," &amp; Sheet1!L1138)</f>
        <v>9954 JENKINS LODGE,SUITE 171,PIN:55435 WEST CHARLES</v>
      </c>
      <c r="I1138" s="8">
        <f>Sheet1!I1138</f>
        <v>46065</v>
      </c>
      <c r="J1138" s="5" t="str">
        <f>Sheet1!M1138 &amp; "," &amp; TEXT(Sheet1!N1138,"dd/mm/yy")</f>
        <v>MHA/IND/01155,11/03/26</v>
      </c>
      <c r="K1138" s="5" t="s">
        <v>5752</v>
      </c>
      <c r="L1138" t="s">
        <v>14</v>
      </c>
      <c r="M1138" s="31" t="s">
        <v>15</v>
      </c>
      <c r="N1138" s="31"/>
    </row>
    <row r="1139" spans="1:14" x14ac:dyDescent="0.25">
      <c r="A1139" s="4" t="str">
        <f>Sheet1!A1139 &amp; "/" &amp; "2025"</f>
        <v>1138/2025</v>
      </c>
      <c r="B1139" s="5" t="str">
        <f>Sheet1!E1139</f>
        <v>IND/MEL/01138</v>
      </c>
      <c r="C1139" s="6" t="str">
        <f>UPPER(Sheet1!B1139)</f>
        <v>DOUGLAS CALDERON</v>
      </c>
      <c r="D1139" s="7" t="str">
        <f>IF(Sheet1!F1139="F","FEMALE","MALE")</f>
        <v>FEMALE</v>
      </c>
      <c r="E1139" s="6" t="str">
        <f>UPPER(Sheet1!G1139)</f>
        <v>AARON PIERCE</v>
      </c>
      <c r="F1139" s="6" t="str">
        <f>UPPER(Sheet1!H1139)</f>
        <v>JULIE KELLER</v>
      </c>
      <c r="G1139" s="5" t="str">
        <f>TEXT(Sheet1!C1139,"dd/mm/yyyy") &amp; "," &amp; Sheet1!D1139</f>
        <v>22/08/2025,EAST ALLISON</v>
      </c>
      <c r="H1139" s="39" t="str">
        <f>UPPER(Sheet1!J1139 &amp; "," &amp; Sheet1!K1139 &amp; "," &amp; Sheet1!L1139)</f>
        <v>463 BRYANT EXPRESSWAY SUITE 544,SUITE 940,PIN:30578 NEW BRITTANYFORT</v>
      </c>
      <c r="I1139" s="8">
        <f>Sheet1!I1139</f>
        <v>46065</v>
      </c>
      <c r="J1139" s="5" t="str">
        <f>Sheet1!M1139 &amp; "," &amp; TEXT(Sheet1!N1139,"dd/mm/yy")</f>
        <v>MHA/IND/01156,24/02/26</v>
      </c>
      <c r="K1139" s="5" t="s">
        <v>5752</v>
      </c>
      <c r="L1139" t="s">
        <v>14</v>
      </c>
      <c r="M1139" s="31" t="s">
        <v>15</v>
      </c>
      <c r="N1139" s="31"/>
    </row>
    <row r="1140" spans="1:14" x14ac:dyDescent="0.25">
      <c r="A1140" s="4" t="str">
        <f>Sheet1!A1140 &amp; "/" &amp; "2025"</f>
        <v>1139/2025</v>
      </c>
      <c r="B1140" s="5" t="str">
        <f>Sheet1!E1140</f>
        <v>IND/MEL/01139</v>
      </c>
      <c r="C1140" s="6" t="str">
        <f>UPPER(Sheet1!B1140)</f>
        <v>MARCUS ROSE</v>
      </c>
      <c r="D1140" s="7" t="str">
        <f>IF(Sheet1!F1140="F","FEMALE","MALE")</f>
        <v>FEMALE</v>
      </c>
      <c r="E1140" s="6" t="str">
        <f>UPPER(Sheet1!G1140)</f>
        <v>TONY WHITE</v>
      </c>
      <c r="F1140" s="6" t="str">
        <f>UPPER(Sheet1!H1140)</f>
        <v>KIM HOLLOWAY</v>
      </c>
      <c r="G1140" s="5" t="str">
        <f>TEXT(Sheet1!C1140,"dd/mm/yyyy") &amp; "," &amp; Sheet1!D1140</f>
        <v>06/11/2025,LAKE KELLY</v>
      </c>
      <c r="H1140" s="39" t="str">
        <f>UPPER(Sheet1!J1140 &amp; "," &amp; Sheet1!K1140 &amp; "," &amp; Sheet1!L1140)</f>
        <v>2000 STARK GROVES,SUITE 888,PIN:79279 SOUTH BRENDA</v>
      </c>
      <c r="I1140" s="8">
        <f>Sheet1!I1140</f>
        <v>46065</v>
      </c>
      <c r="J1140" s="5" t="str">
        <f>Sheet1!M1140 &amp; "," &amp; TEXT(Sheet1!N1140,"dd/mm/yy")</f>
        <v>MHA/IND/01157,13/02/26</v>
      </c>
      <c r="K1140" s="5" t="s">
        <v>5752</v>
      </c>
      <c r="L1140" t="s">
        <v>14</v>
      </c>
      <c r="M1140" s="31" t="s">
        <v>15</v>
      </c>
      <c r="N1140" s="31"/>
    </row>
    <row r="1141" spans="1:14" x14ac:dyDescent="0.25">
      <c r="A1141" s="4" t="str">
        <f>Sheet1!A1141 &amp; "/" &amp; "2025"</f>
        <v>1140/2025</v>
      </c>
      <c r="B1141" s="5" t="str">
        <f>Sheet1!E1141</f>
        <v>IND/MEL/01140</v>
      </c>
      <c r="C1141" s="6" t="str">
        <f>UPPER(Sheet1!B1141)</f>
        <v>STEVEN CASTILLO</v>
      </c>
      <c r="D1141" s="7" t="str">
        <f>IF(Sheet1!F1141="F","FEMALE","MALE")</f>
        <v>FEMALE</v>
      </c>
      <c r="E1141" s="6" t="str">
        <f>UPPER(Sheet1!G1141)</f>
        <v>CHAD ADAMS</v>
      </c>
      <c r="F1141" s="6" t="str">
        <f>UPPER(Sheet1!H1141)</f>
        <v>MONICA WHITE</v>
      </c>
      <c r="G1141" s="5" t="str">
        <f>TEXT(Sheet1!C1141,"dd/mm/yyyy") &amp; "," &amp; Sheet1!D1141</f>
        <v>28/09/2025,WEST SCOTTBOROUGH</v>
      </c>
      <c r="H1141" s="39" t="str">
        <f>UPPER(Sheet1!J1141 &amp; "," &amp; Sheet1!K1141 &amp; "," &amp; Sheet1!L1141)</f>
        <v>32152 SANDERS GREEN,SUITE 299,PIN:99829 DAVISCHESTER</v>
      </c>
      <c r="I1141" s="8">
        <f>Sheet1!I1141</f>
        <v>46065</v>
      </c>
      <c r="J1141" s="5" t="str">
        <f>Sheet1!M1141 &amp; "," &amp; TEXT(Sheet1!N1141,"dd/mm/yy")</f>
        <v>MHA/IND/01158,25/02/26</v>
      </c>
      <c r="K1141" s="5" t="s">
        <v>5752</v>
      </c>
      <c r="L1141" t="s">
        <v>14</v>
      </c>
      <c r="M1141" s="31" t="s">
        <v>15</v>
      </c>
      <c r="N1141" s="31"/>
    </row>
    <row r="1142" spans="1:14" x14ac:dyDescent="0.25">
      <c r="A1142" s="4" t="str">
        <f>Sheet1!A1142 &amp; "/" &amp; "2025"</f>
        <v>1141/2025</v>
      </c>
      <c r="B1142" s="5" t="str">
        <f>Sheet1!E1142</f>
        <v>IND/MEL/01141</v>
      </c>
      <c r="C1142" s="6" t="str">
        <f>UPPER(Sheet1!B1142)</f>
        <v>ROBIN KING</v>
      </c>
      <c r="D1142" s="7" t="str">
        <f>IF(Sheet1!F1142="F","FEMALE","MALE")</f>
        <v>FEMALE</v>
      </c>
      <c r="E1142" s="6" t="str">
        <f>UPPER(Sheet1!G1142)</f>
        <v>ROBERT RODGERS</v>
      </c>
      <c r="F1142" s="6" t="str">
        <f>UPPER(Sheet1!H1142)</f>
        <v>MELISSA ROGERS</v>
      </c>
      <c r="G1142" s="5" t="str">
        <f>TEXT(Sheet1!C1142,"dd/mm/yyyy") &amp; "," &amp; Sheet1!D1142</f>
        <v>23/05/2025,LAKE ANNETOWN</v>
      </c>
      <c r="H1142" s="39" t="str">
        <f>UPPER(Sheet1!J1142 &amp; "," &amp; Sheet1!K1142 &amp; "," &amp; Sheet1!L1142)</f>
        <v>33570 SARAH LAKE APT. 748,SUITE 327,PIN:70772 CHRISTINAMOUTH</v>
      </c>
      <c r="I1142" s="8">
        <f>Sheet1!I1142</f>
        <v>46065</v>
      </c>
      <c r="J1142" s="5" t="str">
        <f>Sheet1!M1142 &amp; "," &amp; TEXT(Sheet1!N1142,"dd/mm/yy")</f>
        <v>MHA/IND/01159,28/02/26</v>
      </c>
      <c r="K1142" s="5" t="s">
        <v>5752</v>
      </c>
      <c r="L1142" t="s">
        <v>14</v>
      </c>
      <c r="M1142" s="31" t="s">
        <v>15</v>
      </c>
      <c r="N1142" s="31"/>
    </row>
    <row r="1143" spans="1:14" x14ac:dyDescent="0.25">
      <c r="A1143" s="4" t="str">
        <f>Sheet1!A1143 &amp; "/" &amp; "2025"</f>
        <v>1142/2025</v>
      </c>
      <c r="B1143" s="5" t="str">
        <f>Sheet1!E1143</f>
        <v>IND/MEL/01142</v>
      </c>
      <c r="C1143" s="6" t="str">
        <f>UPPER(Sheet1!B1143)</f>
        <v>JUSTIN AVERY</v>
      </c>
      <c r="D1143" s="7" t="str">
        <f>IF(Sheet1!F1143="F","FEMALE","MALE")</f>
        <v>MALE</v>
      </c>
      <c r="E1143" s="6" t="str">
        <f>UPPER(Sheet1!G1143)</f>
        <v>BRIAN BRYANT</v>
      </c>
      <c r="F1143" s="6" t="str">
        <f>UPPER(Sheet1!H1143)</f>
        <v>JANET TAYLOR</v>
      </c>
      <c r="G1143" s="5" t="str">
        <f>TEXT(Sheet1!C1143,"dd/mm/yyyy") &amp; "," &amp; Sheet1!D1143</f>
        <v>11/08/2025,REBECCAMOUTH</v>
      </c>
      <c r="H1143" s="39" t="str">
        <f>UPPER(Sheet1!J1143 &amp; "," &amp; Sheet1!K1143 &amp; "," &amp; Sheet1!L1143)</f>
        <v>32811 TAYLOR PASS,SUITE 179,PIN:52458 NEW SAMUEL</v>
      </c>
      <c r="I1143" s="8">
        <f>Sheet1!I1143</f>
        <v>46065</v>
      </c>
      <c r="J1143" s="5" t="str">
        <f>Sheet1!M1143 &amp; "," &amp; TEXT(Sheet1!N1143,"dd/mm/yy")</f>
        <v>MHA/IND/01160,01/03/26</v>
      </c>
      <c r="K1143" s="5" t="s">
        <v>5752</v>
      </c>
      <c r="L1143" t="s">
        <v>14</v>
      </c>
      <c r="M1143" s="31" t="s">
        <v>15</v>
      </c>
      <c r="N1143" s="31"/>
    </row>
    <row r="1144" spans="1:14" x14ac:dyDescent="0.25">
      <c r="A1144" s="4" t="str">
        <f>Sheet1!A1144 &amp; "/" &amp; "2025"</f>
        <v>1143/2025</v>
      </c>
      <c r="B1144" s="5" t="str">
        <f>Sheet1!E1144</f>
        <v>IND/MEL/01143</v>
      </c>
      <c r="C1144" s="6" t="str">
        <f>UPPER(Sheet1!B1144)</f>
        <v>SANDRA HENDRICKS</v>
      </c>
      <c r="D1144" s="7" t="str">
        <f>IF(Sheet1!F1144="F","FEMALE","MALE")</f>
        <v>MALE</v>
      </c>
      <c r="E1144" s="6" t="str">
        <f>UPPER(Sheet1!G1144)</f>
        <v>BRANDON RODRIGUEZ</v>
      </c>
      <c r="F1144" s="6" t="str">
        <f>UPPER(Sheet1!H1144)</f>
        <v>JULIE WIGGINS PHD</v>
      </c>
      <c r="G1144" s="5" t="str">
        <f>TEXT(Sheet1!C1144,"dd/mm/yyyy") &amp; "," &amp; Sheet1!D1144</f>
        <v>03/12/2025,COLLINSMOUTH</v>
      </c>
      <c r="H1144" s="39" t="str">
        <f>UPPER(Sheet1!J1144 &amp; "," &amp; Sheet1!K1144 &amp; "," &amp; Sheet1!L1144)</f>
        <v>625 SHANE VALLEY APT. 318,SUITE 217,PIN:09976 JONATHANBURGH</v>
      </c>
      <c r="I1144" s="8">
        <f>Sheet1!I1144</f>
        <v>46065</v>
      </c>
      <c r="J1144" s="5" t="str">
        <f>Sheet1!M1144 &amp; "," &amp; TEXT(Sheet1!N1144,"dd/mm/yy")</f>
        <v>MHA/IND/01161,07/03/26</v>
      </c>
      <c r="K1144" s="5" t="s">
        <v>5752</v>
      </c>
      <c r="L1144" t="s">
        <v>14</v>
      </c>
      <c r="M1144" s="31" t="s">
        <v>15</v>
      </c>
      <c r="N1144" s="31"/>
    </row>
    <row r="1145" spans="1:14" x14ac:dyDescent="0.25">
      <c r="A1145" s="4" t="str">
        <f>Sheet1!A1145 &amp; "/" &amp; "2025"</f>
        <v>1144/2025</v>
      </c>
      <c r="B1145" s="5" t="str">
        <f>Sheet1!E1145</f>
        <v>IND/MEL/01144</v>
      </c>
      <c r="C1145" s="6" t="str">
        <f>UPPER(Sheet1!B1145)</f>
        <v>CHRISTY COLEMAN</v>
      </c>
      <c r="D1145" s="7" t="str">
        <f>IF(Sheet1!F1145="F","FEMALE","MALE")</f>
        <v>FEMALE</v>
      </c>
      <c r="E1145" s="6" t="str">
        <f>UPPER(Sheet1!G1145)</f>
        <v>JERMAINE CAMACHO</v>
      </c>
      <c r="F1145" s="6" t="str">
        <f>UPPER(Sheet1!H1145)</f>
        <v>MORGAN CLARK</v>
      </c>
      <c r="G1145" s="5" t="str">
        <f>TEXT(Sheet1!C1145,"dd/mm/yyyy") &amp; "," &amp; Sheet1!D1145</f>
        <v>06/09/2025,NEW MARISSA</v>
      </c>
      <c r="H1145" s="39" t="str">
        <f>UPPER(Sheet1!J1145 &amp; "," &amp; Sheet1!K1145 &amp; "," &amp; Sheet1!L1145)</f>
        <v>9035 JOHN CLIFFS APT. 539,SUITE 000,PIN:83992 LAKE GLORIA</v>
      </c>
      <c r="I1145" s="8">
        <f>Sheet1!I1145</f>
        <v>46065</v>
      </c>
      <c r="J1145" s="5" t="str">
        <f>Sheet1!M1145 &amp; "," &amp; TEXT(Sheet1!N1145,"dd/mm/yy")</f>
        <v>MHA/IND/01162,23/02/26</v>
      </c>
      <c r="K1145" s="5" t="s">
        <v>5752</v>
      </c>
      <c r="L1145" t="s">
        <v>14</v>
      </c>
      <c r="M1145" s="31" t="s">
        <v>15</v>
      </c>
      <c r="N1145" s="31"/>
    </row>
    <row r="1146" spans="1:14" x14ac:dyDescent="0.25">
      <c r="A1146" s="4" t="str">
        <f>Sheet1!A1146 &amp; "/" &amp; "2025"</f>
        <v>1145/2025</v>
      </c>
      <c r="B1146" s="5" t="str">
        <f>Sheet1!E1146</f>
        <v>IND/MEL/01145</v>
      </c>
      <c r="C1146" s="6" t="str">
        <f>UPPER(Sheet1!B1146)</f>
        <v>DEREK JOHNSON</v>
      </c>
      <c r="D1146" s="7" t="str">
        <f>IF(Sheet1!F1146="F","FEMALE","MALE")</f>
        <v>MALE</v>
      </c>
      <c r="E1146" s="6" t="str">
        <f>UPPER(Sheet1!G1146)</f>
        <v>JOSEPH GREER</v>
      </c>
      <c r="F1146" s="6" t="str">
        <f>UPPER(Sheet1!H1146)</f>
        <v>REBECCA HICKS</v>
      </c>
      <c r="G1146" s="5" t="str">
        <f>TEXT(Sheet1!C1146,"dd/mm/yyyy") &amp; "," &amp; Sheet1!D1146</f>
        <v>22/10/2025,PORT RENEE</v>
      </c>
      <c r="H1146" s="39" t="str">
        <f>UPPER(Sheet1!J1146 &amp; "," &amp; Sheet1!K1146 &amp; "," &amp; Sheet1!L1146)</f>
        <v>74365 WHITE HILL SUITE 651,APT. 023,PIN:32582 PORT ANNETTE</v>
      </c>
      <c r="I1146" s="8">
        <f>Sheet1!I1146</f>
        <v>46065</v>
      </c>
      <c r="J1146" s="5" t="str">
        <f>Sheet1!M1146 &amp; "," &amp; TEXT(Sheet1!N1146,"dd/mm/yy")</f>
        <v>MHA/IND/01163,18/02/26</v>
      </c>
      <c r="K1146" s="5" t="s">
        <v>5752</v>
      </c>
      <c r="L1146" t="s">
        <v>14</v>
      </c>
      <c r="M1146" s="31" t="s">
        <v>15</v>
      </c>
      <c r="N1146" s="31"/>
    </row>
    <row r="1147" spans="1:14" x14ac:dyDescent="0.25">
      <c r="A1147" s="4" t="str">
        <f>Sheet1!A1147 &amp; "/" &amp; "2025"</f>
        <v>1146/2025</v>
      </c>
      <c r="B1147" s="5" t="str">
        <f>Sheet1!E1147</f>
        <v>IND/MEL/01146</v>
      </c>
      <c r="C1147" s="6" t="str">
        <f>UPPER(Sheet1!B1147)</f>
        <v>KENT ADKINS</v>
      </c>
      <c r="D1147" s="7" t="str">
        <f>IF(Sheet1!F1147="F","FEMALE","MALE")</f>
        <v>MALE</v>
      </c>
      <c r="E1147" s="6" t="str">
        <f>UPPER(Sheet1!G1147)</f>
        <v>MATTHEW MEJIA</v>
      </c>
      <c r="F1147" s="6" t="str">
        <f>UPPER(Sheet1!H1147)</f>
        <v>DENISE SULLIVAN</v>
      </c>
      <c r="G1147" s="5" t="str">
        <f>TEXT(Sheet1!C1147,"dd/mm/yyyy") &amp; "," &amp; Sheet1!D1147</f>
        <v>05/04/2025,PORT MIRANDA</v>
      </c>
      <c r="H1147" s="39" t="str">
        <f>UPPER(Sheet1!J1147 &amp; "," &amp; Sheet1!K1147 &amp; "," &amp; Sheet1!L1147)</f>
        <v>07672 WILSON FIELD,SUITE 663,PIN:26413 POWELLSTAD</v>
      </c>
      <c r="I1147" s="8">
        <f>Sheet1!I1147</f>
        <v>46065</v>
      </c>
      <c r="J1147" s="5" t="str">
        <f>Sheet1!M1147 &amp; "," &amp; TEXT(Sheet1!N1147,"dd/mm/yy")</f>
        <v>MHA/IND/01164,15/02/26</v>
      </c>
      <c r="K1147" s="5" t="s">
        <v>5752</v>
      </c>
      <c r="L1147" t="s">
        <v>14</v>
      </c>
      <c r="M1147" s="31" t="s">
        <v>15</v>
      </c>
      <c r="N1147" s="31"/>
    </row>
    <row r="1148" spans="1:14" x14ac:dyDescent="0.25">
      <c r="A1148" s="4" t="str">
        <f>Sheet1!A1148 &amp; "/" &amp; "2025"</f>
        <v>1147/2025</v>
      </c>
      <c r="B1148" s="5" t="str">
        <f>Sheet1!E1148</f>
        <v>IND/MEL/01147</v>
      </c>
      <c r="C1148" s="6" t="str">
        <f>UPPER(Sheet1!B1148)</f>
        <v>KEVIN ELLIS</v>
      </c>
      <c r="D1148" s="7" t="str">
        <f>IF(Sheet1!F1148="F","FEMALE","MALE")</f>
        <v>MALE</v>
      </c>
      <c r="E1148" s="6" t="str">
        <f>UPPER(Sheet1!G1148)</f>
        <v>KEVIN WILLIAMS</v>
      </c>
      <c r="F1148" s="6" t="str">
        <f>UPPER(Sheet1!H1148)</f>
        <v>VICTORIA PAYNE</v>
      </c>
      <c r="G1148" s="5" t="str">
        <f>TEXT(Sheet1!C1148,"dd/mm/yyyy") &amp; "," &amp; Sheet1!D1148</f>
        <v>10/12/2025,DAVIDFURT</v>
      </c>
      <c r="H1148" s="39" t="str">
        <f>UPPER(Sheet1!J1148 &amp; "," &amp; Sheet1!K1148 &amp; "," &amp; Sheet1!L1148)</f>
        <v>664 HARRINGTON FLATS APT. 645,SUITE 987,PIN:00603 PORT JAMES</v>
      </c>
      <c r="I1148" s="8">
        <f>Sheet1!I1148</f>
        <v>46065</v>
      </c>
      <c r="J1148" s="5" t="str">
        <f>Sheet1!M1148 &amp; "," &amp; TEXT(Sheet1!N1148,"dd/mm/yy")</f>
        <v>MHA/IND/01165,06/03/26</v>
      </c>
      <c r="K1148" s="5" t="s">
        <v>5752</v>
      </c>
      <c r="L1148" t="s">
        <v>14</v>
      </c>
      <c r="M1148" s="31" t="s">
        <v>15</v>
      </c>
      <c r="N1148" s="31"/>
    </row>
    <row r="1149" spans="1:14" x14ac:dyDescent="0.25">
      <c r="A1149" s="4" t="str">
        <f>Sheet1!A1149 &amp; "/" &amp; "2025"</f>
        <v>1148/2025</v>
      </c>
      <c r="B1149" s="5" t="str">
        <f>Sheet1!E1149</f>
        <v>IND/MEL/01148</v>
      </c>
      <c r="C1149" s="6" t="str">
        <f>UPPER(Sheet1!B1149)</f>
        <v>VALERIE PETERSEN</v>
      </c>
      <c r="D1149" s="7" t="str">
        <f>IF(Sheet1!F1149="F","FEMALE","MALE")</f>
        <v>FEMALE</v>
      </c>
      <c r="E1149" s="6" t="str">
        <f>UPPER(Sheet1!G1149)</f>
        <v>GARRETT VALDEZ</v>
      </c>
      <c r="F1149" s="6" t="str">
        <f>UPPER(Sheet1!H1149)</f>
        <v>MICHELE RAYMOND</v>
      </c>
      <c r="G1149" s="5" t="str">
        <f>TEXT(Sheet1!C1149,"dd/mm/yyyy") &amp; "," &amp; Sheet1!D1149</f>
        <v>08/04/2025,CLAUDIALAND</v>
      </c>
      <c r="H1149" s="39" t="str">
        <f>UPPER(Sheet1!J1149 &amp; "," &amp; Sheet1!K1149 &amp; "," &amp; Sheet1!L1149)</f>
        <v>461 KEVIN MOTORWAY SUITE 480,SUITE 226,PIN:30979 PORT BRIAN</v>
      </c>
      <c r="I1149" s="8">
        <f>Sheet1!I1149</f>
        <v>46065</v>
      </c>
      <c r="J1149" s="5" t="str">
        <f>Sheet1!M1149 &amp; "," &amp; TEXT(Sheet1!N1149,"dd/mm/yy")</f>
        <v>MHA/IND/01166,08/03/26</v>
      </c>
      <c r="K1149" s="5" t="s">
        <v>5752</v>
      </c>
      <c r="L1149" t="s">
        <v>14</v>
      </c>
      <c r="M1149" s="31" t="s">
        <v>15</v>
      </c>
      <c r="N1149" s="31"/>
    </row>
    <row r="1150" spans="1:14" x14ac:dyDescent="0.25">
      <c r="A1150" s="4" t="str">
        <f>Sheet1!A1150 &amp; "/" &amp; "2025"</f>
        <v>1149/2025</v>
      </c>
      <c r="B1150" s="5" t="str">
        <f>Sheet1!E1150</f>
        <v>IND/MEL/01149</v>
      </c>
      <c r="C1150" s="6" t="str">
        <f>UPPER(Sheet1!B1150)</f>
        <v>GEORGE WILLIAMS</v>
      </c>
      <c r="D1150" s="7" t="str">
        <f>IF(Sheet1!F1150="F","FEMALE","MALE")</f>
        <v>FEMALE</v>
      </c>
      <c r="E1150" s="6" t="str">
        <f>UPPER(Sheet1!G1150)</f>
        <v>JOSHUA HALL</v>
      </c>
      <c r="F1150" s="6" t="str">
        <f>UPPER(Sheet1!H1150)</f>
        <v>SARAH MITCHELL</v>
      </c>
      <c r="G1150" s="5" t="str">
        <f>TEXT(Sheet1!C1150,"dd/mm/yyyy") &amp; "," &amp; Sheet1!D1150</f>
        <v>31/03/2025,EAST SARAHMOUTH</v>
      </c>
      <c r="H1150" s="39" t="str">
        <f>UPPER(Sheet1!J1150 &amp; "," &amp; Sheet1!K1150 &amp; "," &amp; Sheet1!L1150)</f>
        <v>84152 JENNIFER KNOLL,SUITE 361,PIN:07234 SOUTH MATTHEW</v>
      </c>
      <c r="I1150" s="8">
        <f>Sheet1!I1150</f>
        <v>46065</v>
      </c>
      <c r="J1150" s="5" t="str">
        <f>Sheet1!M1150 &amp; "," &amp; TEXT(Sheet1!N1150,"dd/mm/yy")</f>
        <v>MHA/IND/01167,13/03/26</v>
      </c>
      <c r="K1150" s="5" t="s">
        <v>5752</v>
      </c>
      <c r="L1150" t="s">
        <v>14</v>
      </c>
      <c r="M1150" s="31" t="s">
        <v>15</v>
      </c>
      <c r="N1150" s="31"/>
    </row>
    <row r="1151" spans="1:14" x14ac:dyDescent="0.25">
      <c r="A1151" s="4" t="str">
        <f>Sheet1!A1151 &amp; "/" &amp; "2025"</f>
        <v>1150/2025</v>
      </c>
      <c r="B1151" s="5" t="str">
        <f>Sheet1!E1151</f>
        <v>IND/MEL/01150</v>
      </c>
      <c r="C1151" s="6" t="str">
        <f>UPPER(Sheet1!B1151)</f>
        <v>MARY HOLMES</v>
      </c>
      <c r="D1151" s="7" t="str">
        <f>IF(Sheet1!F1151="F","FEMALE","MALE")</f>
        <v>FEMALE</v>
      </c>
      <c r="E1151" s="6" t="str">
        <f>UPPER(Sheet1!G1151)</f>
        <v>MICHAEL DAVIDSON</v>
      </c>
      <c r="F1151" s="6" t="str">
        <f>UPPER(Sheet1!H1151)</f>
        <v>JESSICA MACIAS</v>
      </c>
      <c r="G1151" s="5" t="str">
        <f>TEXT(Sheet1!C1151,"dd/mm/yyyy") &amp; "," &amp; Sheet1!D1151</f>
        <v>10/03/2025,EMILYBURGH</v>
      </c>
      <c r="H1151" s="39" t="str">
        <f>UPPER(Sheet1!J1151 &amp; "," &amp; Sheet1!K1151 &amp; "," &amp; Sheet1!L1151)</f>
        <v>85321 CARMEN LOCK APT. 781,APT. 982,PIN:65492 PORT LISA</v>
      </c>
      <c r="I1151" s="8">
        <f>Sheet1!I1151</f>
        <v>46065</v>
      </c>
      <c r="J1151" s="5" t="str">
        <f>Sheet1!M1151 &amp; "," &amp; TEXT(Sheet1!N1151,"dd/mm/yy")</f>
        <v>MHA/IND/01168,12/03/26</v>
      </c>
      <c r="K1151" s="5" t="s">
        <v>5752</v>
      </c>
      <c r="L1151" t="s">
        <v>14</v>
      </c>
      <c r="M1151" s="31" t="s">
        <v>15</v>
      </c>
      <c r="N1151" s="31"/>
    </row>
    <row r="1152" spans="1:14" x14ac:dyDescent="0.25">
      <c r="A1152" s="4" t="str">
        <f>Sheet1!A1152 &amp; "/" &amp; "2025"</f>
        <v>1151/2025</v>
      </c>
      <c r="B1152" s="5" t="str">
        <f>Sheet1!E1152</f>
        <v>IND/MEL/01151</v>
      </c>
      <c r="C1152" s="6" t="str">
        <f>UPPER(Sheet1!B1152)</f>
        <v>SETH HILL III</v>
      </c>
      <c r="D1152" s="7" t="str">
        <f>IF(Sheet1!F1152="F","FEMALE","MALE")</f>
        <v>MALE</v>
      </c>
      <c r="E1152" s="6" t="str">
        <f>UPPER(Sheet1!G1152)</f>
        <v>RONALD YOUNG</v>
      </c>
      <c r="F1152" s="6" t="str">
        <f>UPPER(Sheet1!H1152)</f>
        <v>MISTY OROZCO</v>
      </c>
      <c r="G1152" s="5" t="str">
        <f>TEXT(Sheet1!C1152,"dd/mm/yyyy") &amp; "," &amp; Sheet1!D1152</f>
        <v>24/02/2025,LUISVILLE</v>
      </c>
      <c r="H1152" s="39" t="str">
        <f>UPPER(Sheet1!J1152 &amp; "," &amp; Sheet1!K1152 &amp; "," &amp; Sheet1!L1152)</f>
        <v>7361 TORRES LAKE SUITE 301,SUITE 528,PIN:53381 LAKE CLAYTON</v>
      </c>
      <c r="I1152" s="8">
        <f>Sheet1!I1152</f>
        <v>46065</v>
      </c>
      <c r="J1152" s="5" t="str">
        <f>Sheet1!M1152 &amp; "," &amp; TEXT(Sheet1!N1152,"dd/mm/yy")</f>
        <v>MHA/IND/01169,26/02/26</v>
      </c>
      <c r="K1152" s="5" t="s">
        <v>5752</v>
      </c>
      <c r="L1152" t="s">
        <v>14</v>
      </c>
      <c r="M1152" s="31" t="s">
        <v>15</v>
      </c>
      <c r="N1152" s="31"/>
    </row>
    <row r="1153" spans="1:14" x14ac:dyDescent="0.25">
      <c r="A1153" s="4" t="str">
        <f>Sheet1!A1153 &amp; "/" &amp; "2025"</f>
        <v>1152/2025</v>
      </c>
      <c r="B1153" s="5" t="str">
        <f>Sheet1!E1153</f>
        <v>IND/MEL/01152</v>
      </c>
      <c r="C1153" s="6" t="str">
        <f>UPPER(Sheet1!B1153)</f>
        <v>MARIA MARTINEZ</v>
      </c>
      <c r="D1153" s="7" t="str">
        <f>IF(Sheet1!F1153="F","FEMALE","MALE")</f>
        <v>FEMALE</v>
      </c>
      <c r="E1153" s="6" t="str">
        <f>UPPER(Sheet1!G1153)</f>
        <v>JAMES DICKERSON</v>
      </c>
      <c r="F1153" s="6" t="str">
        <f>UPPER(Sheet1!H1153)</f>
        <v>JILL MORENO</v>
      </c>
      <c r="G1153" s="5" t="str">
        <f>TEXT(Sheet1!C1153,"dd/mm/yyyy") &amp; "," &amp; Sheet1!D1153</f>
        <v>11/04/2025,NEW OLIVIATON</v>
      </c>
      <c r="H1153" s="39" t="str">
        <f>UPPER(Sheet1!J1153 &amp; "," &amp; Sheet1!K1153 &amp; "," &amp; Sheet1!L1153)</f>
        <v>13410 HARRIS EXTENSION SUITE 173,APT. 506,PIN:70355 EAST XAVIER</v>
      </c>
      <c r="I1153" s="8">
        <f>Sheet1!I1153</f>
        <v>46065</v>
      </c>
      <c r="J1153" s="5" t="str">
        <f>Sheet1!M1153 &amp; "," &amp; TEXT(Sheet1!N1153,"dd/mm/yy")</f>
        <v>MHA/IND/01170,09/03/26</v>
      </c>
      <c r="K1153" s="5" t="s">
        <v>5752</v>
      </c>
      <c r="L1153" t="s">
        <v>14</v>
      </c>
      <c r="M1153" s="31" t="s">
        <v>15</v>
      </c>
      <c r="N1153" s="31"/>
    </row>
    <row r="1154" spans="1:14" x14ac:dyDescent="0.25">
      <c r="A1154" s="4" t="str">
        <f>Sheet1!A1154 &amp; "/" &amp; "2025"</f>
        <v>1153/2025</v>
      </c>
      <c r="B1154" s="5" t="str">
        <f>Sheet1!E1154</f>
        <v>IND/MEL/01153</v>
      </c>
      <c r="C1154" s="6" t="str">
        <f>UPPER(Sheet1!B1154)</f>
        <v>ANDREW FRENCH</v>
      </c>
      <c r="D1154" s="7" t="str">
        <f>IF(Sheet1!F1154="F","FEMALE","MALE")</f>
        <v>FEMALE</v>
      </c>
      <c r="E1154" s="6" t="str">
        <f>UPPER(Sheet1!G1154)</f>
        <v>JOHN ORTIZ</v>
      </c>
      <c r="F1154" s="6" t="str">
        <f>UPPER(Sheet1!H1154)</f>
        <v>SANDRA BOYD</v>
      </c>
      <c r="G1154" s="5" t="str">
        <f>TEXT(Sheet1!C1154,"dd/mm/yyyy") &amp; "," &amp; Sheet1!D1154</f>
        <v>26/07/2025,PORT HENRY</v>
      </c>
      <c r="H1154" s="39" t="str">
        <f>UPPER(Sheet1!J1154 &amp; "," &amp; Sheet1!K1154 &amp; "," &amp; Sheet1!L1154)</f>
        <v>34002 REYNOLDS HAVEN APT. 947,SUITE 018,PIN:08745 WEBSTERBERG</v>
      </c>
      <c r="I1154" s="8">
        <f>Sheet1!I1154</f>
        <v>46065</v>
      </c>
      <c r="J1154" s="5" t="str">
        <f>Sheet1!M1154 &amp; "," &amp; TEXT(Sheet1!N1154,"dd/mm/yy")</f>
        <v>MHA/IND/01171,07/03/26</v>
      </c>
      <c r="K1154" s="5" t="s">
        <v>5752</v>
      </c>
      <c r="L1154" t="s">
        <v>14</v>
      </c>
      <c r="M1154" s="31" t="s">
        <v>15</v>
      </c>
      <c r="N1154" s="31"/>
    </row>
    <row r="1155" spans="1:14" x14ac:dyDescent="0.25">
      <c r="A1155" s="4" t="str">
        <f>Sheet1!A1155 &amp; "/" &amp; "2025"</f>
        <v>1154/2025</v>
      </c>
      <c r="B1155" s="5" t="str">
        <f>Sheet1!E1155</f>
        <v>IND/MEL/01154</v>
      </c>
      <c r="C1155" s="6" t="str">
        <f>UPPER(Sheet1!B1155)</f>
        <v>ELIZABETH TODD</v>
      </c>
      <c r="D1155" s="7" t="str">
        <f>IF(Sheet1!F1155="F","FEMALE","MALE")</f>
        <v>MALE</v>
      </c>
      <c r="E1155" s="6" t="str">
        <f>UPPER(Sheet1!G1155)</f>
        <v>SAMUEL HICKS</v>
      </c>
      <c r="F1155" s="6" t="str">
        <f>UPPER(Sheet1!H1155)</f>
        <v>JAMIE CHRISTENSEN</v>
      </c>
      <c r="G1155" s="5" t="str">
        <f>TEXT(Sheet1!C1155,"dd/mm/yyyy") &amp; "," &amp; Sheet1!D1155</f>
        <v>25/10/2025,HILLVIEW</v>
      </c>
      <c r="H1155" s="39" t="str">
        <f>UPPER(Sheet1!J1155 &amp; "," &amp; Sheet1!K1155 &amp; "," &amp; Sheet1!L1155)</f>
        <v>86246 VELASQUEZ PLAZA,SUITE 029,PIN:35176 STEPHENSIDE</v>
      </c>
      <c r="I1155" s="8">
        <f>Sheet1!I1155</f>
        <v>46065</v>
      </c>
      <c r="J1155" s="5" t="str">
        <f>Sheet1!M1155 &amp; "," &amp; TEXT(Sheet1!N1155,"dd/mm/yy")</f>
        <v>MHA/IND/01172,15/02/26</v>
      </c>
      <c r="K1155" s="5" t="s">
        <v>5752</v>
      </c>
      <c r="L1155" t="s">
        <v>14</v>
      </c>
      <c r="M1155" s="31" t="s">
        <v>15</v>
      </c>
      <c r="N1155" s="31"/>
    </row>
    <row r="1156" spans="1:14" x14ac:dyDescent="0.25">
      <c r="A1156" s="4" t="str">
        <f>Sheet1!A1156 &amp; "/" &amp; "2025"</f>
        <v>1155/2025</v>
      </c>
      <c r="B1156" s="5" t="str">
        <f>Sheet1!E1156</f>
        <v>IND/MEL/01155</v>
      </c>
      <c r="C1156" s="6" t="str">
        <f>UPPER(Sheet1!B1156)</f>
        <v>JESSICA RAMSEY</v>
      </c>
      <c r="D1156" s="7" t="str">
        <f>IF(Sheet1!F1156="F","FEMALE","MALE")</f>
        <v>MALE</v>
      </c>
      <c r="E1156" s="6" t="str">
        <f>UPPER(Sheet1!G1156)</f>
        <v>MICHAEL SMITH</v>
      </c>
      <c r="F1156" s="6" t="str">
        <f>UPPER(Sheet1!H1156)</f>
        <v>KIARA CLAY</v>
      </c>
      <c r="G1156" s="5" t="str">
        <f>TEXT(Sheet1!C1156,"dd/mm/yyyy") &amp; "," &amp; Sheet1!D1156</f>
        <v>28/11/2025,NEW SUSANSHIRE</v>
      </c>
      <c r="H1156" s="39" t="str">
        <f>UPPER(Sheet1!J1156 &amp; "," &amp; Sheet1!K1156 &amp; "," &amp; Sheet1!L1156)</f>
        <v>423 ANTHONY FORD SUITE 751,APT. 139,PIN:26887 NORTH KAREN</v>
      </c>
      <c r="I1156" s="8">
        <f>Sheet1!I1156</f>
        <v>46065</v>
      </c>
      <c r="J1156" s="5" t="str">
        <f>Sheet1!M1156 &amp; "," &amp; TEXT(Sheet1!N1156,"dd/mm/yy")</f>
        <v>MHA/IND/01173,18/02/26</v>
      </c>
      <c r="K1156" s="5" t="s">
        <v>5752</v>
      </c>
      <c r="L1156" t="s">
        <v>14</v>
      </c>
      <c r="M1156" s="31" t="s">
        <v>15</v>
      </c>
      <c r="N1156" s="31"/>
    </row>
    <row r="1157" spans="1:14" x14ac:dyDescent="0.25">
      <c r="A1157" s="4" t="str">
        <f>Sheet1!A1157 &amp; "/" &amp; "2025"</f>
        <v>1156/2025</v>
      </c>
      <c r="B1157" s="5" t="str">
        <f>Sheet1!E1157</f>
        <v>IND/MEL/01156</v>
      </c>
      <c r="C1157" s="6" t="str">
        <f>UPPER(Sheet1!B1157)</f>
        <v>LAUREN TORRES</v>
      </c>
      <c r="D1157" s="7" t="str">
        <f>IF(Sheet1!F1157="F","FEMALE","MALE")</f>
        <v>FEMALE</v>
      </c>
      <c r="E1157" s="6" t="str">
        <f>UPPER(Sheet1!G1157)</f>
        <v>MATTHEW TAYLOR</v>
      </c>
      <c r="F1157" s="6" t="str">
        <f>UPPER(Sheet1!H1157)</f>
        <v>JACQUELINE CASTILLO</v>
      </c>
      <c r="G1157" s="5" t="str">
        <f>TEXT(Sheet1!C1157,"dd/mm/yyyy") &amp; "," &amp; Sheet1!D1157</f>
        <v>06/08/2025,CHRISTOPHERBOROUGH</v>
      </c>
      <c r="H1157" s="39" t="str">
        <f>UPPER(Sheet1!J1157 &amp; "," &amp; Sheet1!K1157 &amp; "," &amp; Sheet1!L1157)</f>
        <v>87061 RUIZ TRAFFICWAY,SUITE 058,PIN:81929 MARTINHAVEN</v>
      </c>
      <c r="I1157" s="8">
        <f>Sheet1!I1157</f>
        <v>46065</v>
      </c>
      <c r="J1157" s="5" t="str">
        <f>Sheet1!M1157 &amp; "," &amp; TEXT(Sheet1!N1157,"dd/mm/yy")</f>
        <v>MHA/IND/01174,18/02/26</v>
      </c>
      <c r="K1157" s="5" t="s">
        <v>5752</v>
      </c>
      <c r="L1157" t="s">
        <v>14</v>
      </c>
      <c r="M1157" s="31" t="s">
        <v>15</v>
      </c>
      <c r="N1157" s="31"/>
    </row>
    <row r="1158" spans="1:14" x14ac:dyDescent="0.25">
      <c r="A1158" s="4" t="str">
        <f>Sheet1!A1158 &amp; "/" &amp; "2025"</f>
        <v>1157/2025</v>
      </c>
      <c r="B1158" s="5" t="str">
        <f>Sheet1!E1158</f>
        <v>IND/MEL/01157</v>
      </c>
      <c r="C1158" s="6" t="str">
        <f>UPPER(Sheet1!B1158)</f>
        <v>YVONNE KELLY</v>
      </c>
      <c r="D1158" s="7" t="str">
        <f>IF(Sheet1!F1158="F","FEMALE","MALE")</f>
        <v>FEMALE</v>
      </c>
      <c r="E1158" s="6" t="str">
        <f>UPPER(Sheet1!G1158)</f>
        <v>ANTHONY GONZALEZ</v>
      </c>
      <c r="F1158" s="6" t="str">
        <f>UPPER(Sheet1!H1158)</f>
        <v>PAULA WATTS</v>
      </c>
      <c r="G1158" s="5" t="str">
        <f>TEXT(Sheet1!C1158,"dd/mm/yyyy") &amp; "," &amp; Sheet1!D1158</f>
        <v>21/10/2025,NELSONBERG</v>
      </c>
      <c r="H1158" s="39" t="str">
        <f>UPPER(Sheet1!J1158 &amp; "," &amp; Sheet1!K1158 &amp; "," &amp; Sheet1!L1158)</f>
        <v>61726 NICHOLAS HOLLOW,APT. 958,PIN:50936 NORTH STEPHENMOUTH</v>
      </c>
      <c r="I1158" s="8">
        <f>Sheet1!I1158</f>
        <v>46065</v>
      </c>
      <c r="J1158" s="5" t="str">
        <f>Sheet1!M1158 &amp; "," &amp; TEXT(Sheet1!N1158,"dd/mm/yy")</f>
        <v>MHA/IND/01175,14/03/26</v>
      </c>
      <c r="K1158" s="5" t="s">
        <v>5752</v>
      </c>
      <c r="L1158" t="s">
        <v>14</v>
      </c>
      <c r="M1158" s="31" t="s">
        <v>15</v>
      </c>
      <c r="N1158" s="31"/>
    </row>
    <row r="1159" spans="1:14" x14ac:dyDescent="0.25">
      <c r="A1159" s="4" t="str">
        <f>Sheet1!A1159 &amp; "/" &amp; "2025"</f>
        <v>1158/2025</v>
      </c>
      <c r="B1159" s="5" t="str">
        <f>Sheet1!E1159</f>
        <v>IND/MEL/01158</v>
      </c>
      <c r="C1159" s="6" t="str">
        <f>UPPER(Sheet1!B1159)</f>
        <v>MICHELLE PADILLA</v>
      </c>
      <c r="D1159" s="7" t="str">
        <f>IF(Sheet1!F1159="F","FEMALE","MALE")</f>
        <v>FEMALE</v>
      </c>
      <c r="E1159" s="6" t="str">
        <f>UPPER(Sheet1!G1159)</f>
        <v>ERIC WELLS</v>
      </c>
      <c r="F1159" s="6" t="str">
        <f>UPPER(Sheet1!H1159)</f>
        <v>CARRIE ROSS</v>
      </c>
      <c r="G1159" s="5" t="str">
        <f>TEXT(Sheet1!C1159,"dd/mm/yyyy") &amp; "," &amp; Sheet1!D1159</f>
        <v>02/04/2025,PORT PAUL</v>
      </c>
      <c r="H1159" s="39" t="str">
        <f>UPPER(Sheet1!J1159 &amp; "," &amp; Sheet1!K1159 &amp; "," &amp; Sheet1!L1159)</f>
        <v>65310 DELEON STRAVENUE,SUITE 277,PIN:49488 GIBSONBOROUGH</v>
      </c>
      <c r="I1159" s="8">
        <f>Sheet1!I1159</f>
        <v>46065</v>
      </c>
      <c r="J1159" s="5" t="str">
        <f>Sheet1!M1159 &amp; "," &amp; TEXT(Sheet1!N1159,"dd/mm/yy")</f>
        <v>MHA/IND/01176,16/02/26</v>
      </c>
      <c r="K1159" s="5" t="s">
        <v>5752</v>
      </c>
      <c r="L1159" t="s">
        <v>14</v>
      </c>
      <c r="M1159" s="31" t="s">
        <v>15</v>
      </c>
      <c r="N1159" s="31"/>
    </row>
    <row r="1160" spans="1:14" x14ac:dyDescent="0.25">
      <c r="A1160" s="4" t="str">
        <f>Sheet1!A1160 &amp; "/" &amp; "2025"</f>
        <v>1159/2025</v>
      </c>
      <c r="B1160" s="5" t="str">
        <f>Sheet1!E1160</f>
        <v>IND/MEL/01159</v>
      </c>
      <c r="C1160" s="6" t="str">
        <f>UPPER(Sheet1!B1160)</f>
        <v>MADISON WHITE</v>
      </c>
      <c r="D1160" s="7" t="str">
        <f>IF(Sheet1!F1160="F","FEMALE","MALE")</f>
        <v>FEMALE</v>
      </c>
      <c r="E1160" s="6" t="str">
        <f>UPPER(Sheet1!G1160)</f>
        <v>CRISTIAN BALL</v>
      </c>
      <c r="F1160" s="6" t="str">
        <f>UPPER(Sheet1!H1160)</f>
        <v>SANDY WELLS</v>
      </c>
      <c r="G1160" s="5" t="str">
        <f>TEXT(Sheet1!C1160,"dd/mm/yyyy") &amp; "," &amp; Sheet1!D1160</f>
        <v>19/07/2025,TAMMYBOROUGH</v>
      </c>
      <c r="H1160" s="39" t="str">
        <f>UPPER(Sheet1!J1160 &amp; "," &amp; Sheet1!K1160 &amp; "," &amp; Sheet1!L1160)</f>
        <v>0558 SARAH THROUGHWAY,SUITE 757,PIN:73655 ROBERTSSTAD</v>
      </c>
      <c r="I1160" s="8">
        <f>Sheet1!I1160</f>
        <v>46065</v>
      </c>
      <c r="J1160" s="5" t="str">
        <f>Sheet1!M1160 &amp; "," &amp; TEXT(Sheet1!N1160,"dd/mm/yy")</f>
        <v>MHA/IND/01177,13/02/26</v>
      </c>
      <c r="K1160" s="5" t="s">
        <v>5752</v>
      </c>
      <c r="L1160" t="s">
        <v>14</v>
      </c>
      <c r="M1160" s="31" t="s">
        <v>15</v>
      </c>
      <c r="N1160" s="31"/>
    </row>
    <row r="1161" spans="1:14" x14ac:dyDescent="0.25">
      <c r="A1161" s="4" t="str">
        <f>Sheet1!A1161 &amp; "/" &amp; "2025"</f>
        <v>1160/2025</v>
      </c>
      <c r="B1161" s="5" t="str">
        <f>Sheet1!E1161</f>
        <v>IND/MEL/01160</v>
      </c>
      <c r="C1161" s="6" t="str">
        <f>UPPER(Sheet1!B1161)</f>
        <v>ERIK BELL</v>
      </c>
      <c r="D1161" s="7" t="str">
        <f>IF(Sheet1!F1161="F","FEMALE","MALE")</f>
        <v>FEMALE</v>
      </c>
      <c r="E1161" s="6" t="str">
        <f>UPPER(Sheet1!G1161)</f>
        <v>JEFFREY JOHNSON</v>
      </c>
      <c r="F1161" s="6" t="str">
        <f>UPPER(Sheet1!H1161)</f>
        <v>VICTORIA HORTON</v>
      </c>
      <c r="G1161" s="5" t="str">
        <f>TEXT(Sheet1!C1161,"dd/mm/yyyy") &amp; "," &amp; Sheet1!D1161</f>
        <v>19/01/2026,NORTH PAULBURY</v>
      </c>
      <c r="H1161" s="39" t="str">
        <f>UPPER(Sheet1!J1161 &amp; "," &amp; Sheet1!K1161 &amp; "," &amp; Sheet1!L1161)</f>
        <v>352 NATHANIEL VISTA SUITE 101,APT. 201,PIN:95198 WEST ANDREA</v>
      </c>
      <c r="I1161" s="8">
        <f>Sheet1!I1161</f>
        <v>46065</v>
      </c>
      <c r="J1161" s="5" t="str">
        <f>Sheet1!M1161 &amp; "," &amp; TEXT(Sheet1!N1161,"dd/mm/yy")</f>
        <v>MHA/IND/01178,07/03/26</v>
      </c>
      <c r="K1161" s="5" t="s">
        <v>5752</v>
      </c>
      <c r="L1161" t="s">
        <v>14</v>
      </c>
      <c r="M1161" s="31" t="s">
        <v>15</v>
      </c>
      <c r="N1161" s="31"/>
    </row>
    <row r="1162" spans="1:14" x14ac:dyDescent="0.25">
      <c r="A1162" s="4" t="str">
        <f>Sheet1!A1162 &amp; "/" &amp; "2025"</f>
        <v>1161/2025</v>
      </c>
      <c r="B1162" s="5" t="str">
        <f>Sheet1!E1162</f>
        <v>IND/MEL/01161</v>
      </c>
      <c r="C1162" s="6" t="str">
        <f>UPPER(Sheet1!B1162)</f>
        <v>SETH ELLISON</v>
      </c>
      <c r="D1162" s="7" t="str">
        <f>IF(Sheet1!F1162="F","FEMALE","MALE")</f>
        <v>MALE</v>
      </c>
      <c r="E1162" s="6" t="str">
        <f>UPPER(Sheet1!G1162)</f>
        <v>CHARLES MCGEE</v>
      </c>
      <c r="F1162" s="6" t="str">
        <f>UPPER(Sheet1!H1162)</f>
        <v>KIM WALKER</v>
      </c>
      <c r="G1162" s="5" t="str">
        <f>TEXT(Sheet1!C1162,"dd/mm/yyyy") &amp; "," &amp; Sheet1!D1162</f>
        <v>20/08/2025,VAZQUEZMOUTH</v>
      </c>
      <c r="H1162" s="39" t="str">
        <f>UPPER(Sheet1!J1162 &amp; "," &amp; Sheet1!K1162 &amp; "," &amp; Sheet1!L1162)</f>
        <v>520 CHASE PASSAGE,APT. 908,PIN:43033 FLYNNHAVEN</v>
      </c>
      <c r="I1162" s="8">
        <f>Sheet1!I1162</f>
        <v>46065</v>
      </c>
      <c r="J1162" s="5" t="str">
        <f>Sheet1!M1162 &amp; "," &amp; TEXT(Sheet1!N1162,"dd/mm/yy")</f>
        <v>MHA/IND/01179,20/02/26</v>
      </c>
      <c r="K1162" s="5" t="s">
        <v>5752</v>
      </c>
      <c r="L1162" t="s">
        <v>14</v>
      </c>
      <c r="M1162" s="31" t="s">
        <v>15</v>
      </c>
      <c r="N1162" s="31"/>
    </row>
    <row r="1163" spans="1:14" x14ac:dyDescent="0.25">
      <c r="A1163" s="4" t="str">
        <f>Sheet1!A1163 &amp; "/" &amp; "2025"</f>
        <v>1162/2025</v>
      </c>
      <c r="B1163" s="5" t="str">
        <f>Sheet1!E1163</f>
        <v>IND/MEL/01162</v>
      </c>
      <c r="C1163" s="6" t="str">
        <f>UPPER(Sheet1!B1163)</f>
        <v>LAUREN SERRANO</v>
      </c>
      <c r="D1163" s="7" t="str">
        <f>IF(Sheet1!F1163="F","FEMALE","MALE")</f>
        <v>FEMALE</v>
      </c>
      <c r="E1163" s="6" t="str">
        <f>UPPER(Sheet1!G1163)</f>
        <v>WYATT ALVAREZ</v>
      </c>
      <c r="F1163" s="6" t="str">
        <f>UPPER(Sheet1!H1163)</f>
        <v>ANNA JONES</v>
      </c>
      <c r="G1163" s="5" t="str">
        <f>TEXT(Sheet1!C1163,"dd/mm/yyyy") &amp; "," &amp; Sheet1!D1163</f>
        <v>01/12/2025,PORT ALLISON</v>
      </c>
      <c r="H1163" s="39" t="str">
        <f>UPPER(Sheet1!J1163 &amp; "," &amp; Sheet1!K1163 &amp; "," &amp; Sheet1!L1163)</f>
        <v>55468 SHERRY TURNPIKE,SUITE 882,PIN:51176 MARSHALLSTAD</v>
      </c>
      <c r="I1163" s="8">
        <f>Sheet1!I1163</f>
        <v>46065</v>
      </c>
      <c r="J1163" s="5" t="str">
        <f>Sheet1!M1163 &amp; "," &amp; TEXT(Sheet1!N1163,"dd/mm/yy")</f>
        <v>MHA/IND/01180,13/03/26</v>
      </c>
      <c r="K1163" s="5" t="s">
        <v>5752</v>
      </c>
      <c r="L1163" t="s">
        <v>14</v>
      </c>
      <c r="M1163" s="31" t="s">
        <v>15</v>
      </c>
      <c r="N1163" s="31"/>
    </row>
    <row r="1164" spans="1:14" x14ac:dyDescent="0.25">
      <c r="A1164" s="4" t="str">
        <f>Sheet1!A1164 &amp; "/" &amp; "2025"</f>
        <v>1163/2025</v>
      </c>
      <c r="B1164" s="5" t="str">
        <f>Sheet1!E1164</f>
        <v>IND/MEL/01163</v>
      </c>
      <c r="C1164" s="6" t="str">
        <f>UPPER(Sheet1!B1164)</f>
        <v>DENNIS ANDERSON</v>
      </c>
      <c r="D1164" s="7" t="str">
        <f>IF(Sheet1!F1164="F","FEMALE","MALE")</f>
        <v>FEMALE</v>
      </c>
      <c r="E1164" s="6" t="str">
        <f>UPPER(Sheet1!G1164)</f>
        <v>RYAN GUTIERREZ</v>
      </c>
      <c r="F1164" s="6" t="str">
        <f>UPPER(Sheet1!H1164)</f>
        <v>AMANDA COLLINS</v>
      </c>
      <c r="G1164" s="5" t="str">
        <f>TEXT(Sheet1!C1164,"dd/mm/yyyy") &amp; "," &amp; Sheet1!D1164</f>
        <v>02/02/2026,NORTH ASHLEY</v>
      </c>
      <c r="H1164" s="39" t="str">
        <f>UPPER(Sheet1!J1164 &amp; "," &amp; Sheet1!K1164 &amp; "," &amp; Sheet1!L1164)</f>
        <v>7007 HALL VIA,APT. 407,PIN:86210 FARLEYVILLE</v>
      </c>
      <c r="I1164" s="8">
        <f>Sheet1!I1164</f>
        <v>46065</v>
      </c>
      <c r="J1164" s="5" t="str">
        <f>Sheet1!M1164 &amp; "," &amp; TEXT(Sheet1!N1164,"dd/mm/yy")</f>
        <v>MHA/IND/01181,11/03/26</v>
      </c>
      <c r="K1164" s="5" t="s">
        <v>5752</v>
      </c>
      <c r="L1164" t="s">
        <v>14</v>
      </c>
      <c r="M1164" s="31" t="s">
        <v>15</v>
      </c>
      <c r="N1164" s="31"/>
    </row>
    <row r="1165" spans="1:14" x14ac:dyDescent="0.25">
      <c r="A1165" s="4" t="str">
        <f>Sheet1!A1165 &amp; "/" &amp; "2025"</f>
        <v>1164/2025</v>
      </c>
      <c r="B1165" s="5" t="str">
        <f>Sheet1!E1165</f>
        <v>IND/MEL/01164</v>
      </c>
      <c r="C1165" s="6" t="str">
        <f>UPPER(Sheet1!B1165)</f>
        <v>KEVIN ALLEN</v>
      </c>
      <c r="D1165" s="7" t="str">
        <f>IF(Sheet1!F1165="F","FEMALE","MALE")</f>
        <v>MALE</v>
      </c>
      <c r="E1165" s="6" t="str">
        <f>UPPER(Sheet1!G1165)</f>
        <v>WILLIAM WILSON</v>
      </c>
      <c r="F1165" s="6" t="str">
        <f>UPPER(Sheet1!H1165)</f>
        <v>AMANDA ATKINS</v>
      </c>
      <c r="G1165" s="5" t="str">
        <f>TEXT(Sheet1!C1165,"dd/mm/yyyy") &amp; "," &amp; Sheet1!D1165</f>
        <v>21/05/2025,RIVERAVIEW</v>
      </c>
      <c r="H1165" s="39" t="str">
        <f>UPPER(Sheet1!J1165 &amp; "," &amp; Sheet1!K1165 &amp; "," &amp; Sheet1!L1165)</f>
        <v>45119 BOWMAN STREAM,SUITE 641,PIN:26617 EAST DANIEL</v>
      </c>
      <c r="I1165" s="8">
        <f>Sheet1!I1165</f>
        <v>46065</v>
      </c>
      <c r="J1165" s="5" t="str">
        <f>Sheet1!M1165 &amp; "," &amp; TEXT(Sheet1!N1165,"dd/mm/yy")</f>
        <v>MHA/IND/01182,19/02/26</v>
      </c>
      <c r="K1165" s="5" t="s">
        <v>5752</v>
      </c>
      <c r="L1165" t="s">
        <v>14</v>
      </c>
      <c r="M1165" s="31" t="s">
        <v>15</v>
      </c>
      <c r="N1165" s="31"/>
    </row>
    <row r="1166" spans="1:14" x14ac:dyDescent="0.25">
      <c r="A1166" s="4" t="str">
        <f>Sheet1!A1166 &amp; "/" &amp; "2025"</f>
        <v>1165/2025</v>
      </c>
      <c r="B1166" s="5" t="str">
        <f>Sheet1!E1166</f>
        <v>IND/MEL/01165</v>
      </c>
      <c r="C1166" s="6" t="str">
        <f>UPPER(Sheet1!B1166)</f>
        <v>BRIAN MAXWELL DVM</v>
      </c>
      <c r="D1166" s="7" t="str">
        <f>IF(Sheet1!F1166="F","FEMALE","MALE")</f>
        <v>MALE</v>
      </c>
      <c r="E1166" s="6" t="str">
        <f>UPPER(Sheet1!G1166)</f>
        <v>LEONARD MITCHELL</v>
      </c>
      <c r="F1166" s="6" t="str">
        <f>UPPER(Sheet1!H1166)</f>
        <v>REBECCA RUIZ</v>
      </c>
      <c r="G1166" s="5" t="str">
        <f>TEXT(Sheet1!C1166,"dd/mm/yyyy") &amp; "," &amp; Sheet1!D1166</f>
        <v>20/09/2025,WEST ROBERT</v>
      </c>
      <c r="H1166" s="39" t="str">
        <f>UPPER(Sheet1!J1166 &amp; "," &amp; Sheet1!K1166 &amp; "," &amp; Sheet1!L1166)</f>
        <v>53228 MATHEWS RAMP APT. 814,APT. 670,PIN:94535 HILLPORT</v>
      </c>
      <c r="I1166" s="8">
        <f>Sheet1!I1166</f>
        <v>46065</v>
      </c>
      <c r="J1166" s="5" t="str">
        <f>Sheet1!M1166 &amp; "," &amp; TEXT(Sheet1!N1166,"dd/mm/yy")</f>
        <v>MHA/IND/01183,21/02/26</v>
      </c>
      <c r="K1166" s="5" t="s">
        <v>5752</v>
      </c>
      <c r="L1166" t="s">
        <v>14</v>
      </c>
      <c r="M1166" s="31" t="s">
        <v>15</v>
      </c>
      <c r="N1166" s="31"/>
    </row>
    <row r="1167" spans="1:14" x14ac:dyDescent="0.25">
      <c r="A1167" s="4" t="str">
        <f>Sheet1!A1167 &amp; "/" &amp; "2025"</f>
        <v>1166/2025</v>
      </c>
      <c r="B1167" s="5" t="str">
        <f>Sheet1!E1167</f>
        <v>IND/MEL/01166</v>
      </c>
      <c r="C1167" s="6" t="str">
        <f>UPPER(Sheet1!B1167)</f>
        <v>CASSIE KING</v>
      </c>
      <c r="D1167" s="7" t="str">
        <f>IF(Sheet1!F1167="F","FEMALE","MALE")</f>
        <v>FEMALE</v>
      </c>
      <c r="E1167" s="6" t="str">
        <f>UPPER(Sheet1!G1167)</f>
        <v>PAUL CANTRELL</v>
      </c>
      <c r="F1167" s="6" t="str">
        <f>UPPER(Sheet1!H1167)</f>
        <v>BRANDI CUEVAS</v>
      </c>
      <c r="G1167" s="5" t="str">
        <f>TEXT(Sheet1!C1167,"dd/mm/yyyy") &amp; "," &amp; Sheet1!D1167</f>
        <v>24/07/2025,HEATHERMOUTH</v>
      </c>
      <c r="H1167" s="39" t="str">
        <f>UPPER(Sheet1!J1167 &amp; "," &amp; Sheet1!K1167 &amp; "," &amp; Sheet1!L1167)</f>
        <v>43416 JESSICA PORTS,SUITE 146,PIN:97917 SOUTH JESSE</v>
      </c>
      <c r="I1167" s="8">
        <f>Sheet1!I1167</f>
        <v>46065</v>
      </c>
      <c r="J1167" s="5" t="str">
        <f>Sheet1!M1167 &amp; "," &amp; TEXT(Sheet1!N1167,"dd/mm/yy")</f>
        <v>MHA/IND/01184,15/02/26</v>
      </c>
      <c r="K1167" s="5" t="s">
        <v>5752</v>
      </c>
      <c r="L1167" t="s">
        <v>14</v>
      </c>
      <c r="M1167" s="31" t="s">
        <v>15</v>
      </c>
      <c r="N1167" s="31"/>
    </row>
    <row r="1168" spans="1:14" x14ac:dyDescent="0.25">
      <c r="A1168" s="4" t="str">
        <f>Sheet1!A1168 &amp; "/" &amp; "2025"</f>
        <v>1167/2025</v>
      </c>
      <c r="B1168" s="5" t="str">
        <f>Sheet1!E1168</f>
        <v>IND/MEL/01167</v>
      </c>
      <c r="C1168" s="6" t="str">
        <f>UPPER(Sheet1!B1168)</f>
        <v>WENDY MORGAN</v>
      </c>
      <c r="D1168" s="7" t="str">
        <f>IF(Sheet1!F1168="F","FEMALE","MALE")</f>
        <v>MALE</v>
      </c>
      <c r="E1168" s="6" t="str">
        <f>UPPER(Sheet1!G1168)</f>
        <v>KEITH HAWKINS</v>
      </c>
      <c r="F1168" s="6" t="str">
        <f>UPPER(Sheet1!H1168)</f>
        <v>GINA JOHNSTON</v>
      </c>
      <c r="G1168" s="5" t="str">
        <f>TEXT(Sheet1!C1168,"dd/mm/yyyy") &amp; "," &amp; Sheet1!D1168</f>
        <v>07/10/2025,JOHNPORT</v>
      </c>
      <c r="H1168" s="39" t="str">
        <f>UPPER(Sheet1!J1168 &amp; "," &amp; Sheet1!K1168 &amp; "," &amp; Sheet1!L1168)</f>
        <v>0607 JOHN PINES,APT. 438,PIN:54934 STEELETON</v>
      </c>
      <c r="I1168" s="8">
        <f>Sheet1!I1168</f>
        <v>46065</v>
      </c>
      <c r="J1168" s="5" t="str">
        <f>Sheet1!M1168 &amp; "," &amp; TEXT(Sheet1!N1168,"dd/mm/yy")</f>
        <v>MHA/IND/01185,11/03/26</v>
      </c>
      <c r="K1168" s="5" t="s">
        <v>5752</v>
      </c>
      <c r="L1168" t="s">
        <v>14</v>
      </c>
      <c r="M1168" s="31" t="s">
        <v>15</v>
      </c>
      <c r="N1168" s="31"/>
    </row>
    <row r="1169" spans="1:14" x14ac:dyDescent="0.25">
      <c r="A1169" s="4" t="str">
        <f>Sheet1!A1169 &amp; "/" &amp; "2025"</f>
        <v>1168/2025</v>
      </c>
      <c r="B1169" s="5" t="str">
        <f>Sheet1!E1169</f>
        <v>IND/MEL/01168</v>
      </c>
      <c r="C1169" s="6" t="str">
        <f>UPPER(Sheet1!B1169)</f>
        <v>LORI THOMPSON</v>
      </c>
      <c r="D1169" s="7" t="str">
        <f>IF(Sheet1!F1169="F","FEMALE","MALE")</f>
        <v>FEMALE</v>
      </c>
      <c r="E1169" s="6" t="str">
        <f>UPPER(Sheet1!G1169)</f>
        <v>JOHN DAVID</v>
      </c>
      <c r="F1169" s="6" t="str">
        <f>UPPER(Sheet1!H1169)</f>
        <v>CHERYL GREGORY</v>
      </c>
      <c r="G1169" s="5" t="str">
        <f>TEXT(Sheet1!C1169,"dd/mm/yyyy") &amp; "," &amp; Sheet1!D1169</f>
        <v>09/12/2025,SOUTH JULIAHAVEN</v>
      </c>
      <c r="H1169" s="39" t="str">
        <f>UPPER(Sheet1!J1169 &amp; "," &amp; Sheet1!K1169 &amp; "," &amp; Sheet1!L1169)</f>
        <v>856 ETHAN GREEN,SUITE 117,PIN:92333 DOUGLASFURT</v>
      </c>
      <c r="I1169" s="8">
        <f>Sheet1!I1169</f>
        <v>46065</v>
      </c>
      <c r="J1169" s="5" t="str">
        <f>Sheet1!M1169 &amp; "," &amp; TEXT(Sheet1!N1169,"dd/mm/yy")</f>
        <v>MHA/IND/01186,01/03/26</v>
      </c>
      <c r="K1169" s="5" t="s">
        <v>5752</v>
      </c>
      <c r="L1169" t="s">
        <v>14</v>
      </c>
      <c r="M1169" s="31" t="s">
        <v>15</v>
      </c>
      <c r="N1169" s="31"/>
    </row>
    <row r="1170" spans="1:14" x14ac:dyDescent="0.25">
      <c r="A1170" s="4" t="str">
        <f>Sheet1!A1170 &amp; "/" &amp; "2025"</f>
        <v>1169/2025</v>
      </c>
      <c r="B1170" s="5" t="str">
        <f>Sheet1!E1170</f>
        <v>IND/MEL/01169</v>
      </c>
      <c r="C1170" s="6" t="str">
        <f>UPPER(Sheet1!B1170)</f>
        <v>LARRY STEELE</v>
      </c>
      <c r="D1170" s="7" t="str">
        <f>IF(Sheet1!F1170="F","FEMALE","MALE")</f>
        <v>FEMALE</v>
      </c>
      <c r="E1170" s="6" t="str">
        <f>UPPER(Sheet1!G1170)</f>
        <v>JOHN MASON</v>
      </c>
      <c r="F1170" s="6" t="str">
        <f>UPPER(Sheet1!H1170)</f>
        <v>ASHLEY SMITH</v>
      </c>
      <c r="G1170" s="5" t="str">
        <f>TEXT(Sheet1!C1170,"dd/mm/yyyy") &amp; "," &amp; Sheet1!D1170</f>
        <v>07/09/2025,PORT KIMBERLY</v>
      </c>
      <c r="H1170" s="39" t="str">
        <f>UPPER(Sheet1!J1170 &amp; "," &amp; Sheet1!K1170 &amp; "," &amp; Sheet1!L1170)</f>
        <v>85057 WALKER REST,SUITE 162,PIN:19752 JOSHUAFURT</v>
      </c>
      <c r="I1170" s="8">
        <f>Sheet1!I1170</f>
        <v>46065</v>
      </c>
      <c r="J1170" s="5" t="str">
        <f>Sheet1!M1170 &amp; "," &amp; TEXT(Sheet1!N1170,"dd/mm/yy")</f>
        <v>MHA/IND/01187,10/03/26</v>
      </c>
      <c r="K1170" s="5" t="s">
        <v>5752</v>
      </c>
      <c r="L1170" t="s">
        <v>14</v>
      </c>
      <c r="M1170" s="31" t="s">
        <v>15</v>
      </c>
      <c r="N1170" s="31"/>
    </row>
    <row r="1171" spans="1:14" x14ac:dyDescent="0.25">
      <c r="A1171" s="4" t="str">
        <f>Sheet1!A1171 &amp; "/" &amp; "2025"</f>
        <v>1170/2025</v>
      </c>
      <c r="B1171" s="5" t="str">
        <f>Sheet1!E1171</f>
        <v>IND/MEL/01170</v>
      </c>
      <c r="C1171" s="6" t="str">
        <f>UPPER(Sheet1!B1171)</f>
        <v>MIRANDA MILLER</v>
      </c>
      <c r="D1171" s="7" t="str">
        <f>IF(Sheet1!F1171="F","FEMALE","MALE")</f>
        <v>MALE</v>
      </c>
      <c r="E1171" s="6" t="str">
        <f>UPPER(Sheet1!G1171)</f>
        <v>JESSE WALLACE</v>
      </c>
      <c r="F1171" s="6" t="str">
        <f>UPPER(Sheet1!H1171)</f>
        <v>HEIDI DUKE</v>
      </c>
      <c r="G1171" s="5" t="str">
        <f>TEXT(Sheet1!C1171,"dd/mm/yyyy") &amp; "," &amp; Sheet1!D1171</f>
        <v>23/05/2025,WASHINGTONMOUTH</v>
      </c>
      <c r="H1171" s="39" t="str">
        <f>UPPER(Sheet1!J1171 &amp; "," &amp; Sheet1!K1171 &amp; "," &amp; Sheet1!L1171)</f>
        <v>49625 DANIEL TUNNEL APT. 369,APT. 766,PIN:21251 NORTH MICHAELBOROUGH</v>
      </c>
      <c r="I1171" s="8">
        <f>Sheet1!I1171</f>
        <v>46065</v>
      </c>
      <c r="J1171" s="5" t="str">
        <f>Sheet1!M1171 &amp; "," &amp; TEXT(Sheet1!N1171,"dd/mm/yy")</f>
        <v>MHA/IND/01188,16/02/26</v>
      </c>
      <c r="K1171" s="5" t="s">
        <v>5752</v>
      </c>
      <c r="L1171" t="s">
        <v>14</v>
      </c>
      <c r="M1171" s="31" t="s">
        <v>15</v>
      </c>
      <c r="N1171" s="31"/>
    </row>
    <row r="1172" spans="1:14" x14ac:dyDescent="0.25">
      <c r="A1172" s="4" t="str">
        <f>Sheet1!A1172 &amp; "/" &amp; "2025"</f>
        <v>1171/2025</v>
      </c>
      <c r="B1172" s="5" t="str">
        <f>Sheet1!E1172</f>
        <v>IND/MEL/01171</v>
      </c>
      <c r="C1172" s="6" t="str">
        <f>UPPER(Sheet1!B1172)</f>
        <v>JANET DYER</v>
      </c>
      <c r="D1172" s="7" t="str">
        <f>IF(Sheet1!F1172="F","FEMALE","MALE")</f>
        <v>MALE</v>
      </c>
      <c r="E1172" s="6" t="str">
        <f>UPPER(Sheet1!G1172)</f>
        <v>BRYAN LEWIS</v>
      </c>
      <c r="F1172" s="6" t="str">
        <f>UPPER(Sheet1!H1172)</f>
        <v>DENISE PEREZ</v>
      </c>
      <c r="G1172" s="5" t="str">
        <f>TEXT(Sheet1!C1172,"dd/mm/yyyy") &amp; "," &amp; Sheet1!D1172</f>
        <v>14/10/2025,LAKE ROBINSHIRE</v>
      </c>
      <c r="H1172" s="39" t="str">
        <f>UPPER(Sheet1!J1172 &amp; "," &amp; Sheet1!K1172 &amp; "," &amp; Sheet1!L1172)</f>
        <v>195 CUNNINGHAM CORNERS,APT. 821,PIN:33349 PORT AMANDAVILLE</v>
      </c>
      <c r="I1172" s="8">
        <f>Sheet1!I1172</f>
        <v>46065</v>
      </c>
      <c r="J1172" s="5" t="str">
        <f>Sheet1!M1172 &amp; "," &amp; TEXT(Sheet1!N1172,"dd/mm/yy")</f>
        <v>MHA/IND/01189,21/02/26</v>
      </c>
      <c r="K1172" s="5" t="s">
        <v>5752</v>
      </c>
      <c r="L1172" t="s">
        <v>14</v>
      </c>
      <c r="M1172" s="31" t="s">
        <v>15</v>
      </c>
      <c r="N1172" s="31"/>
    </row>
    <row r="1173" spans="1:14" x14ac:dyDescent="0.25">
      <c r="A1173" s="4" t="str">
        <f>Sheet1!A1173 &amp; "/" &amp; "2025"</f>
        <v>1172/2025</v>
      </c>
      <c r="B1173" s="5" t="str">
        <f>Sheet1!E1173</f>
        <v>IND/MEL/01172</v>
      </c>
      <c r="C1173" s="6" t="str">
        <f>UPPER(Sheet1!B1173)</f>
        <v>JEFFREY SPENCER</v>
      </c>
      <c r="D1173" s="7" t="str">
        <f>IF(Sheet1!F1173="F","FEMALE","MALE")</f>
        <v>FEMALE</v>
      </c>
      <c r="E1173" s="6" t="str">
        <f>UPPER(Sheet1!G1173)</f>
        <v>RICHARD RODRIGUEZ</v>
      </c>
      <c r="F1173" s="6" t="str">
        <f>UPPER(Sheet1!H1173)</f>
        <v>MARISSA SANCHEZ</v>
      </c>
      <c r="G1173" s="5" t="str">
        <f>TEXT(Sheet1!C1173,"dd/mm/yyyy") &amp; "," &amp; Sheet1!D1173</f>
        <v>12/01/2026,LAKE ROBERT</v>
      </c>
      <c r="H1173" s="39" t="str">
        <f>UPPER(Sheet1!J1173 &amp; "," &amp; Sheet1!K1173 &amp; "," &amp; Sheet1!L1173)</f>
        <v>032 MARY LANDING,APT. 141,PIN:19204 WINTERSMOUTH</v>
      </c>
      <c r="I1173" s="8">
        <f>Sheet1!I1173</f>
        <v>46065</v>
      </c>
      <c r="J1173" s="5" t="str">
        <f>Sheet1!M1173 &amp; "," &amp; TEXT(Sheet1!N1173,"dd/mm/yy")</f>
        <v>MHA/IND/01190,17/02/26</v>
      </c>
      <c r="K1173" s="5" t="s">
        <v>5752</v>
      </c>
      <c r="L1173" t="s">
        <v>14</v>
      </c>
      <c r="M1173" s="31" t="s">
        <v>15</v>
      </c>
      <c r="N1173" s="31"/>
    </row>
    <row r="1174" spans="1:14" x14ac:dyDescent="0.25">
      <c r="A1174" s="4" t="str">
        <f>Sheet1!A1174 &amp; "/" &amp; "2025"</f>
        <v>1173/2025</v>
      </c>
      <c r="B1174" s="5" t="str">
        <f>Sheet1!E1174</f>
        <v>IND/MEL/01173</v>
      </c>
      <c r="C1174" s="6" t="str">
        <f>UPPER(Sheet1!B1174)</f>
        <v>ANTHONY JOHNSON</v>
      </c>
      <c r="D1174" s="7" t="str">
        <f>IF(Sheet1!F1174="F","FEMALE","MALE")</f>
        <v>MALE</v>
      </c>
      <c r="E1174" s="6" t="str">
        <f>UPPER(Sheet1!G1174)</f>
        <v>CHRISTOPHER SOSA</v>
      </c>
      <c r="F1174" s="6" t="str">
        <f>UPPER(Sheet1!H1174)</f>
        <v>JENNIFER MATTHEWS</v>
      </c>
      <c r="G1174" s="5" t="str">
        <f>TEXT(Sheet1!C1174,"dd/mm/yyyy") &amp; "," &amp; Sheet1!D1174</f>
        <v>15/07/2025,WEST BRANDONSHIRE</v>
      </c>
      <c r="H1174" s="39" t="str">
        <f>UPPER(Sheet1!J1174 &amp; "," &amp; Sheet1!K1174 &amp; "," &amp; Sheet1!L1174)</f>
        <v>80450 JAMES HARBOR APT. 206,APT. 304,PIN:59380 WEST MATTHEW</v>
      </c>
      <c r="I1174" s="8">
        <f>Sheet1!I1174</f>
        <v>46065</v>
      </c>
      <c r="J1174" s="5" t="str">
        <f>Sheet1!M1174 &amp; "," &amp; TEXT(Sheet1!N1174,"dd/mm/yy")</f>
        <v>MHA/IND/01191,12/03/26</v>
      </c>
      <c r="K1174" s="5" t="s">
        <v>5752</v>
      </c>
      <c r="L1174" t="s">
        <v>14</v>
      </c>
      <c r="M1174" s="31" t="s">
        <v>15</v>
      </c>
      <c r="N1174" s="31"/>
    </row>
    <row r="1175" spans="1:14" x14ac:dyDescent="0.25">
      <c r="A1175" s="4" t="str">
        <f>Sheet1!A1175 &amp; "/" &amp; "2025"</f>
        <v>1174/2025</v>
      </c>
      <c r="B1175" s="5" t="str">
        <f>Sheet1!E1175</f>
        <v>IND/MEL/01174</v>
      </c>
      <c r="C1175" s="6" t="str">
        <f>UPPER(Sheet1!B1175)</f>
        <v>CATHERINE GRAY</v>
      </c>
      <c r="D1175" s="7" t="str">
        <f>IF(Sheet1!F1175="F","FEMALE","MALE")</f>
        <v>MALE</v>
      </c>
      <c r="E1175" s="6" t="str">
        <f>UPPER(Sheet1!G1175)</f>
        <v>ANDREW WILLIAMS</v>
      </c>
      <c r="F1175" s="6" t="str">
        <f>UPPER(Sheet1!H1175)</f>
        <v>MELISSA WRIGHT</v>
      </c>
      <c r="G1175" s="5" t="str">
        <f>TEXT(Sheet1!C1175,"dd/mm/yyyy") &amp; "," &amp; Sheet1!D1175</f>
        <v>19/07/2025,PATRICIASHIRE</v>
      </c>
      <c r="H1175" s="39" t="str">
        <f>UPPER(Sheet1!J1175 &amp; "," &amp; Sheet1!K1175 &amp; "," &amp; Sheet1!L1175)</f>
        <v>363 POWELL PARKWAYS SUITE 091,SUITE 160,PIN:70438 CONTRERASSTAD</v>
      </c>
      <c r="I1175" s="8">
        <f>Sheet1!I1175</f>
        <v>46065</v>
      </c>
      <c r="J1175" s="5" t="str">
        <f>Sheet1!M1175 &amp; "," &amp; TEXT(Sheet1!N1175,"dd/mm/yy")</f>
        <v>MHA/IND/01192,27/02/26</v>
      </c>
      <c r="K1175" s="5" t="s">
        <v>5752</v>
      </c>
      <c r="L1175" t="s">
        <v>14</v>
      </c>
      <c r="M1175" s="31" t="s">
        <v>15</v>
      </c>
      <c r="N1175" s="31"/>
    </row>
    <row r="1176" spans="1:14" x14ac:dyDescent="0.25">
      <c r="A1176" s="4" t="str">
        <f>Sheet1!A1176 &amp; "/" &amp; "2025"</f>
        <v>1175/2025</v>
      </c>
      <c r="B1176" s="5" t="str">
        <f>Sheet1!E1176</f>
        <v>IND/MEL/01175</v>
      </c>
      <c r="C1176" s="6" t="str">
        <f>UPPER(Sheet1!B1176)</f>
        <v>VICTORIA MILLER</v>
      </c>
      <c r="D1176" s="7" t="str">
        <f>IF(Sheet1!F1176="F","FEMALE","MALE")</f>
        <v>MALE</v>
      </c>
      <c r="E1176" s="6" t="str">
        <f>UPPER(Sheet1!G1176)</f>
        <v>CHRISTOPHER LOPEZ</v>
      </c>
      <c r="F1176" s="6" t="str">
        <f>UPPER(Sheet1!H1176)</f>
        <v>VANESSA WHITE DVM</v>
      </c>
      <c r="G1176" s="5" t="str">
        <f>TEXT(Sheet1!C1176,"dd/mm/yyyy") &amp; "," &amp; Sheet1!D1176</f>
        <v>06/05/2025,WEST KIMBERLYBURGH</v>
      </c>
      <c r="H1176" s="39" t="str">
        <f>UPPER(Sheet1!J1176 &amp; "," &amp; Sheet1!K1176 &amp; "," &amp; Sheet1!L1176)</f>
        <v>50571 JENNIFER PRAIRIE,SUITE 043,PIN:93178 KIMBERLYBOROUGH</v>
      </c>
      <c r="I1176" s="8">
        <f>Sheet1!I1176</f>
        <v>46065</v>
      </c>
      <c r="J1176" s="5" t="str">
        <f>Sheet1!M1176 &amp; "," &amp; TEXT(Sheet1!N1176,"dd/mm/yy")</f>
        <v>MHA/IND/01193,16/02/26</v>
      </c>
      <c r="K1176" s="5" t="s">
        <v>5752</v>
      </c>
      <c r="L1176" t="s">
        <v>14</v>
      </c>
      <c r="M1176" s="31" t="s">
        <v>15</v>
      </c>
      <c r="N1176" s="31"/>
    </row>
    <row r="1177" spans="1:14" x14ac:dyDescent="0.25">
      <c r="A1177" s="4" t="str">
        <f>Sheet1!A1177 &amp; "/" &amp; "2025"</f>
        <v>1176/2025</v>
      </c>
      <c r="B1177" s="5" t="str">
        <f>Sheet1!E1177</f>
        <v>IND/MEL/01176</v>
      </c>
      <c r="C1177" s="6" t="str">
        <f>UPPER(Sheet1!B1177)</f>
        <v>JENNIFER MURPHY</v>
      </c>
      <c r="D1177" s="7" t="str">
        <f>IF(Sheet1!F1177="F","FEMALE","MALE")</f>
        <v>MALE</v>
      </c>
      <c r="E1177" s="6" t="str">
        <f>UPPER(Sheet1!G1177)</f>
        <v>ANTHONY CARLSON</v>
      </c>
      <c r="F1177" s="6" t="str">
        <f>UPPER(Sheet1!H1177)</f>
        <v>LESLIE SMITH</v>
      </c>
      <c r="G1177" s="5" t="str">
        <f>TEXT(Sheet1!C1177,"dd/mm/yyyy") &amp; "," &amp; Sheet1!D1177</f>
        <v>21/04/2025,LAKE KRISTEN</v>
      </c>
      <c r="H1177" s="39" t="str">
        <f>UPPER(Sheet1!J1177 &amp; "," &amp; Sheet1!K1177 &amp; "," &amp; Sheet1!L1177)</f>
        <v>2354 CAROL FORGES SUITE 945,SUITE 435,PIN:24201 NEW CHRISTOPHER</v>
      </c>
      <c r="I1177" s="8">
        <f>Sheet1!I1177</f>
        <v>46065</v>
      </c>
      <c r="J1177" s="5" t="str">
        <f>Sheet1!M1177 &amp; "," &amp; TEXT(Sheet1!N1177,"dd/mm/yy")</f>
        <v>MHA/IND/01194,04/03/26</v>
      </c>
      <c r="K1177" s="5" t="s">
        <v>5752</v>
      </c>
      <c r="L1177" t="s">
        <v>14</v>
      </c>
      <c r="M1177" s="31" t="s">
        <v>15</v>
      </c>
      <c r="N1177" s="31"/>
    </row>
    <row r="1178" spans="1:14" x14ac:dyDescent="0.25">
      <c r="A1178" s="4" t="str">
        <f>Sheet1!A1178 &amp; "/" &amp; "2025"</f>
        <v>1177/2025</v>
      </c>
      <c r="B1178" s="5" t="str">
        <f>Sheet1!E1178</f>
        <v>IND/MEL/01177</v>
      </c>
      <c r="C1178" s="6" t="str">
        <f>UPPER(Sheet1!B1178)</f>
        <v>AMBER ELLIS</v>
      </c>
      <c r="D1178" s="7" t="str">
        <f>IF(Sheet1!F1178="F","FEMALE","MALE")</f>
        <v>FEMALE</v>
      </c>
      <c r="E1178" s="6" t="str">
        <f>UPPER(Sheet1!G1178)</f>
        <v>STEVEN GREENE</v>
      </c>
      <c r="F1178" s="6" t="str">
        <f>UPPER(Sheet1!H1178)</f>
        <v>MIRANDA BAILEY</v>
      </c>
      <c r="G1178" s="5" t="str">
        <f>TEXT(Sheet1!C1178,"dd/mm/yyyy") &amp; "," &amp; Sheet1!D1178</f>
        <v>19/07/2025,NORTH NICHOLASCHESTER</v>
      </c>
      <c r="H1178" s="39" t="str">
        <f>UPPER(Sheet1!J1178 &amp; "," &amp; Sheet1!K1178 &amp; "," &amp; Sheet1!L1178)</f>
        <v>193 GEORGE VILLAGE APT. 248,SUITE 209,PIN:58260 NEW MATTHEW</v>
      </c>
      <c r="I1178" s="8">
        <f>Sheet1!I1178</f>
        <v>46065</v>
      </c>
      <c r="J1178" s="5" t="str">
        <f>Sheet1!M1178 &amp; "," &amp; TEXT(Sheet1!N1178,"dd/mm/yy")</f>
        <v>MHA/IND/01195,16/02/26</v>
      </c>
      <c r="K1178" s="5" t="s">
        <v>5752</v>
      </c>
      <c r="L1178" t="s">
        <v>14</v>
      </c>
      <c r="M1178" s="31" t="s">
        <v>15</v>
      </c>
      <c r="N1178" s="31"/>
    </row>
    <row r="1179" spans="1:14" x14ac:dyDescent="0.25">
      <c r="A1179" s="4" t="str">
        <f>Sheet1!A1179 &amp; "/" &amp; "2025"</f>
        <v>1178/2025</v>
      </c>
      <c r="B1179" s="5" t="str">
        <f>Sheet1!E1179</f>
        <v>IND/MEL/01178</v>
      </c>
      <c r="C1179" s="6" t="str">
        <f>UPPER(Sheet1!B1179)</f>
        <v>JENNIFER GARCIA</v>
      </c>
      <c r="D1179" s="7" t="str">
        <f>IF(Sheet1!F1179="F","FEMALE","MALE")</f>
        <v>FEMALE</v>
      </c>
      <c r="E1179" s="6" t="str">
        <f>UPPER(Sheet1!G1179)</f>
        <v>MICHAEL CARRILLO</v>
      </c>
      <c r="F1179" s="6" t="str">
        <f>UPPER(Sheet1!H1179)</f>
        <v>SAMANTHA SANCHEZ</v>
      </c>
      <c r="G1179" s="5" t="str">
        <f>TEXT(Sheet1!C1179,"dd/mm/yyyy") &amp; "," &amp; Sheet1!D1179</f>
        <v>04/06/2025,NORTH TAMI</v>
      </c>
      <c r="H1179" s="39" t="str">
        <f>UPPER(Sheet1!J1179 &amp; "," &amp; Sheet1!K1179 &amp; "," &amp; Sheet1!L1179)</f>
        <v>219 RICKY AVENUE APT. 450,APT. 442,PIN:99110 KATHLEENVIEW</v>
      </c>
      <c r="I1179" s="8">
        <f>Sheet1!I1179</f>
        <v>46065</v>
      </c>
      <c r="J1179" s="5" t="str">
        <f>Sheet1!M1179 &amp; "," &amp; TEXT(Sheet1!N1179,"dd/mm/yy")</f>
        <v>MHA/IND/01196,13/02/26</v>
      </c>
      <c r="K1179" s="5" t="s">
        <v>5752</v>
      </c>
      <c r="L1179" t="s">
        <v>14</v>
      </c>
      <c r="M1179" s="31" t="s">
        <v>15</v>
      </c>
      <c r="N1179" s="31"/>
    </row>
    <row r="1180" spans="1:14" x14ac:dyDescent="0.25">
      <c r="A1180" s="4" t="str">
        <f>Sheet1!A1180 &amp; "/" &amp; "2025"</f>
        <v>1179/2025</v>
      </c>
      <c r="B1180" s="5" t="str">
        <f>Sheet1!E1180</f>
        <v>IND/MEL/01179</v>
      </c>
      <c r="C1180" s="6" t="str">
        <f>UPPER(Sheet1!B1180)</f>
        <v>SAMUEL FOWLER</v>
      </c>
      <c r="D1180" s="7" t="str">
        <f>IF(Sheet1!F1180="F","FEMALE","MALE")</f>
        <v>FEMALE</v>
      </c>
      <c r="E1180" s="6" t="str">
        <f>UPPER(Sheet1!G1180)</f>
        <v>ROBERT PETERS</v>
      </c>
      <c r="F1180" s="6" t="str">
        <f>UPPER(Sheet1!H1180)</f>
        <v>MARIAH COOK</v>
      </c>
      <c r="G1180" s="5" t="str">
        <f>TEXT(Sheet1!C1180,"dd/mm/yyyy") &amp; "," &amp; Sheet1!D1180</f>
        <v>14/06/2025,MORANBOROUGH</v>
      </c>
      <c r="H1180" s="39" t="str">
        <f>UPPER(Sheet1!J1180 &amp; "," &amp; Sheet1!K1180 &amp; "," &amp; Sheet1!L1180)</f>
        <v>78299 WHITAKER HILL SUITE 889,APT. 322,PIN:63786 ESTESTOWN</v>
      </c>
      <c r="I1180" s="8">
        <f>Sheet1!I1180</f>
        <v>46065</v>
      </c>
      <c r="J1180" s="5" t="str">
        <f>Sheet1!M1180 &amp; "," &amp; TEXT(Sheet1!N1180,"dd/mm/yy")</f>
        <v>MHA/IND/01197,03/03/26</v>
      </c>
      <c r="K1180" s="5" t="s">
        <v>5752</v>
      </c>
      <c r="L1180" t="s">
        <v>14</v>
      </c>
      <c r="M1180" s="31" t="s">
        <v>15</v>
      </c>
      <c r="N1180" s="31"/>
    </row>
    <row r="1181" spans="1:14" x14ac:dyDescent="0.25">
      <c r="A1181" s="4" t="str">
        <f>Sheet1!A1181 &amp; "/" &amp; "2025"</f>
        <v>1180/2025</v>
      </c>
      <c r="B1181" s="5" t="str">
        <f>Sheet1!E1181</f>
        <v>IND/MEL/01180</v>
      </c>
      <c r="C1181" s="6" t="str">
        <f>UPPER(Sheet1!B1181)</f>
        <v>MRS. SYDNEY NELSON</v>
      </c>
      <c r="D1181" s="7" t="str">
        <f>IF(Sheet1!F1181="F","FEMALE","MALE")</f>
        <v>MALE</v>
      </c>
      <c r="E1181" s="6" t="str">
        <f>UPPER(Sheet1!G1181)</f>
        <v>ANDREW GILBERT</v>
      </c>
      <c r="F1181" s="6" t="str">
        <f>UPPER(Sheet1!H1181)</f>
        <v>CATHERINE DENNIS</v>
      </c>
      <c r="G1181" s="5" t="str">
        <f>TEXT(Sheet1!C1181,"dd/mm/yyyy") &amp; "," &amp; Sheet1!D1181</f>
        <v>18/03/2025,KELSEYBURGH</v>
      </c>
      <c r="H1181" s="39" t="str">
        <f>UPPER(Sheet1!J1181 &amp; "," &amp; Sheet1!K1181 &amp; "," &amp; Sheet1!L1181)</f>
        <v>659 JAMES COURSE,SUITE 604,PIN:14708 SOUTH CRYSTAL</v>
      </c>
      <c r="I1181" s="8">
        <f>Sheet1!I1181</f>
        <v>46065</v>
      </c>
      <c r="J1181" s="5" t="str">
        <f>Sheet1!M1181 &amp; "," &amp; TEXT(Sheet1!N1181,"dd/mm/yy")</f>
        <v>MHA/IND/01198,17/02/26</v>
      </c>
      <c r="K1181" s="5" t="s">
        <v>5752</v>
      </c>
      <c r="L1181" t="s">
        <v>14</v>
      </c>
      <c r="M1181" s="31" t="s">
        <v>15</v>
      </c>
      <c r="N1181" s="31"/>
    </row>
    <row r="1182" spans="1:14" x14ac:dyDescent="0.25">
      <c r="A1182" s="4" t="str">
        <f>Sheet1!A1182 &amp; "/" &amp; "2025"</f>
        <v>1181/2025</v>
      </c>
      <c r="B1182" s="5" t="str">
        <f>Sheet1!E1182</f>
        <v>IND/MEL/01181</v>
      </c>
      <c r="C1182" s="6" t="str">
        <f>UPPER(Sheet1!B1182)</f>
        <v>MADELINE OCONNOR</v>
      </c>
      <c r="D1182" s="7" t="str">
        <f>IF(Sheet1!F1182="F","FEMALE","MALE")</f>
        <v>FEMALE</v>
      </c>
      <c r="E1182" s="6" t="str">
        <f>UPPER(Sheet1!G1182)</f>
        <v>JASON NELSON</v>
      </c>
      <c r="F1182" s="6" t="str">
        <f>UPPER(Sheet1!H1182)</f>
        <v>LISA MCBRIDE</v>
      </c>
      <c r="G1182" s="5" t="str">
        <f>TEXT(Sheet1!C1182,"dd/mm/yyyy") &amp; "," &amp; Sheet1!D1182</f>
        <v>01/06/2025,EAST JASONSTAD</v>
      </c>
      <c r="H1182" s="39" t="str">
        <f>UPPER(Sheet1!J1182 &amp; "," &amp; Sheet1!K1182 &amp; "," &amp; Sheet1!L1182)</f>
        <v>865 LEE PLAIN APT. 358,SUITE 689,PIN:47931 CHARLESMOUTH</v>
      </c>
      <c r="I1182" s="8">
        <f>Sheet1!I1182</f>
        <v>46065</v>
      </c>
      <c r="J1182" s="5" t="str">
        <f>Sheet1!M1182 &amp; "," &amp; TEXT(Sheet1!N1182,"dd/mm/yy")</f>
        <v>MHA/IND/01199,21/02/26</v>
      </c>
      <c r="K1182" s="5" t="s">
        <v>5752</v>
      </c>
      <c r="L1182" t="s">
        <v>14</v>
      </c>
      <c r="M1182" s="31" t="s">
        <v>15</v>
      </c>
      <c r="N1182" s="31"/>
    </row>
    <row r="1183" spans="1:14" x14ac:dyDescent="0.25">
      <c r="A1183" s="4" t="str">
        <f>Sheet1!A1183 &amp; "/" &amp; "2025"</f>
        <v>1182/2025</v>
      </c>
      <c r="B1183" s="5" t="str">
        <f>Sheet1!E1183</f>
        <v>IND/MEL/01182</v>
      </c>
      <c r="C1183" s="6" t="str">
        <f>UPPER(Sheet1!B1183)</f>
        <v>GARY SCHMIDT</v>
      </c>
      <c r="D1183" s="7" t="str">
        <f>IF(Sheet1!F1183="F","FEMALE","MALE")</f>
        <v>MALE</v>
      </c>
      <c r="E1183" s="6" t="str">
        <f>UPPER(Sheet1!G1183)</f>
        <v>RONALD COOK</v>
      </c>
      <c r="F1183" s="6" t="str">
        <f>UPPER(Sheet1!H1183)</f>
        <v>LORI THOMAS</v>
      </c>
      <c r="G1183" s="5" t="str">
        <f>TEXT(Sheet1!C1183,"dd/mm/yyyy") &amp; "," &amp; Sheet1!D1183</f>
        <v>26/10/2025,EAST LORETTA</v>
      </c>
      <c r="H1183" s="39" t="str">
        <f>UPPER(Sheet1!J1183 &amp; "," &amp; Sheet1!K1183 &amp; "," &amp; Sheet1!L1183)</f>
        <v>23654 JENNA PASSAGE,SUITE 836,PIN:72143 KEVINVILLE</v>
      </c>
      <c r="I1183" s="8">
        <f>Sheet1!I1183</f>
        <v>46065</v>
      </c>
      <c r="J1183" s="5" t="str">
        <f>Sheet1!M1183 &amp; "," &amp; TEXT(Sheet1!N1183,"dd/mm/yy")</f>
        <v>MHA/IND/01200,20/02/26</v>
      </c>
      <c r="K1183" s="5" t="s">
        <v>5752</v>
      </c>
      <c r="L1183" t="s">
        <v>14</v>
      </c>
      <c r="M1183" s="31" t="s">
        <v>15</v>
      </c>
      <c r="N1183" s="31"/>
    </row>
    <row r="1184" spans="1:14" x14ac:dyDescent="0.25">
      <c r="A1184" s="4" t="str">
        <f>Sheet1!A1184 &amp; "/" &amp; "2025"</f>
        <v>1183/2025</v>
      </c>
      <c r="B1184" s="5" t="str">
        <f>Sheet1!E1184</f>
        <v>IND/MEL/01183</v>
      </c>
      <c r="C1184" s="6" t="str">
        <f>UPPER(Sheet1!B1184)</f>
        <v>DAVID ROSS</v>
      </c>
      <c r="D1184" s="7" t="str">
        <f>IF(Sheet1!F1184="F","FEMALE","MALE")</f>
        <v>FEMALE</v>
      </c>
      <c r="E1184" s="6" t="str">
        <f>UPPER(Sheet1!G1184)</f>
        <v>JOHNNY SMITH</v>
      </c>
      <c r="F1184" s="6" t="str">
        <f>UPPER(Sheet1!H1184)</f>
        <v>SAMANTHA NELSON</v>
      </c>
      <c r="G1184" s="5" t="str">
        <f>TEXT(Sheet1!C1184,"dd/mm/yyyy") &amp; "," &amp; Sheet1!D1184</f>
        <v>17/03/2025,JOHNLAND</v>
      </c>
      <c r="H1184" s="39" t="str">
        <f>UPPER(Sheet1!J1184 &amp; "," &amp; Sheet1!K1184 &amp; "," &amp; Sheet1!L1184)</f>
        <v>291 CRUZ RIDGE,SUITE 785,PIN:33948 SOUTH ALLISONHAVEN</v>
      </c>
      <c r="I1184" s="8">
        <f>Sheet1!I1184</f>
        <v>46065</v>
      </c>
      <c r="J1184" s="5" t="str">
        <f>Sheet1!M1184 &amp; "," &amp; TEXT(Sheet1!N1184,"dd/mm/yy")</f>
        <v>MHA/IND/01201,14/03/26</v>
      </c>
      <c r="K1184" s="5" t="s">
        <v>5752</v>
      </c>
      <c r="L1184" t="s">
        <v>14</v>
      </c>
      <c r="M1184" s="31" t="s">
        <v>15</v>
      </c>
      <c r="N1184" s="31"/>
    </row>
    <row r="1185" spans="1:14" x14ac:dyDescent="0.25">
      <c r="A1185" s="4" t="str">
        <f>Sheet1!A1185 &amp; "/" &amp; "2025"</f>
        <v>1184/2025</v>
      </c>
      <c r="B1185" s="5" t="str">
        <f>Sheet1!E1185</f>
        <v>IND/MEL/01184</v>
      </c>
      <c r="C1185" s="6" t="str">
        <f>UPPER(Sheet1!B1185)</f>
        <v>MARIE BRENNAN</v>
      </c>
      <c r="D1185" s="7" t="str">
        <f>IF(Sheet1!F1185="F","FEMALE","MALE")</f>
        <v>FEMALE</v>
      </c>
      <c r="E1185" s="6" t="str">
        <f>UPPER(Sheet1!G1185)</f>
        <v>JOHNNY SMITH</v>
      </c>
      <c r="F1185" s="6" t="str">
        <f>UPPER(Sheet1!H1185)</f>
        <v>SAMANTHA NELSON</v>
      </c>
      <c r="G1185" s="5" t="str">
        <f>TEXT(Sheet1!C1185,"dd/mm/yyyy") &amp; "," &amp; Sheet1!D1185</f>
        <v>17/03/2025,JOHNLAND</v>
      </c>
      <c r="H1185" s="39" t="str">
        <f>UPPER(Sheet1!J1185 &amp; "," &amp; Sheet1!K1185 &amp; "," &amp; Sheet1!L1185)</f>
        <v>291 CRUZ RIDGE,SUITE 785,PIN:33948 SOUTH ALLISONHAVEN</v>
      </c>
      <c r="I1185" s="8">
        <f>Sheet1!I1185</f>
        <v>46065</v>
      </c>
      <c r="J1185" s="5" t="str">
        <f>Sheet1!M1185 &amp; "," &amp; TEXT(Sheet1!N1185,"dd/mm/yy")</f>
        <v>MHA/IND/01201,03/03/26</v>
      </c>
      <c r="K1185" s="5" t="s">
        <v>5752</v>
      </c>
      <c r="L1185" t="s">
        <v>14</v>
      </c>
      <c r="M1185" s="31" t="s">
        <v>15</v>
      </c>
      <c r="N1185" s="31"/>
    </row>
    <row r="1186" spans="1:14" x14ac:dyDescent="0.25">
      <c r="A1186" s="4" t="str">
        <f>Sheet1!A1186 &amp; "/" &amp; "2025"</f>
        <v>1185/2025</v>
      </c>
      <c r="B1186" s="5" t="str">
        <f>Sheet1!E1186</f>
        <v>IND/MEL/01185</v>
      </c>
      <c r="C1186" s="6" t="str">
        <f>UPPER(Sheet1!B1186)</f>
        <v>MR. CHARLES BROWN</v>
      </c>
      <c r="D1186" s="7" t="str">
        <f>IF(Sheet1!F1186="F","FEMALE","MALE")</f>
        <v>FEMALE</v>
      </c>
      <c r="E1186" s="6" t="str">
        <f>UPPER(Sheet1!G1186)</f>
        <v>JEROME MILLER</v>
      </c>
      <c r="F1186" s="6" t="str">
        <f>UPPER(Sheet1!H1186)</f>
        <v>TIFFANY HARRIS</v>
      </c>
      <c r="G1186" s="5" t="str">
        <f>TEXT(Sheet1!C1186,"dd/mm/yyyy") &amp; "," &amp; Sheet1!D1186</f>
        <v>25/01/2026,SIMPSONTON</v>
      </c>
      <c r="H1186" s="39" t="str">
        <f>UPPER(Sheet1!J1186 &amp; "," &amp; Sheet1!K1186 &amp; "," &amp; Sheet1!L1186)</f>
        <v>186 KIMBERLY CENTERS,APT. 948,PIN:31060 EAST ROBIN</v>
      </c>
      <c r="I1186" s="8">
        <f>Sheet1!I1186</f>
        <v>46065</v>
      </c>
      <c r="J1186" s="5" t="str">
        <f>Sheet1!M1186 &amp; "," &amp; TEXT(Sheet1!N1186,"dd/mm/yy")</f>
        <v>MHA/IND/01202,15/02/26</v>
      </c>
      <c r="K1186" s="5" t="s">
        <v>5752</v>
      </c>
      <c r="L1186" t="s">
        <v>14</v>
      </c>
      <c r="M1186" s="31" t="s">
        <v>15</v>
      </c>
      <c r="N1186" s="31"/>
    </row>
    <row r="1187" spans="1:14" x14ac:dyDescent="0.25">
      <c r="A1187" s="4" t="str">
        <f>Sheet1!A1187 &amp; "/" &amp; "2025"</f>
        <v>1186/2025</v>
      </c>
      <c r="B1187" s="5" t="str">
        <f>Sheet1!E1187</f>
        <v>IND/MEL/01186</v>
      </c>
      <c r="C1187" s="6" t="str">
        <f>UPPER(Sheet1!B1187)</f>
        <v>VALERIE WATSON</v>
      </c>
      <c r="D1187" s="7" t="str">
        <f>IF(Sheet1!F1187="F","FEMALE","MALE")</f>
        <v>FEMALE</v>
      </c>
      <c r="E1187" s="6" t="str">
        <f>UPPER(Sheet1!G1187)</f>
        <v>JEROME MILLER</v>
      </c>
      <c r="F1187" s="6" t="str">
        <f>UPPER(Sheet1!H1187)</f>
        <v>TIFFANY HARRIS</v>
      </c>
      <c r="G1187" s="5" t="str">
        <f>TEXT(Sheet1!C1187,"dd/mm/yyyy") &amp; "," &amp; Sheet1!D1187</f>
        <v>25/01/2026,SIMPSONTON</v>
      </c>
      <c r="H1187" s="39" t="str">
        <f>UPPER(Sheet1!J1187 &amp; "," &amp; Sheet1!K1187 &amp; "," &amp; Sheet1!L1187)</f>
        <v>186 KIMBERLY CENTERS,APT. 948,PIN:31060 EAST ROBIN</v>
      </c>
      <c r="I1187" s="8">
        <f>Sheet1!I1187</f>
        <v>46065</v>
      </c>
      <c r="J1187" s="5" t="str">
        <f>Sheet1!M1187 &amp; "," &amp; TEXT(Sheet1!N1187,"dd/mm/yy")</f>
        <v>MHA/IND/01202,03/03/26</v>
      </c>
      <c r="K1187" s="5" t="s">
        <v>5752</v>
      </c>
      <c r="L1187" t="s">
        <v>14</v>
      </c>
      <c r="M1187" s="31" t="s">
        <v>15</v>
      </c>
      <c r="N1187" s="31"/>
    </row>
    <row r="1188" spans="1:14" x14ac:dyDescent="0.25">
      <c r="A1188" s="4" t="str">
        <f>Sheet1!A1188 &amp; "/" &amp; "2025"</f>
        <v>1187/2025</v>
      </c>
      <c r="B1188" s="5" t="str">
        <f>Sheet1!E1188</f>
        <v>IND/MEL/01187</v>
      </c>
      <c r="C1188" s="6" t="str">
        <f>UPPER(Sheet1!B1188)</f>
        <v>LINDA KELLEY</v>
      </c>
      <c r="D1188" s="7" t="str">
        <f>IF(Sheet1!F1188="F","FEMALE","MALE")</f>
        <v>MALE</v>
      </c>
      <c r="E1188" s="6" t="str">
        <f>UPPER(Sheet1!G1188)</f>
        <v>ANDREW WILLIAMS</v>
      </c>
      <c r="F1188" s="6" t="str">
        <f>UPPER(Sheet1!H1188)</f>
        <v>EMILY NEWMAN</v>
      </c>
      <c r="G1188" s="5" t="str">
        <f>TEXT(Sheet1!C1188,"dd/mm/yyyy") &amp; "," &amp; Sheet1!D1188</f>
        <v>29/11/2025,LAKE JOHNVILLE</v>
      </c>
      <c r="H1188" s="39" t="str">
        <f>UPPER(Sheet1!J1188 &amp; "," &amp; Sheet1!K1188 &amp; "," &amp; Sheet1!L1188)</f>
        <v>83666 JOHN WAYS,SUITE 754,PIN:60712 PORT KENDRA</v>
      </c>
      <c r="I1188" s="8">
        <f>Sheet1!I1188</f>
        <v>46065</v>
      </c>
      <c r="J1188" s="5" t="str">
        <f>Sheet1!M1188 &amp; "," &amp; TEXT(Sheet1!N1188,"dd/mm/yy")</f>
        <v>MHA/IND/01203,27/02/26</v>
      </c>
      <c r="K1188" s="5" t="s">
        <v>5752</v>
      </c>
      <c r="L1188" t="s">
        <v>14</v>
      </c>
      <c r="M1188" s="31" t="s">
        <v>15</v>
      </c>
      <c r="N1188" s="31"/>
    </row>
    <row r="1189" spans="1:14" x14ac:dyDescent="0.25">
      <c r="A1189" s="4" t="str">
        <f>Sheet1!A1189 &amp; "/" &amp; "2025"</f>
        <v>1188/2025</v>
      </c>
      <c r="B1189" s="5" t="str">
        <f>Sheet1!E1189</f>
        <v>IND/MEL/01188</v>
      </c>
      <c r="C1189" s="6" t="str">
        <f>UPPER(Sheet1!B1189)</f>
        <v>MARTIN NICHOLS</v>
      </c>
      <c r="D1189" s="7" t="str">
        <f>IF(Sheet1!F1189="F","FEMALE","MALE")</f>
        <v>MALE</v>
      </c>
      <c r="E1189" s="6" t="str">
        <f>UPPER(Sheet1!G1189)</f>
        <v>ANDREW WILLIAMS</v>
      </c>
      <c r="F1189" s="6" t="str">
        <f>UPPER(Sheet1!H1189)</f>
        <v>EMILY NEWMAN</v>
      </c>
      <c r="G1189" s="5" t="str">
        <f>TEXT(Sheet1!C1189,"dd/mm/yyyy") &amp; "," &amp; Sheet1!D1189</f>
        <v>29/11/2025,LAKE JOHNVILLE</v>
      </c>
      <c r="H1189" s="39" t="str">
        <f>UPPER(Sheet1!J1189 &amp; "," &amp; Sheet1!K1189 &amp; "," &amp; Sheet1!L1189)</f>
        <v>83666 JOHN WAYS,SUITE 754,PIN:60712 PORT KENDRA</v>
      </c>
      <c r="I1189" s="8">
        <f>Sheet1!I1189</f>
        <v>46065</v>
      </c>
      <c r="J1189" s="5" t="str">
        <f>Sheet1!M1189 &amp; "," &amp; TEXT(Sheet1!N1189,"dd/mm/yy")</f>
        <v>MHA/IND/01203,10/03/26</v>
      </c>
      <c r="K1189" s="5" t="s">
        <v>5752</v>
      </c>
      <c r="L1189" t="s">
        <v>14</v>
      </c>
      <c r="M1189" s="31" t="s">
        <v>15</v>
      </c>
      <c r="N1189" s="31"/>
    </row>
    <row r="1190" spans="1:14" x14ac:dyDescent="0.25">
      <c r="A1190" s="4" t="str">
        <f>Sheet1!A1190 &amp; "/" &amp; "2025"</f>
        <v>1189/2025</v>
      </c>
      <c r="B1190" s="5" t="str">
        <f>Sheet1!E1190</f>
        <v>IND/MEL/01189</v>
      </c>
      <c r="C1190" s="6" t="str">
        <f>UPPER(Sheet1!B1190)</f>
        <v>NOAH MARTIN</v>
      </c>
      <c r="D1190" s="7" t="str">
        <f>IF(Sheet1!F1190="F","FEMALE","MALE")</f>
        <v>FEMALE</v>
      </c>
      <c r="E1190" s="6" t="str">
        <f>UPPER(Sheet1!G1190)</f>
        <v>ERIC CONWAY</v>
      </c>
      <c r="F1190" s="6" t="str">
        <f>UPPER(Sheet1!H1190)</f>
        <v>PAMELA PATTON</v>
      </c>
      <c r="G1190" s="5" t="str">
        <f>TEXT(Sheet1!C1190,"dd/mm/yyyy") &amp; "," &amp; Sheet1!D1190</f>
        <v>09/03/2025,PORT BRANDYSTAD</v>
      </c>
      <c r="H1190" s="39" t="str">
        <f>UPPER(Sheet1!J1190 &amp; "," &amp; Sheet1!K1190 &amp; "," &amp; Sheet1!L1190)</f>
        <v>8612 PAM FORD,APT. 043,PIN:84686 EMILYSIDE</v>
      </c>
      <c r="I1190" s="8">
        <f>Sheet1!I1190</f>
        <v>46065</v>
      </c>
      <c r="J1190" s="5" t="str">
        <f>Sheet1!M1190 &amp; "," &amp; TEXT(Sheet1!N1190,"dd/mm/yy")</f>
        <v>MHA/IND/01204,08/03/26</v>
      </c>
      <c r="K1190" s="5" t="s">
        <v>5752</v>
      </c>
      <c r="L1190" t="s">
        <v>14</v>
      </c>
      <c r="M1190" s="31" t="s">
        <v>15</v>
      </c>
      <c r="N1190" s="31"/>
    </row>
    <row r="1191" spans="1:14" x14ac:dyDescent="0.25">
      <c r="A1191" s="4" t="str">
        <f>Sheet1!A1191 &amp; "/" &amp; "2025"</f>
        <v>1190/2025</v>
      </c>
      <c r="B1191" s="5" t="str">
        <f>Sheet1!E1191</f>
        <v>IND/MEL/01190</v>
      </c>
      <c r="C1191" s="6" t="str">
        <f>UPPER(Sheet1!B1191)</f>
        <v>CAROLYN REED</v>
      </c>
      <c r="D1191" s="7" t="str">
        <f>IF(Sheet1!F1191="F","FEMALE","MALE")</f>
        <v>FEMALE</v>
      </c>
      <c r="E1191" s="6" t="str">
        <f>UPPER(Sheet1!G1191)</f>
        <v>ERIC CONWAY</v>
      </c>
      <c r="F1191" s="6" t="str">
        <f>UPPER(Sheet1!H1191)</f>
        <v>PAMELA PATTON</v>
      </c>
      <c r="G1191" s="5" t="str">
        <f>TEXT(Sheet1!C1191,"dd/mm/yyyy") &amp; "," &amp; Sheet1!D1191</f>
        <v>09/03/2025,PORT BRANDYSTAD</v>
      </c>
      <c r="H1191" s="39" t="str">
        <f>UPPER(Sheet1!J1191 &amp; "," &amp; Sheet1!K1191 &amp; "," &amp; Sheet1!L1191)</f>
        <v>8612 PAM FORD,APT. 043,PIN:84686 EMILYSIDE</v>
      </c>
      <c r="I1191" s="8">
        <f>Sheet1!I1191</f>
        <v>46065</v>
      </c>
      <c r="J1191" s="5" t="str">
        <f>Sheet1!M1191 &amp; "," &amp; TEXT(Sheet1!N1191,"dd/mm/yy")</f>
        <v>MHA/IND/01204,18/02/26</v>
      </c>
      <c r="K1191" s="5" t="s">
        <v>5752</v>
      </c>
      <c r="L1191" t="s">
        <v>14</v>
      </c>
      <c r="M1191" s="31" t="s">
        <v>15</v>
      </c>
      <c r="N1191" s="31"/>
    </row>
    <row r="1192" spans="1:14" x14ac:dyDescent="0.25">
      <c r="A1192" s="4" t="str">
        <f>Sheet1!A1192 &amp; "/" &amp; "2025"</f>
        <v>1191/2025</v>
      </c>
      <c r="B1192" s="5" t="str">
        <f>Sheet1!E1192</f>
        <v>IND/MEL/01191</v>
      </c>
      <c r="C1192" s="6" t="str">
        <f>UPPER(Sheet1!B1192)</f>
        <v>TIMOTHY HERRERA</v>
      </c>
      <c r="D1192" s="7" t="str">
        <f>IF(Sheet1!F1192="F","FEMALE","MALE")</f>
        <v>FEMALE</v>
      </c>
      <c r="E1192" s="6" t="str">
        <f>UPPER(Sheet1!G1192)</f>
        <v>BRIAN GONZALEZ</v>
      </c>
      <c r="F1192" s="6" t="str">
        <f>UPPER(Sheet1!H1192)</f>
        <v>KATHERINE ANDREWS</v>
      </c>
      <c r="G1192" s="5" t="str">
        <f>TEXT(Sheet1!C1192,"dd/mm/yyyy") &amp; "," &amp; Sheet1!D1192</f>
        <v>18/05/2025,NEW JAMES</v>
      </c>
      <c r="H1192" s="39" t="str">
        <f>UPPER(Sheet1!J1192 &amp; "," &amp; Sheet1!K1192 &amp; "," &amp; Sheet1!L1192)</f>
        <v>448 SANCHEZ SQUARES,APT. 820,PIN:80623 ROBERTVIEW</v>
      </c>
      <c r="I1192" s="8">
        <f>Sheet1!I1192</f>
        <v>46065</v>
      </c>
      <c r="J1192" s="5" t="str">
        <f>Sheet1!M1192 &amp; "," &amp; TEXT(Sheet1!N1192,"dd/mm/yy")</f>
        <v>MHA/IND/01205,03/03/26</v>
      </c>
      <c r="K1192" s="5" t="s">
        <v>5752</v>
      </c>
      <c r="L1192" t="s">
        <v>14</v>
      </c>
      <c r="M1192" s="31" t="s">
        <v>15</v>
      </c>
      <c r="N1192" s="31"/>
    </row>
    <row r="1193" spans="1:14" x14ac:dyDescent="0.25">
      <c r="A1193" s="4" t="str">
        <f>Sheet1!A1193 &amp; "/" &amp; "2025"</f>
        <v>1192/2025</v>
      </c>
      <c r="B1193" s="5" t="str">
        <f>Sheet1!E1193</f>
        <v>IND/MEL/01192</v>
      </c>
      <c r="C1193" s="6" t="str">
        <f>UPPER(Sheet1!B1193)</f>
        <v>ADAM THOMAS JR.</v>
      </c>
      <c r="D1193" s="7" t="str">
        <f>IF(Sheet1!F1193="F","FEMALE","MALE")</f>
        <v>FEMALE</v>
      </c>
      <c r="E1193" s="6" t="str">
        <f>UPPER(Sheet1!G1193)</f>
        <v>BRIAN GONZALEZ</v>
      </c>
      <c r="F1193" s="6" t="str">
        <f>UPPER(Sheet1!H1193)</f>
        <v>KATHERINE ANDREWS</v>
      </c>
      <c r="G1193" s="5" t="str">
        <f>TEXT(Sheet1!C1193,"dd/mm/yyyy") &amp; "," &amp; Sheet1!D1193</f>
        <v>18/05/2025,NEW JAMES</v>
      </c>
      <c r="H1193" s="39" t="str">
        <f>UPPER(Sheet1!J1193 &amp; "," &amp; Sheet1!K1193 &amp; "," &amp; Sheet1!L1193)</f>
        <v>448 SANCHEZ SQUARES,APT. 820,PIN:80623 ROBERTVIEW</v>
      </c>
      <c r="I1193" s="8">
        <f>Sheet1!I1193</f>
        <v>46065</v>
      </c>
      <c r="J1193" s="5" t="str">
        <f>Sheet1!M1193 &amp; "," &amp; TEXT(Sheet1!N1193,"dd/mm/yy")</f>
        <v>MHA/IND/01205,12/03/26</v>
      </c>
      <c r="K1193" s="5" t="s">
        <v>5752</v>
      </c>
      <c r="L1193" t="s">
        <v>14</v>
      </c>
      <c r="M1193" s="31" t="s">
        <v>15</v>
      </c>
      <c r="N1193" s="31"/>
    </row>
    <row r="1194" spans="1:14" x14ac:dyDescent="0.25">
      <c r="A1194" s="4" t="str">
        <f>Sheet1!A1194 &amp; "/" &amp; "2025"</f>
        <v>1193/2025</v>
      </c>
      <c r="B1194" s="5" t="str">
        <f>Sheet1!E1194</f>
        <v>IND/MEL/01193</v>
      </c>
      <c r="C1194" s="6" t="str">
        <f>UPPER(Sheet1!B1194)</f>
        <v>ERIC WILLIAMS</v>
      </c>
      <c r="D1194" s="7" t="str">
        <f>IF(Sheet1!F1194="F","FEMALE","MALE")</f>
        <v>FEMALE</v>
      </c>
      <c r="E1194" s="6" t="str">
        <f>UPPER(Sheet1!G1194)</f>
        <v>ROBERT BUSH</v>
      </c>
      <c r="F1194" s="6" t="str">
        <f>UPPER(Sheet1!H1194)</f>
        <v>AMANDA CARR</v>
      </c>
      <c r="G1194" s="5" t="str">
        <f>TEXT(Sheet1!C1194,"dd/mm/yyyy") &amp; "," &amp; Sheet1!D1194</f>
        <v>15/01/2026,KARENSTAD</v>
      </c>
      <c r="H1194" s="39" t="str">
        <f>UPPER(Sheet1!J1194 &amp; "," &amp; Sheet1!K1194 &amp; "," &amp; Sheet1!L1194)</f>
        <v>955 TANNER FERRY,SUITE 530,PIN:70598 WRIGHTLAND</v>
      </c>
      <c r="I1194" s="8">
        <f>Sheet1!I1194</f>
        <v>46065</v>
      </c>
      <c r="J1194" s="5" t="str">
        <f>Sheet1!M1194 &amp; "," &amp; TEXT(Sheet1!N1194,"dd/mm/yy")</f>
        <v>MHA/IND/01206,21/02/26</v>
      </c>
      <c r="K1194" s="5" t="s">
        <v>5752</v>
      </c>
      <c r="L1194" t="s">
        <v>14</v>
      </c>
      <c r="M1194" s="31" t="s">
        <v>15</v>
      </c>
      <c r="N1194" s="31"/>
    </row>
    <row r="1195" spans="1:14" x14ac:dyDescent="0.25">
      <c r="A1195" s="4" t="str">
        <f>Sheet1!A1195 &amp; "/" &amp; "2025"</f>
        <v>1194/2025</v>
      </c>
      <c r="B1195" s="5" t="str">
        <f>Sheet1!E1195</f>
        <v>IND/MEL/01194</v>
      </c>
      <c r="C1195" s="6" t="str">
        <f>UPPER(Sheet1!B1195)</f>
        <v>KEVIN SILVA</v>
      </c>
      <c r="D1195" s="7" t="str">
        <f>IF(Sheet1!F1195="F","FEMALE","MALE")</f>
        <v>FEMALE</v>
      </c>
      <c r="E1195" s="6" t="str">
        <f>UPPER(Sheet1!G1195)</f>
        <v>ROBERT BUSH</v>
      </c>
      <c r="F1195" s="6" t="str">
        <f>UPPER(Sheet1!H1195)</f>
        <v>AMANDA CARR</v>
      </c>
      <c r="G1195" s="5" t="str">
        <f>TEXT(Sheet1!C1195,"dd/mm/yyyy") &amp; "," &amp; Sheet1!D1195</f>
        <v>15/01/2026,KARENSTAD</v>
      </c>
      <c r="H1195" s="39" t="str">
        <f>UPPER(Sheet1!J1195 &amp; "," &amp; Sheet1!K1195 &amp; "," &amp; Sheet1!L1195)</f>
        <v>955 TANNER FERRY,SUITE 530,PIN:70598 WRIGHTLAND</v>
      </c>
      <c r="I1195" s="8">
        <f>Sheet1!I1195</f>
        <v>46065</v>
      </c>
      <c r="J1195" s="5" t="str">
        <f>Sheet1!M1195 &amp; "," &amp; TEXT(Sheet1!N1195,"dd/mm/yy")</f>
        <v>MHA/IND/01206,25/02/26</v>
      </c>
      <c r="K1195" s="5" t="s">
        <v>5752</v>
      </c>
      <c r="L1195" t="s">
        <v>14</v>
      </c>
      <c r="M1195" s="31" t="s">
        <v>15</v>
      </c>
      <c r="N1195" s="31"/>
    </row>
    <row r="1196" spans="1:14" x14ac:dyDescent="0.25">
      <c r="A1196" s="4" t="str">
        <f>Sheet1!A1196 &amp; "/" &amp; "2025"</f>
        <v>1195/2025</v>
      </c>
      <c r="B1196" s="5" t="str">
        <f>Sheet1!E1196</f>
        <v>IND/MEL/01195</v>
      </c>
      <c r="C1196" s="6" t="str">
        <f>UPPER(Sheet1!B1196)</f>
        <v>JENNIFER STONE</v>
      </c>
      <c r="D1196" s="7" t="str">
        <f>IF(Sheet1!F1196="F","FEMALE","MALE")</f>
        <v>FEMALE</v>
      </c>
      <c r="E1196" s="6" t="str">
        <f>UPPER(Sheet1!G1196)</f>
        <v>JAMES BAKER</v>
      </c>
      <c r="F1196" s="6" t="str">
        <f>UPPER(Sheet1!H1196)</f>
        <v>MELINDA BISHOP MD</v>
      </c>
      <c r="G1196" s="5" t="str">
        <f>TEXT(Sheet1!C1196,"dd/mm/yyyy") &amp; "," &amp; Sheet1!D1196</f>
        <v>24/09/2025,EAST SARAHSTAD</v>
      </c>
      <c r="H1196" s="39" t="str">
        <f>UPPER(Sheet1!J1196 &amp; "," &amp; Sheet1!K1196 &amp; "," &amp; Sheet1!L1196)</f>
        <v>9200 WILLIAMS RANCH,APT. 064,PIN:14960 HALEYSIDE</v>
      </c>
      <c r="I1196" s="8">
        <f>Sheet1!I1196</f>
        <v>46065</v>
      </c>
      <c r="J1196" s="5" t="str">
        <f>Sheet1!M1196 &amp; "," &amp; TEXT(Sheet1!N1196,"dd/mm/yy")</f>
        <v>MHA/IND/01207,03/03/26</v>
      </c>
      <c r="K1196" s="5" t="s">
        <v>5752</v>
      </c>
      <c r="L1196" t="s">
        <v>14</v>
      </c>
      <c r="M1196" s="31" t="s">
        <v>15</v>
      </c>
      <c r="N1196" s="31"/>
    </row>
    <row r="1197" spans="1:14" x14ac:dyDescent="0.25">
      <c r="A1197" s="4" t="str">
        <f>Sheet1!A1197 &amp; "/" &amp; "2025"</f>
        <v>1196/2025</v>
      </c>
      <c r="B1197" s="5" t="str">
        <f>Sheet1!E1197</f>
        <v>IND/MEL/01196</v>
      </c>
      <c r="C1197" s="6" t="str">
        <f>UPPER(Sheet1!B1197)</f>
        <v>EMILY MARTINEZ</v>
      </c>
      <c r="D1197" s="7" t="str">
        <f>IF(Sheet1!F1197="F","FEMALE","MALE")</f>
        <v>FEMALE</v>
      </c>
      <c r="E1197" s="6" t="str">
        <f>UPPER(Sheet1!G1197)</f>
        <v>JAMES BAKER</v>
      </c>
      <c r="F1197" s="6" t="str">
        <f>UPPER(Sheet1!H1197)</f>
        <v>MELINDA BISHOP MD</v>
      </c>
      <c r="G1197" s="5" t="str">
        <f>TEXT(Sheet1!C1197,"dd/mm/yyyy") &amp; "," &amp; Sheet1!D1197</f>
        <v>24/09/2025,EAST SARAHSTAD</v>
      </c>
      <c r="H1197" s="39" t="str">
        <f>UPPER(Sheet1!J1197 &amp; "," &amp; Sheet1!K1197 &amp; "," &amp; Sheet1!L1197)</f>
        <v>9200 WILLIAMS RANCH,APT. 064,PIN:14960 HALEYSIDE</v>
      </c>
      <c r="I1197" s="8">
        <f>Sheet1!I1197</f>
        <v>46065</v>
      </c>
      <c r="J1197" s="5" t="str">
        <f>Sheet1!M1197 &amp; "," &amp; TEXT(Sheet1!N1197,"dd/mm/yy")</f>
        <v>MHA/IND/01207,13/03/26</v>
      </c>
      <c r="K1197" s="5" t="s">
        <v>5752</v>
      </c>
      <c r="L1197" t="s">
        <v>14</v>
      </c>
      <c r="M1197" s="31" t="s">
        <v>15</v>
      </c>
      <c r="N1197" s="31"/>
    </row>
    <row r="1198" spans="1:14" x14ac:dyDescent="0.25">
      <c r="A1198" s="4" t="str">
        <f>Sheet1!A1198 &amp; "/" &amp; "2025"</f>
        <v>1197/2025</v>
      </c>
      <c r="B1198" s="5" t="str">
        <f>Sheet1!E1198</f>
        <v>IND/MEL/01197</v>
      </c>
      <c r="C1198" s="6" t="str">
        <f>UPPER(Sheet1!B1198)</f>
        <v>MIKAYLA HINES</v>
      </c>
      <c r="D1198" s="7" t="str">
        <f>IF(Sheet1!F1198="F","FEMALE","MALE")</f>
        <v>FEMALE</v>
      </c>
      <c r="E1198" s="6" t="str">
        <f>UPPER(Sheet1!G1198)</f>
        <v>PHILLIP BURNETT</v>
      </c>
      <c r="F1198" s="6" t="str">
        <f>UPPER(Sheet1!H1198)</f>
        <v>TIFFANY THOMPSON</v>
      </c>
      <c r="G1198" s="5" t="str">
        <f>TEXT(Sheet1!C1198,"dd/mm/yyyy") &amp; "," &amp; Sheet1!D1198</f>
        <v>23/08/2025,CRAIGFURT</v>
      </c>
      <c r="H1198" s="39" t="str">
        <f>UPPER(Sheet1!J1198 &amp; "," &amp; Sheet1!K1198 &amp; "," &amp; Sheet1!L1198)</f>
        <v>64130 GINA VILLAGE,SUITE 991,PIN:31837 JOSEVIEW</v>
      </c>
      <c r="I1198" s="8">
        <f>Sheet1!I1198</f>
        <v>46065</v>
      </c>
      <c r="J1198" s="5" t="str">
        <f>Sheet1!M1198 &amp; "," &amp; TEXT(Sheet1!N1198,"dd/mm/yy")</f>
        <v>MHA/IND/01208,07/03/26</v>
      </c>
      <c r="K1198" s="5" t="s">
        <v>5752</v>
      </c>
      <c r="L1198" t="s">
        <v>14</v>
      </c>
      <c r="M1198" s="31" t="s">
        <v>15</v>
      </c>
      <c r="N1198" s="31"/>
    </row>
    <row r="1199" spans="1:14" x14ac:dyDescent="0.25">
      <c r="A1199" s="4" t="str">
        <f>Sheet1!A1199 &amp; "/" &amp; "2025"</f>
        <v>1198/2025</v>
      </c>
      <c r="B1199" s="5" t="str">
        <f>Sheet1!E1199</f>
        <v>IND/MEL/01198</v>
      </c>
      <c r="C1199" s="6" t="str">
        <f>UPPER(Sheet1!B1199)</f>
        <v>NATHAN HOFFMAN</v>
      </c>
      <c r="D1199" s="7" t="str">
        <f>IF(Sheet1!F1199="F","FEMALE","MALE")</f>
        <v>FEMALE</v>
      </c>
      <c r="E1199" s="6" t="str">
        <f>UPPER(Sheet1!G1199)</f>
        <v>PHILLIP BURNETT</v>
      </c>
      <c r="F1199" s="6" t="str">
        <f>UPPER(Sheet1!H1199)</f>
        <v>TIFFANY THOMPSON</v>
      </c>
      <c r="G1199" s="5" t="str">
        <f>TEXT(Sheet1!C1199,"dd/mm/yyyy") &amp; "," &amp; Sheet1!D1199</f>
        <v>23/08/2025,CRAIGFURT</v>
      </c>
      <c r="H1199" s="39" t="str">
        <f>UPPER(Sheet1!J1199 &amp; "," &amp; Sheet1!K1199 &amp; "," &amp; Sheet1!L1199)</f>
        <v>64130 GINA VILLAGE,SUITE 991,PIN:31837 JOSEVIEW</v>
      </c>
      <c r="I1199" s="8">
        <f>Sheet1!I1199</f>
        <v>46065</v>
      </c>
      <c r="J1199" s="5" t="str">
        <f>Sheet1!M1199 &amp; "," &amp; TEXT(Sheet1!N1199,"dd/mm/yy")</f>
        <v>MHA/IND/01208,02/03/26</v>
      </c>
      <c r="K1199" s="5" t="s">
        <v>5752</v>
      </c>
      <c r="L1199" t="s">
        <v>14</v>
      </c>
      <c r="M1199" s="31" t="s">
        <v>15</v>
      </c>
      <c r="N1199" s="31"/>
    </row>
    <row r="1200" spans="1:14" x14ac:dyDescent="0.25">
      <c r="A1200" s="4" t="str">
        <f>Sheet1!A1200 &amp; "/" &amp; "2025"</f>
        <v>1199/2025</v>
      </c>
      <c r="B1200" s="5" t="str">
        <f>Sheet1!E1200</f>
        <v>IND/MEL/01199</v>
      </c>
      <c r="C1200" s="6" t="str">
        <f>UPPER(Sheet1!B1200)</f>
        <v>JENNIFER MILLER</v>
      </c>
      <c r="D1200" s="7" t="str">
        <f>IF(Sheet1!F1200="F","FEMALE","MALE")</f>
        <v>FEMALE</v>
      </c>
      <c r="E1200" s="6" t="str">
        <f>UPPER(Sheet1!G1200)</f>
        <v>ANDREW BOYLE</v>
      </c>
      <c r="F1200" s="6" t="str">
        <f>UPPER(Sheet1!H1200)</f>
        <v>CRYSTAL BISHOP</v>
      </c>
      <c r="G1200" s="5" t="str">
        <f>TEXT(Sheet1!C1200,"dd/mm/yyyy") &amp; "," &amp; Sheet1!D1200</f>
        <v>18/06/2025,SANCHEZPORT</v>
      </c>
      <c r="H1200" s="39" t="str">
        <f>UPPER(Sheet1!J1200 &amp; "," &amp; Sheet1!K1200 &amp; "," &amp; Sheet1!L1200)</f>
        <v>059 JACKSON COMMON APT. 801,APT. 569,PIN:08098 PORT PAULVILLE</v>
      </c>
      <c r="I1200" s="8">
        <f>Sheet1!I1200</f>
        <v>46065</v>
      </c>
      <c r="J1200" s="5" t="str">
        <f>Sheet1!M1200 &amp; "," &amp; TEXT(Sheet1!N1200,"dd/mm/yy")</f>
        <v>MHA/IND/01209,14/02/26</v>
      </c>
      <c r="K1200" s="5" t="s">
        <v>5752</v>
      </c>
      <c r="L1200" t="s">
        <v>14</v>
      </c>
      <c r="M1200" s="31" t="s">
        <v>15</v>
      </c>
      <c r="N1200" s="31"/>
    </row>
    <row r="1201" spans="1:14" x14ac:dyDescent="0.25">
      <c r="A1201" s="4" t="str">
        <f>Sheet1!A1201 &amp; "/" &amp; "2025"</f>
        <v>1200/2025</v>
      </c>
      <c r="B1201" s="5" t="str">
        <f>Sheet1!E1201</f>
        <v>IND/MEL/01200</v>
      </c>
      <c r="C1201" s="6" t="str">
        <f>UPPER(Sheet1!B1201)</f>
        <v>JONATHAN SNYDER</v>
      </c>
      <c r="D1201" s="7" t="str">
        <f>IF(Sheet1!F1201="F","FEMALE","MALE")</f>
        <v>FEMALE</v>
      </c>
      <c r="E1201" s="6" t="str">
        <f>UPPER(Sheet1!G1201)</f>
        <v>ANDREW BOYLE</v>
      </c>
      <c r="F1201" s="6" t="str">
        <f>UPPER(Sheet1!H1201)</f>
        <v>CRYSTAL BISHOP</v>
      </c>
      <c r="G1201" s="5" t="str">
        <f>TEXT(Sheet1!C1201,"dd/mm/yyyy") &amp; "," &amp; Sheet1!D1201</f>
        <v>18/06/2025,SANCHEZPORT</v>
      </c>
      <c r="H1201" s="39" t="str">
        <f>UPPER(Sheet1!J1201 &amp; "," &amp; Sheet1!K1201 &amp; "," &amp; Sheet1!L1201)</f>
        <v>059 JACKSON COMMON APT. 801,APT. 569,PIN:08098 PORT PAULVILLE</v>
      </c>
      <c r="I1201" s="8">
        <f>Sheet1!I1201</f>
        <v>46065</v>
      </c>
      <c r="J1201" s="5" t="str">
        <f>Sheet1!M1201 &amp; "," &amp; TEXT(Sheet1!N1201,"dd/mm/yy")</f>
        <v>MHA/IND/01209,08/03/26</v>
      </c>
      <c r="K1201" s="5" t="s">
        <v>5752</v>
      </c>
      <c r="L1201" t="s">
        <v>14</v>
      </c>
      <c r="M1201" s="31" t="s">
        <v>15</v>
      </c>
      <c r="N1201" s="31"/>
    </row>
    <row r="1202" spans="1:14" x14ac:dyDescent="0.25">
      <c r="A1202" s="4" t="str">
        <f>Sheet1!A1202 &amp; "/" &amp; "2025"</f>
        <v>1201/2025</v>
      </c>
      <c r="B1202" s="5" t="str">
        <f>Sheet1!E1202</f>
        <v>IND/MEL/01201</v>
      </c>
      <c r="C1202" s="6" t="str">
        <f>UPPER(Sheet1!B1202)</f>
        <v>MICHELLE EVANS</v>
      </c>
      <c r="D1202" s="7" t="str">
        <f>IF(Sheet1!F1202="F","FEMALE","MALE")</f>
        <v>FEMALE</v>
      </c>
      <c r="E1202" s="6" t="str">
        <f>UPPER(Sheet1!G1202)</f>
        <v>BRIAN FERNANDEZ</v>
      </c>
      <c r="F1202" s="6" t="str">
        <f>UPPER(Sheet1!H1202)</f>
        <v>SHARON LANDRY</v>
      </c>
      <c r="G1202" s="5" t="str">
        <f>TEXT(Sheet1!C1202,"dd/mm/yyyy") &amp; "," &amp; Sheet1!D1202</f>
        <v>23/09/2025,KENNETHCHESTER</v>
      </c>
      <c r="H1202" s="39" t="str">
        <f>UPPER(Sheet1!J1202 &amp; "," &amp; Sheet1!K1202 &amp; "," &amp; Sheet1!L1202)</f>
        <v>22154 KIM COMMON,APT. 596,PIN:74708 CANNONSTAD</v>
      </c>
      <c r="I1202" s="8">
        <f>Sheet1!I1202</f>
        <v>46065</v>
      </c>
      <c r="J1202" s="5" t="str">
        <f>Sheet1!M1202 &amp; "," &amp; TEXT(Sheet1!N1202,"dd/mm/yy")</f>
        <v>MHA/IND/01210,25/02/26</v>
      </c>
      <c r="K1202" s="5" t="s">
        <v>5752</v>
      </c>
      <c r="L1202" t="s">
        <v>14</v>
      </c>
      <c r="M1202" s="31" t="s">
        <v>15</v>
      </c>
      <c r="N1202" s="31"/>
    </row>
    <row r="1203" spans="1:14" x14ac:dyDescent="0.25">
      <c r="A1203" s="4" t="str">
        <f>Sheet1!A1203 &amp; "/" &amp; "2025"</f>
        <v>1202/2025</v>
      </c>
      <c r="B1203" s="5" t="str">
        <f>Sheet1!E1203</f>
        <v>IND/MEL/01202</v>
      </c>
      <c r="C1203" s="6" t="str">
        <f>UPPER(Sheet1!B1203)</f>
        <v>ELIZABETH GORDON</v>
      </c>
      <c r="D1203" s="7" t="str">
        <f>IF(Sheet1!F1203="F","FEMALE","MALE")</f>
        <v>FEMALE</v>
      </c>
      <c r="E1203" s="6" t="str">
        <f>UPPER(Sheet1!G1203)</f>
        <v>BRIAN FERNANDEZ</v>
      </c>
      <c r="F1203" s="6" t="str">
        <f>UPPER(Sheet1!H1203)</f>
        <v>SHARON LANDRY</v>
      </c>
      <c r="G1203" s="5" t="str">
        <f>TEXT(Sheet1!C1203,"dd/mm/yyyy") &amp; "," &amp; Sheet1!D1203</f>
        <v>23/09/2025,KENNETHCHESTER</v>
      </c>
      <c r="H1203" s="39" t="str">
        <f>UPPER(Sheet1!J1203 &amp; "," &amp; Sheet1!K1203 &amp; "," &amp; Sheet1!L1203)</f>
        <v>22154 KIM COMMON,APT. 596,PIN:74708 CANNONSTAD</v>
      </c>
      <c r="I1203" s="8">
        <f>Sheet1!I1203</f>
        <v>46065</v>
      </c>
      <c r="J1203" s="5" t="str">
        <f>Sheet1!M1203 &amp; "," &amp; TEXT(Sheet1!N1203,"dd/mm/yy")</f>
        <v>MHA/IND/01210,23/02/26</v>
      </c>
      <c r="K1203" s="5" t="s">
        <v>5752</v>
      </c>
      <c r="L1203" t="s">
        <v>14</v>
      </c>
      <c r="M1203" s="31" t="s">
        <v>15</v>
      </c>
      <c r="N1203" s="31"/>
    </row>
    <row r="1204" spans="1:14" x14ac:dyDescent="0.25">
      <c r="A1204" s="4" t="str">
        <f>Sheet1!A1204 &amp; "/" &amp; "2025"</f>
        <v>1203/2025</v>
      </c>
      <c r="B1204" s="5" t="str">
        <f>Sheet1!E1204</f>
        <v>IND/MEL/01203</v>
      </c>
      <c r="C1204" s="6" t="str">
        <f>UPPER(Sheet1!B1204)</f>
        <v>FRANCISCO GILL</v>
      </c>
      <c r="D1204" s="7" t="str">
        <f>IF(Sheet1!F1204="F","FEMALE","MALE")</f>
        <v>FEMALE</v>
      </c>
      <c r="E1204" s="6" t="str">
        <f>UPPER(Sheet1!G1204)</f>
        <v>JASON BROWN</v>
      </c>
      <c r="F1204" s="6" t="str">
        <f>UPPER(Sheet1!H1204)</f>
        <v>MOLLY MOORE</v>
      </c>
      <c r="G1204" s="5" t="str">
        <f>TEXT(Sheet1!C1204,"dd/mm/yyyy") &amp; "," &amp; Sheet1!D1204</f>
        <v>14/07/2025,ROGERSMOUTH</v>
      </c>
      <c r="H1204" s="39" t="str">
        <f>UPPER(Sheet1!J1204 &amp; "," &amp; Sheet1!K1204 &amp; "," &amp; Sheet1!L1204)</f>
        <v>928 RANDY BROOK,SUITE 699,PIN:45377 TAMMYPORT</v>
      </c>
      <c r="I1204" s="8">
        <f>Sheet1!I1204</f>
        <v>46065</v>
      </c>
      <c r="J1204" s="5" t="str">
        <f>Sheet1!M1204 &amp; "," &amp; TEXT(Sheet1!N1204,"dd/mm/yy")</f>
        <v>MHA/IND/01211,01/03/26</v>
      </c>
      <c r="K1204" s="5" t="s">
        <v>5752</v>
      </c>
      <c r="L1204" t="s">
        <v>14</v>
      </c>
      <c r="M1204" s="31" t="s">
        <v>15</v>
      </c>
      <c r="N1204" s="31"/>
    </row>
    <row r="1205" spans="1:14" x14ac:dyDescent="0.25">
      <c r="A1205" s="4" t="str">
        <f>Sheet1!A1205 &amp; "/" &amp; "2025"</f>
        <v>1204/2025</v>
      </c>
      <c r="B1205" s="5" t="str">
        <f>Sheet1!E1205</f>
        <v>IND/MEL/01204</v>
      </c>
      <c r="C1205" s="6" t="str">
        <f>UPPER(Sheet1!B1205)</f>
        <v>EMILY RIDDLE</v>
      </c>
      <c r="D1205" s="7" t="str">
        <f>IF(Sheet1!F1205="F","FEMALE","MALE")</f>
        <v>FEMALE</v>
      </c>
      <c r="E1205" s="6" t="str">
        <f>UPPER(Sheet1!G1205)</f>
        <v>JASON BROWN</v>
      </c>
      <c r="F1205" s="6" t="str">
        <f>UPPER(Sheet1!H1205)</f>
        <v>MOLLY MOORE</v>
      </c>
      <c r="G1205" s="5" t="str">
        <f>TEXT(Sheet1!C1205,"dd/mm/yyyy") &amp; "," &amp; Sheet1!D1205</f>
        <v>14/07/2025,ROGERSMOUTH</v>
      </c>
      <c r="H1205" s="39" t="str">
        <f>UPPER(Sheet1!J1205 &amp; "," &amp; Sheet1!K1205 &amp; "," &amp; Sheet1!L1205)</f>
        <v>928 RANDY BROOK,SUITE 699,PIN:45377 TAMMYPORT</v>
      </c>
      <c r="I1205" s="8">
        <f>Sheet1!I1205</f>
        <v>46065</v>
      </c>
      <c r="J1205" s="5" t="str">
        <f>Sheet1!M1205 &amp; "," &amp; TEXT(Sheet1!N1205,"dd/mm/yy")</f>
        <v>MHA/IND/01211,12/03/26</v>
      </c>
      <c r="K1205" s="5" t="s">
        <v>5752</v>
      </c>
      <c r="L1205" t="s">
        <v>14</v>
      </c>
      <c r="M1205" s="31" t="s">
        <v>15</v>
      </c>
      <c r="N1205" s="31"/>
    </row>
    <row r="1206" spans="1:14" x14ac:dyDescent="0.25">
      <c r="A1206" s="4" t="str">
        <f>Sheet1!A1206 &amp; "/" &amp; "2025"</f>
        <v>1205/2025</v>
      </c>
      <c r="B1206" s="5" t="str">
        <f>Sheet1!E1206</f>
        <v>IND/MEL/01205</v>
      </c>
      <c r="C1206" s="6" t="str">
        <f>UPPER(Sheet1!B1206)</f>
        <v>LINDSEY PERRY</v>
      </c>
      <c r="D1206" s="7" t="str">
        <f>IF(Sheet1!F1206="F","FEMALE","MALE")</f>
        <v>MALE</v>
      </c>
      <c r="E1206" s="6" t="str">
        <f>UPPER(Sheet1!G1206)</f>
        <v>ZACHARY HILL</v>
      </c>
      <c r="F1206" s="6" t="str">
        <f>UPPER(Sheet1!H1206)</f>
        <v>JESSICA FREEMAN</v>
      </c>
      <c r="G1206" s="5" t="str">
        <f>TEXT(Sheet1!C1206,"dd/mm/yyyy") &amp; "," &amp; Sheet1!D1206</f>
        <v>10/12/2025,LAKE MATTHEW</v>
      </c>
      <c r="H1206" s="39" t="str">
        <f>UPPER(Sheet1!J1206 &amp; "," &amp; Sheet1!K1206 &amp; "," &amp; Sheet1!L1206)</f>
        <v>9170 RIVERS TRACK,APT. 722,PIN:25147 SOUTH MATTHEWBERG</v>
      </c>
      <c r="I1206" s="8">
        <f>Sheet1!I1206</f>
        <v>46065</v>
      </c>
      <c r="J1206" s="5" t="str">
        <f>Sheet1!M1206 &amp; "," &amp; TEXT(Sheet1!N1206,"dd/mm/yy")</f>
        <v>MHA/IND/01212,25/02/26</v>
      </c>
      <c r="K1206" s="5" t="s">
        <v>5752</v>
      </c>
      <c r="L1206" t="s">
        <v>14</v>
      </c>
      <c r="M1206" s="31" t="s">
        <v>15</v>
      </c>
      <c r="N1206" s="31"/>
    </row>
    <row r="1207" spans="1:14" x14ac:dyDescent="0.25">
      <c r="A1207" s="4" t="str">
        <f>Sheet1!A1207 &amp; "/" &amp; "2025"</f>
        <v>1206/2025</v>
      </c>
      <c r="B1207" s="5" t="str">
        <f>Sheet1!E1207</f>
        <v>IND/MEL/01206</v>
      </c>
      <c r="C1207" s="6" t="str">
        <f>UPPER(Sheet1!B1207)</f>
        <v>TERRI GILES</v>
      </c>
      <c r="D1207" s="7" t="str">
        <f>IF(Sheet1!F1207="F","FEMALE","MALE")</f>
        <v>MALE</v>
      </c>
      <c r="E1207" s="6" t="str">
        <f>UPPER(Sheet1!G1207)</f>
        <v>ZACHARY HILL</v>
      </c>
      <c r="F1207" s="6" t="str">
        <f>UPPER(Sheet1!H1207)</f>
        <v>JESSICA FREEMAN</v>
      </c>
      <c r="G1207" s="5" t="str">
        <f>TEXT(Sheet1!C1207,"dd/mm/yyyy") &amp; "," &amp; Sheet1!D1207</f>
        <v>10/12/2025,LAKE MATTHEW</v>
      </c>
      <c r="H1207" s="39" t="str">
        <f>UPPER(Sheet1!J1207 &amp; "," &amp; Sheet1!K1207 &amp; "," &amp; Sheet1!L1207)</f>
        <v>9170 RIVERS TRACK,APT. 722,PIN:25147 SOUTH MATTHEWBERG</v>
      </c>
      <c r="I1207" s="8">
        <f>Sheet1!I1207</f>
        <v>46065</v>
      </c>
      <c r="J1207" s="5" t="str">
        <f>Sheet1!M1207 &amp; "," &amp; TEXT(Sheet1!N1207,"dd/mm/yy")</f>
        <v>MHA/IND/01212,13/02/26</v>
      </c>
      <c r="K1207" s="5" t="s">
        <v>5752</v>
      </c>
      <c r="L1207" t="s">
        <v>14</v>
      </c>
      <c r="M1207" s="31" t="s">
        <v>15</v>
      </c>
      <c r="N1207" s="31"/>
    </row>
    <row r="1208" spans="1:14" x14ac:dyDescent="0.25">
      <c r="A1208" s="4" t="str">
        <f>Sheet1!A1208 &amp; "/" &amp; "2025"</f>
        <v>1207/2025</v>
      </c>
      <c r="B1208" s="5" t="str">
        <f>Sheet1!E1208</f>
        <v>IND/MEL/01207</v>
      </c>
      <c r="C1208" s="6" t="str">
        <f>UPPER(Sheet1!B1208)</f>
        <v>CAITLYN GUTIERREZ</v>
      </c>
      <c r="D1208" s="7" t="str">
        <f>IF(Sheet1!F1208="F","FEMALE","MALE")</f>
        <v>FEMALE</v>
      </c>
      <c r="E1208" s="6" t="str">
        <f>UPPER(Sheet1!G1208)</f>
        <v>PHILLIP FERGUSON</v>
      </c>
      <c r="F1208" s="6" t="str">
        <f>UPPER(Sheet1!H1208)</f>
        <v>ELIZABETH MARTIN</v>
      </c>
      <c r="G1208" s="5" t="str">
        <f>TEXT(Sheet1!C1208,"dd/mm/yyyy") &amp; "," &amp; Sheet1!D1208</f>
        <v>25/05/2025,AMYVIEW</v>
      </c>
      <c r="H1208" s="39" t="str">
        <f>UPPER(Sheet1!J1208 &amp; "," &amp; Sheet1!K1208 &amp; "," &amp; Sheet1!L1208)</f>
        <v>55273 SANDERS PLAZA,APT. 931,PIN:06336 TONYSIDE</v>
      </c>
      <c r="I1208" s="8">
        <f>Sheet1!I1208</f>
        <v>46065</v>
      </c>
      <c r="J1208" s="5" t="str">
        <f>Sheet1!M1208 &amp; "," &amp; TEXT(Sheet1!N1208,"dd/mm/yy")</f>
        <v>MHA/IND/01213,03/03/26</v>
      </c>
      <c r="K1208" s="5" t="s">
        <v>5752</v>
      </c>
      <c r="L1208" t="s">
        <v>14</v>
      </c>
      <c r="M1208" s="31" t="s">
        <v>15</v>
      </c>
      <c r="N1208" s="31"/>
    </row>
    <row r="1209" spans="1:14" x14ac:dyDescent="0.25">
      <c r="A1209" s="4" t="str">
        <f>Sheet1!A1209 &amp; "/" &amp; "2025"</f>
        <v>1208/2025</v>
      </c>
      <c r="B1209" s="5" t="str">
        <f>Sheet1!E1209</f>
        <v>IND/MEL/01208</v>
      </c>
      <c r="C1209" s="6" t="str">
        <f>UPPER(Sheet1!B1209)</f>
        <v>KATHERINE LAWSON</v>
      </c>
      <c r="D1209" s="7" t="str">
        <f>IF(Sheet1!F1209="F","FEMALE","MALE")</f>
        <v>FEMALE</v>
      </c>
      <c r="E1209" s="6" t="str">
        <f>UPPER(Sheet1!G1209)</f>
        <v>BRUCE KELLY</v>
      </c>
      <c r="F1209" s="6" t="str">
        <f>UPPER(Sheet1!H1209)</f>
        <v>ANGELA SHIELDS</v>
      </c>
      <c r="G1209" s="5" t="str">
        <f>TEXT(Sheet1!C1209,"dd/mm/yyyy") &amp; "," &amp; Sheet1!D1209</f>
        <v>17/06/2025,BANKSFURT</v>
      </c>
      <c r="H1209" s="39" t="str">
        <f>UPPER(Sheet1!J1209 &amp; "," &amp; Sheet1!K1209 &amp; "," &amp; Sheet1!L1209)</f>
        <v>395 ARTHUR ROADS,SUITE 588,PIN:55225 NORTH ANTONIO</v>
      </c>
      <c r="I1209" s="8">
        <f>Sheet1!I1209</f>
        <v>46065</v>
      </c>
      <c r="J1209" s="5" t="str">
        <f>Sheet1!M1209 &amp; "," &amp; TEXT(Sheet1!N1209,"dd/mm/yy")</f>
        <v>MHA/IND/01214,03/03/26</v>
      </c>
      <c r="K1209" s="5" t="s">
        <v>5752</v>
      </c>
      <c r="L1209" t="s">
        <v>14</v>
      </c>
      <c r="M1209" s="31" t="s">
        <v>15</v>
      </c>
      <c r="N1209" s="31"/>
    </row>
    <row r="1210" spans="1:14" x14ac:dyDescent="0.25">
      <c r="A1210" s="4" t="str">
        <f>Sheet1!A1210 &amp; "/" &amp; "2025"</f>
        <v>1209/2025</v>
      </c>
      <c r="B1210" s="5" t="str">
        <f>Sheet1!E1210</f>
        <v>IND/MEL/01209</v>
      </c>
      <c r="C1210" s="6" t="str">
        <f>UPPER(Sheet1!B1210)</f>
        <v>JAMIE HOLMES</v>
      </c>
      <c r="D1210" s="7" t="str">
        <f>IF(Sheet1!F1210="F","FEMALE","MALE")</f>
        <v>FEMALE</v>
      </c>
      <c r="E1210" s="6" t="str">
        <f>UPPER(Sheet1!G1210)</f>
        <v>RICHARD MIRANDA</v>
      </c>
      <c r="F1210" s="6" t="str">
        <f>UPPER(Sheet1!H1210)</f>
        <v>STACIE WRIGHT</v>
      </c>
      <c r="G1210" s="5" t="str">
        <f>TEXT(Sheet1!C1210,"dd/mm/yyyy") &amp; "," &amp; Sheet1!D1210</f>
        <v>02/05/2025,EAST JACQUELINE</v>
      </c>
      <c r="H1210" s="39" t="str">
        <f>UPPER(Sheet1!J1210 &amp; "," &amp; Sheet1!K1210 &amp; "," &amp; Sheet1!L1210)</f>
        <v>60731 AMBER COURT,SUITE 736,PIN:46526 MICHAELSHIRE</v>
      </c>
      <c r="I1210" s="8">
        <f>Sheet1!I1210</f>
        <v>46065</v>
      </c>
      <c r="J1210" s="5" t="str">
        <f>Sheet1!M1210 &amp; "," &amp; TEXT(Sheet1!N1210,"dd/mm/yy")</f>
        <v>MHA/IND/01215,13/03/26</v>
      </c>
      <c r="K1210" s="5" t="s">
        <v>5752</v>
      </c>
      <c r="L1210" t="s">
        <v>14</v>
      </c>
      <c r="M1210" s="31" t="s">
        <v>15</v>
      </c>
      <c r="N1210" s="31"/>
    </row>
    <row r="1211" spans="1:14" x14ac:dyDescent="0.25">
      <c r="A1211" s="4" t="str">
        <f>Sheet1!A1211 &amp; "/" &amp; "2025"</f>
        <v>1210/2025</v>
      </c>
      <c r="B1211" s="5" t="str">
        <f>Sheet1!E1211</f>
        <v>IND/MEL/01210</v>
      </c>
      <c r="C1211" s="6" t="str">
        <f>UPPER(Sheet1!B1211)</f>
        <v>NICOLE BANKS</v>
      </c>
      <c r="D1211" s="7" t="str">
        <f>IF(Sheet1!F1211="F","FEMALE","MALE")</f>
        <v>FEMALE</v>
      </c>
      <c r="E1211" s="6" t="str">
        <f>UPPER(Sheet1!G1211)</f>
        <v>NICHOLAS BENNETT</v>
      </c>
      <c r="F1211" s="6" t="str">
        <f>UPPER(Sheet1!H1211)</f>
        <v>NANCY JONES</v>
      </c>
      <c r="G1211" s="5" t="str">
        <f>TEXT(Sheet1!C1211,"dd/mm/yyyy") &amp; "," &amp; Sheet1!D1211</f>
        <v>03/08/2025,WEST AARON</v>
      </c>
      <c r="H1211" s="39" t="str">
        <f>UPPER(Sheet1!J1211 &amp; "," &amp; Sheet1!K1211 &amp; "," &amp; Sheet1!L1211)</f>
        <v>088 DANIEL TRAIL,APT. 013,PIN:29806 BRITTANYBURGH</v>
      </c>
      <c r="I1211" s="8">
        <f>Sheet1!I1211</f>
        <v>46065</v>
      </c>
      <c r="J1211" s="5" t="str">
        <f>Sheet1!M1211 &amp; "," &amp; TEXT(Sheet1!N1211,"dd/mm/yy")</f>
        <v>MHA/IND/01216,18/02/26</v>
      </c>
      <c r="K1211" s="5" t="s">
        <v>5752</v>
      </c>
      <c r="L1211" t="s">
        <v>14</v>
      </c>
      <c r="M1211" s="31" t="s">
        <v>15</v>
      </c>
      <c r="N1211" s="31"/>
    </row>
    <row r="1212" spans="1:14" x14ac:dyDescent="0.25">
      <c r="A1212" s="4" t="str">
        <f>Sheet1!A1212 &amp; "/" &amp; "2025"</f>
        <v>1211/2025</v>
      </c>
      <c r="B1212" s="5" t="str">
        <f>Sheet1!E1212</f>
        <v>IND/MEL/01211</v>
      </c>
      <c r="C1212" s="6" t="str">
        <f>UPPER(Sheet1!B1212)</f>
        <v>JUDY WARREN</v>
      </c>
      <c r="D1212" s="7" t="str">
        <f>IF(Sheet1!F1212="F","FEMALE","MALE")</f>
        <v>MALE</v>
      </c>
      <c r="E1212" s="6" t="str">
        <f>UPPER(Sheet1!G1212)</f>
        <v>GEORGE WILLIAMS</v>
      </c>
      <c r="F1212" s="6" t="str">
        <f>UPPER(Sheet1!H1212)</f>
        <v>JAMIE HERRING</v>
      </c>
      <c r="G1212" s="5" t="str">
        <f>TEXT(Sheet1!C1212,"dd/mm/yyyy") &amp; "," &amp; Sheet1!D1212</f>
        <v>30/05/2025,SOUTH HOLLY</v>
      </c>
      <c r="H1212" s="39" t="str">
        <f>UPPER(Sheet1!J1212 &amp; "," &amp; Sheet1!K1212 &amp; "," &amp; Sheet1!L1212)</f>
        <v>43613 MARK STATION APT. 148,SUITE 834,PIN:25860 NEW AARON</v>
      </c>
      <c r="I1212" s="8">
        <f>Sheet1!I1212</f>
        <v>46065</v>
      </c>
      <c r="J1212" s="5" t="str">
        <f>Sheet1!M1212 &amp; "," &amp; TEXT(Sheet1!N1212,"dd/mm/yy")</f>
        <v>MHA/IND/01217,20/02/26</v>
      </c>
      <c r="K1212" s="5" t="s">
        <v>5752</v>
      </c>
      <c r="L1212" t="s">
        <v>14</v>
      </c>
      <c r="M1212" s="31" t="s">
        <v>15</v>
      </c>
      <c r="N1212" s="31"/>
    </row>
    <row r="1213" spans="1:14" x14ac:dyDescent="0.25">
      <c r="A1213" s="4" t="str">
        <f>Sheet1!A1213 &amp; "/" &amp; "2025"</f>
        <v>1212/2025</v>
      </c>
      <c r="B1213" s="5" t="str">
        <f>Sheet1!E1213</f>
        <v>IND/MEL/01212</v>
      </c>
      <c r="C1213" s="6" t="str">
        <f>UPPER(Sheet1!B1213)</f>
        <v>JOHN JONES</v>
      </c>
      <c r="D1213" s="7" t="str">
        <f>IF(Sheet1!F1213="F","FEMALE","MALE")</f>
        <v>FEMALE</v>
      </c>
      <c r="E1213" s="6" t="str">
        <f>UPPER(Sheet1!G1213)</f>
        <v>DR. BRIAN MYERS</v>
      </c>
      <c r="F1213" s="6" t="str">
        <f>UPPER(Sheet1!H1213)</f>
        <v>STACEY RAMOS</v>
      </c>
      <c r="G1213" s="5" t="str">
        <f>TEXT(Sheet1!C1213,"dd/mm/yyyy") &amp; "," &amp; Sheet1!D1213</f>
        <v>23/08/2025,PORT DONNABOROUGH</v>
      </c>
      <c r="H1213" s="39" t="str">
        <f>UPPER(Sheet1!J1213 &amp; "," &amp; Sheet1!K1213 &amp; "," &amp; Sheet1!L1213)</f>
        <v>97386 KIM MALL SUITE 881,SUITE 495,PIN:54134 JANICEBOROUGH</v>
      </c>
      <c r="I1213" s="8">
        <f>Sheet1!I1213</f>
        <v>46065</v>
      </c>
      <c r="J1213" s="5" t="str">
        <f>Sheet1!M1213 &amp; "," &amp; TEXT(Sheet1!N1213,"dd/mm/yy")</f>
        <v>MHA/IND/01218,24/02/26</v>
      </c>
      <c r="K1213" s="5" t="s">
        <v>5752</v>
      </c>
      <c r="L1213" t="s">
        <v>14</v>
      </c>
      <c r="M1213" s="31" t="s">
        <v>15</v>
      </c>
      <c r="N1213" s="31"/>
    </row>
    <row r="1214" spans="1:14" x14ac:dyDescent="0.25">
      <c r="A1214" s="4" t="str">
        <f>Sheet1!A1214 &amp; "/" &amp; "2025"</f>
        <v>1213/2025</v>
      </c>
      <c r="B1214" s="5" t="str">
        <f>Sheet1!E1214</f>
        <v>IND/MEL/01213</v>
      </c>
      <c r="C1214" s="6" t="str">
        <f>UPPER(Sheet1!B1214)</f>
        <v>AMY LE</v>
      </c>
      <c r="D1214" s="7" t="str">
        <f>IF(Sheet1!F1214="F","FEMALE","MALE")</f>
        <v>FEMALE</v>
      </c>
      <c r="E1214" s="6" t="str">
        <f>UPPER(Sheet1!G1214)</f>
        <v>LANCE STONE</v>
      </c>
      <c r="F1214" s="6" t="str">
        <f>UPPER(Sheet1!H1214)</f>
        <v>STACY HARDY</v>
      </c>
      <c r="G1214" s="5" t="str">
        <f>TEXT(Sheet1!C1214,"dd/mm/yyyy") &amp; "," &amp; Sheet1!D1214</f>
        <v>07/06/2025,NICHOLSSIDE</v>
      </c>
      <c r="H1214" s="39" t="str">
        <f>UPPER(Sheet1!J1214 &amp; "," &amp; Sheet1!K1214 &amp; "," &amp; Sheet1!L1214)</f>
        <v>8697 HANSON PORT,APT. 801,PIN:43999 PORT JOHNNYFORT</v>
      </c>
      <c r="I1214" s="8">
        <f>Sheet1!I1214</f>
        <v>46065</v>
      </c>
      <c r="J1214" s="5" t="str">
        <f>Sheet1!M1214 &amp; "," &amp; TEXT(Sheet1!N1214,"dd/mm/yy")</f>
        <v>MHA/IND/01219,23/02/26</v>
      </c>
      <c r="K1214" s="5" t="s">
        <v>5752</v>
      </c>
      <c r="L1214" t="s">
        <v>14</v>
      </c>
      <c r="M1214" s="31" t="s">
        <v>15</v>
      </c>
      <c r="N1214" s="31"/>
    </row>
    <row r="1215" spans="1:14" x14ac:dyDescent="0.25">
      <c r="A1215" s="4" t="str">
        <f>Sheet1!A1215 &amp; "/" &amp; "2025"</f>
        <v>1214/2025</v>
      </c>
      <c r="B1215" s="5" t="str">
        <f>Sheet1!E1215</f>
        <v>IND/MEL/01214</v>
      </c>
      <c r="C1215" s="6" t="str">
        <f>UPPER(Sheet1!B1215)</f>
        <v>TAMMY BLEVINS</v>
      </c>
      <c r="D1215" s="7" t="str">
        <f>IF(Sheet1!F1215="F","FEMALE","MALE")</f>
        <v>FEMALE</v>
      </c>
      <c r="E1215" s="6" t="str">
        <f>UPPER(Sheet1!G1215)</f>
        <v>JOHN SULLIVAN</v>
      </c>
      <c r="F1215" s="6" t="str">
        <f>UPPER(Sheet1!H1215)</f>
        <v>NANCY SPEARS</v>
      </c>
      <c r="G1215" s="5" t="str">
        <f>TEXT(Sheet1!C1215,"dd/mm/yyyy") &amp; "," &amp; Sheet1!D1215</f>
        <v>21/09/2025,WEST LAURAVILLE</v>
      </c>
      <c r="H1215" s="39" t="str">
        <f>UPPER(Sheet1!J1215 &amp; "," &amp; Sheet1!K1215 &amp; "," &amp; Sheet1!L1215)</f>
        <v>2072 GARNER MOTORWAY APT. 585,APT. 613,PIN:20610 GARYPORT</v>
      </c>
      <c r="I1215" s="8">
        <f>Sheet1!I1215</f>
        <v>46065</v>
      </c>
      <c r="J1215" s="5" t="str">
        <f>Sheet1!M1215 &amp; "," &amp; TEXT(Sheet1!N1215,"dd/mm/yy")</f>
        <v>MHA/IND/01220,14/02/26</v>
      </c>
      <c r="K1215" s="5" t="s">
        <v>5752</v>
      </c>
      <c r="L1215" t="s">
        <v>14</v>
      </c>
      <c r="M1215" s="31" t="s">
        <v>15</v>
      </c>
      <c r="N1215" s="31"/>
    </row>
    <row r="1216" spans="1:14" x14ac:dyDescent="0.25">
      <c r="A1216" s="4" t="str">
        <f>Sheet1!A1216 &amp; "/" &amp; "2025"</f>
        <v>1215/2025</v>
      </c>
      <c r="B1216" s="5" t="str">
        <f>Sheet1!E1216</f>
        <v>IND/MEL/01215</v>
      </c>
      <c r="C1216" s="6" t="str">
        <f>UPPER(Sheet1!B1216)</f>
        <v>AMANDA OLIVER</v>
      </c>
      <c r="D1216" s="7" t="str">
        <f>IF(Sheet1!F1216="F","FEMALE","MALE")</f>
        <v>FEMALE</v>
      </c>
      <c r="E1216" s="6" t="str">
        <f>UPPER(Sheet1!G1216)</f>
        <v>MARK GRANT</v>
      </c>
      <c r="F1216" s="6" t="str">
        <f>UPPER(Sheet1!H1216)</f>
        <v>MARY MCDONALD</v>
      </c>
      <c r="G1216" s="5" t="str">
        <f>TEXT(Sheet1!C1216,"dd/mm/yyyy") &amp; "," &amp; Sheet1!D1216</f>
        <v>21/09/2025,EAST WILLIE</v>
      </c>
      <c r="H1216" s="39" t="str">
        <f>UPPER(Sheet1!J1216 &amp; "," &amp; Sheet1!K1216 &amp; "," &amp; Sheet1!L1216)</f>
        <v>6890 STEPHEN ROAD APT. 693,APT. 357,PIN:23020 MARTINEZSTAD</v>
      </c>
      <c r="I1216" s="8">
        <f>Sheet1!I1216</f>
        <v>46065</v>
      </c>
      <c r="J1216" s="5" t="str">
        <f>Sheet1!M1216 &amp; "," &amp; TEXT(Sheet1!N1216,"dd/mm/yy")</f>
        <v>MHA/IND/01221,02/03/26</v>
      </c>
      <c r="K1216" s="5" t="s">
        <v>5752</v>
      </c>
      <c r="L1216" t="s">
        <v>14</v>
      </c>
      <c r="M1216" s="31" t="s">
        <v>15</v>
      </c>
      <c r="N1216" s="31"/>
    </row>
    <row r="1217" spans="1:14" x14ac:dyDescent="0.25">
      <c r="A1217" s="4" t="str">
        <f>Sheet1!A1217 &amp; "/" &amp; "2025"</f>
        <v>1216/2025</v>
      </c>
      <c r="B1217" s="5" t="str">
        <f>Sheet1!E1217</f>
        <v>IND/MEL/01216</v>
      </c>
      <c r="C1217" s="6" t="str">
        <f>UPPER(Sheet1!B1217)</f>
        <v>JENNIFER MCCORMICK</v>
      </c>
      <c r="D1217" s="7" t="str">
        <f>IF(Sheet1!F1217="F","FEMALE","MALE")</f>
        <v>MALE</v>
      </c>
      <c r="E1217" s="6" t="str">
        <f>UPPER(Sheet1!G1217)</f>
        <v>BENJAMIN JOHNSON</v>
      </c>
      <c r="F1217" s="6" t="str">
        <f>UPPER(Sheet1!H1217)</f>
        <v>SAMANTHA HOWELL</v>
      </c>
      <c r="G1217" s="5" t="str">
        <f>TEXT(Sheet1!C1217,"dd/mm/yyyy") &amp; "," &amp; Sheet1!D1217</f>
        <v>27/09/2025,DANIELSIDE</v>
      </c>
      <c r="H1217" s="39" t="str">
        <f>UPPER(Sheet1!J1217 &amp; "," &amp; Sheet1!K1217 &amp; "," &amp; Sheet1!L1217)</f>
        <v>332 RICHARD MEADOW,SUITE 549,PIN:07909 SOUTH PAMELA</v>
      </c>
      <c r="I1217" s="8">
        <f>Sheet1!I1217</f>
        <v>46065</v>
      </c>
      <c r="J1217" s="5" t="str">
        <f>Sheet1!M1217 &amp; "," &amp; TEXT(Sheet1!N1217,"dd/mm/yy")</f>
        <v>MHA/IND/01222,04/03/26</v>
      </c>
      <c r="K1217" s="5" t="s">
        <v>5752</v>
      </c>
      <c r="L1217" t="s">
        <v>14</v>
      </c>
      <c r="M1217" s="31" t="s">
        <v>15</v>
      </c>
      <c r="N1217" s="31"/>
    </row>
    <row r="1218" spans="1:14" x14ac:dyDescent="0.25">
      <c r="A1218" s="4" t="str">
        <f>Sheet1!A1218 &amp; "/" &amp; "2025"</f>
        <v>1217/2025</v>
      </c>
      <c r="B1218" s="5" t="str">
        <f>Sheet1!E1218</f>
        <v>IND/MEL/01217</v>
      </c>
      <c r="C1218" s="6" t="str">
        <f>UPPER(Sheet1!B1218)</f>
        <v>ADRIAN STEPHENS</v>
      </c>
      <c r="D1218" s="7" t="str">
        <f>IF(Sheet1!F1218="F","FEMALE","MALE")</f>
        <v>FEMALE</v>
      </c>
      <c r="E1218" s="6" t="str">
        <f>UPPER(Sheet1!G1218)</f>
        <v>GERALD CAREY</v>
      </c>
      <c r="F1218" s="6" t="str">
        <f>UPPER(Sheet1!H1218)</f>
        <v>JILL GRAVES</v>
      </c>
      <c r="G1218" s="5" t="str">
        <f>TEXT(Sheet1!C1218,"dd/mm/yyyy") &amp; "," &amp; Sheet1!D1218</f>
        <v>07/12/2025,PHAMMOUTH</v>
      </c>
      <c r="H1218" s="39" t="str">
        <f>UPPER(Sheet1!J1218 &amp; "," &amp; Sheet1!K1218 &amp; "," &amp; Sheet1!L1218)</f>
        <v>83780 BYRD ROADS SUITE 525,APT. 739,PIN:46111 JEFFREYBURY</v>
      </c>
      <c r="I1218" s="8">
        <f>Sheet1!I1218</f>
        <v>46065</v>
      </c>
      <c r="J1218" s="5" t="str">
        <f>Sheet1!M1218 &amp; "," &amp; TEXT(Sheet1!N1218,"dd/mm/yy")</f>
        <v>MHA/IND/01223,09/03/26</v>
      </c>
      <c r="K1218" s="5" t="s">
        <v>5752</v>
      </c>
      <c r="L1218" t="s">
        <v>14</v>
      </c>
      <c r="M1218" s="31" t="s">
        <v>15</v>
      </c>
      <c r="N1218" s="31"/>
    </row>
    <row r="1219" spans="1:14" x14ac:dyDescent="0.25">
      <c r="A1219" s="4" t="str">
        <f>Sheet1!A1219 &amp; "/" &amp; "2025"</f>
        <v>1218/2025</v>
      </c>
      <c r="B1219" s="5" t="str">
        <f>Sheet1!E1219</f>
        <v>IND/MEL/01218</v>
      </c>
      <c r="C1219" s="6" t="str">
        <f>UPPER(Sheet1!B1219)</f>
        <v>ASHLEY GLASS</v>
      </c>
      <c r="D1219" s="7" t="str">
        <f>IF(Sheet1!F1219="F","FEMALE","MALE")</f>
        <v>FEMALE</v>
      </c>
      <c r="E1219" s="6" t="str">
        <f>UPPER(Sheet1!G1219)</f>
        <v>MATTHEW CLARKE</v>
      </c>
      <c r="F1219" s="6" t="str">
        <f>UPPER(Sheet1!H1219)</f>
        <v>LESLIE SCHULTZ</v>
      </c>
      <c r="G1219" s="5" t="str">
        <f>TEXT(Sheet1!C1219,"dd/mm/yyyy") &amp; "," &amp; Sheet1!D1219</f>
        <v>11/07/2025,EAST TONY</v>
      </c>
      <c r="H1219" s="39" t="str">
        <f>UPPER(Sheet1!J1219 &amp; "," &amp; Sheet1!K1219 &amp; "," &amp; Sheet1!L1219)</f>
        <v>996 JAMES PORT APT. 226,APT. 125,PIN:65619 WEST SYDNEYTOWN</v>
      </c>
      <c r="I1219" s="8">
        <f>Sheet1!I1219</f>
        <v>46065</v>
      </c>
      <c r="J1219" s="5" t="str">
        <f>Sheet1!M1219 &amp; "," &amp; TEXT(Sheet1!N1219,"dd/mm/yy")</f>
        <v>MHA/IND/01224,08/03/26</v>
      </c>
      <c r="K1219" s="5" t="s">
        <v>5752</v>
      </c>
      <c r="L1219" t="s">
        <v>14</v>
      </c>
      <c r="M1219" s="31" t="s">
        <v>15</v>
      </c>
      <c r="N1219" s="31"/>
    </row>
    <row r="1220" spans="1:14" x14ac:dyDescent="0.25">
      <c r="A1220" s="4" t="str">
        <f>Sheet1!A1220 &amp; "/" &amp; "2025"</f>
        <v>1219/2025</v>
      </c>
      <c r="B1220" s="5" t="str">
        <f>Sheet1!E1220</f>
        <v>IND/MEL/01219</v>
      </c>
      <c r="C1220" s="6" t="str">
        <f>UPPER(Sheet1!B1220)</f>
        <v>LISA LLOYD</v>
      </c>
      <c r="D1220" s="7" t="str">
        <f>IF(Sheet1!F1220="F","FEMALE","MALE")</f>
        <v>FEMALE</v>
      </c>
      <c r="E1220" s="6" t="str">
        <f>UPPER(Sheet1!G1220)</f>
        <v>DAVID RODRIGUEZ</v>
      </c>
      <c r="F1220" s="6" t="str">
        <f>UPPER(Sheet1!H1220)</f>
        <v>KRYSTAL CONTRERAS</v>
      </c>
      <c r="G1220" s="5" t="str">
        <f>TEXT(Sheet1!C1220,"dd/mm/yyyy") &amp; "," &amp; Sheet1!D1220</f>
        <v>19/08/2025,NEW ASHLEYBURGH</v>
      </c>
      <c r="H1220" s="39" t="str">
        <f>UPPER(Sheet1!J1220 &amp; "," &amp; Sheet1!K1220 &amp; "," &amp; Sheet1!L1220)</f>
        <v>2560 GONZALES FIELDS,APT. 845,PIN:80250 EAST CRISTINA</v>
      </c>
      <c r="I1220" s="8">
        <f>Sheet1!I1220</f>
        <v>46065</v>
      </c>
      <c r="J1220" s="5" t="str">
        <f>Sheet1!M1220 &amp; "," &amp; TEXT(Sheet1!N1220,"dd/mm/yy")</f>
        <v>MHA/IND/01225,25/02/26</v>
      </c>
      <c r="K1220" s="5" t="s">
        <v>5752</v>
      </c>
      <c r="L1220" t="s">
        <v>14</v>
      </c>
      <c r="M1220" s="31" t="s">
        <v>15</v>
      </c>
      <c r="N1220" s="31"/>
    </row>
    <row r="1221" spans="1:14" x14ac:dyDescent="0.25">
      <c r="A1221" s="4" t="str">
        <f>Sheet1!A1221 &amp; "/" &amp; "2025"</f>
        <v>1220/2025</v>
      </c>
      <c r="B1221" s="5" t="str">
        <f>Sheet1!E1221</f>
        <v>IND/MEL/01220</v>
      </c>
      <c r="C1221" s="6" t="str">
        <f>UPPER(Sheet1!B1221)</f>
        <v>DEBBIE MULLINS</v>
      </c>
      <c r="D1221" s="7" t="str">
        <f>IF(Sheet1!F1221="F","FEMALE","MALE")</f>
        <v>FEMALE</v>
      </c>
      <c r="E1221" s="6" t="str">
        <f>UPPER(Sheet1!G1221)</f>
        <v>MATTHEW JOHNSON</v>
      </c>
      <c r="F1221" s="6" t="str">
        <f>UPPER(Sheet1!H1221)</f>
        <v>MORGAN MACIAS</v>
      </c>
      <c r="G1221" s="5" t="str">
        <f>TEXT(Sheet1!C1221,"dd/mm/yyyy") &amp; "," &amp; Sheet1!D1221</f>
        <v>17/09/2025,JOHNATHANTON</v>
      </c>
      <c r="H1221" s="39" t="str">
        <f>UPPER(Sheet1!J1221 &amp; "," &amp; Sheet1!K1221 &amp; "," &amp; Sheet1!L1221)</f>
        <v>22933 KEITH INLET,SUITE 611,PIN:55346 FLORESVILLE</v>
      </c>
      <c r="I1221" s="8">
        <f>Sheet1!I1221</f>
        <v>46065</v>
      </c>
      <c r="J1221" s="5" t="str">
        <f>Sheet1!M1221 &amp; "," &amp; TEXT(Sheet1!N1221,"dd/mm/yy")</f>
        <v>MHA/IND/01226,19/02/26</v>
      </c>
      <c r="K1221" s="5" t="s">
        <v>5752</v>
      </c>
      <c r="L1221" t="s">
        <v>14</v>
      </c>
      <c r="M1221" s="31" t="s">
        <v>15</v>
      </c>
      <c r="N1221" s="31"/>
    </row>
    <row r="1222" spans="1:14" x14ac:dyDescent="0.25">
      <c r="A1222" s="4" t="str">
        <f>Sheet1!A1222 &amp; "/" &amp; "2025"</f>
        <v>1221/2025</v>
      </c>
      <c r="B1222" s="5" t="str">
        <f>Sheet1!E1222</f>
        <v>IND/MEL/01221</v>
      </c>
      <c r="C1222" s="6" t="str">
        <f>UPPER(Sheet1!B1222)</f>
        <v>VERONICA MARTINEZ</v>
      </c>
      <c r="D1222" s="7" t="str">
        <f>IF(Sheet1!F1222="F","FEMALE","MALE")</f>
        <v>MALE</v>
      </c>
      <c r="E1222" s="6" t="str">
        <f>UPPER(Sheet1!G1222)</f>
        <v>RICHARD PITTS</v>
      </c>
      <c r="F1222" s="6" t="str">
        <f>UPPER(Sheet1!H1222)</f>
        <v>SHARON WILSON</v>
      </c>
      <c r="G1222" s="5" t="str">
        <f>TEXT(Sheet1!C1222,"dd/mm/yyyy") &amp; "," &amp; Sheet1!D1222</f>
        <v>21/10/2025,LAKE MICHELLESHIRE</v>
      </c>
      <c r="H1222" s="39" t="str">
        <f>UPPER(Sheet1!J1222 &amp; "," &amp; Sheet1!K1222 &amp; "," &amp; Sheet1!L1222)</f>
        <v>87759 NATHAN GREENS APT. 337,SUITE 882,PIN:60950 ALISONVILLE</v>
      </c>
      <c r="I1222" s="8">
        <f>Sheet1!I1222</f>
        <v>46065</v>
      </c>
      <c r="J1222" s="5" t="str">
        <f>Sheet1!M1222 &amp; "," &amp; TEXT(Sheet1!N1222,"dd/mm/yy")</f>
        <v>MHA/IND/01227,10/03/26</v>
      </c>
      <c r="K1222" s="5" t="s">
        <v>5752</v>
      </c>
      <c r="L1222" t="s">
        <v>14</v>
      </c>
      <c r="M1222" s="31" t="s">
        <v>15</v>
      </c>
      <c r="N1222" s="31"/>
    </row>
    <row r="1223" spans="1:14" x14ac:dyDescent="0.25">
      <c r="A1223" s="4" t="str">
        <f>Sheet1!A1223 &amp; "/" &amp; "2025"</f>
        <v>1222/2025</v>
      </c>
      <c r="B1223" s="5" t="str">
        <f>Sheet1!E1223</f>
        <v>IND/MEL/01222</v>
      </c>
      <c r="C1223" s="6" t="str">
        <f>UPPER(Sheet1!B1223)</f>
        <v>CHRISTOPHER CAMPOS</v>
      </c>
      <c r="D1223" s="7" t="str">
        <f>IF(Sheet1!F1223="F","FEMALE","MALE")</f>
        <v>FEMALE</v>
      </c>
      <c r="E1223" s="6" t="str">
        <f>UPPER(Sheet1!G1223)</f>
        <v>RYAN BROWN</v>
      </c>
      <c r="F1223" s="6" t="str">
        <f>UPPER(Sheet1!H1223)</f>
        <v>SAMANTHA CHRISTENSEN</v>
      </c>
      <c r="G1223" s="5" t="str">
        <f>TEXT(Sheet1!C1223,"dd/mm/yyyy") &amp; "," &amp; Sheet1!D1223</f>
        <v>08/03/2025,MARIABOROUGH</v>
      </c>
      <c r="H1223" s="39" t="str">
        <f>UPPER(Sheet1!J1223 &amp; "," &amp; Sheet1!K1223 &amp; "," &amp; Sheet1!L1223)</f>
        <v>9255 DIANA WALL,APT. 513,PIN:12127 WEST JUAN</v>
      </c>
      <c r="I1223" s="8">
        <f>Sheet1!I1223</f>
        <v>46065</v>
      </c>
      <c r="J1223" s="5" t="str">
        <f>Sheet1!M1223 &amp; "," &amp; TEXT(Sheet1!N1223,"dd/mm/yy")</f>
        <v>MHA/IND/01228,02/03/26</v>
      </c>
      <c r="K1223" s="5" t="s">
        <v>5752</v>
      </c>
      <c r="L1223" t="s">
        <v>14</v>
      </c>
      <c r="M1223" s="31" t="s">
        <v>15</v>
      </c>
      <c r="N1223" s="31"/>
    </row>
    <row r="1224" spans="1:14" x14ac:dyDescent="0.25">
      <c r="A1224" s="4" t="str">
        <f>Sheet1!A1224 &amp; "/" &amp; "2025"</f>
        <v>1223/2025</v>
      </c>
      <c r="B1224" s="5" t="str">
        <f>Sheet1!E1224</f>
        <v>IND/MEL/01223</v>
      </c>
      <c r="C1224" s="6" t="str">
        <f>UPPER(Sheet1!B1224)</f>
        <v>HANNAH JOHNSON</v>
      </c>
      <c r="D1224" s="7" t="str">
        <f>IF(Sheet1!F1224="F","FEMALE","MALE")</f>
        <v>MALE</v>
      </c>
      <c r="E1224" s="6" t="str">
        <f>UPPER(Sheet1!G1224)</f>
        <v>JEFFREY PHILLIPS</v>
      </c>
      <c r="F1224" s="6" t="str">
        <f>UPPER(Sheet1!H1224)</f>
        <v>SHANNON RILEY</v>
      </c>
      <c r="G1224" s="5" t="str">
        <f>TEXT(Sheet1!C1224,"dd/mm/yyyy") &amp; "," &amp; Sheet1!D1224</f>
        <v>09/05/2025,LAKE ROBERTBOROUGH</v>
      </c>
      <c r="H1224" s="39" t="str">
        <f>UPPER(Sheet1!J1224 &amp; "," &amp; Sheet1!K1224 &amp; "," &amp; Sheet1!L1224)</f>
        <v>3484 PAUL CAUSEWAY APT. 774,APT. 719,PIN:72391 SOUTH SHANE</v>
      </c>
      <c r="I1224" s="8">
        <f>Sheet1!I1224</f>
        <v>46065</v>
      </c>
      <c r="J1224" s="5" t="str">
        <f>Sheet1!M1224 &amp; "," &amp; TEXT(Sheet1!N1224,"dd/mm/yy")</f>
        <v>MHA/IND/01229,15/02/26</v>
      </c>
      <c r="K1224" s="5" t="s">
        <v>5752</v>
      </c>
      <c r="L1224" t="s">
        <v>14</v>
      </c>
      <c r="M1224" s="31" t="s">
        <v>15</v>
      </c>
      <c r="N1224" s="31"/>
    </row>
    <row r="1225" spans="1:14" x14ac:dyDescent="0.25">
      <c r="A1225" s="4" t="str">
        <f>Sheet1!A1225 &amp; "/" &amp; "2025"</f>
        <v>1224/2025</v>
      </c>
      <c r="B1225" s="5" t="str">
        <f>Sheet1!E1225</f>
        <v>IND/MEL/01224</v>
      </c>
      <c r="C1225" s="6" t="str">
        <f>UPPER(Sheet1!B1225)</f>
        <v>MICHELLE EVANS</v>
      </c>
      <c r="D1225" s="7" t="str">
        <f>IF(Sheet1!F1225="F","FEMALE","MALE")</f>
        <v>MALE</v>
      </c>
      <c r="E1225" s="6" t="str">
        <f>UPPER(Sheet1!G1225)</f>
        <v>TIMOTHY DAVIS</v>
      </c>
      <c r="F1225" s="6" t="str">
        <f>UPPER(Sheet1!H1225)</f>
        <v>PAMELA CROSBY</v>
      </c>
      <c r="G1225" s="5" t="str">
        <f>TEXT(Sheet1!C1225,"dd/mm/yyyy") &amp; "," &amp; Sheet1!D1225</f>
        <v>30/01/2026,LAKE JAMESTOWN</v>
      </c>
      <c r="H1225" s="39" t="str">
        <f>UPPER(Sheet1!J1225 &amp; "," &amp; Sheet1!K1225 &amp; "," &amp; Sheet1!L1225)</f>
        <v>4047 HUDSON ROADS APT. 200,APT. 067,PIN:69239 MARYSTAD</v>
      </c>
      <c r="I1225" s="8">
        <f>Sheet1!I1225</f>
        <v>46065</v>
      </c>
      <c r="J1225" s="5" t="str">
        <f>Sheet1!M1225 &amp; "," &amp; TEXT(Sheet1!N1225,"dd/mm/yy")</f>
        <v>MHA/IND/01230,28/02/26</v>
      </c>
      <c r="K1225" s="5" t="s">
        <v>5752</v>
      </c>
      <c r="L1225" t="s">
        <v>14</v>
      </c>
      <c r="M1225" s="31" t="s">
        <v>15</v>
      </c>
      <c r="N1225" s="31"/>
    </row>
    <row r="1226" spans="1:14" x14ac:dyDescent="0.25">
      <c r="A1226" s="4" t="str">
        <f>Sheet1!A1226 &amp; "/" &amp; "2025"</f>
        <v>1225/2025</v>
      </c>
      <c r="B1226" s="5" t="str">
        <f>Sheet1!E1226</f>
        <v>IND/MEL/01225</v>
      </c>
      <c r="C1226" s="6" t="str">
        <f>UPPER(Sheet1!B1226)</f>
        <v>MARIA JOHNSON</v>
      </c>
      <c r="D1226" s="7" t="str">
        <f>IF(Sheet1!F1226="F","FEMALE","MALE")</f>
        <v>MALE</v>
      </c>
      <c r="E1226" s="6" t="str">
        <f>UPPER(Sheet1!G1226)</f>
        <v>COREY GRAY</v>
      </c>
      <c r="F1226" s="6" t="str">
        <f>UPPER(Sheet1!H1226)</f>
        <v>BARBARA SERRANO</v>
      </c>
      <c r="G1226" s="5" t="str">
        <f>TEXT(Sheet1!C1226,"dd/mm/yyyy") &amp; "," &amp; Sheet1!D1226</f>
        <v>04/07/2025,EAST JULIA</v>
      </c>
      <c r="H1226" s="39" t="str">
        <f>UPPER(Sheet1!J1226 &amp; "," &amp; Sheet1!K1226 &amp; "," &amp; Sheet1!L1226)</f>
        <v>605 MICHAEL EXTENSION,APT. 899,PIN:34432 ALEXANDRAVIEW</v>
      </c>
      <c r="I1226" s="8">
        <f>Sheet1!I1226</f>
        <v>46065</v>
      </c>
      <c r="J1226" s="5" t="str">
        <f>Sheet1!M1226 &amp; "," &amp; TEXT(Sheet1!N1226,"dd/mm/yy")</f>
        <v>MHA/IND/01231,18/02/26</v>
      </c>
      <c r="K1226" s="5" t="s">
        <v>5752</v>
      </c>
      <c r="L1226" t="s">
        <v>14</v>
      </c>
      <c r="M1226" s="31" t="s">
        <v>15</v>
      </c>
      <c r="N1226" s="31"/>
    </row>
    <row r="1227" spans="1:14" x14ac:dyDescent="0.25">
      <c r="A1227" s="4" t="str">
        <f>Sheet1!A1227 &amp; "/" &amp; "2025"</f>
        <v>1226/2025</v>
      </c>
      <c r="B1227" s="5" t="str">
        <f>Sheet1!E1227</f>
        <v>IND/MEL/01226</v>
      </c>
      <c r="C1227" s="6" t="str">
        <f>UPPER(Sheet1!B1227)</f>
        <v>STEPHANIE SKINNER</v>
      </c>
      <c r="D1227" s="7" t="str">
        <f>IF(Sheet1!F1227="F","FEMALE","MALE")</f>
        <v>MALE</v>
      </c>
      <c r="E1227" s="6" t="str">
        <f>UPPER(Sheet1!G1227)</f>
        <v>MATTHEW ZIMMERMAN</v>
      </c>
      <c r="F1227" s="6" t="str">
        <f>UPPER(Sheet1!H1227)</f>
        <v>MADELINE PORTER</v>
      </c>
      <c r="G1227" s="5" t="str">
        <f>TEXT(Sheet1!C1227,"dd/mm/yyyy") &amp; "," &amp; Sheet1!D1227</f>
        <v>27/07/2025,PORT JAY</v>
      </c>
      <c r="H1227" s="39" t="str">
        <f>UPPER(Sheet1!J1227 &amp; "," &amp; Sheet1!K1227 &amp; "," &amp; Sheet1!L1227)</f>
        <v>031 HANEY PLACE,APT. 016,PIN:69239 HUDSONFORT</v>
      </c>
      <c r="I1227" s="8">
        <f>Sheet1!I1227</f>
        <v>46065</v>
      </c>
      <c r="J1227" s="5" t="str">
        <f>Sheet1!M1227 &amp; "," &amp; TEXT(Sheet1!N1227,"dd/mm/yy")</f>
        <v>MHA/IND/01232,23/02/26</v>
      </c>
      <c r="K1227" s="5" t="s">
        <v>5752</v>
      </c>
      <c r="L1227" t="s">
        <v>14</v>
      </c>
      <c r="M1227" s="31" t="s">
        <v>15</v>
      </c>
      <c r="N1227" s="31"/>
    </row>
    <row r="1228" spans="1:14" x14ac:dyDescent="0.25">
      <c r="A1228" s="4" t="str">
        <f>Sheet1!A1228 &amp; "/" &amp; "2025"</f>
        <v>1227/2025</v>
      </c>
      <c r="B1228" s="5" t="str">
        <f>Sheet1!E1228</f>
        <v>IND/MEL/01227</v>
      </c>
      <c r="C1228" s="6" t="str">
        <f>UPPER(Sheet1!B1228)</f>
        <v>JAMES MITCHELL</v>
      </c>
      <c r="D1228" s="7" t="str">
        <f>IF(Sheet1!F1228="F","FEMALE","MALE")</f>
        <v>MALE</v>
      </c>
      <c r="E1228" s="6" t="str">
        <f>UPPER(Sheet1!G1228)</f>
        <v>EDDIE NELSON</v>
      </c>
      <c r="F1228" s="6" t="str">
        <f>UPPER(Sheet1!H1228)</f>
        <v>KELSEY WRIGHT</v>
      </c>
      <c r="G1228" s="5" t="str">
        <f>TEXT(Sheet1!C1228,"dd/mm/yyyy") &amp; "," &amp; Sheet1!D1228</f>
        <v>11/06/2025,PORT AMANDA</v>
      </c>
      <c r="H1228" s="39" t="str">
        <f>UPPER(Sheet1!J1228 &amp; "," &amp; Sheet1!K1228 &amp; "," &amp; Sheet1!L1228)</f>
        <v>427 GONZALEZ MILL APT. 889,APT. 357,PIN:47209 ELLISFURT</v>
      </c>
      <c r="I1228" s="8">
        <f>Sheet1!I1228</f>
        <v>46065</v>
      </c>
      <c r="J1228" s="5" t="str">
        <f>Sheet1!M1228 &amp; "," &amp; TEXT(Sheet1!N1228,"dd/mm/yy")</f>
        <v>MHA/IND/01233,16/02/26</v>
      </c>
      <c r="K1228" s="5" t="s">
        <v>5752</v>
      </c>
      <c r="L1228" t="s">
        <v>14</v>
      </c>
      <c r="M1228" s="31" t="s">
        <v>15</v>
      </c>
      <c r="N1228" s="31"/>
    </row>
    <row r="1229" spans="1:14" x14ac:dyDescent="0.25">
      <c r="A1229" s="4" t="str">
        <f>Sheet1!A1229 &amp; "/" &amp; "2025"</f>
        <v>1228/2025</v>
      </c>
      <c r="B1229" s="5" t="str">
        <f>Sheet1!E1229</f>
        <v>IND/MEL/01228</v>
      </c>
      <c r="C1229" s="6" t="str">
        <f>UPPER(Sheet1!B1229)</f>
        <v>SHERRY ROSE</v>
      </c>
      <c r="D1229" s="7" t="str">
        <f>IF(Sheet1!F1229="F","FEMALE","MALE")</f>
        <v>MALE</v>
      </c>
      <c r="E1229" s="6" t="str">
        <f>UPPER(Sheet1!G1229)</f>
        <v>JOHN THOMPSON</v>
      </c>
      <c r="F1229" s="6" t="str">
        <f>UPPER(Sheet1!H1229)</f>
        <v>LAURIE BALLARD</v>
      </c>
      <c r="G1229" s="5" t="str">
        <f>TEXT(Sheet1!C1229,"dd/mm/yyyy") &amp; "," &amp; Sheet1!D1229</f>
        <v>05/08/2025,WEST KATHLEENCHESTER</v>
      </c>
      <c r="H1229" s="39" t="str">
        <f>UPPER(Sheet1!J1229 &amp; "," &amp; Sheet1!K1229 &amp; "," &amp; Sheet1!L1229)</f>
        <v>90176 ROBERT ISLAND SUITE 894,APT. 354,PIN:21578 EAST BRITTANY</v>
      </c>
      <c r="I1229" s="8">
        <f>Sheet1!I1229</f>
        <v>46065</v>
      </c>
      <c r="J1229" s="5" t="str">
        <f>Sheet1!M1229 &amp; "," &amp; TEXT(Sheet1!N1229,"dd/mm/yy")</f>
        <v>MHA/IND/01234,02/03/26</v>
      </c>
      <c r="K1229" s="5" t="s">
        <v>5752</v>
      </c>
      <c r="L1229" t="s">
        <v>14</v>
      </c>
      <c r="M1229" s="31" t="s">
        <v>15</v>
      </c>
      <c r="N1229" s="31"/>
    </row>
    <row r="1230" spans="1:14" x14ac:dyDescent="0.25">
      <c r="A1230" s="4" t="str">
        <f>Sheet1!A1230 &amp; "/" &amp; "2025"</f>
        <v>1229/2025</v>
      </c>
      <c r="B1230" s="5" t="str">
        <f>Sheet1!E1230</f>
        <v>IND/MEL/01229</v>
      </c>
      <c r="C1230" s="6" t="str">
        <f>UPPER(Sheet1!B1230)</f>
        <v>HAROLD VEGA</v>
      </c>
      <c r="D1230" s="7" t="str">
        <f>IF(Sheet1!F1230="F","FEMALE","MALE")</f>
        <v>MALE</v>
      </c>
      <c r="E1230" s="6" t="str">
        <f>UPPER(Sheet1!G1230)</f>
        <v>DEREK MOODY</v>
      </c>
      <c r="F1230" s="6" t="str">
        <f>UPPER(Sheet1!H1230)</f>
        <v>THERESA HARRIS</v>
      </c>
      <c r="G1230" s="5" t="str">
        <f>TEXT(Sheet1!C1230,"dd/mm/yyyy") &amp; "," &amp; Sheet1!D1230</f>
        <v>15/09/2025,NEW CANDACESIDE</v>
      </c>
      <c r="H1230" s="39" t="str">
        <f>UPPER(Sheet1!J1230 &amp; "," &amp; Sheet1!K1230 &amp; "," &amp; Sheet1!L1230)</f>
        <v>20932 GABRIEL PLACE APT. 753,APT. 059,PIN:13991 WHITNEYBURY</v>
      </c>
      <c r="I1230" s="8">
        <f>Sheet1!I1230</f>
        <v>46065</v>
      </c>
      <c r="J1230" s="5" t="str">
        <f>Sheet1!M1230 &amp; "," &amp; TEXT(Sheet1!N1230,"dd/mm/yy")</f>
        <v>MHA/IND/01235,17/02/26</v>
      </c>
      <c r="K1230" s="5" t="s">
        <v>5752</v>
      </c>
      <c r="L1230" t="s">
        <v>14</v>
      </c>
      <c r="M1230" s="31" t="s">
        <v>15</v>
      </c>
      <c r="N1230" s="31"/>
    </row>
    <row r="1231" spans="1:14" x14ac:dyDescent="0.25">
      <c r="A1231" s="4" t="str">
        <f>Sheet1!A1231 &amp; "/" &amp; "2025"</f>
        <v>1230/2025</v>
      </c>
      <c r="B1231" s="5" t="str">
        <f>Sheet1!E1231</f>
        <v>IND/MEL/01230</v>
      </c>
      <c r="C1231" s="6" t="str">
        <f>UPPER(Sheet1!B1231)</f>
        <v>COREY ALLEN</v>
      </c>
      <c r="D1231" s="7" t="str">
        <f>IF(Sheet1!F1231="F","FEMALE","MALE")</f>
        <v>FEMALE</v>
      </c>
      <c r="E1231" s="6" t="str">
        <f>UPPER(Sheet1!G1231)</f>
        <v>HENRY WRIGHT</v>
      </c>
      <c r="F1231" s="6" t="str">
        <f>UPPER(Sheet1!H1231)</f>
        <v>ANNETTE OSBORNE</v>
      </c>
      <c r="G1231" s="5" t="str">
        <f>TEXT(Sheet1!C1231,"dd/mm/yyyy") &amp; "," &amp; Sheet1!D1231</f>
        <v>13/02/2025,KENNETHSHIRE</v>
      </c>
      <c r="H1231" s="39" t="str">
        <f>UPPER(Sheet1!J1231 &amp; "," &amp; Sheet1!K1231 &amp; "," &amp; Sheet1!L1231)</f>
        <v>14698 QUINN MOTORWAY,SUITE 067,PIN:95525 LAKE JOELMOUTH</v>
      </c>
      <c r="I1231" s="8">
        <f>Sheet1!I1231</f>
        <v>46065</v>
      </c>
      <c r="J1231" s="5" t="str">
        <f>Sheet1!M1231 &amp; "," &amp; TEXT(Sheet1!N1231,"dd/mm/yy")</f>
        <v>MHA/IND/01236,14/03/26</v>
      </c>
      <c r="K1231" s="5" t="s">
        <v>5752</v>
      </c>
      <c r="L1231" t="s">
        <v>14</v>
      </c>
      <c r="M1231" s="31" t="s">
        <v>15</v>
      </c>
      <c r="N1231" s="31"/>
    </row>
    <row r="1232" spans="1:14" x14ac:dyDescent="0.25">
      <c r="A1232" s="4" t="str">
        <f>Sheet1!A1232 &amp; "/" &amp; "2025"</f>
        <v>1231/2025</v>
      </c>
      <c r="B1232" s="5" t="str">
        <f>Sheet1!E1232</f>
        <v>IND/MEL/01231</v>
      </c>
      <c r="C1232" s="6" t="str">
        <f>UPPER(Sheet1!B1232)</f>
        <v>SAMUEL JOHNSON</v>
      </c>
      <c r="D1232" s="7" t="str">
        <f>IF(Sheet1!F1232="F","FEMALE","MALE")</f>
        <v>MALE</v>
      </c>
      <c r="E1232" s="6" t="str">
        <f>UPPER(Sheet1!G1232)</f>
        <v>BENJAMIN PATTON</v>
      </c>
      <c r="F1232" s="6" t="str">
        <f>UPPER(Sheet1!H1232)</f>
        <v>RACHEL STEPHENSON</v>
      </c>
      <c r="G1232" s="5" t="str">
        <f>TEXT(Sheet1!C1232,"dd/mm/yyyy") &amp; "," &amp; Sheet1!D1232</f>
        <v>19/09/2025,WEST JAVIERVIEW</v>
      </c>
      <c r="H1232" s="39" t="str">
        <f>UPPER(Sheet1!J1232 &amp; "," &amp; Sheet1!K1232 &amp; "," &amp; Sheet1!L1232)</f>
        <v>50433 TUCKER MILLS,SUITE 549,PIN:40493 NORTH JAMESVILLE</v>
      </c>
      <c r="I1232" s="8">
        <f>Sheet1!I1232</f>
        <v>46065</v>
      </c>
      <c r="J1232" s="5" t="str">
        <f>Sheet1!M1232 &amp; "," &amp; TEXT(Sheet1!N1232,"dd/mm/yy")</f>
        <v>MHA/IND/01237,20/02/26</v>
      </c>
      <c r="K1232" s="5" t="s">
        <v>5752</v>
      </c>
      <c r="L1232" t="s">
        <v>14</v>
      </c>
      <c r="M1232" s="31" t="s">
        <v>15</v>
      </c>
      <c r="N1232" s="31"/>
    </row>
    <row r="1233" spans="1:14" x14ac:dyDescent="0.25">
      <c r="A1233" s="4" t="str">
        <f>Sheet1!A1233 &amp; "/" &amp; "2025"</f>
        <v>1232/2025</v>
      </c>
      <c r="B1233" s="5" t="str">
        <f>Sheet1!E1233</f>
        <v>IND/MEL/01232</v>
      </c>
      <c r="C1233" s="6" t="str">
        <f>UPPER(Sheet1!B1233)</f>
        <v>CHRISTOPHER MARTINEZ</v>
      </c>
      <c r="D1233" s="7" t="str">
        <f>IF(Sheet1!F1233="F","FEMALE","MALE")</f>
        <v>MALE</v>
      </c>
      <c r="E1233" s="6" t="str">
        <f>UPPER(Sheet1!G1233)</f>
        <v>JAMES TANNER</v>
      </c>
      <c r="F1233" s="6" t="str">
        <f>UPPER(Sheet1!H1233)</f>
        <v>JILL HALL</v>
      </c>
      <c r="G1233" s="5" t="str">
        <f>TEXT(Sheet1!C1233,"dd/mm/yyyy") &amp; "," &amp; Sheet1!D1233</f>
        <v>16/10/2025,LAKE LAURA</v>
      </c>
      <c r="H1233" s="39" t="str">
        <f>UPPER(Sheet1!J1233 &amp; "," &amp; Sheet1!K1233 &amp; "," &amp; Sheet1!L1233)</f>
        <v>639 JENNY MOTORWAY APT. 905,APT. 833,PIN:75005 WALKERMOUTH</v>
      </c>
      <c r="I1233" s="8">
        <f>Sheet1!I1233</f>
        <v>46065</v>
      </c>
      <c r="J1233" s="5" t="str">
        <f>Sheet1!M1233 &amp; "," &amp; TEXT(Sheet1!N1233,"dd/mm/yy")</f>
        <v>MHA/IND/01238,01/03/26</v>
      </c>
      <c r="K1233" s="5" t="s">
        <v>5752</v>
      </c>
      <c r="L1233" t="s">
        <v>14</v>
      </c>
      <c r="M1233" s="31" t="s">
        <v>15</v>
      </c>
      <c r="N1233" s="31"/>
    </row>
    <row r="1234" spans="1:14" x14ac:dyDescent="0.25">
      <c r="A1234" s="4" t="str">
        <f>Sheet1!A1234 &amp; "/" &amp; "2025"</f>
        <v>1233/2025</v>
      </c>
      <c r="B1234" s="5" t="str">
        <f>Sheet1!E1234</f>
        <v>IND/MEL/01233</v>
      </c>
      <c r="C1234" s="6" t="str">
        <f>UPPER(Sheet1!B1234)</f>
        <v>CHRISTOPHER PEREZ</v>
      </c>
      <c r="D1234" s="7" t="str">
        <f>IF(Sheet1!F1234="F","FEMALE","MALE")</f>
        <v>MALE</v>
      </c>
      <c r="E1234" s="6" t="str">
        <f>UPPER(Sheet1!G1234)</f>
        <v>GUY DAVIS</v>
      </c>
      <c r="F1234" s="6" t="str">
        <f>UPPER(Sheet1!H1234)</f>
        <v>JULIA MILLER</v>
      </c>
      <c r="G1234" s="5" t="str">
        <f>TEXT(Sheet1!C1234,"dd/mm/yyyy") &amp; "," &amp; Sheet1!D1234</f>
        <v>01/11/2025,DERRICKTOWN</v>
      </c>
      <c r="H1234" s="39" t="str">
        <f>UPPER(Sheet1!J1234 &amp; "," &amp; Sheet1!K1234 &amp; "," &amp; Sheet1!L1234)</f>
        <v>039 CHRISTINE VIEWS APT. 257,SUITE 344,PIN:94618 CONWAYBURGH</v>
      </c>
      <c r="I1234" s="8">
        <f>Sheet1!I1234</f>
        <v>46065</v>
      </c>
      <c r="J1234" s="5" t="str">
        <f>Sheet1!M1234 &amp; "," &amp; TEXT(Sheet1!N1234,"dd/mm/yy")</f>
        <v>MHA/IND/01239,20/02/26</v>
      </c>
      <c r="K1234" s="5" t="s">
        <v>5752</v>
      </c>
      <c r="L1234" t="s">
        <v>14</v>
      </c>
      <c r="M1234" s="31" t="s">
        <v>15</v>
      </c>
      <c r="N1234" s="31"/>
    </row>
    <row r="1235" spans="1:14" x14ac:dyDescent="0.25">
      <c r="A1235" s="4" t="str">
        <f>Sheet1!A1235 &amp; "/" &amp; "2025"</f>
        <v>1234/2025</v>
      </c>
      <c r="B1235" s="5" t="str">
        <f>Sheet1!E1235</f>
        <v>IND/MEL/01234</v>
      </c>
      <c r="C1235" s="6" t="str">
        <f>UPPER(Sheet1!B1235)</f>
        <v>DAVID MYERS</v>
      </c>
      <c r="D1235" s="7" t="str">
        <f>IF(Sheet1!F1235="F","FEMALE","MALE")</f>
        <v>MALE</v>
      </c>
      <c r="E1235" s="6" t="str">
        <f>UPPER(Sheet1!G1235)</f>
        <v>AUSTIN BUTLER</v>
      </c>
      <c r="F1235" s="6" t="str">
        <f>UPPER(Sheet1!H1235)</f>
        <v>ANNA NELSON</v>
      </c>
      <c r="G1235" s="5" t="str">
        <f>TEXT(Sheet1!C1235,"dd/mm/yyyy") &amp; "," &amp; Sheet1!D1235</f>
        <v>10/07/2025,PORT AMBER</v>
      </c>
      <c r="H1235" s="39" t="str">
        <f>UPPER(Sheet1!J1235 &amp; "," &amp; Sheet1!K1235 &amp; "," &amp; Sheet1!L1235)</f>
        <v>901 JOHN KNOLL,SUITE 238,PIN:56791 GORDONLAND</v>
      </c>
      <c r="I1235" s="8">
        <f>Sheet1!I1235</f>
        <v>46065</v>
      </c>
      <c r="J1235" s="5" t="str">
        <f>Sheet1!M1235 &amp; "," &amp; TEXT(Sheet1!N1235,"dd/mm/yy")</f>
        <v>MHA/IND/01240,01/03/26</v>
      </c>
      <c r="K1235" s="5" t="s">
        <v>5752</v>
      </c>
      <c r="L1235" t="s">
        <v>14</v>
      </c>
      <c r="M1235" s="31" t="s">
        <v>15</v>
      </c>
      <c r="N1235" s="31"/>
    </row>
    <row r="1236" spans="1:14" x14ac:dyDescent="0.25">
      <c r="A1236" s="4" t="str">
        <f>Sheet1!A1236 &amp; "/" &amp; "2025"</f>
        <v>1235/2025</v>
      </c>
      <c r="B1236" s="5" t="str">
        <f>Sheet1!E1236</f>
        <v>IND/MEL/01235</v>
      </c>
      <c r="C1236" s="6" t="str">
        <f>UPPER(Sheet1!B1236)</f>
        <v>CHARLES MARTINEZ</v>
      </c>
      <c r="D1236" s="7" t="str">
        <f>IF(Sheet1!F1236="F","FEMALE","MALE")</f>
        <v>FEMALE</v>
      </c>
      <c r="E1236" s="6" t="str">
        <f>UPPER(Sheet1!G1236)</f>
        <v>ADAM FOX</v>
      </c>
      <c r="F1236" s="6" t="str">
        <f>UPPER(Sheet1!H1236)</f>
        <v>JORDAN CARPENTER</v>
      </c>
      <c r="G1236" s="5" t="str">
        <f>TEXT(Sheet1!C1236,"dd/mm/yyyy") &amp; "," &amp; Sheet1!D1236</f>
        <v>07/01/2026,SOUTH STEPHANIE</v>
      </c>
      <c r="H1236" s="39" t="str">
        <f>UPPER(Sheet1!J1236 &amp; "," &amp; Sheet1!K1236 &amp; "," &amp; Sheet1!L1236)</f>
        <v>0655 FISHER SQUARES APT. 696,SUITE 115,PIN:71397 GUERRASHIRE</v>
      </c>
      <c r="I1236" s="8">
        <f>Sheet1!I1236</f>
        <v>46065</v>
      </c>
      <c r="J1236" s="5" t="str">
        <f>Sheet1!M1236 &amp; "," &amp; TEXT(Sheet1!N1236,"dd/mm/yy")</f>
        <v>MHA/IND/01241,14/03/26</v>
      </c>
      <c r="K1236" s="5" t="s">
        <v>5752</v>
      </c>
      <c r="L1236" t="s">
        <v>14</v>
      </c>
      <c r="M1236" s="31" t="s">
        <v>15</v>
      </c>
      <c r="N1236" s="31"/>
    </row>
    <row r="1237" spans="1:14" x14ac:dyDescent="0.25">
      <c r="A1237" s="4" t="str">
        <f>Sheet1!A1237 &amp; "/" &amp; "2025"</f>
        <v>1236/2025</v>
      </c>
      <c r="B1237" s="5" t="str">
        <f>Sheet1!E1237</f>
        <v>IND/MEL/01236</v>
      </c>
      <c r="C1237" s="6" t="str">
        <f>UPPER(Sheet1!B1237)</f>
        <v>CARLA HANSON</v>
      </c>
      <c r="D1237" s="7" t="str">
        <f>IF(Sheet1!F1237="F","FEMALE","MALE")</f>
        <v>MALE</v>
      </c>
      <c r="E1237" s="6" t="str">
        <f>UPPER(Sheet1!G1237)</f>
        <v>MICHAEL SNYDER</v>
      </c>
      <c r="F1237" s="6" t="str">
        <f>UPPER(Sheet1!H1237)</f>
        <v>BRENDA SUTTON</v>
      </c>
      <c r="G1237" s="5" t="str">
        <f>TEXT(Sheet1!C1237,"dd/mm/yyyy") &amp; "," &amp; Sheet1!D1237</f>
        <v>21/10/2025,CARNEYBURY</v>
      </c>
      <c r="H1237" s="39" t="str">
        <f>UPPER(Sheet1!J1237 &amp; "," &amp; Sheet1!K1237 &amp; "," &amp; Sheet1!L1237)</f>
        <v>2506 LEE HILLS,SUITE 721,PIN:10495 FERNANDOBERG</v>
      </c>
      <c r="I1237" s="8">
        <f>Sheet1!I1237</f>
        <v>46065</v>
      </c>
      <c r="J1237" s="5" t="str">
        <f>Sheet1!M1237 &amp; "," &amp; TEXT(Sheet1!N1237,"dd/mm/yy")</f>
        <v>MHA/IND/01242,06/03/26</v>
      </c>
      <c r="K1237" s="5" t="s">
        <v>5752</v>
      </c>
      <c r="L1237" t="s">
        <v>14</v>
      </c>
      <c r="M1237" s="31" t="s">
        <v>15</v>
      </c>
      <c r="N1237" s="31"/>
    </row>
    <row r="1238" spans="1:14" x14ac:dyDescent="0.25">
      <c r="A1238" s="4" t="str">
        <f>Sheet1!A1238 &amp; "/" &amp; "2025"</f>
        <v>1237/2025</v>
      </c>
      <c r="B1238" s="5" t="str">
        <f>Sheet1!E1238</f>
        <v>IND/MEL/01237</v>
      </c>
      <c r="C1238" s="6" t="str">
        <f>UPPER(Sheet1!B1238)</f>
        <v>ISAAC TRUJILLO</v>
      </c>
      <c r="D1238" s="7" t="str">
        <f>IF(Sheet1!F1238="F","FEMALE","MALE")</f>
        <v>MALE</v>
      </c>
      <c r="E1238" s="6" t="str">
        <f>UPPER(Sheet1!G1238)</f>
        <v>ERIC JONES</v>
      </c>
      <c r="F1238" s="6" t="str">
        <f>UPPER(Sheet1!H1238)</f>
        <v>DESTINY CARSON</v>
      </c>
      <c r="G1238" s="5" t="str">
        <f>TEXT(Sheet1!C1238,"dd/mm/yyyy") &amp; "," &amp; Sheet1!D1238</f>
        <v>09/06/2025,WARRENBERG</v>
      </c>
      <c r="H1238" s="39" t="str">
        <f>UPPER(Sheet1!J1238 &amp; "," &amp; Sheet1!K1238 &amp; "," &amp; Sheet1!L1238)</f>
        <v>392 GRANT RAPID,SUITE 759,PIN:67124 MALDONADOFURT</v>
      </c>
      <c r="I1238" s="8">
        <f>Sheet1!I1238</f>
        <v>46065</v>
      </c>
      <c r="J1238" s="5" t="str">
        <f>Sheet1!M1238 &amp; "," &amp; TEXT(Sheet1!N1238,"dd/mm/yy")</f>
        <v>MHA/IND/01243,21/02/26</v>
      </c>
      <c r="K1238" s="5" t="s">
        <v>5752</v>
      </c>
      <c r="L1238" t="s">
        <v>14</v>
      </c>
      <c r="M1238" s="31" t="s">
        <v>15</v>
      </c>
      <c r="N1238" s="31"/>
    </row>
    <row r="1239" spans="1:14" x14ac:dyDescent="0.25">
      <c r="A1239" s="4" t="str">
        <f>Sheet1!A1239 &amp; "/" &amp; "2025"</f>
        <v>1238/2025</v>
      </c>
      <c r="B1239" s="5" t="str">
        <f>Sheet1!E1239</f>
        <v>IND/MEL/01238</v>
      </c>
      <c r="C1239" s="6" t="str">
        <f>UPPER(Sheet1!B1239)</f>
        <v>RYAN CONTRERAS</v>
      </c>
      <c r="D1239" s="7" t="str">
        <f>IF(Sheet1!F1239="F","FEMALE","MALE")</f>
        <v>FEMALE</v>
      </c>
      <c r="E1239" s="6" t="str">
        <f>UPPER(Sheet1!G1239)</f>
        <v>THOMAS OCONNELL</v>
      </c>
      <c r="F1239" s="6" t="str">
        <f>UPPER(Sheet1!H1239)</f>
        <v>KATHLEEN FLYNN</v>
      </c>
      <c r="G1239" s="5" t="str">
        <f>TEXT(Sheet1!C1239,"dd/mm/yyyy") &amp; "," &amp; Sheet1!D1239</f>
        <v>07/02/2026,JACOBTOWN</v>
      </c>
      <c r="H1239" s="39" t="str">
        <f>UPPER(Sheet1!J1239 &amp; "," &amp; Sheet1!K1239 &amp; "," &amp; Sheet1!L1239)</f>
        <v>20036 DAVIS MEADOWS SUITE 541,SUITE 073,PIN:25123 ASHLEYTOWN</v>
      </c>
      <c r="I1239" s="8">
        <f>Sheet1!I1239</f>
        <v>46065</v>
      </c>
      <c r="J1239" s="5" t="str">
        <f>Sheet1!M1239 &amp; "," &amp; TEXT(Sheet1!N1239,"dd/mm/yy")</f>
        <v>MHA/IND/01244,07/03/26</v>
      </c>
      <c r="K1239" s="5" t="s">
        <v>5752</v>
      </c>
      <c r="L1239" t="s">
        <v>14</v>
      </c>
      <c r="M1239" s="31" t="s">
        <v>15</v>
      </c>
      <c r="N1239" s="31"/>
    </row>
    <row r="1240" spans="1:14" x14ac:dyDescent="0.25">
      <c r="A1240" s="4" t="str">
        <f>Sheet1!A1240 &amp; "/" &amp; "2025"</f>
        <v>1239/2025</v>
      </c>
      <c r="B1240" s="5" t="str">
        <f>Sheet1!E1240</f>
        <v>IND/MEL/01239</v>
      </c>
      <c r="C1240" s="6" t="str">
        <f>UPPER(Sheet1!B1240)</f>
        <v>TREVOR BRADY</v>
      </c>
      <c r="D1240" s="7" t="str">
        <f>IF(Sheet1!F1240="F","FEMALE","MALE")</f>
        <v>FEMALE</v>
      </c>
      <c r="E1240" s="6" t="str">
        <f>UPPER(Sheet1!G1240)</f>
        <v>DAVID SCHWARTZ</v>
      </c>
      <c r="F1240" s="6" t="str">
        <f>UPPER(Sheet1!H1240)</f>
        <v>ANDREA MASON</v>
      </c>
      <c r="G1240" s="5" t="str">
        <f>TEXT(Sheet1!C1240,"dd/mm/yyyy") &amp; "," &amp; Sheet1!D1240</f>
        <v>12/06/2025,MOSESMOUTH</v>
      </c>
      <c r="H1240" s="39" t="str">
        <f>UPPER(Sheet1!J1240 &amp; "," &amp; Sheet1!K1240 &amp; "," &amp; Sheet1!L1240)</f>
        <v>56186 TATE ROUTE APT. 398,SUITE 827,PIN:83105 GRIFFINCHESTER</v>
      </c>
      <c r="I1240" s="8">
        <f>Sheet1!I1240</f>
        <v>46065</v>
      </c>
      <c r="J1240" s="5" t="str">
        <f>Sheet1!M1240 &amp; "," &amp; TEXT(Sheet1!N1240,"dd/mm/yy")</f>
        <v>MHA/IND/01245,24/02/26</v>
      </c>
      <c r="K1240" s="5" t="s">
        <v>5752</v>
      </c>
      <c r="L1240" t="s">
        <v>14</v>
      </c>
      <c r="M1240" s="31" t="s">
        <v>15</v>
      </c>
      <c r="N1240" s="31"/>
    </row>
    <row r="1241" spans="1:14" x14ac:dyDescent="0.25">
      <c r="A1241" s="4" t="str">
        <f>Sheet1!A1241 &amp; "/" &amp; "2025"</f>
        <v>1240/2025</v>
      </c>
      <c r="B1241" s="5" t="str">
        <f>Sheet1!E1241</f>
        <v>IND/MEL/01240</v>
      </c>
      <c r="C1241" s="6" t="str">
        <f>UPPER(Sheet1!B1241)</f>
        <v>LAWRENCE RYAN</v>
      </c>
      <c r="D1241" s="7" t="str">
        <f>IF(Sheet1!F1241="F","FEMALE","MALE")</f>
        <v>MALE</v>
      </c>
      <c r="E1241" s="6" t="str">
        <f>UPPER(Sheet1!G1241)</f>
        <v>KARL OLIVER</v>
      </c>
      <c r="F1241" s="6" t="str">
        <f>UPPER(Sheet1!H1241)</f>
        <v>MALLORY EVERETT</v>
      </c>
      <c r="G1241" s="5" t="str">
        <f>TEXT(Sheet1!C1241,"dd/mm/yyyy") &amp; "," &amp; Sheet1!D1241</f>
        <v>06/12/2025,GRAHAMBURY</v>
      </c>
      <c r="H1241" s="39" t="str">
        <f>UPPER(Sheet1!J1241 &amp; "," &amp; Sheet1!K1241 &amp; "," &amp; Sheet1!L1241)</f>
        <v>8511 NICHOLAS TUNNEL SUITE 325,SUITE 216,PIN:85497 LAKE TRACY</v>
      </c>
      <c r="I1241" s="8">
        <f>Sheet1!I1241</f>
        <v>46065</v>
      </c>
      <c r="J1241" s="5" t="str">
        <f>Sheet1!M1241 &amp; "," &amp; TEXT(Sheet1!N1241,"dd/mm/yy")</f>
        <v>MHA/IND/01246,27/02/26</v>
      </c>
      <c r="K1241" s="5" t="s">
        <v>5752</v>
      </c>
      <c r="L1241" t="s">
        <v>14</v>
      </c>
      <c r="M1241" s="31" t="s">
        <v>15</v>
      </c>
      <c r="N1241" s="31"/>
    </row>
    <row r="1242" spans="1:14" x14ac:dyDescent="0.25">
      <c r="A1242" s="4" t="str">
        <f>Sheet1!A1242 &amp; "/" &amp; "2025"</f>
        <v>1241/2025</v>
      </c>
      <c r="B1242" s="5" t="str">
        <f>Sheet1!E1242</f>
        <v>IND/MEL/01241</v>
      </c>
      <c r="C1242" s="6" t="str">
        <f>UPPER(Sheet1!B1242)</f>
        <v>JENNIFER GREEN</v>
      </c>
      <c r="D1242" s="7" t="str">
        <f>IF(Sheet1!F1242="F","FEMALE","MALE")</f>
        <v>FEMALE</v>
      </c>
      <c r="E1242" s="6" t="str">
        <f>UPPER(Sheet1!G1242)</f>
        <v>CHAD LAWSON</v>
      </c>
      <c r="F1242" s="6" t="str">
        <f>UPPER(Sheet1!H1242)</f>
        <v>AMANDA SMITH</v>
      </c>
      <c r="G1242" s="5" t="str">
        <f>TEXT(Sheet1!C1242,"dd/mm/yyyy") &amp; "," &amp; Sheet1!D1242</f>
        <v>14/06/2025,WANDATON</v>
      </c>
      <c r="H1242" s="39" t="str">
        <f>UPPER(Sheet1!J1242 &amp; "," &amp; Sheet1!K1242 &amp; "," &amp; Sheet1!L1242)</f>
        <v>9643 POWERS BROOK APT. 584,SUITE 804,PIN:67349 NEW DAVID</v>
      </c>
      <c r="I1242" s="8">
        <f>Sheet1!I1242</f>
        <v>46065</v>
      </c>
      <c r="J1242" s="5" t="str">
        <f>Sheet1!M1242 &amp; "," &amp; TEXT(Sheet1!N1242,"dd/mm/yy")</f>
        <v>MHA/IND/01247,13/02/26</v>
      </c>
      <c r="K1242" s="5" t="s">
        <v>5752</v>
      </c>
      <c r="L1242" t="s">
        <v>14</v>
      </c>
      <c r="M1242" s="31" t="s">
        <v>15</v>
      </c>
      <c r="N1242" s="31"/>
    </row>
    <row r="1243" spans="1:14" x14ac:dyDescent="0.25">
      <c r="A1243" s="4" t="str">
        <f>Sheet1!A1243 &amp; "/" &amp; "2025"</f>
        <v>1242/2025</v>
      </c>
      <c r="B1243" s="5" t="str">
        <f>Sheet1!E1243</f>
        <v>IND/MEL/01242</v>
      </c>
      <c r="C1243" s="6" t="str">
        <f>UPPER(Sheet1!B1243)</f>
        <v>SCOTT WAGNER</v>
      </c>
      <c r="D1243" s="7" t="str">
        <f>IF(Sheet1!F1243="F","FEMALE","MALE")</f>
        <v>MALE</v>
      </c>
      <c r="E1243" s="6" t="str">
        <f>UPPER(Sheet1!G1243)</f>
        <v>DAVID PARKER</v>
      </c>
      <c r="F1243" s="6" t="str">
        <f>UPPER(Sheet1!H1243)</f>
        <v>DENISE SANCHEZ</v>
      </c>
      <c r="G1243" s="5" t="str">
        <f>TEXT(Sheet1!C1243,"dd/mm/yyyy") &amp; "," &amp; Sheet1!D1243</f>
        <v>14/03/2025,TIMOTHYBURY</v>
      </c>
      <c r="H1243" s="39" t="str">
        <f>UPPER(Sheet1!J1243 &amp; "," &amp; Sheet1!K1243 &amp; "," &amp; Sheet1!L1243)</f>
        <v>6109 HALL FOREST SUITE 220,APT. 393,PIN:12390 LAKE AMANDA</v>
      </c>
      <c r="I1243" s="8">
        <f>Sheet1!I1243</f>
        <v>46065</v>
      </c>
      <c r="J1243" s="5" t="str">
        <f>Sheet1!M1243 &amp; "," &amp; TEXT(Sheet1!N1243,"dd/mm/yy")</f>
        <v>MHA/IND/01248,16/02/26</v>
      </c>
      <c r="K1243" s="5" t="s">
        <v>5752</v>
      </c>
      <c r="L1243" t="s">
        <v>14</v>
      </c>
      <c r="M1243" s="31" t="s">
        <v>15</v>
      </c>
      <c r="N1243" s="31"/>
    </row>
    <row r="1244" spans="1:14" x14ac:dyDescent="0.25">
      <c r="A1244" s="4" t="str">
        <f>Sheet1!A1244 &amp; "/" &amp; "2025"</f>
        <v>1243/2025</v>
      </c>
      <c r="B1244" s="5" t="str">
        <f>Sheet1!E1244</f>
        <v>IND/MEL/01243</v>
      </c>
      <c r="C1244" s="6" t="str">
        <f>UPPER(Sheet1!B1244)</f>
        <v>RICHARD THOMAS</v>
      </c>
      <c r="D1244" s="7" t="str">
        <f>IF(Sheet1!F1244="F","FEMALE","MALE")</f>
        <v>FEMALE</v>
      </c>
      <c r="E1244" s="6" t="str">
        <f>UPPER(Sheet1!G1244)</f>
        <v>DARREN COOK</v>
      </c>
      <c r="F1244" s="6" t="str">
        <f>UPPER(Sheet1!H1244)</f>
        <v>EMMA PERRY</v>
      </c>
      <c r="G1244" s="5" t="str">
        <f>TEXT(Sheet1!C1244,"dd/mm/yyyy") &amp; "," &amp; Sheet1!D1244</f>
        <v>15/02/2025,MEGANTOWN</v>
      </c>
      <c r="H1244" s="39" t="str">
        <f>UPPER(Sheet1!J1244 &amp; "," &amp; Sheet1!K1244 &amp; "," &amp; Sheet1!L1244)</f>
        <v>02716 AUSTIN CENTER,SUITE 570,PIN:21091 SMITHHAVEN</v>
      </c>
      <c r="I1244" s="8">
        <f>Sheet1!I1244</f>
        <v>46065</v>
      </c>
      <c r="J1244" s="5" t="str">
        <f>Sheet1!M1244 &amp; "," &amp; TEXT(Sheet1!N1244,"dd/mm/yy")</f>
        <v>MHA/IND/01249,22/02/26</v>
      </c>
      <c r="K1244" s="5" t="s">
        <v>5752</v>
      </c>
      <c r="L1244" t="s">
        <v>14</v>
      </c>
      <c r="M1244" s="31" t="s">
        <v>15</v>
      </c>
      <c r="N1244" s="31"/>
    </row>
    <row r="1245" spans="1:14" x14ac:dyDescent="0.25">
      <c r="A1245" s="4" t="str">
        <f>Sheet1!A1245 &amp; "/" &amp; "2025"</f>
        <v>1244/2025</v>
      </c>
      <c r="B1245" s="5" t="str">
        <f>Sheet1!E1245</f>
        <v>IND/MEL/01244</v>
      </c>
      <c r="C1245" s="6" t="str">
        <f>UPPER(Sheet1!B1245)</f>
        <v>CINDY BAXTER</v>
      </c>
      <c r="D1245" s="7" t="str">
        <f>IF(Sheet1!F1245="F","FEMALE","MALE")</f>
        <v>FEMALE</v>
      </c>
      <c r="E1245" s="6" t="str">
        <f>UPPER(Sheet1!G1245)</f>
        <v>CHASE GENTRY</v>
      </c>
      <c r="F1245" s="6" t="str">
        <f>UPPER(Sheet1!H1245)</f>
        <v>REBECCA WARD</v>
      </c>
      <c r="G1245" s="5" t="str">
        <f>TEXT(Sheet1!C1245,"dd/mm/yyyy") &amp; "," &amp; Sheet1!D1245</f>
        <v>24/02/2025,PORT RACHELHAVEN</v>
      </c>
      <c r="H1245" s="39" t="str">
        <f>UPPER(Sheet1!J1245 &amp; "," &amp; Sheet1!K1245 &amp; "," &amp; Sheet1!L1245)</f>
        <v>0342 KAREN ROAD,SUITE 127,PIN:10626 MARKBERG</v>
      </c>
      <c r="I1245" s="8">
        <f>Sheet1!I1245</f>
        <v>46065</v>
      </c>
      <c r="J1245" s="5" t="str">
        <f>Sheet1!M1245 &amp; "," &amp; TEXT(Sheet1!N1245,"dd/mm/yy")</f>
        <v>MHA/IND/01250,14/02/26</v>
      </c>
      <c r="K1245" s="5" t="s">
        <v>5752</v>
      </c>
      <c r="L1245" t="s">
        <v>14</v>
      </c>
      <c r="M1245" s="31" t="s">
        <v>15</v>
      </c>
      <c r="N1245" s="31"/>
    </row>
    <row r="1246" spans="1:14" x14ac:dyDescent="0.25">
      <c r="A1246" s="4" t="str">
        <f>Sheet1!A1246 &amp; "/" &amp; "2025"</f>
        <v>1245/2025</v>
      </c>
      <c r="B1246" s="5" t="str">
        <f>Sheet1!E1246</f>
        <v>IND/MEL/01245</v>
      </c>
      <c r="C1246" s="6" t="str">
        <f>UPPER(Sheet1!B1246)</f>
        <v>BRANDY FITZGERALD</v>
      </c>
      <c r="D1246" s="7" t="str">
        <f>IF(Sheet1!F1246="F","FEMALE","MALE")</f>
        <v>FEMALE</v>
      </c>
      <c r="E1246" s="6" t="str">
        <f>UPPER(Sheet1!G1246)</f>
        <v>GARY WAGNER</v>
      </c>
      <c r="F1246" s="6" t="str">
        <f>UPPER(Sheet1!H1246)</f>
        <v>ASHLEY TURNER</v>
      </c>
      <c r="G1246" s="5" t="str">
        <f>TEXT(Sheet1!C1246,"dd/mm/yyyy") &amp; "," &amp; Sheet1!D1246</f>
        <v>22/08/2025,WEST AMBERMOUTH</v>
      </c>
      <c r="H1246" s="39" t="str">
        <f>UPPER(Sheet1!J1246 &amp; "," &amp; Sheet1!K1246 &amp; "," &amp; Sheet1!L1246)</f>
        <v>6048 OWENS BRANCH,APT. 569,PIN:44019 NEW CHRISTY</v>
      </c>
      <c r="I1246" s="8">
        <f>Sheet1!I1246</f>
        <v>46065</v>
      </c>
      <c r="J1246" s="5" t="str">
        <f>Sheet1!M1246 &amp; "," &amp; TEXT(Sheet1!N1246,"dd/mm/yy")</f>
        <v>MHA/IND/01251,25/02/26</v>
      </c>
      <c r="K1246" s="5" t="s">
        <v>5752</v>
      </c>
      <c r="L1246" t="s">
        <v>14</v>
      </c>
      <c r="M1246" s="31" t="s">
        <v>15</v>
      </c>
      <c r="N1246" s="31"/>
    </row>
    <row r="1247" spans="1:14" x14ac:dyDescent="0.25">
      <c r="A1247" s="4" t="str">
        <f>Sheet1!A1247 &amp; "/" &amp; "2025"</f>
        <v>1246/2025</v>
      </c>
      <c r="B1247" s="5" t="str">
        <f>Sheet1!E1247</f>
        <v>IND/MEL/01246</v>
      </c>
      <c r="C1247" s="6" t="str">
        <f>UPPER(Sheet1!B1247)</f>
        <v>KENNETH RODRIGUEZ</v>
      </c>
      <c r="D1247" s="7" t="str">
        <f>IF(Sheet1!F1247="F","FEMALE","MALE")</f>
        <v>MALE</v>
      </c>
      <c r="E1247" s="6" t="str">
        <f>UPPER(Sheet1!G1247)</f>
        <v>CHRISTOPHER ORTIZ</v>
      </c>
      <c r="F1247" s="6" t="str">
        <f>UPPER(Sheet1!H1247)</f>
        <v>JESSICA HOWELL</v>
      </c>
      <c r="G1247" s="5" t="str">
        <f>TEXT(Sheet1!C1247,"dd/mm/yyyy") &amp; "," &amp; Sheet1!D1247</f>
        <v>20/06/2025,LAURAHAVEN</v>
      </c>
      <c r="H1247" s="39" t="str">
        <f>UPPER(Sheet1!J1247 &amp; "," &amp; Sheet1!K1247 &amp; "," &amp; Sheet1!L1247)</f>
        <v>879 ANTHONY DALE APT. 022,APT. 982,PIN:25522 PHILIPVIEW</v>
      </c>
      <c r="I1247" s="8">
        <f>Sheet1!I1247</f>
        <v>46065</v>
      </c>
      <c r="J1247" s="5" t="str">
        <f>Sheet1!M1247 &amp; "," &amp; TEXT(Sheet1!N1247,"dd/mm/yy")</f>
        <v>MHA/IND/01252,21/02/26</v>
      </c>
      <c r="K1247" s="5" t="s">
        <v>5752</v>
      </c>
      <c r="L1247" t="s">
        <v>14</v>
      </c>
      <c r="M1247" s="31" t="s">
        <v>15</v>
      </c>
      <c r="N1247" s="31"/>
    </row>
    <row r="1248" spans="1:14" x14ac:dyDescent="0.25">
      <c r="A1248" s="4" t="str">
        <f>Sheet1!A1248 &amp; "/" &amp; "2025"</f>
        <v>1247/2025</v>
      </c>
      <c r="B1248" s="5" t="str">
        <f>Sheet1!E1248</f>
        <v>IND/MEL/01247</v>
      </c>
      <c r="C1248" s="6" t="str">
        <f>UPPER(Sheet1!B1248)</f>
        <v>PATRICIA GARCIA</v>
      </c>
      <c r="D1248" s="7" t="str">
        <f>IF(Sheet1!F1248="F","FEMALE","MALE")</f>
        <v>MALE</v>
      </c>
      <c r="E1248" s="6" t="str">
        <f>UPPER(Sheet1!G1248)</f>
        <v>CHARLES CALDERON</v>
      </c>
      <c r="F1248" s="6" t="str">
        <f>UPPER(Sheet1!H1248)</f>
        <v>AMY WEAVER</v>
      </c>
      <c r="G1248" s="5" t="str">
        <f>TEXT(Sheet1!C1248,"dd/mm/yyyy") &amp; "," &amp; Sheet1!D1248</f>
        <v>20/06/2025,LAKE ANTHONYCHESTER</v>
      </c>
      <c r="H1248" s="39" t="str">
        <f>UPPER(Sheet1!J1248 &amp; "," &amp; Sheet1!K1248 &amp; "," &amp; Sheet1!L1248)</f>
        <v>83955 ERIKA PARKWAY,APT. 281,PIN:70631 BURKETOWN</v>
      </c>
      <c r="I1248" s="8">
        <f>Sheet1!I1248</f>
        <v>46065</v>
      </c>
      <c r="J1248" s="5" t="str">
        <f>Sheet1!M1248 &amp; "," &amp; TEXT(Sheet1!N1248,"dd/mm/yy")</f>
        <v>MHA/IND/01253,01/03/26</v>
      </c>
      <c r="K1248" s="5" t="s">
        <v>5752</v>
      </c>
      <c r="L1248" t="s">
        <v>14</v>
      </c>
      <c r="M1248" s="31" t="s">
        <v>15</v>
      </c>
      <c r="N1248" s="31"/>
    </row>
    <row r="1249" spans="1:14" x14ac:dyDescent="0.25">
      <c r="A1249" s="4" t="str">
        <f>Sheet1!A1249 &amp; "/" &amp; "2025"</f>
        <v>1248/2025</v>
      </c>
      <c r="B1249" s="5" t="str">
        <f>Sheet1!E1249</f>
        <v>IND/MEL/01248</v>
      </c>
      <c r="C1249" s="6" t="str">
        <f>UPPER(Sheet1!B1249)</f>
        <v>CODY CASEY</v>
      </c>
      <c r="D1249" s="7" t="str">
        <f>IF(Sheet1!F1249="F","FEMALE","MALE")</f>
        <v>FEMALE</v>
      </c>
      <c r="E1249" s="6" t="str">
        <f>UPPER(Sheet1!G1249)</f>
        <v>GABRIEL FRY</v>
      </c>
      <c r="F1249" s="6" t="str">
        <f>UPPER(Sheet1!H1249)</f>
        <v>JENNA MCCARTHY</v>
      </c>
      <c r="G1249" s="5" t="str">
        <f>TEXT(Sheet1!C1249,"dd/mm/yyyy") &amp; "," &amp; Sheet1!D1249</f>
        <v>27/10/2025,NEW JULIA</v>
      </c>
      <c r="H1249" s="39" t="str">
        <f>UPPER(Sheet1!J1249 &amp; "," &amp; Sheet1!K1249 &amp; "," &amp; Sheet1!L1249)</f>
        <v>798 SMITH UNDERPASS SUITE 052,APT. 947,PIN:86911 NEW TRACIFORT</v>
      </c>
      <c r="I1249" s="8">
        <f>Sheet1!I1249</f>
        <v>46065</v>
      </c>
      <c r="J1249" s="5" t="str">
        <f>Sheet1!M1249 &amp; "," &amp; TEXT(Sheet1!N1249,"dd/mm/yy")</f>
        <v>MHA/IND/01254,22/02/26</v>
      </c>
      <c r="K1249" s="5" t="s">
        <v>5752</v>
      </c>
      <c r="L1249" t="s">
        <v>14</v>
      </c>
      <c r="M1249" s="31" t="s">
        <v>15</v>
      </c>
      <c r="N1249" s="31"/>
    </row>
    <row r="1250" spans="1:14" x14ac:dyDescent="0.25">
      <c r="A1250" s="4" t="str">
        <f>Sheet1!A1250 &amp; "/" &amp; "2025"</f>
        <v>1249/2025</v>
      </c>
      <c r="B1250" s="5" t="str">
        <f>Sheet1!E1250</f>
        <v>IND/MEL/01249</v>
      </c>
      <c r="C1250" s="6" t="str">
        <f>UPPER(Sheet1!B1250)</f>
        <v>MADISON PETERS</v>
      </c>
      <c r="D1250" s="7" t="str">
        <f>IF(Sheet1!F1250="F","FEMALE","MALE")</f>
        <v>FEMALE</v>
      </c>
      <c r="E1250" s="6" t="str">
        <f>UPPER(Sheet1!G1250)</f>
        <v>RICKY PARKER</v>
      </c>
      <c r="F1250" s="6" t="str">
        <f>UPPER(Sheet1!H1250)</f>
        <v>CRYSTAL ROBERTSON</v>
      </c>
      <c r="G1250" s="5" t="str">
        <f>TEXT(Sheet1!C1250,"dd/mm/yyyy") &amp; "," &amp; Sheet1!D1250</f>
        <v>11/06/2025,LAKE JACKLAND</v>
      </c>
      <c r="H1250" s="39" t="str">
        <f>UPPER(Sheet1!J1250 &amp; "," &amp; Sheet1!K1250 &amp; "," &amp; Sheet1!L1250)</f>
        <v>83786 ELIZABETH REST APT. 898,SUITE 808,PIN:99694 NELSONPORT</v>
      </c>
      <c r="I1250" s="8">
        <f>Sheet1!I1250</f>
        <v>46065</v>
      </c>
      <c r="J1250" s="5" t="str">
        <f>Sheet1!M1250 &amp; "," &amp; TEXT(Sheet1!N1250,"dd/mm/yy")</f>
        <v>MHA/IND/01255,20/02/26</v>
      </c>
      <c r="K1250" s="5" t="s">
        <v>5752</v>
      </c>
      <c r="L1250" t="s">
        <v>14</v>
      </c>
      <c r="M1250" s="31" t="s">
        <v>15</v>
      </c>
      <c r="N1250" s="31"/>
    </row>
    <row r="1251" spans="1:14" x14ac:dyDescent="0.25">
      <c r="A1251" s="4" t="str">
        <f>Sheet1!A1251 &amp; "/" &amp; "2025"</f>
        <v>1250/2025</v>
      </c>
      <c r="B1251" s="5" t="str">
        <f>Sheet1!E1251</f>
        <v>IND/MEL/01250</v>
      </c>
      <c r="C1251" s="6" t="str">
        <f>UPPER(Sheet1!B1251)</f>
        <v>DESTINY LAWRENCE</v>
      </c>
      <c r="D1251" s="7" t="str">
        <f>IF(Sheet1!F1251="F","FEMALE","MALE")</f>
        <v>MALE</v>
      </c>
      <c r="E1251" s="6" t="str">
        <f>UPPER(Sheet1!G1251)</f>
        <v>ALAN MARTIN</v>
      </c>
      <c r="F1251" s="6" t="str">
        <f>UPPER(Sheet1!H1251)</f>
        <v>KATRINA BAKER</v>
      </c>
      <c r="G1251" s="5" t="str">
        <f>TEXT(Sheet1!C1251,"dd/mm/yyyy") &amp; "," &amp; Sheet1!D1251</f>
        <v>13/03/2025,LAKE CINDY</v>
      </c>
      <c r="H1251" s="39" t="str">
        <f>UPPER(Sheet1!J1251 &amp; "," &amp; Sheet1!K1251 &amp; "," &amp; Sheet1!L1251)</f>
        <v>39927 FRIEDMAN REST,APT. 594,PIN:13917 SOUTH DANIEL</v>
      </c>
      <c r="I1251" s="8">
        <f>Sheet1!I1251</f>
        <v>46065</v>
      </c>
      <c r="J1251" s="5" t="str">
        <f>Sheet1!M1251 &amp; "," &amp; TEXT(Sheet1!N1251,"dd/mm/yy")</f>
        <v>MHA/IND/01256,01/03/26</v>
      </c>
      <c r="K1251" s="5" t="s">
        <v>5752</v>
      </c>
      <c r="L1251" t="s">
        <v>14</v>
      </c>
      <c r="M1251" s="31" t="s">
        <v>15</v>
      </c>
      <c r="N1251" s="31"/>
    </row>
    <row r="1252" spans="1:14" x14ac:dyDescent="0.25">
      <c r="A1252" s="4" t="str">
        <f>Sheet1!A1252 &amp; "/" &amp; "2025"</f>
        <v>1251/2025</v>
      </c>
      <c r="B1252" s="5" t="str">
        <f>Sheet1!E1252</f>
        <v>IND/MEL/01251</v>
      </c>
      <c r="C1252" s="6" t="str">
        <f>UPPER(Sheet1!B1252)</f>
        <v>BRIANNA AUSTIN</v>
      </c>
      <c r="D1252" s="7" t="str">
        <f>IF(Sheet1!F1252="F","FEMALE","MALE")</f>
        <v>FEMALE</v>
      </c>
      <c r="E1252" s="6" t="str">
        <f>UPPER(Sheet1!G1252)</f>
        <v>MR. LEE MUNOZ DDS</v>
      </c>
      <c r="F1252" s="6" t="str">
        <f>UPPER(Sheet1!H1252)</f>
        <v>MARIA MENDEZ</v>
      </c>
      <c r="G1252" s="5" t="str">
        <f>TEXT(Sheet1!C1252,"dd/mm/yyyy") &amp; "," &amp; Sheet1!D1252</f>
        <v>18/04/2025,PORT WILLIESTAD</v>
      </c>
      <c r="H1252" s="39" t="str">
        <f>UPPER(Sheet1!J1252 &amp; "," &amp; Sheet1!K1252 &amp; "," &amp; Sheet1!L1252)</f>
        <v>5291 GALLEGOS TUNNEL,APT. 592,PIN:08789 WEST WALTERHAVEN</v>
      </c>
      <c r="I1252" s="8">
        <f>Sheet1!I1252</f>
        <v>46065</v>
      </c>
      <c r="J1252" s="5" t="str">
        <f>Sheet1!M1252 &amp; "," &amp; TEXT(Sheet1!N1252,"dd/mm/yy")</f>
        <v>MHA/IND/01257,09/03/26</v>
      </c>
      <c r="K1252" s="5" t="s">
        <v>5752</v>
      </c>
      <c r="L1252" t="s">
        <v>14</v>
      </c>
      <c r="M1252" s="31" t="s">
        <v>15</v>
      </c>
      <c r="N1252" s="31"/>
    </row>
    <row r="1253" spans="1:14" x14ac:dyDescent="0.25">
      <c r="A1253" s="4" t="str">
        <f>Sheet1!A1253 &amp; "/" &amp; "2025"</f>
        <v>1252/2025</v>
      </c>
      <c r="B1253" s="5" t="str">
        <f>Sheet1!E1253</f>
        <v>IND/MEL/01252</v>
      </c>
      <c r="C1253" s="6" t="str">
        <f>UPPER(Sheet1!B1253)</f>
        <v>DANIEL ALVAREZ</v>
      </c>
      <c r="D1253" s="7" t="str">
        <f>IF(Sheet1!F1253="F","FEMALE","MALE")</f>
        <v>MALE</v>
      </c>
      <c r="E1253" s="6" t="str">
        <f>UPPER(Sheet1!G1253)</f>
        <v>BRENT CARRILLO</v>
      </c>
      <c r="F1253" s="6" t="str">
        <f>UPPER(Sheet1!H1253)</f>
        <v>JENNIFER DUNN</v>
      </c>
      <c r="G1253" s="5" t="str">
        <f>TEXT(Sheet1!C1253,"dd/mm/yyyy") &amp; "," &amp; Sheet1!D1253</f>
        <v>26/12/2025,CHRISTINETON</v>
      </c>
      <c r="H1253" s="39" t="str">
        <f>UPPER(Sheet1!J1253 &amp; "," &amp; Sheet1!K1253 &amp; "," &amp; Sheet1!L1253)</f>
        <v>37133 ANDERSEN MANORS SUITE 248,APT. 125,PIN:15174 PERRYLAND</v>
      </c>
      <c r="I1253" s="8">
        <f>Sheet1!I1253</f>
        <v>46065</v>
      </c>
      <c r="J1253" s="5" t="str">
        <f>Sheet1!M1253 &amp; "," &amp; TEXT(Sheet1!N1253,"dd/mm/yy")</f>
        <v>MHA/IND/01258,08/03/26</v>
      </c>
      <c r="K1253" s="5" t="s">
        <v>5752</v>
      </c>
      <c r="L1253" t="s">
        <v>14</v>
      </c>
      <c r="M1253" s="31" t="s">
        <v>15</v>
      </c>
      <c r="N1253" s="31"/>
    </row>
    <row r="1254" spans="1:14" x14ac:dyDescent="0.25">
      <c r="A1254" s="4" t="str">
        <f>Sheet1!A1254 &amp; "/" &amp; "2025"</f>
        <v>1253/2025</v>
      </c>
      <c r="B1254" s="5" t="str">
        <f>Sheet1!E1254</f>
        <v>IND/MEL/01253</v>
      </c>
      <c r="C1254" s="6" t="str">
        <f>UPPER(Sheet1!B1254)</f>
        <v>WILLIAM LOPEZ</v>
      </c>
      <c r="D1254" s="7" t="str">
        <f>IF(Sheet1!F1254="F","FEMALE","MALE")</f>
        <v>FEMALE</v>
      </c>
      <c r="E1254" s="6" t="str">
        <f>UPPER(Sheet1!G1254)</f>
        <v>SHAWN STEVENS</v>
      </c>
      <c r="F1254" s="6" t="str">
        <f>UPPER(Sheet1!H1254)</f>
        <v>HEATHER ALLEN</v>
      </c>
      <c r="G1254" s="5" t="str">
        <f>TEXT(Sheet1!C1254,"dd/mm/yyyy") &amp; "," &amp; Sheet1!D1254</f>
        <v>28/11/2025,FISCHERMOUTH</v>
      </c>
      <c r="H1254" s="39" t="str">
        <f>UPPER(Sheet1!J1254 &amp; "," &amp; Sheet1!K1254 &amp; "," &amp; Sheet1!L1254)</f>
        <v>9750 PETER ALLEY,APT. 146,PIN:67704 PORT DANIEL</v>
      </c>
      <c r="I1254" s="8">
        <f>Sheet1!I1254</f>
        <v>46065</v>
      </c>
      <c r="J1254" s="5" t="str">
        <f>Sheet1!M1254 &amp; "," &amp; TEXT(Sheet1!N1254,"dd/mm/yy")</f>
        <v>MHA/IND/01259,13/03/26</v>
      </c>
      <c r="K1254" s="5" t="s">
        <v>5752</v>
      </c>
      <c r="L1254" t="s">
        <v>14</v>
      </c>
      <c r="M1254" s="31" t="s">
        <v>15</v>
      </c>
      <c r="N1254" s="31"/>
    </row>
    <row r="1255" spans="1:14" x14ac:dyDescent="0.25">
      <c r="A1255" s="4" t="str">
        <f>Sheet1!A1255 &amp; "/" &amp; "2025"</f>
        <v>1254/2025</v>
      </c>
      <c r="B1255" s="5" t="str">
        <f>Sheet1!E1255</f>
        <v>IND/MEL/01254</v>
      </c>
      <c r="C1255" s="6" t="str">
        <f>UPPER(Sheet1!B1255)</f>
        <v>SAMANTHA WILLIAMS</v>
      </c>
      <c r="D1255" s="7" t="str">
        <f>IF(Sheet1!F1255="F","FEMALE","MALE")</f>
        <v>MALE</v>
      </c>
      <c r="E1255" s="6" t="str">
        <f>UPPER(Sheet1!G1255)</f>
        <v>JAVIER WALKER</v>
      </c>
      <c r="F1255" s="6" t="str">
        <f>UPPER(Sheet1!H1255)</f>
        <v>RUTH KERR</v>
      </c>
      <c r="G1255" s="5" t="str">
        <f>TEXT(Sheet1!C1255,"dd/mm/yyyy") &amp; "," &amp; Sheet1!D1255</f>
        <v>08/11/2025,WEST EDWARD</v>
      </c>
      <c r="H1255" s="39" t="str">
        <f>UPPER(Sheet1!J1255 &amp; "," &amp; Sheet1!K1255 &amp; "," &amp; Sheet1!L1255)</f>
        <v>6391 KRAMER FORK SUITE 309,SUITE 720,PIN:89537 WEST PATRICK</v>
      </c>
      <c r="I1255" s="8">
        <f>Sheet1!I1255</f>
        <v>46065</v>
      </c>
      <c r="J1255" s="5" t="str">
        <f>Sheet1!M1255 &amp; "," &amp; TEXT(Sheet1!N1255,"dd/mm/yy")</f>
        <v>MHA/IND/01260,01/03/26</v>
      </c>
      <c r="K1255" s="5" t="s">
        <v>5752</v>
      </c>
      <c r="L1255" t="s">
        <v>14</v>
      </c>
      <c r="M1255" s="31" t="s">
        <v>15</v>
      </c>
      <c r="N1255" s="31"/>
    </row>
    <row r="1256" spans="1:14" x14ac:dyDescent="0.25">
      <c r="A1256" s="4" t="str">
        <f>Sheet1!A1256 &amp; "/" &amp; "2025"</f>
        <v>1255/2025</v>
      </c>
      <c r="B1256" s="5" t="str">
        <f>Sheet1!E1256</f>
        <v>IND/MEL/01255</v>
      </c>
      <c r="C1256" s="6" t="str">
        <f>UPPER(Sheet1!B1256)</f>
        <v>LINDA JONES</v>
      </c>
      <c r="D1256" s="7" t="str">
        <f>IF(Sheet1!F1256="F","FEMALE","MALE")</f>
        <v>FEMALE</v>
      </c>
      <c r="E1256" s="6" t="str">
        <f>UPPER(Sheet1!G1256)</f>
        <v>JAIME GOMEZ</v>
      </c>
      <c r="F1256" s="6" t="str">
        <f>UPPER(Sheet1!H1256)</f>
        <v>TAYLOR HERNANDEZ</v>
      </c>
      <c r="G1256" s="5" t="str">
        <f>TEXT(Sheet1!C1256,"dd/mm/yyyy") &amp; "," &amp; Sheet1!D1256</f>
        <v>07/03/2025,SOUTH ELIZABETHBURY</v>
      </c>
      <c r="H1256" s="39" t="str">
        <f>UPPER(Sheet1!J1256 &amp; "," &amp; Sheet1!K1256 &amp; "," &amp; Sheet1!L1256)</f>
        <v>257 MELANIE KEYS,SUITE 037,PIN:84751 TAYLORVIEW</v>
      </c>
      <c r="I1256" s="8">
        <f>Sheet1!I1256</f>
        <v>46065</v>
      </c>
      <c r="J1256" s="5" t="str">
        <f>Sheet1!M1256 &amp; "," &amp; TEXT(Sheet1!N1256,"dd/mm/yy")</f>
        <v>MHA/IND/01261,22/02/26</v>
      </c>
      <c r="K1256" s="5" t="s">
        <v>5752</v>
      </c>
      <c r="L1256" t="s">
        <v>14</v>
      </c>
      <c r="M1256" s="31" t="s">
        <v>15</v>
      </c>
      <c r="N1256" s="31"/>
    </row>
    <row r="1257" spans="1:14" x14ac:dyDescent="0.25">
      <c r="A1257" s="4" t="str">
        <f>Sheet1!A1257 &amp; "/" &amp; "2025"</f>
        <v>1256/2025</v>
      </c>
      <c r="B1257" s="5" t="str">
        <f>Sheet1!E1257</f>
        <v>IND/MEL/01256</v>
      </c>
      <c r="C1257" s="6" t="str">
        <f>UPPER(Sheet1!B1257)</f>
        <v>ROGER WALKER</v>
      </c>
      <c r="D1257" s="7" t="str">
        <f>IF(Sheet1!F1257="F","FEMALE","MALE")</f>
        <v>FEMALE</v>
      </c>
      <c r="E1257" s="6" t="str">
        <f>UPPER(Sheet1!G1257)</f>
        <v>JOSHUA LANE</v>
      </c>
      <c r="F1257" s="6" t="str">
        <f>UPPER(Sheet1!H1257)</f>
        <v>CRYSTAL BARNES</v>
      </c>
      <c r="G1257" s="5" t="str">
        <f>TEXT(Sheet1!C1257,"dd/mm/yyyy") &amp; "," &amp; Sheet1!D1257</f>
        <v>04/03/2025,LAKE AMBER</v>
      </c>
      <c r="H1257" s="39" t="str">
        <f>UPPER(Sheet1!J1257 &amp; "," &amp; Sheet1!K1257 &amp; "," &amp; Sheet1!L1257)</f>
        <v>2234 DANIEL PRAIRIE,APT. 596,PIN:68970 KINGFORT</v>
      </c>
      <c r="I1257" s="8">
        <f>Sheet1!I1257</f>
        <v>46065</v>
      </c>
      <c r="J1257" s="5" t="str">
        <f>Sheet1!M1257 &amp; "," &amp; TEXT(Sheet1!N1257,"dd/mm/yy")</f>
        <v>MHA/IND/01262,16/02/26</v>
      </c>
      <c r="K1257" s="5" t="s">
        <v>5752</v>
      </c>
      <c r="L1257" t="s">
        <v>14</v>
      </c>
      <c r="M1257" s="31" t="s">
        <v>15</v>
      </c>
      <c r="N1257" s="31"/>
    </row>
    <row r="1258" spans="1:14" x14ac:dyDescent="0.25">
      <c r="A1258" s="4" t="str">
        <f>Sheet1!A1258 &amp; "/" &amp; "2025"</f>
        <v>1257/2025</v>
      </c>
      <c r="B1258" s="5" t="str">
        <f>Sheet1!E1258</f>
        <v>IND/MEL/01257</v>
      </c>
      <c r="C1258" s="6" t="str">
        <f>UPPER(Sheet1!B1258)</f>
        <v>KELLY GORDON</v>
      </c>
      <c r="D1258" s="7" t="str">
        <f>IF(Sheet1!F1258="F","FEMALE","MALE")</f>
        <v>FEMALE</v>
      </c>
      <c r="E1258" s="6" t="str">
        <f>UPPER(Sheet1!G1258)</f>
        <v>DANIEL MALDONADO</v>
      </c>
      <c r="F1258" s="6" t="str">
        <f>UPPER(Sheet1!H1258)</f>
        <v>MICHELLE KING</v>
      </c>
      <c r="G1258" s="5" t="str">
        <f>TEXT(Sheet1!C1258,"dd/mm/yyyy") &amp; "," &amp; Sheet1!D1258</f>
        <v>08/07/2025,HUNTLAND</v>
      </c>
      <c r="H1258" s="39" t="str">
        <f>UPPER(Sheet1!J1258 &amp; "," &amp; Sheet1!K1258 &amp; "," &amp; Sheet1!L1258)</f>
        <v>702 WARREN CREST,APT. 713,PIN:45340 NORTH CAROLMOUTH</v>
      </c>
      <c r="I1258" s="8">
        <f>Sheet1!I1258</f>
        <v>46065</v>
      </c>
      <c r="J1258" s="5" t="str">
        <f>Sheet1!M1258 &amp; "," &amp; TEXT(Sheet1!N1258,"dd/mm/yy")</f>
        <v>MHA/IND/01263,26/02/26</v>
      </c>
      <c r="K1258" s="5" t="s">
        <v>5752</v>
      </c>
      <c r="L1258" t="s">
        <v>14</v>
      </c>
      <c r="M1258" s="31" t="s">
        <v>15</v>
      </c>
      <c r="N1258" s="31"/>
    </row>
    <row r="1259" spans="1:14" x14ac:dyDescent="0.25">
      <c r="A1259" s="4" t="str">
        <f>Sheet1!A1259 &amp; "/" &amp; "2025"</f>
        <v>1258/2025</v>
      </c>
      <c r="B1259" s="5" t="str">
        <f>Sheet1!E1259</f>
        <v>IND/MEL/01258</v>
      </c>
      <c r="C1259" s="6" t="str">
        <f>UPPER(Sheet1!B1259)</f>
        <v>MARK BENNETT</v>
      </c>
      <c r="D1259" s="7" t="str">
        <f>IF(Sheet1!F1259="F","FEMALE","MALE")</f>
        <v>MALE</v>
      </c>
      <c r="E1259" s="6" t="str">
        <f>UPPER(Sheet1!G1259)</f>
        <v>THOMAS SHANNON</v>
      </c>
      <c r="F1259" s="6" t="str">
        <f>UPPER(Sheet1!H1259)</f>
        <v>NATALIE CARSON</v>
      </c>
      <c r="G1259" s="5" t="str">
        <f>TEXT(Sheet1!C1259,"dd/mm/yyyy") &amp; "," &amp; Sheet1!D1259</f>
        <v>19/07/2025,AYERSMOUTH</v>
      </c>
      <c r="H1259" s="39" t="str">
        <f>UPPER(Sheet1!J1259 &amp; "," &amp; Sheet1!K1259 &amp; "," &amp; Sheet1!L1259)</f>
        <v>816 RYAN ROW APT. 629,APT. 299,PIN:99913 NEW BRIANFURT</v>
      </c>
      <c r="I1259" s="8">
        <f>Sheet1!I1259</f>
        <v>46065</v>
      </c>
      <c r="J1259" s="5" t="str">
        <f>Sheet1!M1259 &amp; "," &amp; TEXT(Sheet1!N1259,"dd/mm/yy")</f>
        <v>MHA/IND/01264,04/03/26</v>
      </c>
      <c r="K1259" s="5" t="s">
        <v>5752</v>
      </c>
      <c r="L1259" t="s">
        <v>14</v>
      </c>
      <c r="M1259" s="31" t="s">
        <v>15</v>
      </c>
      <c r="N1259" s="31"/>
    </row>
    <row r="1260" spans="1:14" x14ac:dyDescent="0.25">
      <c r="A1260" s="4" t="str">
        <f>Sheet1!A1260 &amp; "/" &amp; "2025"</f>
        <v>1259/2025</v>
      </c>
      <c r="B1260" s="5" t="str">
        <f>Sheet1!E1260</f>
        <v>IND/MEL/01259</v>
      </c>
      <c r="C1260" s="6" t="str">
        <f>UPPER(Sheet1!B1260)</f>
        <v>MARIA THOMAS</v>
      </c>
      <c r="D1260" s="7" t="str">
        <f>IF(Sheet1!F1260="F","FEMALE","MALE")</f>
        <v>MALE</v>
      </c>
      <c r="E1260" s="6" t="str">
        <f>UPPER(Sheet1!G1260)</f>
        <v>RONALD AGUILAR</v>
      </c>
      <c r="F1260" s="6" t="str">
        <f>UPPER(Sheet1!H1260)</f>
        <v>JESSICA HOWE</v>
      </c>
      <c r="G1260" s="5" t="str">
        <f>TEXT(Sheet1!C1260,"dd/mm/yyyy") &amp; "," &amp; Sheet1!D1260</f>
        <v>26/06/2025,KYLEBERG</v>
      </c>
      <c r="H1260" s="39" t="str">
        <f>UPPER(Sheet1!J1260 &amp; "," &amp; Sheet1!K1260 &amp; "," &amp; Sheet1!L1260)</f>
        <v>0553 HILL ESTATES,APT. 478,PIN:55372 PORT DOUGLAS</v>
      </c>
      <c r="I1260" s="8">
        <f>Sheet1!I1260</f>
        <v>46065</v>
      </c>
      <c r="J1260" s="5" t="str">
        <f>Sheet1!M1260 &amp; "," &amp; TEXT(Sheet1!N1260,"dd/mm/yy")</f>
        <v>MHA/IND/01265,07/03/26</v>
      </c>
      <c r="K1260" s="5" t="s">
        <v>5752</v>
      </c>
      <c r="L1260" t="s">
        <v>14</v>
      </c>
      <c r="M1260" s="31" t="s">
        <v>15</v>
      </c>
      <c r="N1260" s="31"/>
    </row>
    <row r="1261" spans="1:14" x14ac:dyDescent="0.25">
      <c r="A1261" s="4" t="str">
        <f>Sheet1!A1261 &amp; "/" &amp; "2025"</f>
        <v>1260/2025</v>
      </c>
      <c r="B1261" s="5" t="str">
        <f>Sheet1!E1261</f>
        <v>IND/MEL/01260</v>
      </c>
      <c r="C1261" s="6" t="str">
        <f>UPPER(Sheet1!B1261)</f>
        <v>WILLIAM BOYER</v>
      </c>
      <c r="D1261" s="7" t="str">
        <f>IF(Sheet1!F1261="F","FEMALE","MALE")</f>
        <v>FEMALE</v>
      </c>
      <c r="E1261" s="6" t="str">
        <f>UPPER(Sheet1!G1261)</f>
        <v>MICHAEL BROWN</v>
      </c>
      <c r="F1261" s="6" t="str">
        <f>UPPER(Sheet1!H1261)</f>
        <v>CAROLYN THOMAS</v>
      </c>
      <c r="G1261" s="5" t="str">
        <f>TEXT(Sheet1!C1261,"dd/mm/yyyy") &amp; "," &amp; Sheet1!D1261</f>
        <v>14/03/2025,NORTH RICHARDVILLE</v>
      </c>
      <c r="H1261" s="39" t="str">
        <f>UPPER(Sheet1!J1261 &amp; "," &amp; Sheet1!K1261 &amp; "," &amp; Sheet1!L1261)</f>
        <v>96670 HAHN FORGE APT. 355,APT. 393,PIN:58268 HILLFORT</v>
      </c>
      <c r="I1261" s="8">
        <f>Sheet1!I1261</f>
        <v>46065</v>
      </c>
      <c r="J1261" s="5" t="str">
        <f>Sheet1!M1261 &amp; "," &amp; TEXT(Sheet1!N1261,"dd/mm/yy")</f>
        <v>MHA/IND/01266,22/02/26</v>
      </c>
      <c r="K1261" s="5" t="s">
        <v>5752</v>
      </c>
      <c r="L1261" t="s">
        <v>14</v>
      </c>
      <c r="M1261" s="31" t="s">
        <v>15</v>
      </c>
      <c r="N1261" s="31"/>
    </row>
    <row r="1262" spans="1:14" x14ac:dyDescent="0.25">
      <c r="A1262" s="4" t="str">
        <f>Sheet1!A1262 &amp; "/" &amp; "2025"</f>
        <v>1261/2025</v>
      </c>
      <c r="B1262" s="5" t="str">
        <f>Sheet1!E1262</f>
        <v>IND/MEL/01261</v>
      </c>
      <c r="C1262" s="6" t="str">
        <f>UPPER(Sheet1!B1262)</f>
        <v>ANITA MEZA</v>
      </c>
      <c r="D1262" s="7" t="str">
        <f>IF(Sheet1!F1262="F","FEMALE","MALE")</f>
        <v>MALE</v>
      </c>
      <c r="E1262" s="6" t="str">
        <f>UPPER(Sheet1!G1262)</f>
        <v>ISAIAH HUGHES</v>
      </c>
      <c r="F1262" s="6" t="str">
        <f>UPPER(Sheet1!H1262)</f>
        <v>BRANDY GARZA</v>
      </c>
      <c r="G1262" s="5" t="str">
        <f>TEXT(Sheet1!C1262,"dd/mm/yyyy") &amp; "," &amp; Sheet1!D1262</f>
        <v>10/09/2025,LAKE REBECCA</v>
      </c>
      <c r="H1262" s="39" t="str">
        <f>UPPER(Sheet1!J1262 &amp; "," &amp; Sheet1!K1262 &amp; "," &amp; Sheet1!L1262)</f>
        <v>855 SUSAN NECK SUITE 867,SUITE 087,PIN:11754 MICHELLEVIEW</v>
      </c>
      <c r="I1262" s="8">
        <f>Sheet1!I1262</f>
        <v>46065</v>
      </c>
      <c r="J1262" s="5" t="str">
        <f>Sheet1!M1262 &amp; "," &amp; TEXT(Sheet1!N1262,"dd/mm/yy")</f>
        <v>MHA/IND/01267,15/02/26</v>
      </c>
      <c r="K1262" s="5" t="s">
        <v>5752</v>
      </c>
      <c r="L1262" t="s">
        <v>14</v>
      </c>
      <c r="M1262" s="31" t="s">
        <v>15</v>
      </c>
      <c r="N1262" s="31"/>
    </row>
    <row r="1263" spans="1:14" x14ac:dyDescent="0.25">
      <c r="A1263" s="4" t="str">
        <f>Sheet1!A1263 &amp; "/" &amp; "2025"</f>
        <v>1262/2025</v>
      </c>
      <c r="B1263" s="5" t="str">
        <f>Sheet1!E1263</f>
        <v>IND/MEL/01262</v>
      </c>
      <c r="C1263" s="6" t="str">
        <f>UPPER(Sheet1!B1263)</f>
        <v>MARIA ADAMS</v>
      </c>
      <c r="D1263" s="7" t="str">
        <f>IF(Sheet1!F1263="F","FEMALE","MALE")</f>
        <v>MALE</v>
      </c>
      <c r="E1263" s="6" t="str">
        <f>UPPER(Sheet1!G1263)</f>
        <v>JEFFERY CLARK</v>
      </c>
      <c r="F1263" s="6" t="str">
        <f>UPPER(Sheet1!H1263)</f>
        <v>ELIZABETH MOORE</v>
      </c>
      <c r="G1263" s="5" t="str">
        <f>TEXT(Sheet1!C1263,"dd/mm/yyyy") &amp; "," &amp; Sheet1!D1263</f>
        <v>13/06/2025,NEW JAMES</v>
      </c>
      <c r="H1263" s="39" t="str">
        <f>UPPER(Sheet1!J1263 &amp; "," &amp; Sheet1!K1263 &amp; "," &amp; Sheet1!L1263)</f>
        <v>8207 COURTNEY CROSSING,SUITE 011,PIN:71116 SOUTH LINDA</v>
      </c>
      <c r="I1263" s="8">
        <f>Sheet1!I1263</f>
        <v>46065</v>
      </c>
      <c r="J1263" s="5" t="str">
        <f>Sheet1!M1263 &amp; "," &amp; TEXT(Sheet1!N1263,"dd/mm/yy")</f>
        <v>MHA/IND/01268,19/02/26</v>
      </c>
      <c r="K1263" s="5" t="s">
        <v>5752</v>
      </c>
      <c r="L1263" t="s">
        <v>14</v>
      </c>
      <c r="M1263" s="31" t="s">
        <v>15</v>
      </c>
      <c r="N1263" s="31"/>
    </row>
    <row r="1264" spans="1:14" x14ac:dyDescent="0.25">
      <c r="A1264" s="4" t="str">
        <f>Sheet1!A1264 &amp; "/" &amp; "2025"</f>
        <v>1263/2025</v>
      </c>
      <c r="B1264" s="5" t="str">
        <f>Sheet1!E1264</f>
        <v>IND/MEL/01263</v>
      </c>
      <c r="C1264" s="6" t="str">
        <f>UPPER(Sheet1!B1264)</f>
        <v>MONIQUE PERKINS</v>
      </c>
      <c r="D1264" s="7" t="str">
        <f>IF(Sheet1!F1264="F","FEMALE","MALE")</f>
        <v>FEMALE</v>
      </c>
      <c r="E1264" s="6" t="str">
        <f>UPPER(Sheet1!G1264)</f>
        <v>JAMIE ROMERO</v>
      </c>
      <c r="F1264" s="6" t="str">
        <f>UPPER(Sheet1!H1264)</f>
        <v>ELIZABETH WALLACE</v>
      </c>
      <c r="G1264" s="5" t="str">
        <f>TEXT(Sheet1!C1264,"dd/mm/yyyy") &amp; "," &amp; Sheet1!D1264</f>
        <v>28/02/2025,LAKE CHARLESVIEW</v>
      </c>
      <c r="H1264" s="39" t="str">
        <f>UPPER(Sheet1!J1264 &amp; "," &amp; Sheet1!K1264 &amp; "," &amp; Sheet1!L1264)</f>
        <v>356 CODY RAPIDS SUITE 431,SUITE 125,PIN:49611 MARKCHESTER</v>
      </c>
      <c r="I1264" s="8">
        <f>Sheet1!I1264</f>
        <v>46065</v>
      </c>
      <c r="J1264" s="5" t="str">
        <f>Sheet1!M1264 &amp; "," &amp; TEXT(Sheet1!N1264,"dd/mm/yy")</f>
        <v>MHA/IND/01269,28/02/26</v>
      </c>
      <c r="K1264" s="5" t="s">
        <v>5752</v>
      </c>
      <c r="L1264" t="s">
        <v>14</v>
      </c>
      <c r="M1264" s="31" t="s">
        <v>15</v>
      </c>
      <c r="N1264" s="31"/>
    </row>
    <row r="1265" spans="1:14" x14ac:dyDescent="0.25">
      <c r="A1265" s="4" t="str">
        <f>Sheet1!A1265 &amp; "/" &amp; "2025"</f>
        <v>1264/2025</v>
      </c>
      <c r="B1265" s="5" t="str">
        <f>Sheet1!E1265</f>
        <v>IND/MEL/01264</v>
      </c>
      <c r="C1265" s="6" t="str">
        <f>UPPER(Sheet1!B1265)</f>
        <v>ALEXANDER COX</v>
      </c>
      <c r="D1265" s="7" t="str">
        <f>IF(Sheet1!F1265="F","FEMALE","MALE")</f>
        <v>FEMALE</v>
      </c>
      <c r="E1265" s="6" t="str">
        <f>UPPER(Sheet1!G1265)</f>
        <v>CHRISTOPHER GOMEZ</v>
      </c>
      <c r="F1265" s="6" t="str">
        <f>UPPER(Sheet1!H1265)</f>
        <v>MACKENZIE THOMAS</v>
      </c>
      <c r="G1265" s="5" t="str">
        <f>TEXT(Sheet1!C1265,"dd/mm/yyyy") &amp; "," &amp; Sheet1!D1265</f>
        <v>07/12/2025,PORT ROBERT</v>
      </c>
      <c r="H1265" s="39" t="str">
        <f>UPPER(Sheet1!J1265 &amp; "," &amp; Sheet1!K1265 &amp; "," &amp; Sheet1!L1265)</f>
        <v>4608 CASTILLO SHORE,SUITE 444,PIN:62676 NEW JENNIFER</v>
      </c>
      <c r="I1265" s="8">
        <f>Sheet1!I1265</f>
        <v>46065</v>
      </c>
      <c r="J1265" s="5" t="str">
        <f>Sheet1!M1265 &amp; "," &amp; TEXT(Sheet1!N1265,"dd/mm/yy")</f>
        <v>MHA/IND/01270,02/03/26</v>
      </c>
      <c r="K1265" s="5" t="s">
        <v>5752</v>
      </c>
      <c r="L1265" t="s">
        <v>14</v>
      </c>
      <c r="M1265" s="31" t="s">
        <v>15</v>
      </c>
      <c r="N1265" s="31"/>
    </row>
    <row r="1266" spans="1:14" x14ac:dyDescent="0.25">
      <c r="A1266" s="4" t="str">
        <f>Sheet1!A1266 &amp; "/" &amp; "2025"</f>
        <v>1265/2025</v>
      </c>
      <c r="B1266" s="5" t="str">
        <f>Sheet1!E1266</f>
        <v>IND/MEL/01265</v>
      </c>
      <c r="C1266" s="6" t="str">
        <f>UPPER(Sheet1!B1266)</f>
        <v>SCOTT ASHLEY</v>
      </c>
      <c r="D1266" s="7" t="str">
        <f>IF(Sheet1!F1266="F","FEMALE","MALE")</f>
        <v>FEMALE</v>
      </c>
      <c r="E1266" s="6" t="str">
        <f>UPPER(Sheet1!G1266)</f>
        <v>NATHAN NICHOLS</v>
      </c>
      <c r="F1266" s="6" t="str">
        <f>UPPER(Sheet1!H1266)</f>
        <v>JESSICA REYNOLDS</v>
      </c>
      <c r="G1266" s="5" t="str">
        <f>TEXT(Sheet1!C1266,"dd/mm/yyyy") &amp; "," &amp; Sheet1!D1266</f>
        <v>15/08/2025,PORT KENNETHFORT</v>
      </c>
      <c r="H1266" s="39" t="str">
        <f>UPPER(Sheet1!J1266 &amp; "," &amp; Sheet1!K1266 &amp; "," &amp; Sheet1!L1266)</f>
        <v>9026 MCDONALD STATION,APT. 382,PIN:26487 NEW MORGAN</v>
      </c>
      <c r="I1266" s="8">
        <f>Sheet1!I1266</f>
        <v>46065</v>
      </c>
      <c r="J1266" s="5" t="str">
        <f>Sheet1!M1266 &amp; "," &amp; TEXT(Sheet1!N1266,"dd/mm/yy")</f>
        <v>MHA/IND/01271,24/02/26</v>
      </c>
      <c r="K1266" s="5" t="s">
        <v>5752</v>
      </c>
      <c r="L1266" t="s">
        <v>14</v>
      </c>
      <c r="M1266" s="31" t="s">
        <v>15</v>
      </c>
      <c r="N1266" s="31"/>
    </row>
    <row r="1267" spans="1:14" x14ac:dyDescent="0.25">
      <c r="A1267" s="4" t="str">
        <f>Sheet1!A1267 &amp; "/" &amp; "2025"</f>
        <v>1266/2025</v>
      </c>
      <c r="B1267" s="5" t="str">
        <f>Sheet1!E1267</f>
        <v>IND/MEL/01266</v>
      </c>
      <c r="C1267" s="6" t="str">
        <f>UPPER(Sheet1!B1267)</f>
        <v>ERIN SIMPSON</v>
      </c>
      <c r="D1267" s="7" t="str">
        <f>IF(Sheet1!F1267="F","FEMALE","MALE")</f>
        <v>FEMALE</v>
      </c>
      <c r="E1267" s="6" t="str">
        <f>UPPER(Sheet1!G1267)</f>
        <v>TIMOTHY SMALL</v>
      </c>
      <c r="F1267" s="6" t="str">
        <f>UPPER(Sheet1!H1267)</f>
        <v>TIFFANY WILLIAMS</v>
      </c>
      <c r="G1267" s="5" t="str">
        <f>TEXT(Sheet1!C1267,"dd/mm/yyyy") &amp; "," &amp; Sheet1!D1267</f>
        <v>16/11/2025,EAST AMANDA</v>
      </c>
      <c r="H1267" s="39" t="str">
        <f>UPPER(Sheet1!J1267 &amp; "," &amp; Sheet1!K1267 &amp; "," &amp; Sheet1!L1267)</f>
        <v>84514 SINGH BURG,APT. 099,PIN:73161 WEST LORISIDE</v>
      </c>
      <c r="I1267" s="8">
        <f>Sheet1!I1267</f>
        <v>46065</v>
      </c>
      <c r="J1267" s="5" t="str">
        <f>Sheet1!M1267 &amp; "," &amp; TEXT(Sheet1!N1267,"dd/mm/yy")</f>
        <v>MHA/IND/01272,27/02/26</v>
      </c>
      <c r="K1267" s="5" t="s">
        <v>5752</v>
      </c>
      <c r="L1267" t="s">
        <v>14</v>
      </c>
      <c r="M1267" s="31" t="s">
        <v>15</v>
      </c>
      <c r="N1267" s="31"/>
    </row>
    <row r="1268" spans="1:14" x14ac:dyDescent="0.25">
      <c r="A1268" s="4" t="str">
        <f>Sheet1!A1268 &amp; "/" &amp; "2025"</f>
        <v>1267/2025</v>
      </c>
      <c r="B1268" s="5" t="str">
        <f>Sheet1!E1268</f>
        <v>IND/MEL/01267</v>
      </c>
      <c r="C1268" s="6" t="str">
        <f>UPPER(Sheet1!B1268)</f>
        <v>TIMOTHY LONG</v>
      </c>
      <c r="D1268" s="7" t="str">
        <f>IF(Sheet1!F1268="F","FEMALE","MALE")</f>
        <v>MALE</v>
      </c>
      <c r="E1268" s="6" t="str">
        <f>UPPER(Sheet1!G1268)</f>
        <v>ALEXANDER NGUYEN</v>
      </c>
      <c r="F1268" s="6" t="str">
        <f>UPPER(Sheet1!H1268)</f>
        <v>SABRINA MASON</v>
      </c>
      <c r="G1268" s="5" t="str">
        <f>TEXT(Sheet1!C1268,"dd/mm/yyyy") &amp; "," &amp; Sheet1!D1268</f>
        <v>17/10/2025,CHRISTINESHIRE</v>
      </c>
      <c r="H1268" s="39" t="str">
        <f>UPPER(Sheet1!J1268 &amp; "," &amp; Sheet1!K1268 &amp; "," &amp; Sheet1!L1268)</f>
        <v>65250 SAMANTHA CAUSEWAY SUITE 855,SUITE 643,PIN:55065 JAREDSTAD</v>
      </c>
      <c r="I1268" s="8">
        <f>Sheet1!I1268</f>
        <v>46065</v>
      </c>
      <c r="J1268" s="5" t="str">
        <f>Sheet1!M1268 &amp; "," &amp; TEXT(Sheet1!N1268,"dd/mm/yy")</f>
        <v>MHA/IND/01273,23/02/26</v>
      </c>
      <c r="K1268" s="5" t="s">
        <v>5752</v>
      </c>
      <c r="L1268" t="s">
        <v>14</v>
      </c>
      <c r="M1268" s="31" t="s">
        <v>15</v>
      </c>
      <c r="N1268" s="31"/>
    </row>
    <row r="1269" spans="1:14" x14ac:dyDescent="0.25">
      <c r="A1269" s="4" t="str">
        <f>Sheet1!A1269 &amp; "/" &amp; "2025"</f>
        <v>1268/2025</v>
      </c>
      <c r="B1269" s="5" t="str">
        <f>Sheet1!E1269</f>
        <v>IND/MEL/01268</v>
      </c>
      <c r="C1269" s="6" t="str">
        <f>UPPER(Sheet1!B1269)</f>
        <v>WALTER PATEL</v>
      </c>
      <c r="D1269" s="7" t="str">
        <f>IF(Sheet1!F1269="F","FEMALE","MALE")</f>
        <v>MALE</v>
      </c>
      <c r="E1269" s="6" t="str">
        <f>UPPER(Sheet1!G1269)</f>
        <v>BRETT WASHINGTON</v>
      </c>
      <c r="F1269" s="6" t="str">
        <f>UPPER(Sheet1!H1269)</f>
        <v>REBECCA SALAZAR</v>
      </c>
      <c r="G1269" s="5" t="str">
        <f>TEXT(Sheet1!C1269,"dd/mm/yyyy") &amp; "," &amp; Sheet1!D1269</f>
        <v>28/06/2025,BARBARABOROUGH</v>
      </c>
      <c r="H1269" s="39" t="str">
        <f>UPPER(Sheet1!J1269 &amp; "," &amp; Sheet1!K1269 &amp; "," &amp; Sheet1!L1269)</f>
        <v>34404 STEPHANIE GATEWAY SUITE 850,SUITE 170,PIN:25571 SOUTH BRENDA</v>
      </c>
      <c r="I1269" s="8">
        <f>Sheet1!I1269</f>
        <v>46065</v>
      </c>
      <c r="J1269" s="5" t="str">
        <f>Sheet1!M1269 &amp; "," &amp; TEXT(Sheet1!N1269,"dd/mm/yy")</f>
        <v>MHA/IND/01274,25/02/26</v>
      </c>
      <c r="K1269" s="5" t="s">
        <v>5752</v>
      </c>
      <c r="L1269" t="s">
        <v>14</v>
      </c>
      <c r="M1269" s="31" t="s">
        <v>15</v>
      </c>
      <c r="N1269" s="31"/>
    </row>
    <row r="1270" spans="1:14" x14ac:dyDescent="0.25">
      <c r="A1270" s="4" t="str">
        <f>Sheet1!A1270 &amp; "/" &amp; "2025"</f>
        <v>1269/2025</v>
      </c>
      <c r="B1270" s="5" t="str">
        <f>Sheet1!E1270</f>
        <v>IND/MEL/01269</v>
      </c>
      <c r="C1270" s="6" t="str">
        <f>UPPER(Sheet1!B1270)</f>
        <v>JADE FULLER</v>
      </c>
      <c r="D1270" s="7" t="str">
        <f>IF(Sheet1!F1270="F","FEMALE","MALE")</f>
        <v>MALE</v>
      </c>
      <c r="E1270" s="6" t="str">
        <f>UPPER(Sheet1!G1270)</f>
        <v>SAMUEL HENSLEY</v>
      </c>
      <c r="F1270" s="6" t="str">
        <f>UPPER(Sheet1!H1270)</f>
        <v>AMY PETERSON</v>
      </c>
      <c r="G1270" s="5" t="str">
        <f>TEXT(Sheet1!C1270,"dd/mm/yyyy") &amp; "," &amp; Sheet1!D1270</f>
        <v>02/05/2025,TANYAFURT</v>
      </c>
      <c r="H1270" s="39" t="str">
        <f>UPPER(Sheet1!J1270 &amp; "," &amp; Sheet1!K1270 &amp; "," &amp; Sheet1!L1270)</f>
        <v>0822 ASHLEY SPRING APT. 684,APT. 359,PIN:55309 WALKERBOROUGH</v>
      </c>
      <c r="I1270" s="8">
        <f>Sheet1!I1270</f>
        <v>46065</v>
      </c>
      <c r="J1270" s="5" t="str">
        <f>Sheet1!M1270 &amp; "," &amp; TEXT(Sheet1!N1270,"dd/mm/yy")</f>
        <v>MHA/IND/01275,21/02/26</v>
      </c>
      <c r="K1270" s="5" t="s">
        <v>5752</v>
      </c>
      <c r="L1270" t="s">
        <v>14</v>
      </c>
      <c r="M1270" s="31" t="s">
        <v>15</v>
      </c>
      <c r="N1270" s="31"/>
    </row>
    <row r="1271" spans="1:14" x14ac:dyDescent="0.25">
      <c r="A1271" s="4" t="str">
        <f>Sheet1!A1271 &amp; "/" &amp; "2025"</f>
        <v>1270/2025</v>
      </c>
      <c r="B1271" s="5" t="str">
        <f>Sheet1!E1271</f>
        <v>IND/MEL/01270</v>
      </c>
      <c r="C1271" s="6" t="str">
        <f>UPPER(Sheet1!B1271)</f>
        <v>REBECCA GONZALEZ</v>
      </c>
      <c r="D1271" s="7" t="str">
        <f>IF(Sheet1!F1271="F","FEMALE","MALE")</f>
        <v>FEMALE</v>
      </c>
      <c r="E1271" s="6" t="str">
        <f>UPPER(Sheet1!G1271)</f>
        <v>DAVID DAVIS</v>
      </c>
      <c r="F1271" s="6" t="str">
        <f>UPPER(Sheet1!H1271)</f>
        <v>KAITLYN BLACK</v>
      </c>
      <c r="G1271" s="5" t="str">
        <f>TEXT(Sheet1!C1271,"dd/mm/yyyy") &amp; "," &amp; Sheet1!D1271</f>
        <v>14/12/2025,SOUTH MATTHEW</v>
      </c>
      <c r="H1271" s="39" t="str">
        <f>UPPER(Sheet1!J1271 &amp; "," &amp; Sheet1!K1271 &amp; "," &amp; Sheet1!L1271)</f>
        <v>210 JOHNSON CENTERS APT. 779,APT. 353,PIN:60050 PORT PHILLIP</v>
      </c>
      <c r="I1271" s="8">
        <f>Sheet1!I1271</f>
        <v>46065</v>
      </c>
      <c r="J1271" s="5" t="str">
        <f>Sheet1!M1271 &amp; "," &amp; TEXT(Sheet1!N1271,"dd/mm/yy")</f>
        <v>MHA/IND/01276,01/03/26</v>
      </c>
      <c r="K1271" s="5" t="s">
        <v>5752</v>
      </c>
      <c r="L1271" t="s">
        <v>14</v>
      </c>
      <c r="M1271" s="31" t="s">
        <v>15</v>
      </c>
      <c r="N1271" s="31"/>
    </row>
    <row r="1272" spans="1:14" x14ac:dyDescent="0.25">
      <c r="A1272" s="4" t="str">
        <f>Sheet1!A1272 &amp; "/" &amp; "2025"</f>
        <v>1271/2025</v>
      </c>
      <c r="B1272" s="5" t="str">
        <f>Sheet1!E1272</f>
        <v>IND/MEL/01271</v>
      </c>
      <c r="C1272" s="6" t="str">
        <f>UPPER(Sheet1!B1272)</f>
        <v>LAUREN PAUL</v>
      </c>
      <c r="D1272" s="7" t="str">
        <f>IF(Sheet1!F1272="F","FEMALE","MALE")</f>
        <v>FEMALE</v>
      </c>
      <c r="E1272" s="6" t="str">
        <f>UPPER(Sheet1!G1272)</f>
        <v>CALVIN MARQUEZ</v>
      </c>
      <c r="F1272" s="6" t="str">
        <f>UPPER(Sheet1!H1272)</f>
        <v>LISA PAUL</v>
      </c>
      <c r="G1272" s="5" t="str">
        <f>TEXT(Sheet1!C1272,"dd/mm/yyyy") &amp; "," &amp; Sheet1!D1272</f>
        <v>15/08/2025,LINDSAYMOUTH</v>
      </c>
      <c r="H1272" s="39" t="str">
        <f>UPPER(Sheet1!J1272 &amp; "," &amp; Sheet1!K1272 &amp; "," &amp; Sheet1!L1272)</f>
        <v>424 BRIAN ROUTE,SUITE 295,PIN:32728 SOUTH AMY</v>
      </c>
      <c r="I1272" s="8">
        <f>Sheet1!I1272</f>
        <v>46065</v>
      </c>
      <c r="J1272" s="5" t="str">
        <f>Sheet1!M1272 &amp; "," &amp; TEXT(Sheet1!N1272,"dd/mm/yy")</f>
        <v>MHA/IND/01277,25/02/26</v>
      </c>
      <c r="K1272" s="5" t="s">
        <v>5752</v>
      </c>
      <c r="L1272" t="s">
        <v>14</v>
      </c>
      <c r="M1272" s="31" t="s">
        <v>15</v>
      </c>
      <c r="N1272" s="31"/>
    </row>
    <row r="1273" spans="1:14" x14ac:dyDescent="0.25">
      <c r="A1273" s="4" t="str">
        <f>Sheet1!A1273 &amp; "/" &amp; "2025"</f>
        <v>1272/2025</v>
      </c>
      <c r="B1273" s="5" t="str">
        <f>Sheet1!E1273</f>
        <v>IND/MEL/01272</v>
      </c>
      <c r="C1273" s="6" t="str">
        <f>UPPER(Sheet1!B1273)</f>
        <v>CRYSTAL EVANS</v>
      </c>
      <c r="D1273" s="7" t="str">
        <f>IF(Sheet1!F1273="F","FEMALE","MALE")</f>
        <v>MALE</v>
      </c>
      <c r="E1273" s="6" t="str">
        <f>UPPER(Sheet1!G1273)</f>
        <v>BENJAMIN CLARK</v>
      </c>
      <c r="F1273" s="6" t="str">
        <f>UPPER(Sheet1!H1273)</f>
        <v>LINDSEY JENKINS</v>
      </c>
      <c r="G1273" s="5" t="str">
        <f>TEXT(Sheet1!C1273,"dd/mm/yyyy") &amp; "," &amp; Sheet1!D1273</f>
        <v>05/06/2025,SOUTH ETHANSIDE</v>
      </c>
      <c r="H1273" s="39" t="str">
        <f>UPPER(Sheet1!J1273 &amp; "," &amp; Sheet1!K1273 &amp; "," &amp; Sheet1!L1273)</f>
        <v>63733 JODI EXTENSION APT. 466,SUITE 268,PIN:15117 LAKE JESSICABURY</v>
      </c>
      <c r="I1273" s="8">
        <f>Sheet1!I1273</f>
        <v>46065</v>
      </c>
      <c r="J1273" s="5" t="str">
        <f>Sheet1!M1273 &amp; "," &amp; TEXT(Sheet1!N1273,"dd/mm/yy")</f>
        <v>MHA/IND/01278,17/02/26</v>
      </c>
      <c r="K1273" s="5" t="s">
        <v>5752</v>
      </c>
      <c r="L1273" t="s">
        <v>14</v>
      </c>
      <c r="M1273" s="31" t="s">
        <v>15</v>
      </c>
      <c r="N1273" s="31"/>
    </row>
    <row r="1274" spans="1:14" x14ac:dyDescent="0.25">
      <c r="A1274" s="4" t="str">
        <f>Sheet1!A1274 &amp; "/" &amp; "2025"</f>
        <v>1273/2025</v>
      </c>
      <c r="B1274" s="5" t="str">
        <f>Sheet1!E1274</f>
        <v>IND/MEL/01273</v>
      </c>
      <c r="C1274" s="6" t="str">
        <f>UPPER(Sheet1!B1274)</f>
        <v>GREGORY TAPIA</v>
      </c>
      <c r="D1274" s="7" t="str">
        <f>IF(Sheet1!F1274="F","FEMALE","MALE")</f>
        <v>MALE</v>
      </c>
      <c r="E1274" s="6" t="str">
        <f>UPPER(Sheet1!G1274)</f>
        <v>HENRY CLARK</v>
      </c>
      <c r="F1274" s="6" t="str">
        <f>UPPER(Sheet1!H1274)</f>
        <v>EMILY COPELAND</v>
      </c>
      <c r="G1274" s="5" t="str">
        <f>TEXT(Sheet1!C1274,"dd/mm/yyyy") &amp; "," &amp; Sheet1!D1274</f>
        <v>12/10/2025,LAKE DENNIS</v>
      </c>
      <c r="H1274" s="39" t="str">
        <f>UPPER(Sheet1!J1274 &amp; "," &amp; Sheet1!K1274 &amp; "," &amp; Sheet1!L1274)</f>
        <v>932 LAMBERT VILLAGE SUITE 173,SUITE 635,PIN:86675 NEW BLAKEBURY</v>
      </c>
      <c r="I1274" s="8">
        <f>Sheet1!I1274</f>
        <v>46065</v>
      </c>
      <c r="J1274" s="5" t="str">
        <f>Sheet1!M1274 &amp; "," &amp; TEXT(Sheet1!N1274,"dd/mm/yy")</f>
        <v>MHA/IND/01279,13/02/26</v>
      </c>
      <c r="K1274" s="5" t="s">
        <v>5752</v>
      </c>
      <c r="L1274" t="s">
        <v>14</v>
      </c>
      <c r="M1274" s="31" t="s">
        <v>15</v>
      </c>
      <c r="N1274" s="31"/>
    </row>
    <row r="1275" spans="1:14" x14ac:dyDescent="0.25">
      <c r="A1275" s="4" t="str">
        <f>Sheet1!A1275 &amp; "/" &amp; "2025"</f>
        <v>1274/2025</v>
      </c>
      <c r="B1275" s="5" t="str">
        <f>Sheet1!E1275</f>
        <v>IND/MEL/01274</v>
      </c>
      <c r="C1275" s="6" t="str">
        <f>UPPER(Sheet1!B1275)</f>
        <v>ERIC RITTER</v>
      </c>
      <c r="D1275" s="7" t="str">
        <f>IF(Sheet1!F1275="F","FEMALE","MALE")</f>
        <v>MALE</v>
      </c>
      <c r="E1275" s="6" t="str">
        <f>UPPER(Sheet1!G1275)</f>
        <v>RICK KING</v>
      </c>
      <c r="F1275" s="6" t="str">
        <f>UPPER(Sheet1!H1275)</f>
        <v>JESSICA HENRY</v>
      </c>
      <c r="G1275" s="5" t="str">
        <f>TEXT(Sheet1!C1275,"dd/mm/yyyy") &amp; "," &amp; Sheet1!D1275</f>
        <v>14/11/2025,WEST ALAN</v>
      </c>
      <c r="H1275" s="39" t="str">
        <f>UPPER(Sheet1!J1275 &amp; "," &amp; Sheet1!K1275 &amp; "," &amp; Sheet1!L1275)</f>
        <v>0132 KATRINA MOUNTAIN,SUITE 530,PIN:77555 EAST BRIAN</v>
      </c>
      <c r="I1275" s="8">
        <f>Sheet1!I1275</f>
        <v>46065</v>
      </c>
      <c r="J1275" s="5" t="str">
        <f>Sheet1!M1275 &amp; "," &amp; TEXT(Sheet1!N1275,"dd/mm/yy")</f>
        <v>MHA/IND/01280,25/02/26</v>
      </c>
      <c r="K1275" s="5" t="s">
        <v>5752</v>
      </c>
      <c r="L1275" t="s">
        <v>14</v>
      </c>
      <c r="M1275" s="31" t="s">
        <v>15</v>
      </c>
      <c r="N1275" s="31"/>
    </row>
    <row r="1276" spans="1:14" x14ac:dyDescent="0.25">
      <c r="A1276" s="4" t="str">
        <f>Sheet1!A1276 &amp; "/" &amp; "2025"</f>
        <v>1275/2025</v>
      </c>
      <c r="B1276" s="5" t="str">
        <f>Sheet1!E1276</f>
        <v>IND/MEL/01275</v>
      </c>
      <c r="C1276" s="6" t="str">
        <f>UPPER(Sheet1!B1276)</f>
        <v>TERRY GREEN</v>
      </c>
      <c r="D1276" s="7" t="str">
        <f>IF(Sheet1!F1276="F","FEMALE","MALE")</f>
        <v>MALE</v>
      </c>
      <c r="E1276" s="6" t="str">
        <f>UPPER(Sheet1!G1276)</f>
        <v>KEVIN ALEXANDER</v>
      </c>
      <c r="F1276" s="6" t="str">
        <f>UPPER(Sheet1!H1276)</f>
        <v>ALISON STEPHENSON</v>
      </c>
      <c r="G1276" s="5" t="str">
        <f>TEXT(Sheet1!C1276,"dd/mm/yyyy") &amp; "," &amp; Sheet1!D1276</f>
        <v>02/09/2025,SOUTH MICHAELBURY</v>
      </c>
      <c r="H1276" s="39" t="str">
        <f>UPPER(Sheet1!J1276 &amp; "," &amp; Sheet1!K1276 &amp; "," &amp; Sheet1!L1276)</f>
        <v>8708 MONICA LOCKS,APT. 006,PIN:13798 NORTH VICTORIABERG</v>
      </c>
      <c r="I1276" s="8">
        <f>Sheet1!I1276</f>
        <v>46065</v>
      </c>
      <c r="J1276" s="5" t="str">
        <f>Sheet1!M1276 &amp; "," &amp; TEXT(Sheet1!N1276,"dd/mm/yy")</f>
        <v>MHA/IND/01281,06/03/26</v>
      </c>
      <c r="K1276" s="5" t="s">
        <v>5752</v>
      </c>
      <c r="L1276" t="s">
        <v>14</v>
      </c>
      <c r="M1276" s="31" t="s">
        <v>15</v>
      </c>
      <c r="N1276" s="31"/>
    </row>
    <row r="1277" spans="1:14" x14ac:dyDescent="0.25">
      <c r="A1277" s="4" t="str">
        <f>Sheet1!A1277 &amp; "/" &amp; "2025"</f>
        <v>1276/2025</v>
      </c>
      <c r="B1277" s="5" t="str">
        <f>Sheet1!E1277</f>
        <v>IND/MEL/01276</v>
      </c>
      <c r="C1277" s="6" t="str">
        <f>UPPER(Sheet1!B1277)</f>
        <v>CRYSTAL PETERSON</v>
      </c>
      <c r="D1277" s="7" t="str">
        <f>IF(Sheet1!F1277="F","FEMALE","MALE")</f>
        <v>MALE</v>
      </c>
      <c r="E1277" s="6" t="str">
        <f>UPPER(Sheet1!G1277)</f>
        <v>DAVID BAKER</v>
      </c>
      <c r="F1277" s="6" t="str">
        <f>UPPER(Sheet1!H1277)</f>
        <v>AMANDA JORDAN</v>
      </c>
      <c r="G1277" s="5" t="str">
        <f>TEXT(Sheet1!C1277,"dd/mm/yyyy") &amp; "," &amp; Sheet1!D1277</f>
        <v>19/06/2025,BISHOPVIEW</v>
      </c>
      <c r="H1277" s="39" t="str">
        <f>UPPER(Sheet1!J1277 &amp; "," &amp; Sheet1!K1277 &amp; "," &amp; Sheet1!L1277)</f>
        <v>11959 NELSON GLEN SUITE 453,APT. 573,PIN:64502 NORTH ALISONSIDE</v>
      </c>
      <c r="I1277" s="8">
        <f>Sheet1!I1277</f>
        <v>46065</v>
      </c>
      <c r="J1277" s="5" t="str">
        <f>Sheet1!M1277 &amp; "," &amp; TEXT(Sheet1!N1277,"dd/mm/yy")</f>
        <v>MHA/IND/01282,05/03/26</v>
      </c>
      <c r="K1277" s="5" t="s">
        <v>5752</v>
      </c>
      <c r="L1277" t="s">
        <v>14</v>
      </c>
      <c r="M1277" s="31" t="s">
        <v>15</v>
      </c>
      <c r="N1277" s="31"/>
    </row>
    <row r="1278" spans="1:14" x14ac:dyDescent="0.25">
      <c r="A1278" s="4" t="str">
        <f>Sheet1!A1278 &amp; "/" &amp; "2025"</f>
        <v>1277/2025</v>
      </c>
      <c r="B1278" s="5" t="str">
        <f>Sheet1!E1278</f>
        <v>IND/MEL/01277</v>
      </c>
      <c r="C1278" s="6" t="str">
        <f>UPPER(Sheet1!B1278)</f>
        <v>SHARON EDWARDS</v>
      </c>
      <c r="D1278" s="7" t="str">
        <f>IF(Sheet1!F1278="F","FEMALE","MALE")</f>
        <v>FEMALE</v>
      </c>
      <c r="E1278" s="6" t="str">
        <f>UPPER(Sheet1!G1278)</f>
        <v>ZACHARY DYER</v>
      </c>
      <c r="F1278" s="6" t="str">
        <f>UPPER(Sheet1!H1278)</f>
        <v>AMBER WRIGHT</v>
      </c>
      <c r="G1278" s="5" t="str">
        <f>TEXT(Sheet1!C1278,"dd/mm/yyyy") &amp; "," &amp; Sheet1!D1278</f>
        <v>13/03/2025,NORTH JESSICA</v>
      </c>
      <c r="H1278" s="39" t="str">
        <f>UPPER(Sheet1!J1278 &amp; "," &amp; Sheet1!K1278 &amp; "," &amp; Sheet1!L1278)</f>
        <v>7848 DANIELLE LODGE SUITE 142,APT. 785,PIN:65590 MICHAELPORT</v>
      </c>
      <c r="I1278" s="8">
        <f>Sheet1!I1278</f>
        <v>46065</v>
      </c>
      <c r="J1278" s="5" t="str">
        <f>Sheet1!M1278 &amp; "," &amp; TEXT(Sheet1!N1278,"dd/mm/yy")</f>
        <v>MHA/IND/01283,28/02/26</v>
      </c>
      <c r="K1278" s="5" t="s">
        <v>5752</v>
      </c>
      <c r="L1278" t="s">
        <v>14</v>
      </c>
      <c r="M1278" s="31" t="s">
        <v>15</v>
      </c>
      <c r="N1278" s="31"/>
    </row>
    <row r="1279" spans="1:14" x14ac:dyDescent="0.25">
      <c r="A1279" s="4" t="str">
        <f>Sheet1!A1279 &amp; "/" &amp; "2025"</f>
        <v>1278/2025</v>
      </c>
      <c r="B1279" s="5" t="str">
        <f>Sheet1!E1279</f>
        <v>IND/MEL/01278</v>
      </c>
      <c r="C1279" s="6" t="str">
        <f>UPPER(Sheet1!B1279)</f>
        <v>JOHN DAVIES</v>
      </c>
      <c r="D1279" s="7" t="str">
        <f>IF(Sheet1!F1279="F","FEMALE","MALE")</f>
        <v>MALE</v>
      </c>
      <c r="E1279" s="6" t="str">
        <f>UPPER(Sheet1!G1279)</f>
        <v>ROBERT ROWLAND</v>
      </c>
      <c r="F1279" s="6" t="str">
        <f>UPPER(Sheet1!H1279)</f>
        <v>ASHLEY CONTRERAS</v>
      </c>
      <c r="G1279" s="5" t="str">
        <f>TEXT(Sheet1!C1279,"dd/mm/yyyy") &amp; "," &amp; Sheet1!D1279</f>
        <v>01/01/2026,MICHELLEBOROUGH</v>
      </c>
      <c r="H1279" s="39" t="str">
        <f>UPPER(Sheet1!J1279 &amp; "," &amp; Sheet1!K1279 &amp; "," &amp; Sheet1!L1279)</f>
        <v>053 PHILLIPS FIELD,APT. 429,PIN:58522 NORTH KELLYSHIRE</v>
      </c>
      <c r="I1279" s="8">
        <f>Sheet1!I1279</f>
        <v>46065</v>
      </c>
      <c r="J1279" s="5" t="str">
        <f>Sheet1!M1279 &amp; "," &amp; TEXT(Sheet1!N1279,"dd/mm/yy")</f>
        <v>MHA/IND/01284,13/03/26</v>
      </c>
      <c r="K1279" s="5" t="s">
        <v>5752</v>
      </c>
      <c r="L1279" t="s">
        <v>14</v>
      </c>
      <c r="M1279" s="31" t="s">
        <v>15</v>
      </c>
      <c r="N1279" s="31"/>
    </row>
    <row r="1280" spans="1:14" x14ac:dyDescent="0.25">
      <c r="A1280" s="4" t="str">
        <f>Sheet1!A1280 &amp; "/" &amp; "2025"</f>
        <v>1279/2025</v>
      </c>
      <c r="B1280" s="5" t="str">
        <f>Sheet1!E1280</f>
        <v>IND/MEL/01279</v>
      </c>
      <c r="C1280" s="6" t="str">
        <f>UPPER(Sheet1!B1280)</f>
        <v>BRENT HAMILTON</v>
      </c>
      <c r="D1280" s="7" t="str">
        <f>IF(Sheet1!F1280="F","FEMALE","MALE")</f>
        <v>FEMALE</v>
      </c>
      <c r="E1280" s="6" t="str">
        <f>UPPER(Sheet1!G1280)</f>
        <v>MICHAEL DAVIS</v>
      </c>
      <c r="F1280" s="6" t="str">
        <f>UPPER(Sheet1!H1280)</f>
        <v>ELIZABETH SPENCER</v>
      </c>
      <c r="G1280" s="5" t="str">
        <f>TEXT(Sheet1!C1280,"dd/mm/yyyy") &amp; "," &amp; Sheet1!D1280</f>
        <v>10/10/2025,EAST SHANNONMOUTH</v>
      </c>
      <c r="H1280" s="39" t="str">
        <f>UPPER(Sheet1!J1280 &amp; "," &amp; Sheet1!K1280 &amp; "," &amp; Sheet1!L1280)</f>
        <v>35020 VINCENT TUNNEL APT. 653,APT. 657,PIN:86499 WEST CARRIETON</v>
      </c>
      <c r="I1280" s="8">
        <f>Sheet1!I1280</f>
        <v>46065</v>
      </c>
      <c r="J1280" s="5" t="str">
        <f>Sheet1!M1280 &amp; "," &amp; TEXT(Sheet1!N1280,"dd/mm/yy")</f>
        <v>MHA/IND/01285,16/02/26</v>
      </c>
      <c r="K1280" s="5" t="s">
        <v>5752</v>
      </c>
      <c r="L1280" t="s">
        <v>14</v>
      </c>
      <c r="M1280" s="31" t="s">
        <v>15</v>
      </c>
      <c r="N1280" s="31"/>
    </row>
    <row r="1281" spans="1:14" x14ac:dyDescent="0.25">
      <c r="A1281" s="4" t="str">
        <f>Sheet1!A1281 &amp; "/" &amp; "2025"</f>
        <v>1280/2025</v>
      </c>
      <c r="B1281" s="5" t="str">
        <f>Sheet1!E1281</f>
        <v>IND/MEL/01280</v>
      </c>
      <c r="C1281" s="6" t="str">
        <f>UPPER(Sheet1!B1281)</f>
        <v>JOHN DIAZ</v>
      </c>
      <c r="D1281" s="7" t="str">
        <f>IF(Sheet1!F1281="F","FEMALE","MALE")</f>
        <v>MALE</v>
      </c>
      <c r="E1281" s="6" t="str">
        <f>UPPER(Sheet1!G1281)</f>
        <v>SCOTT FREDERICK</v>
      </c>
      <c r="F1281" s="6" t="str">
        <f>UPPER(Sheet1!H1281)</f>
        <v>SHELBY WALKER</v>
      </c>
      <c r="G1281" s="5" t="str">
        <f>TEXT(Sheet1!C1281,"dd/mm/yyyy") &amp; "," &amp; Sheet1!D1281</f>
        <v>20/06/2025,WEST ANTHONYSIDE</v>
      </c>
      <c r="H1281" s="39" t="str">
        <f>UPPER(Sheet1!J1281 &amp; "," &amp; Sheet1!K1281 &amp; "," &amp; Sheet1!L1281)</f>
        <v>8920 KYLE ROAD SUITE 696,SUITE 334,PIN:53058 PORT JOSEHAVEN</v>
      </c>
      <c r="I1281" s="8">
        <f>Sheet1!I1281</f>
        <v>46065</v>
      </c>
      <c r="J1281" s="5" t="str">
        <f>Sheet1!M1281 &amp; "," &amp; TEXT(Sheet1!N1281,"dd/mm/yy")</f>
        <v>MHA/IND/01286,11/03/26</v>
      </c>
      <c r="K1281" s="5" t="s">
        <v>5752</v>
      </c>
      <c r="L1281" t="s">
        <v>14</v>
      </c>
      <c r="M1281" s="31" t="s">
        <v>15</v>
      </c>
      <c r="N1281" s="31"/>
    </row>
    <row r="1282" spans="1:14" x14ac:dyDescent="0.25">
      <c r="A1282" s="4" t="str">
        <f>Sheet1!A1282 &amp; "/" &amp; "2025"</f>
        <v>1281/2025</v>
      </c>
      <c r="B1282" s="5" t="str">
        <f>Sheet1!E1282</f>
        <v>IND/MEL/01281</v>
      </c>
      <c r="C1282" s="6" t="str">
        <f>UPPER(Sheet1!B1282)</f>
        <v>RAYMOND GORDON</v>
      </c>
      <c r="D1282" s="7" t="str">
        <f>IF(Sheet1!F1282="F","FEMALE","MALE")</f>
        <v>FEMALE</v>
      </c>
      <c r="E1282" s="6" t="str">
        <f>UPPER(Sheet1!G1282)</f>
        <v>KEITH JOHNSON</v>
      </c>
      <c r="F1282" s="6" t="str">
        <f>UPPER(Sheet1!H1282)</f>
        <v>CHRISTINA SMITH</v>
      </c>
      <c r="G1282" s="5" t="str">
        <f>TEXT(Sheet1!C1282,"dd/mm/yyyy") &amp; "," &amp; Sheet1!D1282</f>
        <v>26/04/2025,WEST VALERIECHESTER</v>
      </c>
      <c r="H1282" s="39" t="str">
        <f>UPPER(Sheet1!J1282 &amp; "," &amp; Sheet1!K1282 &amp; "," &amp; Sheet1!L1282)</f>
        <v>2357 MCCALL JUNCTION,APT. 643,PIN:62966 VIRGINIAFORT</v>
      </c>
      <c r="I1282" s="8">
        <f>Sheet1!I1282</f>
        <v>46065</v>
      </c>
      <c r="J1282" s="5" t="str">
        <f>Sheet1!M1282 &amp; "," &amp; TEXT(Sheet1!N1282,"dd/mm/yy")</f>
        <v>MHA/IND/01287,26/02/26</v>
      </c>
      <c r="K1282" s="5" t="s">
        <v>5752</v>
      </c>
      <c r="L1282" t="s">
        <v>14</v>
      </c>
      <c r="M1282" s="31" t="s">
        <v>15</v>
      </c>
      <c r="N1282" s="31"/>
    </row>
    <row r="1283" spans="1:14" x14ac:dyDescent="0.25">
      <c r="A1283" s="4" t="str">
        <f>Sheet1!A1283 &amp; "/" &amp; "2025"</f>
        <v>1282/2025</v>
      </c>
      <c r="B1283" s="5" t="str">
        <f>Sheet1!E1283</f>
        <v>IND/MEL/01282</v>
      </c>
      <c r="C1283" s="6" t="str">
        <f>UPPER(Sheet1!B1283)</f>
        <v>CHRISTIAN LITTLE</v>
      </c>
      <c r="D1283" s="7" t="str">
        <f>IF(Sheet1!F1283="F","FEMALE","MALE")</f>
        <v>MALE</v>
      </c>
      <c r="E1283" s="6" t="str">
        <f>UPPER(Sheet1!G1283)</f>
        <v>DR. STEPHEN ROMAN</v>
      </c>
      <c r="F1283" s="6" t="str">
        <f>UPPER(Sheet1!H1283)</f>
        <v>KRISTINA YOUNG</v>
      </c>
      <c r="G1283" s="5" t="str">
        <f>TEXT(Sheet1!C1283,"dd/mm/yyyy") &amp; "," &amp; Sheet1!D1283</f>
        <v>15/10/2025,LAURALAND</v>
      </c>
      <c r="H1283" s="39" t="str">
        <f>UPPER(Sheet1!J1283 &amp; "," &amp; Sheet1!K1283 &amp; "," &amp; Sheet1!L1283)</f>
        <v>7255 KIMBERLY VIA,SUITE 043,PIN:37052 PORT CODYPORT</v>
      </c>
      <c r="I1283" s="8">
        <f>Sheet1!I1283</f>
        <v>46065</v>
      </c>
      <c r="J1283" s="5" t="str">
        <f>Sheet1!M1283 &amp; "," &amp; TEXT(Sheet1!N1283,"dd/mm/yy")</f>
        <v>MHA/IND/01288,23/02/26</v>
      </c>
      <c r="K1283" s="5" t="s">
        <v>5752</v>
      </c>
      <c r="L1283" t="s">
        <v>14</v>
      </c>
      <c r="M1283" s="31" t="s">
        <v>15</v>
      </c>
      <c r="N1283" s="31"/>
    </row>
    <row r="1284" spans="1:14" x14ac:dyDescent="0.25">
      <c r="A1284" s="4" t="str">
        <f>Sheet1!A1284 &amp; "/" &amp; "2025"</f>
        <v>1283/2025</v>
      </c>
      <c r="B1284" s="5" t="str">
        <f>Sheet1!E1284</f>
        <v>IND/MEL/01283</v>
      </c>
      <c r="C1284" s="6" t="str">
        <f>UPPER(Sheet1!B1284)</f>
        <v>DAWN ODONNELL</v>
      </c>
      <c r="D1284" s="7" t="str">
        <f>IF(Sheet1!F1284="F","FEMALE","MALE")</f>
        <v>MALE</v>
      </c>
      <c r="E1284" s="6" t="str">
        <f>UPPER(Sheet1!G1284)</f>
        <v>DR. BRANDON RAMIREZ MD</v>
      </c>
      <c r="F1284" s="6" t="str">
        <f>UPPER(Sheet1!H1284)</f>
        <v>TAYLOR MARTINEZ</v>
      </c>
      <c r="G1284" s="5" t="str">
        <f>TEXT(Sheet1!C1284,"dd/mm/yyyy") &amp; "," &amp; Sheet1!D1284</f>
        <v>03/02/2026,LAKE MARKFURT</v>
      </c>
      <c r="H1284" s="39" t="str">
        <f>UPPER(Sheet1!J1284 &amp; "," &amp; Sheet1!K1284 &amp; "," &amp; Sheet1!L1284)</f>
        <v>85457 JEFFREY PORT,SUITE 379,PIN:46346 PORT SHERRY</v>
      </c>
      <c r="I1284" s="8">
        <f>Sheet1!I1284</f>
        <v>46065</v>
      </c>
      <c r="J1284" s="5" t="str">
        <f>Sheet1!M1284 &amp; "," &amp; TEXT(Sheet1!N1284,"dd/mm/yy")</f>
        <v>MHA/IND/01289,07/03/26</v>
      </c>
      <c r="K1284" s="5" t="s">
        <v>5752</v>
      </c>
      <c r="L1284" t="s">
        <v>14</v>
      </c>
      <c r="M1284" s="31" t="s">
        <v>15</v>
      </c>
      <c r="N1284" s="31"/>
    </row>
    <row r="1285" spans="1:14" x14ac:dyDescent="0.25">
      <c r="A1285" s="4" t="str">
        <f>Sheet1!A1285 &amp; "/" &amp; "2025"</f>
        <v>1284/2025</v>
      </c>
      <c r="B1285" s="5" t="str">
        <f>Sheet1!E1285</f>
        <v>IND/MEL/01284</v>
      </c>
      <c r="C1285" s="6" t="str">
        <f>UPPER(Sheet1!B1285)</f>
        <v>MATTHEW MATHIS</v>
      </c>
      <c r="D1285" s="7" t="str">
        <f>IF(Sheet1!F1285="F","FEMALE","MALE")</f>
        <v>MALE</v>
      </c>
      <c r="E1285" s="6" t="str">
        <f>UPPER(Sheet1!G1285)</f>
        <v>CARLOS OLSON</v>
      </c>
      <c r="F1285" s="6" t="str">
        <f>UPPER(Sheet1!H1285)</f>
        <v>DONNA BALL</v>
      </c>
      <c r="G1285" s="5" t="str">
        <f>TEXT(Sheet1!C1285,"dd/mm/yyyy") &amp; "," &amp; Sheet1!D1285</f>
        <v>19/04/2025,MONTGOMERYBURGH</v>
      </c>
      <c r="H1285" s="39" t="str">
        <f>UPPER(Sheet1!J1285 &amp; "," &amp; Sheet1!K1285 &amp; "," &amp; Sheet1!L1285)</f>
        <v>489 MICHAEL ISLE SUITE 639,SUITE 770,PIN:29939 DURANSIDE</v>
      </c>
      <c r="I1285" s="8">
        <f>Sheet1!I1285</f>
        <v>46065</v>
      </c>
      <c r="J1285" s="5" t="str">
        <f>Sheet1!M1285 &amp; "," &amp; TEXT(Sheet1!N1285,"dd/mm/yy")</f>
        <v>MHA/IND/01290,20/02/26</v>
      </c>
      <c r="K1285" s="5" t="s">
        <v>5752</v>
      </c>
      <c r="L1285" t="s">
        <v>14</v>
      </c>
      <c r="M1285" s="31" t="s">
        <v>15</v>
      </c>
      <c r="N1285" s="31"/>
    </row>
    <row r="1286" spans="1:14" x14ac:dyDescent="0.25">
      <c r="A1286" s="4" t="str">
        <f>Sheet1!A1286 &amp; "/" &amp; "2025"</f>
        <v>1285/2025</v>
      </c>
      <c r="B1286" s="5" t="str">
        <f>Sheet1!E1286</f>
        <v>IND/MEL/01285</v>
      </c>
      <c r="C1286" s="6" t="str">
        <f>UPPER(Sheet1!B1286)</f>
        <v>AMANDA WOLFE</v>
      </c>
      <c r="D1286" s="7" t="str">
        <f>IF(Sheet1!F1286="F","FEMALE","MALE")</f>
        <v>MALE</v>
      </c>
      <c r="E1286" s="6" t="str">
        <f>UPPER(Sheet1!G1286)</f>
        <v>ANDREW DAVIS</v>
      </c>
      <c r="F1286" s="6" t="str">
        <f>UPPER(Sheet1!H1286)</f>
        <v>KRISTINE CORTEZ DDS</v>
      </c>
      <c r="G1286" s="5" t="str">
        <f>TEXT(Sheet1!C1286,"dd/mm/yyyy") &amp; "," &amp; Sheet1!D1286</f>
        <v>28/03/2025,SOUTH JOSEPH</v>
      </c>
      <c r="H1286" s="39" t="str">
        <f>UPPER(Sheet1!J1286 &amp; "," &amp; Sheet1!K1286 &amp; "," &amp; Sheet1!L1286)</f>
        <v>770 DONNA DAM SUITE 135,APT. 259,PIN:55560 PATRICKBOROUGH</v>
      </c>
      <c r="I1286" s="8">
        <f>Sheet1!I1286</f>
        <v>46065</v>
      </c>
      <c r="J1286" s="5" t="str">
        <f>Sheet1!M1286 &amp; "," &amp; TEXT(Sheet1!N1286,"dd/mm/yy")</f>
        <v>MHA/IND/01291,09/03/26</v>
      </c>
      <c r="K1286" s="5" t="s">
        <v>5752</v>
      </c>
      <c r="L1286" t="s">
        <v>14</v>
      </c>
      <c r="M1286" s="31" t="s">
        <v>15</v>
      </c>
      <c r="N1286" s="31"/>
    </row>
    <row r="1287" spans="1:14" x14ac:dyDescent="0.25">
      <c r="A1287" s="4" t="str">
        <f>Sheet1!A1287 &amp; "/" &amp; "2025"</f>
        <v>1286/2025</v>
      </c>
      <c r="B1287" s="5" t="str">
        <f>Sheet1!E1287</f>
        <v>IND/MEL/01286</v>
      </c>
      <c r="C1287" s="6" t="str">
        <f>UPPER(Sheet1!B1287)</f>
        <v>STEPHEN SANCHEZ</v>
      </c>
      <c r="D1287" s="7" t="str">
        <f>IF(Sheet1!F1287="F","FEMALE","MALE")</f>
        <v>FEMALE</v>
      </c>
      <c r="E1287" s="6" t="str">
        <f>UPPER(Sheet1!G1287)</f>
        <v>SCOTT WOODARD</v>
      </c>
      <c r="F1287" s="6" t="str">
        <f>UPPER(Sheet1!H1287)</f>
        <v>GLORIA HUNTER</v>
      </c>
      <c r="G1287" s="5" t="str">
        <f>TEXT(Sheet1!C1287,"dd/mm/yyyy") &amp; "," &amp; Sheet1!D1287</f>
        <v>29/08/2025,NORTH RYAN</v>
      </c>
      <c r="H1287" s="39" t="str">
        <f>UPPER(Sheet1!J1287 &amp; "," &amp; Sheet1!K1287 &amp; "," &amp; Sheet1!L1287)</f>
        <v>5176 MICHAEL STRAVENUE SUITE 473,APT. 039,PIN:76425 EAST ELIZABETH</v>
      </c>
      <c r="I1287" s="8">
        <f>Sheet1!I1287</f>
        <v>46065</v>
      </c>
      <c r="J1287" s="5" t="str">
        <f>Sheet1!M1287 &amp; "," &amp; TEXT(Sheet1!N1287,"dd/mm/yy")</f>
        <v>MHA/IND/01292,07/03/26</v>
      </c>
      <c r="K1287" s="5" t="s">
        <v>5752</v>
      </c>
      <c r="L1287" t="s">
        <v>14</v>
      </c>
      <c r="M1287" s="31" t="s">
        <v>15</v>
      </c>
      <c r="N1287" s="31"/>
    </row>
    <row r="1288" spans="1:14" x14ac:dyDescent="0.25">
      <c r="A1288" s="4" t="str">
        <f>Sheet1!A1288 &amp; "/" &amp; "2025"</f>
        <v>1287/2025</v>
      </c>
      <c r="B1288" s="5" t="str">
        <f>Sheet1!E1288</f>
        <v>IND/MEL/01287</v>
      </c>
      <c r="C1288" s="6" t="str">
        <f>UPPER(Sheet1!B1288)</f>
        <v>DANIELLE WU</v>
      </c>
      <c r="D1288" s="7" t="str">
        <f>IF(Sheet1!F1288="F","FEMALE","MALE")</f>
        <v>FEMALE</v>
      </c>
      <c r="E1288" s="6" t="str">
        <f>UPPER(Sheet1!G1288)</f>
        <v>STEPHEN WRIGHT</v>
      </c>
      <c r="F1288" s="6" t="str">
        <f>UPPER(Sheet1!H1288)</f>
        <v>MICHELLE ORTIZ</v>
      </c>
      <c r="G1288" s="5" t="str">
        <f>TEXT(Sheet1!C1288,"dd/mm/yyyy") &amp; "," &amp; Sheet1!D1288</f>
        <v>07/07/2025,LORIBOROUGH</v>
      </c>
      <c r="H1288" s="39" t="str">
        <f>UPPER(Sheet1!J1288 &amp; "," &amp; Sheet1!K1288 &amp; "," &amp; Sheet1!L1288)</f>
        <v>872 JIMMY COMMON APT. 917,SUITE 145,PIN:77052 NORTH BARBARA</v>
      </c>
      <c r="I1288" s="8">
        <f>Sheet1!I1288</f>
        <v>46065</v>
      </c>
      <c r="J1288" s="5" t="str">
        <f>Sheet1!M1288 &amp; "," &amp; TEXT(Sheet1!N1288,"dd/mm/yy")</f>
        <v>MHA/IND/01293,23/02/26</v>
      </c>
      <c r="K1288" s="5" t="s">
        <v>5752</v>
      </c>
      <c r="L1288" t="s">
        <v>14</v>
      </c>
      <c r="M1288" s="31" t="s">
        <v>15</v>
      </c>
      <c r="N1288" s="31"/>
    </row>
    <row r="1289" spans="1:14" x14ac:dyDescent="0.25">
      <c r="A1289" s="4" t="str">
        <f>Sheet1!A1289 &amp; "/" &amp; "2025"</f>
        <v>1288/2025</v>
      </c>
      <c r="B1289" s="5" t="str">
        <f>Sheet1!E1289</f>
        <v>IND/MEL/01288</v>
      </c>
      <c r="C1289" s="6" t="str">
        <f>UPPER(Sheet1!B1289)</f>
        <v>EDWARD MARTIN</v>
      </c>
      <c r="D1289" s="7" t="str">
        <f>IF(Sheet1!F1289="F","FEMALE","MALE")</f>
        <v>FEMALE</v>
      </c>
      <c r="E1289" s="6" t="str">
        <f>UPPER(Sheet1!G1289)</f>
        <v>DARRELL MOLINA</v>
      </c>
      <c r="F1289" s="6" t="str">
        <f>UPPER(Sheet1!H1289)</f>
        <v>PAULA SANCHEZ</v>
      </c>
      <c r="G1289" s="5" t="str">
        <f>TEXT(Sheet1!C1289,"dd/mm/yyyy") &amp; "," &amp; Sheet1!D1289</f>
        <v>07/11/2025,HICKSBURY</v>
      </c>
      <c r="H1289" s="39" t="str">
        <f>UPPER(Sheet1!J1289 &amp; "," &amp; Sheet1!K1289 &amp; "," &amp; Sheet1!L1289)</f>
        <v>0956 WALLS MANORS SUITE 512,SUITE 548,PIN:04607 AUSTINLAND</v>
      </c>
      <c r="I1289" s="8">
        <f>Sheet1!I1289</f>
        <v>46065</v>
      </c>
      <c r="J1289" s="5" t="str">
        <f>Sheet1!M1289 &amp; "," &amp; TEXT(Sheet1!N1289,"dd/mm/yy")</f>
        <v>MHA/IND/01294,08/03/26</v>
      </c>
      <c r="K1289" s="5" t="s">
        <v>5752</v>
      </c>
      <c r="L1289" t="s">
        <v>14</v>
      </c>
      <c r="M1289" s="31" t="s">
        <v>15</v>
      </c>
      <c r="N1289" s="31"/>
    </row>
    <row r="1290" spans="1:14" x14ac:dyDescent="0.25">
      <c r="A1290" s="4" t="str">
        <f>Sheet1!A1290 &amp; "/" &amp; "2025"</f>
        <v>1289/2025</v>
      </c>
      <c r="B1290" s="5" t="str">
        <f>Sheet1!E1290</f>
        <v>IND/MEL/01289</v>
      </c>
      <c r="C1290" s="6" t="str">
        <f>UPPER(Sheet1!B1290)</f>
        <v>JOHNATHAN RIVERA</v>
      </c>
      <c r="D1290" s="7" t="str">
        <f>IF(Sheet1!F1290="F","FEMALE","MALE")</f>
        <v>MALE</v>
      </c>
      <c r="E1290" s="6" t="str">
        <f>UPPER(Sheet1!G1290)</f>
        <v>ROBERT KLINE</v>
      </c>
      <c r="F1290" s="6" t="str">
        <f>UPPER(Sheet1!H1290)</f>
        <v>OLIVIA HORTON</v>
      </c>
      <c r="G1290" s="5" t="str">
        <f>TEXT(Sheet1!C1290,"dd/mm/yyyy") &amp; "," &amp; Sheet1!D1290</f>
        <v>27/04/2025,PORT THOMAS</v>
      </c>
      <c r="H1290" s="39" t="str">
        <f>UPPER(Sheet1!J1290 &amp; "," &amp; Sheet1!K1290 &amp; "," &amp; Sheet1!L1290)</f>
        <v>83228 HERMAN CLUB,APT. 031,PIN:44827 MORANSHIRE</v>
      </c>
      <c r="I1290" s="8">
        <f>Sheet1!I1290</f>
        <v>46065</v>
      </c>
      <c r="J1290" s="5" t="str">
        <f>Sheet1!M1290 &amp; "," &amp; TEXT(Sheet1!N1290,"dd/mm/yy")</f>
        <v>MHA/IND/01295,03/03/26</v>
      </c>
      <c r="K1290" s="5" t="s">
        <v>5752</v>
      </c>
      <c r="L1290" t="s">
        <v>14</v>
      </c>
      <c r="M1290" s="31" t="s">
        <v>15</v>
      </c>
      <c r="N1290" s="31"/>
    </row>
    <row r="1291" spans="1:14" x14ac:dyDescent="0.25">
      <c r="A1291" s="4" t="str">
        <f>Sheet1!A1291 &amp; "/" &amp; "2025"</f>
        <v>1290/2025</v>
      </c>
      <c r="B1291" s="5" t="str">
        <f>Sheet1!E1291</f>
        <v>IND/MEL/01290</v>
      </c>
      <c r="C1291" s="6" t="str">
        <f>UPPER(Sheet1!B1291)</f>
        <v>JOEL JORDAN</v>
      </c>
      <c r="D1291" s="7" t="str">
        <f>IF(Sheet1!F1291="F","FEMALE","MALE")</f>
        <v>FEMALE</v>
      </c>
      <c r="E1291" s="6" t="str">
        <f>UPPER(Sheet1!G1291)</f>
        <v>MARCUS MYERS</v>
      </c>
      <c r="F1291" s="6" t="str">
        <f>UPPER(Sheet1!H1291)</f>
        <v>KELLY ELLIS</v>
      </c>
      <c r="G1291" s="5" t="str">
        <f>TEXT(Sheet1!C1291,"dd/mm/yyyy") &amp; "," &amp; Sheet1!D1291</f>
        <v>16/04/2025,JENNIFERSHIRE</v>
      </c>
      <c r="H1291" s="39" t="str">
        <f>UPPER(Sheet1!J1291 &amp; "," &amp; Sheet1!K1291 &amp; "," &amp; Sheet1!L1291)</f>
        <v>36426 BROWN CREST,APT. 638,PIN:61554 PORT CARMENBERG</v>
      </c>
      <c r="I1291" s="8">
        <f>Sheet1!I1291</f>
        <v>46065</v>
      </c>
      <c r="J1291" s="5" t="str">
        <f>Sheet1!M1291 &amp; "," &amp; TEXT(Sheet1!N1291,"dd/mm/yy")</f>
        <v>MHA/IND/01296,11/03/26</v>
      </c>
      <c r="K1291" s="5" t="s">
        <v>5752</v>
      </c>
      <c r="L1291" t="s">
        <v>14</v>
      </c>
      <c r="M1291" s="31" t="s">
        <v>15</v>
      </c>
      <c r="N1291" s="31"/>
    </row>
    <row r="1292" spans="1:14" x14ac:dyDescent="0.25">
      <c r="A1292" s="4" t="str">
        <f>Sheet1!A1292 &amp; "/" &amp; "2025"</f>
        <v>1291/2025</v>
      </c>
      <c r="B1292" s="5" t="str">
        <f>Sheet1!E1292</f>
        <v>IND/MEL/01291</v>
      </c>
      <c r="C1292" s="6" t="str">
        <f>UPPER(Sheet1!B1292)</f>
        <v>JEFFREY GONZALEZ</v>
      </c>
      <c r="D1292" s="7" t="str">
        <f>IF(Sheet1!F1292="F","FEMALE","MALE")</f>
        <v>FEMALE</v>
      </c>
      <c r="E1292" s="6" t="str">
        <f>UPPER(Sheet1!G1292)</f>
        <v>THOMAS MCCLURE</v>
      </c>
      <c r="F1292" s="6" t="str">
        <f>UPPER(Sheet1!H1292)</f>
        <v>ASHLEY SMITH</v>
      </c>
      <c r="G1292" s="5" t="str">
        <f>TEXT(Sheet1!C1292,"dd/mm/yyyy") &amp; "," &amp; Sheet1!D1292</f>
        <v>14/01/2026,MARTINEZSHIRE</v>
      </c>
      <c r="H1292" s="39" t="str">
        <f>UPPER(Sheet1!J1292 &amp; "," &amp; Sheet1!K1292 &amp; "," &amp; Sheet1!L1292)</f>
        <v>1410 JACQUELINE MOTORWAY,SUITE 919,PIN:80808 EAST ANGELA</v>
      </c>
      <c r="I1292" s="8">
        <f>Sheet1!I1292</f>
        <v>46065</v>
      </c>
      <c r="J1292" s="5" t="str">
        <f>Sheet1!M1292 &amp; "," &amp; TEXT(Sheet1!N1292,"dd/mm/yy")</f>
        <v>MHA/IND/01297,27/02/26</v>
      </c>
      <c r="K1292" s="5" t="s">
        <v>5752</v>
      </c>
      <c r="L1292" t="s">
        <v>14</v>
      </c>
      <c r="M1292" s="31" t="s">
        <v>15</v>
      </c>
      <c r="N1292" s="31"/>
    </row>
    <row r="1293" spans="1:14" x14ac:dyDescent="0.25">
      <c r="A1293" s="4" t="str">
        <f>Sheet1!A1293 &amp; "/" &amp; "2025"</f>
        <v>1292/2025</v>
      </c>
      <c r="B1293" s="5" t="str">
        <f>Sheet1!E1293</f>
        <v>IND/MEL/01292</v>
      </c>
      <c r="C1293" s="6" t="str">
        <f>UPPER(Sheet1!B1293)</f>
        <v>JOANNE RIVERA</v>
      </c>
      <c r="D1293" s="7" t="str">
        <f>IF(Sheet1!F1293="F","FEMALE","MALE")</f>
        <v>MALE</v>
      </c>
      <c r="E1293" s="6" t="str">
        <f>UPPER(Sheet1!G1293)</f>
        <v>CURTIS KNIGHT</v>
      </c>
      <c r="F1293" s="6" t="str">
        <f>UPPER(Sheet1!H1293)</f>
        <v>RHONDA HOLMES</v>
      </c>
      <c r="G1293" s="5" t="str">
        <f>TEXT(Sheet1!C1293,"dd/mm/yyyy") &amp; "," &amp; Sheet1!D1293</f>
        <v>16/05/2025,HOLLOWAYHAVEN</v>
      </c>
      <c r="H1293" s="39" t="str">
        <f>UPPER(Sheet1!J1293 &amp; "," &amp; Sheet1!K1293 &amp; "," &amp; Sheet1!L1293)</f>
        <v>33975 TOWNSEND WELL APT. 731,APT. 521,PIN:39680 LAKE BRANDIBURY</v>
      </c>
      <c r="I1293" s="8">
        <f>Sheet1!I1293</f>
        <v>46065</v>
      </c>
      <c r="J1293" s="5" t="str">
        <f>Sheet1!M1293 &amp; "," &amp; TEXT(Sheet1!N1293,"dd/mm/yy")</f>
        <v>MHA/IND/01298,14/03/26</v>
      </c>
      <c r="K1293" s="5" t="s">
        <v>5752</v>
      </c>
      <c r="L1293" t="s">
        <v>14</v>
      </c>
      <c r="M1293" s="31" t="s">
        <v>15</v>
      </c>
      <c r="N1293" s="31"/>
    </row>
    <row r="1294" spans="1:14" x14ac:dyDescent="0.25">
      <c r="A1294" s="4" t="str">
        <f>Sheet1!A1294 &amp; "/" &amp; "2025"</f>
        <v>1293/2025</v>
      </c>
      <c r="B1294" s="5" t="str">
        <f>Sheet1!E1294</f>
        <v>IND/MEL/01293</v>
      </c>
      <c r="C1294" s="6" t="str">
        <f>UPPER(Sheet1!B1294)</f>
        <v>AMANDA HALL</v>
      </c>
      <c r="D1294" s="7" t="str">
        <f>IF(Sheet1!F1294="F","FEMALE","MALE")</f>
        <v>FEMALE</v>
      </c>
      <c r="E1294" s="6" t="str">
        <f>UPPER(Sheet1!G1294)</f>
        <v>RICHARD RIOS</v>
      </c>
      <c r="F1294" s="6" t="str">
        <f>UPPER(Sheet1!H1294)</f>
        <v>JANET BRANDT DDS</v>
      </c>
      <c r="G1294" s="5" t="str">
        <f>TEXT(Sheet1!C1294,"dd/mm/yyyy") &amp; "," &amp; Sheet1!D1294</f>
        <v>25/04/2025,HILLPORT</v>
      </c>
      <c r="H1294" s="39" t="str">
        <f>UPPER(Sheet1!J1294 &amp; "," &amp; Sheet1!K1294 &amp; "," &amp; Sheet1!L1294)</f>
        <v>55934 KRISTEN FORGES SUITE 562,APT. 172,PIN:51443 WEST PAMELABOROUGH</v>
      </c>
      <c r="I1294" s="8">
        <f>Sheet1!I1294</f>
        <v>46065</v>
      </c>
      <c r="J1294" s="5" t="str">
        <f>Sheet1!M1294 &amp; "," &amp; TEXT(Sheet1!N1294,"dd/mm/yy")</f>
        <v>MHA/IND/01299,25/02/26</v>
      </c>
      <c r="K1294" s="5" t="s">
        <v>5752</v>
      </c>
      <c r="L1294" t="s">
        <v>14</v>
      </c>
      <c r="M1294" s="31" t="s">
        <v>15</v>
      </c>
      <c r="N1294" s="31"/>
    </row>
    <row r="1295" spans="1:14" x14ac:dyDescent="0.25">
      <c r="A1295" s="4" t="str">
        <f>Sheet1!A1295 &amp; "/" &amp; "2025"</f>
        <v>1294/2025</v>
      </c>
      <c r="B1295" s="5" t="str">
        <f>Sheet1!E1295</f>
        <v>IND/MEL/01294</v>
      </c>
      <c r="C1295" s="6" t="str">
        <f>UPPER(Sheet1!B1295)</f>
        <v>AMBER DAVIS</v>
      </c>
      <c r="D1295" s="7" t="str">
        <f>IF(Sheet1!F1295="F","FEMALE","MALE")</f>
        <v>MALE</v>
      </c>
      <c r="E1295" s="6" t="str">
        <f>UPPER(Sheet1!G1295)</f>
        <v>ROY PETERSEN</v>
      </c>
      <c r="F1295" s="6" t="str">
        <f>UPPER(Sheet1!H1295)</f>
        <v>MARY FREDERICK</v>
      </c>
      <c r="G1295" s="5" t="str">
        <f>TEXT(Sheet1!C1295,"dd/mm/yyyy") &amp; "," &amp; Sheet1!D1295</f>
        <v>17/05/2025,RODRIGUEZBURY</v>
      </c>
      <c r="H1295" s="39" t="str">
        <f>UPPER(Sheet1!J1295 &amp; "," &amp; Sheet1!K1295 &amp; "," &amp; Sheet1!L1295)</f>
        <v>9776 LOPEZ CENTER,APT. 965,PIN:92017 SCOTTBERG</v>
      </c>
      <c r="I1295" s="8">
        <f>Sheet1!I1295</f>
        <v>46065</v>
      </c>
      <c r="J1295" s="5" t="str">
        <f>Sheet1!M1295 &amp; "," &amp; TEXT(Sheet1!N1295,"dd/mm/yy")</f>
        <v>MHA/IND/01300,23/02/26</v>
      </c>
      <c r="K1295" s="5" t="s">
        <v>5752</v>
      </c>
      <c r="L1295" t="s">
        <v>14</v>
      </c>
      <c r="M1295" s="31" t="s">
        <v>15</v>
      </c>
      <c r="N1295" s="31"/>
    </row>
    <row r="1296" spans="1:14" x14ac:dyDescent="0.25">
      <c r="A1296" s="4" t="str">
        <f>Sheet1!A1296 &amp; "/" &amp; "2025"</f>
        <v>1295/2025</v>
      </c>
      <c r="B1296" s="5" t="str">
        <f>Sheet1!E1296</f>
        <v>IND/MEL/01295</v>
      </c>
      <c r="C1296" s="6" t="str">
        <f>UPPER(Sheet1!B1296)</f>
        <v>WILLIAM RYAN</v>
      </c>
      <c r="D1296" s="7" t="str">
        <f>IF(Sheet1!F1296="F","FEMALE","MALE")</f>
        <v>MALE</v>
      </c>
      <c r="E1296" s="6" t="str">
        <f>UPPER(Sheet1!G1296)</f>
        <v>BRIAN JONES</v>
      </c>
      <c r="F1296" s="6" t="str">
        <f>UPPER(Sheet1!H1296)</f>
        <v>CHRISTINA PHILLIPS</v>
      </c>
      <c r="G1296" s="5" t="str">
        <f>TEXT(Sheet1!C1296,"dd/mm/yyyy") &amp; "," &amp; Sheet1!D1296</f>
        <v>09/05/2025,NORTH AUSTIN</v>
      </c>
      <c r="H1296" s="39" t="str">
        <f>UPPER(Sheet1!J1296 &amp; "," &amp; Sheet1!K1296 &amp; "," &amp; Sheet1!L1296)</f>
        <v>0233 LONG LODGE,SUITE 888,PIN:39929 MARKVIEW</v>
      </c>
      <c r="I1296" s="8">
        <f>Sheet1!I1296</f>
        <v>46065</v>
      </c>
      <c r="J1296" s="5" t="str">
        <f>Sheet1!M1296 &amp; "," &amp; TEXT(Sheet1!N1296,"dd/mm/yy")</f>
        <v>MHA/IND/01301,05/03/26</v>
      </c>
      <c r="K1296" s="5" t="s">
        <v>5752</v>
      </c>
      <c r="L1296" t="s">
        <v>14</v>
      </c>
      <c r="M1296" s="31" t="s">
        <v>15</v>
      </c>
      <c r="N1296" s="31"/>
    </row>
    <row r="1297" spans="1:14" x14ac:dyDescent="0.25">
      <c r="A1297" s="4" t="str">
        <f>Sheet1!A1297 &amp; "/" &amp; "2025"</f>
        <v>1296/2025</v>
      </c>
      <c r="B1297" s="5" t="str">
        <f>Sheet1!E1297</f>
        <v>IND/MEL/01296</v>
      </c>
      <c r="C1297" s="6" t="str">
        <f>UPPER(Sheet1!B1297)</f>
        <v>NATALIE LEWIS</v>
      </c>
      <c r="D1297" s="7" t="str">
        <f>IF(Sheet1!F1297="F","FEMALE","MALE")</f>
        <v>MALE</v>
      </c>
      <c r="E1297" s="6" t="str">
        <f>UPPER(Sheet1!G1297)</f>
        <v>BRANDON JOHNSON</v>
      </c>
      <c r="F1297" s="6" t="str">
        <f>UPPER(Sheet1!H1297)</f>
        <v>COURTNEY CAMPBELL</v>
      </c>
      <c r="G1297" s="5" t="str">
        <f>TEXT(Sheet1!C1297,"dd/mm/yyyy") &amp; "," &amp; Sheet1!D1297</f>
        <v>19/12/2025,WEST STEVENTON</v>
      </c>
      <c r="H1297" s="39" t="str">
        <f>UPPER(Sheet1!J1297 &amp; "," &amp; Sheet1!K1297 &amp; "," &amp; Sheet1!L1297)</f>
        <v>001 GREGORY CRESCENT,APT. 423,PIN:19433 PORT MARIAMOUTH</v>
      </c>
      <c r="I1297" s="8">
        <f>Sheet1!I1297</f>
        <v>46065</v>
      </c>
      <c r="J1297" s="5" t="str">
        <f>Sheet1!M1297 &amp; "," &amp; TEXT(Sheet1!N1297,"dd/mm/yy")</f>
        <v>MHA/IND/01302,27/02/26</v>
      </c>
      <c r="K1297" s="5" t="s">
        <v>5752</v>
      </c>
      <c r="L1297" t="s">
        <v>14</v>
      </c>
      <c r="M1297" s="31" t="s">
        <v>15</v>
      </c>
      <c r="N1297" s="31"/>
    </row>
    <row r="1298" spans="1:14" x14ac:dyDescent="0.25">
      <c r="A1298" s="4" t="str">
        <f>Sheet1!A1298 &amp; "/" &amp; "2025"</f>
        <v>1297/2025</v>
      </c>
      <c r="B1298" s="5" t="str">
        <f>Sheet1!E1298</f>
        <v>IND/MEL/01297</v>
      </c>
      <c r="C1298" s="6" t="str">
        <f>UPPER(Sheet1!B1298)</f>
        <v>MICHELE BARNES</v>
      </c>
      <c r="D1298" s="7" t="str">
        <f>IF(Sheet1!F1298="F","FEMALE","MALE")</f>
        <v>FEMALE</v>
      </c>
      <c r="E1298" s="6" t="str">
        <f>UPPER(Sheet1!G1298)</f>
        <v>MARK FREDERICK</v>
      </c>
      <c r="F1298" s="6" t="str">
        <f>UPPER(Sheet1!H1298)</f>
        <v>DR. KATIE RANDALL</v>
      </c>
      <c r="G1298" s="5" t="str">
        <f>TEXT(Sheet1!C1298,"dd/mm/yyyy") &amp; "," &amp; Sheet1!D1298</f>
        <v>17/03/2025,JOHNVILLE</v>
      </c>
      <c r="H1298" s="39" t="str">
        <f>UPPER(Sheet1!J1298 &amp; "," &amp; Sheet1!K1298 &amp; "," &amp; Sheet1!L1298)</f>
        <v>544 HORN TRAIL APT. 180,SUITE 679,PIN:20979 ALVARADOSIDE</v>
      </c>
      <c r="I1298" s="8">
        <f>Sheet1!I1298</f>
        <v>46065</v>
      </c>
      <c r="J1298" s="5" t="str">
        <f>Sheet1!M1298 &amp; "," &amp; TEXT(Sheet1!N1298,"dd/mm/yy")</f>
        <v>MHA/IND/01303,02/03/26</v>
      </c>
      <c r="K1298" s="5" t="s">
        <v>5752</v>
      </c>
      <c r="L1298" t="s">
        <v>14</v>
      </c>
      <c r="M1298" s="31" t="s">
        <v>15</v>
      </c>
      <c r="N1298" s="31"/>
    </row>
    <row r="1299" spans="1:14" x14ac:dyDescent="0.25">
      <c r="A1299" s="4" t="str">
        <f>Sheet1!A1299 &amp; "/" &amp; "2025"</f>
        <v>1298/2025</v>
      </c>
      <c r="B1299" s="5" t="str">
        <f>Sheet1!E1299</f>
        <v>IND/MEL/01298</v>
      </c>
      <c r="C1299" s="6" t="str">
        <f>UPPER(Sheet1!B1299)</f>
        <v>JOSHUA SANDOVAL</v>
      </c>
      <c r="D1299" s="7" t="str">
        <f>IF(Sheet1!F1299="F","FEMALE","MALE")</f>
        <v>MALE</v>
      </c>
      <c r="E1299" s="6" t="str">
        <f>UPPER(Sheet1!G1299)</f>
        <v>MARCUS WOODS</v>
      </c>
      <c r="F1299" s="6" t="str">
        <f>UPPER(Sheet1!H1299)</f>
        <v>JULIE SANDERS MD</v>
      </c>
      <c r="G1299" s="5" t="str">
        <f>TEXT(Sheet1!C1299,"dd/mm/yyyy") &amp; "," &amp; Sheet1!D1299</f>
        <v>12/10/2025,NELSONBURY</v>
      </c>
      <c r="H1299" s="39" t="str">
        <f>UPPER(Sheet1!J1299 &amp; "," &amp; Sheet1!K1299 &amp; "," &amp; Sheet1!L1299)</f>
        <v>5078 ROBIN FREEWAY SUITE 635,APT. 404,PIN:09900 ARCHERLAND</v>
      </c>
      <c r="I1299" s="8">
        <f>Sheet1!I1299</f>
        <v>46065</v>
      </c>
      <c r="J1299" s="5" t="str">
        <f>Sheet1!M1299 &amp; "," &amp; TEXT(Sheet1!N1299,"dd/mm/yy")</f>
        <v>MHA/IND/01304,08/03/26</v>
      </c>
      <c r="K1299" s="5" t="s">
        <v>5752</v>
      </c>
      <c r="L1299" t="s">
        <v>14</v>
      </c>
      <c r="M1299" s="31" t="s">
        <v>15</v>
      </c>
      <c r="N1299" s="31"/>
    </row>
    <row r="1300" spans="1:14" x14ac:dyDescent="0.25">
      <c r="A1300" s="4" t="str">
        <f>Sheet1!A1300 &amp; "/" &amp; "2025"</f>
        <v>1299/2025</v>
      </c>
      <c r="B1300" s="5" t="str">
        <f>Sheet1!E1300</f>
        <v>IND/MEL/01299</v>
      </c>
      <c r="C1300" s="6" t="str">
        <f>UPPER(Sheet1!B1300)</f>
        <v>TERRI TUCKER</v>
      </c>
      <c r="D1300" s="7" t="str">
        <f>IF(Sheet1!F1300="F","FEMALE","MALE")</f>
        <v>FEMALE</v>
      </c>
      <c r="E1300" s="6" t="str">
        <f>UPPER(Sheet1!G1300)</f>
        <v>DAVID MORRISON</v>
      </c>
      <c r="F1300" s="6" t="str">
        <f>UPPER(Sheet1!H1300)</f>
        <v>CHRISTINA SINGH</v>
      </c>
      <c r="G1300" s="5" t="str">
        <f>TEXT(Sheet1!C1300,"dd/mm/yyyy") &amp; "," &amp; Sheet1!D1300</f>
        <v>18/05/2025,WESTHAVEN</v>
      </c>
      <c r="H1300" s="39" t="str">
        <f>UPPER(Sheet1!J1300 &amp; "," &amp; Sheet1!K1300 &amp; "," &amp; Sheet1!L1300)</f>
        <v>03728 GONZALEZ PLAIN APT. 657,SUITE 531,PIN:48403 JOHNSONPORT</v>
      </c>
      <c r="I1300" s="8">
        <f>Sheet1!I1300</f>
        <v>46065</v>
      </c>
      <c r="J1300" s="5" t="str">
        <f>Sheet1!M1300 &amp; "," &amp; TEXT(Sheet1!N1300,"dd/mm/yy")</f>
        <v>MHA/IND/01305,18/02/26</v>
      </c>
      <c r="K1300" s="5" t="s">
        <v>5752</v>
      </c>
      <c r="L1300" t="s">
        <v>14</v>
      </c>
      <c r="M1300" s="31" t="s">
        <v>15</v>
      </c>
      <c r="N1300" s="31"/>
    </row>
    <row r="1301" spans="1:14" x14ac:dyDescent="0.25">
      <c r="A1301" s="4" t="str">
        <f>Sheet1!A1301 &amp; "/" &amp; "2025"</f>
        <v>1300/2025</v>
      </c>
      <c r="B1301" s="5" t="str">
        <f>Sheet1!E1301</f>
        <v>IND/MEL/01300</v>
      </c>
      <c r="C1301" s="6" t="str">
        <f>UPPER(Sheet1!B1301)</f>
        <v>PATRICK KING</v>
      </c>
      <c r="D1301" s="7" t="str">
        <f>IF(Sheet1!F1301="F","FEMALE","MALE")</f>
        <v>FEMALE</v>
      </c>
      <c r="E1301" s="6" t="str">
        <f>UPPER(Sheet1!G1301)</f>
        <v>DEVIN GONZALEZ PHD</v>
      </c>
      <c r="F1301" s="6" t="str">
        <f>UPPER(Sheet1!H1301)</f>
        <v>BRITTANY THOMPSON</v>
      </c>
      <c r="G1301" s="5" t="str">
        <f>TEXT(Sheet1!C1301,"dd/mm/yyyy") &amp; "," &amp; Sheet1!D1301</f>
        <v>28/04/2025,NORTH KELLYBURY</v>
      </c>
      <c r="H1301" s="39" t="str">
        <f>UPPER(Sheet1!J1301 &amp; "," &amp; Sheet1!K1301 &amp; "," &amp; Sheet1!L1301)</f>
        <v>2714 DYLAN FALLS SUITE 898,SUITE 970,PIN:47464 HODGEPORT</v>
      </c>
      <c r="I1301" s="8">
        <f>Sheet1!I1301</f>
        <v>46065</v>
      </c>
      <c r="J1301" s="5" t="str">
        <f>Sheet1!M1301 &amp; "," &amp; TEXT(Sheet1!N1301,"dd/mm/yy")</f>
        <v>MHA/IND/01306,27/02/26</v>
      </c>
      <c r="K1301" s="5" t="s">
        <v>5752</v>
      </c>
      <c r="L1301" t="s">
        <v>14</v>
      </c>
      <c r="M1301" s="31" t="s">
        <v>15</v>
      </c>
      <c r="N1301" s="31"/>
    </row>
    <row r="1302" spans="1:14" x14ac:dyDescent="0.25">
      <c r="A1302" s="4" t="str">
        <f>Sheet1!A1302 &amp; "/" &amp; "2025"</f>
        <v>1301/2025</v>
      </c>
      <c r="B1302" s="5" t="str">
        <f>Sheet1!E1302</f>
        <v>IND/MEL/01301</v>
      </c>
      <c r="C1302" s="6" t="str">
        <f>UPPER(Sheet1!B1302)</f>
        <v>COREY SANFORD</v>
      </c>
      <c r="D1302" s="7" t="str">
        <f>IF(Sheet1!F1302="F","FEMALE","MALE")</f>
        <v>MALE</v>
      </c>
      <c r="E1302" s="6" t="str">
        <f>UPPER(Sheet1!G1302)</f>
        <v>ANDREW JARVIS</v>
      </c>
      <c r="F1302" s="6" t="str">
        <f>UPPER(Sheet1!H1302)</f>
        <v>BRITTANY KANE</v>
      </c>
      <c r="G1302" s="5" t="str">
        <f>TEXT(Sheet1!C1302,"dd/mm/yyyy") &amp; "," &amp; Sheet1!D1302</f>
        <v>11/06/2025,NORTH SAMANTHA</v>
      </c>
      <c r="H1302" s="39" t="str">
        <f>UPPER(Sheet1!J1302 &amp; "," &amp; Sheet1!K1302 &amp; "," &amp; Sheet1!L1302)</f>
        <v>724 CAMERON SHORE SUITE 418,APT. 779,PIN:91113 ARELLANOFURT</v>
      </c>
      <c r="I1302" s="8">
        <f>Sheet1!I1302</f>
        <v>46065</v>
      </c>
      <c r="J1302" s="5" t="str">
        <f>Sheet1!M1302 &amp; "," &amp; TEXT(Sheet1!N1302,"dd/mm/yy")</f>
        <v>MHA/IND/01307,16/02/26</v>
      </c>
      <c r="K1302" s="5" t="s">
        <v>5752</v>
      </c>
      <c r="L1302" t="s">
        <v>14</v>
      </c>
      <c r="M1302" s="31" t="s">
        <v>15</v>
      </c>
      <c r="N1302" s="31"/>
    </row>
    <row r="1303" spans="1:14" x14ac:dyDescent="0.25">
      <c r="A1303" s="4" t="str">
        <f>Sheet1!A1303 &amp; "/" &amp; "2025"</f>
        <v>1302/2025</v>
      </c>
      <c r="B1303" s="5" t="str">
        <f>Sheet1!E1303</f>
        <v>IND/MEL/01302</v>
      </c>
      <c r="C1303" s="6" t="str">
        <f>UPPER(Sheet1!B1303)</f>
        <v>JOHNNY CAMERON</v>
      </c>
      <c r="D1303" s="7" t="str">
        <f>IF(Sheet1!F1303="F","FEMALE","MALE")</f>
        <v>FEMALE</v>
      </c>
      <c r="E1303" s="6" t="str">
        <f>UPPER(Sheet1!G1303)</f>
        <v>RALPH GARCIA</v>
      </c>
      <c r="F1303" s="6" t="str">
        <f>UPPER(Sheet1!H1303)</f>
        <v>NANCY KLEIN</v>
      </c>
      <c r="G1303" s="5" t="str">
        <f>TEXT(Sheet1!C1303,"dd/mm/yyyy") &amp; "," &amp; Sheet1!D1303</f>
        <v>27/01/2026,NEW ANDRESHAVEN</v>
      </c>
      <c r="H1303" s="39" t="str">
        <f>UPPER(Sheet1!J1303 &amp; "," &amp; Sheet1!K1303 &amp; "," &amp; Sheet1!L1303)</f>
        <v>763 GWENDOLYN PATH SUITE 295,SUITE 103,PIN:05177 STEFANIETOWN</v>
      </c>
      <c r="I1303" s="8">
        <f>Sheet1!I1303</f>
        <v>46065</v>
      </c>
      <c r="J1303" s="5" t="str">
        <f>Sheet1!M1303 &amp; "," &amp; TEXT(Sheet1!N1303,"dd/mm/yy")</f>
        <v>MHA/IND/01308,27/02/26</v>
      </c>
      <c r="K1303" s="5" t="s">
        <v>5752</v>
      </c>
      <c r="L1303" t="s">
        <v>14</v>
      </c>
      <c r="M1303" s="31" t="s">
        <v>15</v>
      </c>
      <c r="N1303" s="31"/>
    </row>
    <row r="1304" spans="1:14" x14ac:dyDescent="0.25">
      <c r="A1304" s="4" t="str">
        <f>Sheet1!A1304 &amp; "/" &amp; "2025"</f>
        <v>1303/2025</v>
      </c>
      <c r="B1304" s="5" t="str">
        <f>Sheet1!E1304</f>
        <v>IND/MEL/01303</v>
      </c>
      <c r="C1304" s="6" t="str">
        <f>UPPER(Sheet1!B1304)</f>
        <v>MARY HOWELL</v>
      </c>
      <c r="D1304" s="7" t="str">
        <f>IF(Sheet1!F1304="F","FEMALE","MALE")</f>
        <v>FEMALE</v>
      </c>
      <c r="E1304" s="6" t="str">
        <f>UPPER(Sheet1!G1304)</f>
        <v>COLIN FREEMAN</v>
      </c>
      <c r="F1304" s="6" t="str">
        <f>UPPER(Sheet1!H1304)</f>
        <v>LISA WHITE</v>
      </c>
      <c r="G1304" s="5" t="str">
        <f>TEXT(Sheet1!C1304,"dd/mm/yyyy") &amp; "," &amp; Sheet1!D1304</f>
        <v>18/12/2025,SOUTH PHILIP</v>
      </c>
      <c r="H1304" s="39" t="str">
        <f>UPPER(Sheet1!J1304 &amp; "," &amp; Sheet1!K1304 &amp; "," &amp; Sheet1!L1304)</f>
        <v>26090 MARTINEZ MEADOW SUITE 894,APT. 799,PIN:99677 RAMIREZSIDE</v>
      </c>
      <c r="I1304" s="8">
        <f>Sheet1!I1304</f>
        <v>46065</v>
      </c>
      <c r="J1304" s="5" t="str">
        <f>Sheet1!M1304 &amp; "," &amp; TEXT(Sheet1!N1304,"dd/mm/yy")</f>
        <v>MHA/IND/01309,26/02/26</v>
      </c>
      <c r="K1304" s="5" t="s">
        <v>5752</v>
      </c>
      <c r="L1304" t="s">
        <v>14</v>
      </c>
      <c r="M1304" s="31" t="s">
        <v>15</v>
      </c>
      <c r="N1304" s="31"/>
    </row>
    <row r="1305" spans="1:14" x14ac:dyDescent="0.25">
      <c r="A1305" s="4" t="str">
        <f>Sheet1!A1305 &amp; "/" &amp; "2025"</f>
        <v>1304/2025</v>
      </c>
      <c r="B1305" s="5" t="str">
        <f>Sheet1!E1305</f>
        <v>IND/MEL/01304</v>
      </c>
      <c r="C1305" s="6" t="str">
        <f>UPPER(Sheet1!B1305)</f>
        <v>HENRY FORD</v>
      </c>
      <c r="D1305" s="7" t="str">
        <f>IF(Sheet1!F1305="F","FEMALE","MALE")</f>
        <v>MALE</v>
      </c>
      <c r="E1305" s="6" t="str">
        <f>UPPER(Sheet1!G1305)</f>
        <v>ETHAN WILLIAMS</v>
      </c>
      <c r="F1305" s="6" t="str">
        <f>UPPER(Sheet1!H1305)</f>
        <v>KRISTINA GONZALEZ</v>
      </c>
      <c r="G1305" s="5" t="str">
        <f>TEXT(Sheet1!C1305,"dd/mm/yyyy") &amp; "," &amp; Sheet1!D1305</f>
        <v>20/11/2025,SAMANTHAFURT</v>
      </c>
      <c r="H1305" s="39" t="str">
        <f>UPPER(Sheet1!J1305 &amp; "," &amp; Sheet1!K1305 &amp; "," &amp; Sheet1!L1305)</f>
        <v>7863 STEVEN ISLAND APT. 324,SUITE 769,PIN:95965 BERNARDVIEW</v>
      </c>
      <c r="I1305" s="8">
        <f>Sheet1!I1305</f>
        <v>46065</v>
      </c>
      <c r="J1305" s="5" t="str">
        <f>Sheet1!M1305 &amp; "," &amp; TEXT(Sheet1!N1305,"dd/mm/yy")</f>
        <v>MHA/IND/01310,16/02/26</v>
      </c>
      <c r="K1305" s="5" t="s">
        <v>5752</v>
      </c>
      <c r="L1305" t="s">
        <v>14</v>
      </c>
      <c r="M1305" s="31" t="s">
        <v>15</v>
      </c>
      <c r="N1305" s="31"/>
    </row>
    <row r="1306" spans="1:14" x14ac:dyDescent="0.25">
      <c r="A1306" s="4" t="str">
        <f>Sheet1!A1306 &amp; "/" &amp; "2025"</f>
        <v>1305/2025</v>
      </c>
      <c r="B1306" s="5" t="str">
        <f>Sheet1!E1306</f>
        <v>IND/MEL/01305</v>
      </c>
      <c r="C1306" s="6" t="str">
        <f>UPPER(Sheet1!B1306)</f>
        <v>ASHLEY JOHNSON</v>
      </c>
      <c r="D1306" s="7" t="str">
        <f>IF(Sheet1!F1306="F","FEMALE","MALE")</f>
        <v>FEMALE</v>
      </c>
      <c r="E1306" s="6" t="str">
        <f>UPPER(Sheet1!G1306)</f>
        <v>TAYLOR SMITH</v>
      </c>
      <c r="F1306" s="6" t="str">
        <f>UPPER(Sheet1!H1306)</f>
        <v>SHARON DYER</v>
      </c>
      <c r="G1306" s="5" t="str">
        <f>TEXT(Sheet1!C1306,"dd/mm/yyyy") &amp; "," &amp; Sheet1!D1306</f>
        <v>24/06/2025,NEW ANDREA</v>
      </c>
      <c r="H1306" s="39" t="str">
        <f>UPPER(Sheet1!J1306 &amp; "," &amp; Sheet1!K1306 &amp; "," &amp; Sheet1!L1306)</f>
        <v>09135 LEON LAND,SUITE 802,PIN:48469 WEST JIMMYMOUTH</v>
      </c>
      <c r="I1306" s="8">
        <f>Sheet1!I1306</f>
        <v>46065</v>
      </c>
      <c r="J1306" s="5" t="str">
        <f>Sheet1!M1306 &amp; "," &amp; TEXT(Sheet1!N1306,"dd/mm/yy")</f>
        <v>MHA/IND/01311,23/02/26</v>
      </c>
      <c r="K1306" s="5" t="s">
        <v>5752</v>
      </c>
      <c r="L1306" t="s">
        <v>14</v>
      </c>
      <c r="M1306" s="31" t="s">
        <v>15</v>
      </c>
      <c r="N1306" s="31"/>
    </row>
    <row r="1307" spans="1:14" x14ac:dyDescent="0.25">
      <c r="A1307" s="4" t="str">
        <f>Sheet1!A1307 &amp; "/" &amp; "2025"</f>
        <v>1306/2025</v>
      </c>
      <c r="B1307" s="5" t="str">
        <f>Sheet1!E1307</f>
        <v>IND/MEL/01306</v>
      </c>
      <c r="C1307" s="6" t="str">
        <f>UPPER(Sheet1!B1307)</f>
        <v>NICOLE VASQUEZ</v>
      </c>
      <c r="D1307" s="7" t="str">
        <f>IF(Sheet1!F1307="F","FEMALE","MALE")</f>
        <v>MALE</v>
      </c>
      <c r="E1307" s="6" t="str">
        <f>UPPER(Sheet1!G1307)</f>
        <v>JEFFERY LAMB DVM</v>
      </c>
      <c r="F1307" s="6" t="str">
        <f>UPPER(Sheet1!H1307)</f>
        <v>ANGELA DAVIS</v>
      </c>
      <c r="G1307" s="5" t="str">
        <f>TEXT(Sheet1!C1307,"dd/mm/yyyy") &amp; "," &amp; Sheet1!D1307</f>
        <v>24/10/2025,PORT THOMAS</v>
      </c>
      <c r="H1307" s="39" t="str">
        <f>UPPER(Sheet1!J1307 &amp; "," &amp; Sheet1!K1307 &amp; "," &amp; Sheet1!L1307)</f>
        <v>1549 ARMSTRONG ORCHARD,SUITE 593,PIN:26089 SOUTH SEAN</v>
      </c>
      <c r="I1307" s="8">
        <f>Sheet1!I1307</f>
        <v>46065</v>
      </c>
      <c r="J1307" s="5" t="str">
        <f>Sheet1!M1307 &amp; "," &amp; TEXT(Sheet1!N1307,"dd/mm/yy")</f>
        <v>MHA/IND/01312,23/02/26</v>
      </c>
      <c r="K1307" s="5" t="s">
        <v>5752</v>
      </c>
      <c r="L1307" t="s">
        <v>14</v>
      </c>
      <c r="M1307" s="31" t="s">
        <v>15</v>
      </c>
      <c r="N1307" s="31"/>
    </row>
    <row r="1308" spans="1:14" x14ac:dyDescent="0.25">
      <c r="A1308" s="4" t="str">
        <f>Sheet1!A1308 &amp; "/" &amp; "2025"</f>
        <v>1307/2025</v>
      </c>
      <c r="B1308" s="5" t="str">
        <f>Sheet1!E1308</f>
        <v>IND/MEL/01307</v>
      </c>
      <c r="C1308" s="6" t="str">
        <f>UPPER(Sheet1!B1308)</f>
        <v>PATRICK COX</v>
      </c>
      <c r="D1308" s="7" t="str">
        <f>IF(Sheet1!F1308="F","FEMALE","MALE")</f>
        <v>FEMALE</v>
      </c>
      <c r="E1308" s="6" t="str">
        <f>UPPER(Sheet1!G1308)</f>
        <v>JASON POWERS</v>
      </c>
      <c r="F1308" s="6" t="str">
        <f>UPPER(Sheet1!H1308)</f>
        <v>ANNETTE STARK</v>
      </c>
      <c r="G1308" s="5" t="str">
        <f>TEXT(Sheet1!C1308,"dd/mm/yyyy") &amp; "," &amp; Sheet1!D1308</f>
        <v>09/07/2025,ROBINSONFORT</v>
      </c>
      <c r="H1308" s="39" t="str">
        <f>UPPER(Sheet1!J1308 &amp; "," &amp; Sheet1!K1308 &amp; "," &amp; Sheet1!L1308)</f>
        <v>902 PACHECO LOOP,APT. 047,PIN:84430 LYNCHSIDE</v>
      </c>
      <c r="I1308" s="8">
        <f>Sheet1!I1308</f>
        <v>46065</v>
      </c>
      <c r="J1308" s="5" t="str">
        <f>Sheet1!M1308 &amp; "," &amp; TEXT(Sheet1!N1308,"dd/mm/yy")</f>
        <v>MHA/IND/01313,07/03/26</v>
      </c>
      <c r="K1308" s="5" t="s">
        <v>5752</v>
      </c>
      <c r="L1308" t="s">
        <v>14</v>
      </c>
      <c r="M1308" s="31" t="s">
        <v>15</v>
      </c>
      <c r="N1308" s="31"/>
    </row>
    <row r="1309" spans="1:14" x14ac:dyDescent="0.25">
      <c r="A1309" s="4" t="str">
        <f>Sheet1!A1309 &amp; "/" &amp; "2025"</f>
        <v>1308/2025</v>
      </c>
      <c r="B1309" s="5" t="str">
        <f>Sheet1!E1309</f>
        <v>IND/MEL/01308</v>
      </c>
      <c r="C1309" s="6" t="str">
        <f>UPPER(Sheet1!B1309)</f>
        <v>KATHRYN POWERS</v>
      </c>
      <c r="D1309" s="7" t="str">
        <f>IF(Sheet1!F1309="F","FEMALE","MALE")</f>
        <v>MALE</v>
      </c>
      <c r="E1309" s="6" t="str">
        <f>UPPER(Sheet1!G1309)</f>
        <v>EVAN HARRIS</v>
      </c>
      <c r="F1309" s="6" t="str">
        <f>UPPER(Sheet1!H1309)</f>
        <v>COLLEEN TRAVIS</v>
      </c>
      <c r="G1309" s="5" t="str">
        <f>TEXT(Sheet1!C1309,"dd/mm/yyyy") &amp; "," &amp; Sheet1!D1309</f>
        <v>16/05/2025,NEW AARONHAVEN</v>
      </c>
      <c r="H1309" s="39" t="str">
        <f>UPPER(Sheet1!J1309 &amp; "," &amp; Sheet1!K1309 &amp; "," &amp; Sheet1!L1309)</f>
        <v>75062 ELIZABETH PORT APT. 256,APT. 643,PIN:93970 NORTH MIGUELVILLE</v>
      </c>
      <c r="I1309" s="8">
        <f>Sheet1!I1309</f>
        <v>46065</v>
      </c>
      <c r="J1309" s="5" t="str">
        <f>Sheet1!M1309 &amp; "," &amp; TEXT(Sheet1!N1309,"dd/mm/yy")</f>
        <v>MHA/IND/01314,26/02/26</v>
      </c>
      <c r="K1309" s="5" t="s">
        <v>5752</v>
      </c>
      <c r="L1309" t="s">
        <v>14</v>
      </c>
      <c r="M1309" s="31" t="s">
        <v>15</v>
      </c>
      <c r="N1309" s="31"/>
    </row>
    <row r="1310" spans="1:14" x14ac:dyDescent="0.25">
      <c r="A1310" s="4" t="str">
        <f>Sheet1!A1310 &amp; "/" &amp; "2025"</f>
        <v>1309/2025</v>
      </c>
      <c r="B1310" s="5" t="str">
        <f>Sheet1!E1310</f>
        <v>IND/MEL/01309</v>
      </c>
      <c r="C1310" s="6" t="str">
        <f>UPPER(Sheet1!B1310)</f>
        <v>DAWN BUTLER</v>
      </c>
      <c r="D1310" s="7" t="str">
        <f>IF(Sheet1!F1310="F","FEMALE","MALE")</f>
        <v>FEMALE</v>
      </c>
      <c r="E1310" s="6" t="str">
        <f>UPPER(Sheet1!G1310)</f>
        <v>DENNIS BURNS</v>
      </c>
      <c r="F1310" s="6" t="str">
        <f>UPPER(Sheet1!H1310)</f>
        <v>COURTNEY RICH</v>
      </c>
      <c r="G1310" s="5" t="str">
        <f>TEXT(Sheet1!C1310,"dd/mm/yyyy") &amp; "," &amp; Sheet1!D1310</f>
        <v>28/10/2025,MARIACHESTER</v>
      </c>
      <c r="H1310" s="39" t="str">
        <f>UPPER(Sheet1!J1310 &amp; "," &amp; Sheet1!K1310 &amp; "," &amp; Sheet1!L1310)</f>
        <v>90476 JAMES HIGHWAY,SUITE 029,PIN:60702 CAMPBELLTON</v>
      </c>
      <c r="I1310" s="8">
        <f>Sheet1!I1310</f>
        <v>46065</v>
      </c>
      <c r="J1310" s="5" t="str">
        <f>Sheet1!M1310 &amp; "," &amp; TEXT(Sheet1!N1310,"dd/mm/yy")</f>
        <v>MHA/IND/01315,13/03/26</v>
      </c>
      <c r="K1310" s="5" t="s">
        <v>5752</v>
      </c>
      <c r="L1310" t="s">
        <v>14</v>
      </c>
      <c r="M1310" s="31" t="s">
        <v>15</v>
      </c>
      <c r="N1310" s="31"/>
    </row>
    <row r="1311" spans="1:14" x14ac:dyDescent="0.25">
      <c r="A1311" s="4" t="str">
        <f>Sheet1!A1311 &amp; "/" &amp; "2025"</f>
        <v>1310/2025</v>
      </c>
      <c r="B1311" s="5" t="str">
        <f>Sheet1!E1311</f>
        <v>IND/MEL/01310</v>
      </c>
      <c r="C1311" s="6" t="str">
        <f>UPPER(Sheet1!B1311)</f>
        <v>CHARLES BARKER</v>
      </c>
      <c r="D1311" s="7" t="str">
        <f>IF(Sheet1!F1311="F","FEMALE","MALE")</f>
        <v>FEMALE</v>
      </c>
      <c r="E1311" s="6" t="str">
        <f>UPPER(Sheet1!G1311)</f>
        <v>AARON ROJAS</v>
      </c>
      <c r="F1311" s="6" t="str">
        <f>UPPER(Sheet1!H1311)</f>
        <v>CARLY BUTLER</v>
      </c>
      <c r="G1311" s="5" t="str">
        <f>TEXT(Sheet1!C1311,"dd/mm/yyyy") &amp; "," &amp; Sheet1!D1311</f>
        <v>15/03/2025,EAST EMILY</v>
      </c>
      <c r="H1311" s="39" t="str">
        <f>UPPER(Sheet1!J1311 &amp; "," &amp; Sheet1!K1311 &amp; "," &amp; Sheet1!L1311)</f>
        <v>6529 SARAH CIRCLES APT. 366,SUITE 408,PIN:27322 TAMMYPORT</v>
      </c>
      <c r="I1311" s="8">
        <f>Sheet1!I1311</f>
        <v>46065</v>
      </c>
      <c r="J1311" s="5" t="str">
        <f>Sheet1!M1311 &amp; "," &amp; TEXT(Sheet1!N1311,"dd/mm/yy")</f>
        <v>MHA/IND/01316,05/03/26</v>
      </c>
      <c r="K1311" s="5" t="s">
        <v>5752</v>
      </c>
      <c r="L1311" t="s">
        <v>14</v>
      </c>
      <c r="M1311" s="31" t="s">
        <v>15</v>
      </c>
      <c r="N1311" s="31"/>
    </row>
    <row r="1312" spans="1:14" x14ac:dyDescent="0.25">
      <c r="A1312" s="4" t="str">
        <f>Sheet1!A1312 &amp; "/" &amp; "2025"</f>
        <v>1311/2025</v>
      </c>
      <c r="B1312" s="5" t="str">
        <f>Sheet1!E1312</f>
        <v>IND/MEL/01311</v>
      </c>
      <c r="C1312" s="6" t="str">
        <f>UPPER(Sheet1!B1312)</f>
        <v>MISS STEPHANIE TAYLOR</v>
      </c>
      <c r="D1312" s="7" t="str">
        <f>IF(Sheet1!F1312="F","FEMALE","MALE")</f>
        <v>MALE</v>
      </c>
      <c r="E1312" s="6" t="str">
        <f>UPPER(Sheet1!G1312)</f>
        <v>SEAN CHANG</v>
      </c>
      <c r="F1312" s="6" t="str">
        <f>UPPER(Sheet1!H1312)</f>
        <v>PAM DODSON</v>
      </c>
      <c r="G1312" s="5" t="str">
        <f>TEXT(Sheet1!C1312,"dd/mm/yyyy") &amp; "," &amp; Sheet1!D1312</f>
        <v>12/01/2026,AARONSIDE</v>
      </c>
      <c r="H1312" s="39" t="str">
        <f>UPPER(Sheet1!J1312 &amp; "," &amp; Sheet1!K1312 &amp; "," &amp; Sheet1!L1312)</f>
        <v>4228 ODOM VIA,SUITE 045,PIN:49397 DOYLEVILLE</v>
      </c>
      <c r="I1312" s="8">
        <f>Sheet1!I1312</f>
        <v>46065</v>
      </c>
      <c r="J1312" s="5" t="str">
        <f>Sheet1!M1312 &amp; "," &amp; TEXT(Sheet1!N1312,"dd/mm/yy")</f>
        <v>MHA/IND/01317,23/02/26</v>
      </c>
      <c r="K1312" s="5" t="s">
        <v>5752</v>
      </c>
      <c r="L1312" t="s">
        <v>14</v>
      </c>
      <c r="M1312" s="31" t="s">
        <v>15</v>
      </c>
      <c r="N1312" s="31"/>
    </row>
    <row r="1313" spans="1:14" x14ac:dyDescent="0.25">
      <c r="A1313" s="4" t="str">
        <f>Sheet1!A1313 &amp; "/" &amp; "2025"</f>
        <v>1312/2025</v>
      </c>
      <c r="B1313" s="5" t="str">
        <f>Sheet1!E1313</f>
        <v>IND/MEL/01312</v>
      </c>
      <c r="C1313" s="6" t="str">
        <f>UPPER(Sheet1!B1313)</f>
        <v>GREGORY WARD</v>
      </c>
      <c r="D1313" s="7" t="str">
        <f>IF(Sheet1!F1313="F","FEMALE","MALE")</f>
        <v>MALE</v>
      </c>
      <c r="E1313" s="6" t="str">
        <f>UPPER(Sheet1!G1313)</f>
        <v>DAN MILLER</v>
      </c>
      <c r="F1313" s="6" t="str">
        <f>UPPER(Sheet1!H1313)</f>
        <v>MELANIE OWEN</v>
      </c>
      <c r="G1313" s="5" t="str">
        <f>TEXT(Sheet1!C1313,"dd/mm/yyyy") &amp; "," &amp; Sheet1!D1313</f>
        <v>11/02/2026,SMITHMOUTH</v>
      </c>
      <c r="H1313" s="39" t="str">
        <f>UPPER(Sheet1!J1313 &amp; "," &amp; Sheet1!K1313 &amp; "," &amp; Sheet1!L1313)</f>
        <v>98546 WHITE CAPE,SUITE 562,PIN:66700 WEST MATTHEW</v>
      </c>
      <c r="I1313" s="8">
        <f>Sheet1!I1313</f>
        <v>46065</v>
      </c>
      <c r="J1313" s="5" t="str">
        <f>Sheet1!M1313 &amp; "," &amp; TEXT(Sheet1!N1313,"dd/mm/yy")</f>
        <v>MHA/IND/01318,26/02/26</v>
      </c>
      <c r="K1313" s="5" t="s">
        <v>5752</v>
      </c>
      <c r="L1313" t="s">
        <v>14</v>
      </c>
      <c r="M1313" s="31" t="s">
        <v>15</v>
      </c>
      <c r="N1313" s="31"/>
    </row>
    <row r="1314" spans="1:14" x14ac:dyDescent="0.25">
      <c r="A1314" s="4" t="str">
        <f>Sheet1!A1314 &amp; "/" &amp; "2025"</f>
        <v>1313/2025</v>
      </c>
      <c r="B1314" s="5" t="str">
        <f>Sheet1!E1314</f>
        <v>IND/MEL/01313</v>
      </c>
      <c r="C1314" s="6" t="str">
        <f>UPPER(Sheet1!B1314)</f>
        <v>SARAH DYER</v>
      </c>
      <c r="D1314" s="7" t="str">
        <f>IF(Sheet1!F1314="F","FEMALE","MALE")</f>
        <v>MALE</v>
      </c>
      <c r="E1314" s="6" t="str">
        <f>UPPER(Sheet1!G1314)</f>
        <v>MATTHEW SIMMONS</v>
      </c>
      <c r="F1314" s="6" t="str">
        <f>UPPER(Sheet1!H1314)</f>
        <v>JENNIFER HERRING</v>
      </c>
      <c r="G1314" s="5" t="str">
        <f>TEXT(Sheet1!C1314,"dd/mm/yyyy") &amp; "," &amp; Sheet1!D1314</f>
        <v>25/05/2025,SOUTH KATHERINE</v>
      </c>
      <c r="H1314" s="39" t="str">
        <f>UPPER(Sheet1!J1314 &amp; "," &amp; Sheet1!K1314 &amp; "," &amp; Sheet1!L1314)</f>
        <v>6861 MICHELLE CROSSING APT. 368,SUITE 673,PIN:67253 PORT JOSHUA</v>
      </c>
      <c r="I1314" s="8">
        <f>Sheet1!I1314</f>
        <v>46065</v>
      </c>
      <c r="J1314" s="5" t="str">
        <f>Sheet1!M1314 &amp; "," &amp; TEXT(Sheet1!N1314,"dd/mm/yy")</f>
        <v>MHA/IND/01319,01/03/26</v>
      </c>
      <c r="K1314" s="5" t="s">
        <v>5752</v>
      </c>
      <c r="L1314" t="s">
        <v>14</v>
      </c>
      <c r="M1314" s="31" t="s">
        <v>15</v>
      </c>
      <c r="N1314" s="31"/>
    </row>
    <row r="1315" spans="1:14" x14ac:dyDescent="0.25">
      <c r="A1315" s="4" t="str">
        <f>Sheet1!A1315 &amp; "/" &amp; "2025"</f>
        <v>1314/2025</v>
      </c>
      <c r="B1315" s="5" t="str">
        <f>Sheet1!E1315</f>
        <v>IND/MEL/01314</v>
      </c>
      <c r="C1315" s="6" t="str">
        <f>UPPER(Sheet1!B1315)</f>
        <v>CHARLES COOPER</v>
      </c>
      <c r="D1315" s="7" t="str">
        <f>IF(Sheet1!F1315="F","FEMALE","MALE")</f>
        <v>MALE</v>
      </c>
      <c r="E1315" s="6" t="str">
        <f>UPPER(Sheet1!G1315)</f>
        <v>MANUEL LAMBERT</v>
      </c>
      <c r="F1315" s="6" t="str">
        <f>UPPER(Sheet1!H1315)</f>
        <v>ALICIA WELCH</v>
      </c>
      <c r="G1315" s="5" t="str">
        <f>TEXT(Sheet1!C1315,"dd/mm/yyyy") &amp; "," &amp; Sheet1!D1315</f>
        <v>05/01/2026,EAST AMANDA</v>
      </c>
      <c r="H1315" s="39" t="str">
        <f>UPPER(Sheet1!J1315 &amp; "," &amp; Sheet1!K1315 &amp; "," &amp; Sheet1!L1315)</f>
        <v>112 SHELLY SPURS APT. 432,APT. 507,PIN:58493 PORT JOHNVIEW</v>
      </c>
      <c r="I1315" s="8">
        <f>Sheet1!I1315</f>
        <v>46065</v>
      </c>
      <c r="J1315" s="5" t="str">
        <f>Sheet1!M1315 &amp; "," &amp; TEXT(Sheet1!N1315,"dd/mm/yy")</f>
        <v>MHA/IND/01320,09/03/26</v>
      </c>
      <c r="K1315" s="5" t="s">
        <v>5752</v>
      </c>
      <c r="L1315" t="s">
        <v>14</v>
      </c>
      <c r="M1315" s="31" t="s">
        <v>15</v>
      </c>
      <c r="N1315" s="31"/>
    </row>
    <row r="1316" spans="1:14" x14ac:dyDescent="0.25">
      <c r="A1316" s="4" t="str">
        <f>Sheet1!A1316 &amp; "/" &amp; "2025"</f>
        <v>1315/2025</v>
      </c>
      <c r="B1316" s="5" t="str">
        <f>Sheet1!E1316</f>
        <v>IND/MEL/01315</v>
      </c>
      <c r="C1316" s="6" t="str">
        <f>UPPER(Sheet1!B1316)</f>
        <v>JACQUELINE WATKINS</v>
      </c>
      <c r="D1316" s="7" t="str">
        <f>IF(Sheet1!F1316="F","FEMALE","MALE")</f>
        <v>FEMALE</v>
      </c>
      <c r="E1316" s="6" t="str">
        <f>UPPER(Sheet1!G1316)</f>
        <v>SCOTT OSBORNE</v>
      </c>
      <c r="F1316" s="6" t="str">
        <f>UPPER(Sheet1!H1316)</f>
        <v>KRISTY BURGESS</v>
      </c>
      <c r="G1316" s="5" t="str">
        <f>TEXT(Sheet1!C1316,"dd/mm/yyyy") &amp; "," &amp; Sheet1!D1316</f>
        <v>29/11/2025,SANCHEZBURGH</v>
      </c>
      <c r="H1316" s="39" t="str">
        <f>UPPER(Sheet1!J1316 &amp; "," &amp; Sheet1!K1316 &amp; "," &amp; Sheet1!L1316)</f>
        <v>347 BELL VISTA SUITE 686,APT. 931,PIN:47042 SOTOVIEW</v>
      </c>
      <c r="I1316" s="8">
        <f>Sheet1!I1316</f>
        <v>46065</v>
      </c>
      <c r="J1316" s="5" t="str">
        <f>Sheet1!M1316 &amp; "," &amp; TEXT(Sheet1!N1316,"dd/mm/yy")</f>
        <v>MHA/IND/01321,27/02/26</v>
      </c>
      <c r="K1316" s="5" t="s">
        <v>5752</v>
      </c>
      <c r="L1316" t="s">
        <v>14</v>
      </c>
      <c r="M1316" s="31" t="s">
        <v>15</v>
      </c>
      <c r="N1316" s="31"/>
    </row>
    <row r="1317" spans="1:14" x14ac:dyDescent="0.25">
      <c r="A1317" s="4" t="str">
        <f>Sheet1!A1317 &amp; "/" &amp; "2025"</f>
        <v>1316/2025</v>
      </c>
      <c r="B1317" s="5" t="str">
        <f>Sheet1!E1317</f>
        <v>IND/MEL/01316</v>
      </c>
      <c r="C1317" s="6" t="str">
        <f>UPPER(Sheet1!B1317)</f>
        <v>BARBARA GRANT</v>
      </c>
      <c r="D1317" s="7" t="str">
        <f>IF(Sheet1!F1317="F","FEMALE","MALE")</f>
        <v>FEMALE</v>
      </c>
      <c r="E1317" s="6" t="str">
        <f>UPPER(Sheet1!G1317)</f>
        <v>MATTHEW CLARK</v>
      </c>
      <c r="F1317" s="6" t="str">
        <f>UPPER(Sheet1!H1317)</f>
        <v>KATHY HURLEY</v>
      </c>
      <c r="G1317" s="5" t="str">
        <f>TEXT(Sheet1!C1317,"dd/mm/yyyy") &amp; "," &amp; Sheet1!D1317</f>
        <v>27/03/2025,ETHANBURY</v>
      </c>
      <c r="H1317" s="39" t="str">
        <f>UPPER(Sheet1!J1317 &amp; "," &amp; Sheet1!K1317 &amp; "," &amp; Sheet1!L1317)</f>
        <v>962 AMY MEWS SUITE 328,SUITE 953,PIN:96259 EAST WHITNEYPORT</v>
      </c>
      <c r="I1317" s="8">
        <f>Sheet1!I1317</f>
        <v>46065</v>
      </c>
      <c r="J1317" s="5" t="str">
        <f>Sheet1!M1317 &amp; "," &amp; TEXT(Sheet1!N1317,"dd/mm/yy")</f>
        <v>MHA/IND/01322,04/03/26</v>
      </c>
      <c r="K1317" s="5" t="s">
        <v>5752</v>
      </c>
      <c r="L1317" t="s">
        <v>14</v>
      </c>
      <c r="M1317" s="31" t="s">
        <v>15</v>
      </c>
      <c r="N1317" s="31"/>
    </row>
    <row r="1318" spans="1:14" x14ac:dyDescent="0.25">
      <c r="A1318" s="4" t="str">
        <f>Sheet1!A1318 &amp; "/" &amp; "2025"</f>
        <v>1317/2025</v>
      </c>
      <c r="B1318" s="5" t="str">
        <f>Sheet1!E1318</f>
        <v>IND/MEL/01317</v>
      </c>
      <c r="C1318" s="6" t="str">
        <f>UPPER(Sheet1!B1318)</f>
        <v>MATTHEW JORDAN</v>
      </c>
      <c r="D1318" s="7" t="str">
        <f>IF(Sheet1!F1318="F","FEMALE","MALE")</f>
        <v>FEMALE</v>
      </c>
      <c r="E1318" s="6" t="str">
        <f>UPPER(Sheet1!G1318)</f>
        <v>JOSEPH HUNTER</v>
      </c>
      <c r="F1318" s="6" t="str">
        <f>UPPER(Sheet1!H1318)</f>
        <v>TAMMIE LAWRENCE</v>
      </c>
      <c r="G1318" s="5" t="str">
        <f>TEXT(Sheet1!C1318,"dd/mm/yyyy") &amp; "," &amp; Sheet1!D1318</f>
        <v>12/08/2025,SMITHTON</v>
      </c>
      <c r="H1318" s="39" t="str">
        <f>UPPER(Sheet1!J1318 &amp; "," &amp; Sheet1!K1318 &amp; "," &amp; Sheet1!L1318)</f>
        <v>2090 WISE WELLS,SUITE 706,PIN:86144 ALLISONSHIRE</v>
      </c>
      <c r="I1318" s="8">
        <f>Sheet1!I1318</f>
        <v>46065</v>
      </c>
      <c r="J1318" s="5" t="str">
        <f>Sheet1!M1318 &amp; "," &amp; TEXT(Sheet1!N1318,"dd/mm/yy")</f>
        <v>MHA/IND/01323,15/02/26</v>
      </c>
      <c r="K1318" s="5" t="s">
        <v>5752</v>
      </c>
      <c r="L1318" t="s">
        <v>14</v>
      </c>
      <c r="M1318" s="31" t="s">
        <v>15</v>
      </c>
      <c r="N1318" s="31"/>
    </row>
    <row r="1319" spans="1:14" x14ac:dyDescent="0.25">
      <c r="A1319" s="4" t="str">
        <f>Sheet1!A1319 &amp; "/" &amp; "2025"</f>
        <v>1318/2025</v>
      </c>
      <c r="B1319" s="5" t="str">
        <f>Sheet1!E1319</f>
        <v>IND/MEL/01318</v>
      </c>
      <c r="C1319" s="6" t="str">
        <f>UPPER(Sheet1!B1319)</f>
        <v>TOMMY GAINES</v>
      </c>
      <c r="D1319" s="7" t="str">
        <f>IF(Sheet1!F1319="F","FEMALE","MALE")</f>
        <v>MALE</v>
      </c>
      <c r="E1319" s="6" t="str">
        <f>UPPER(Sheet1!G1319)</f>
        <v>WILLIAM MILLER</v>
      </c>
      <c r="F1319" s="6" t="str">
        <f>UPPER(Sheet1!H1319)</f>
        <v>MARY MURPHY</v>
      </c>
      <c r="G1319" s="5" t="str">
        <f>TEXT(Sheet1!C1319,"dd/mm/yyyy") &amp; "," &amp; Sheet1!D1319</f>
        <v>27/08/2025,WEST KARENCHESTER</v>
      </c>
      <c r="H1319" s="39" t="str">
        <f>UPPER(Sheet1!J1319 &amp; "," &amp; Sheet1!K1319 &amp; "," &amp; Sheet1!L1319)</f>
        <v>90957 ESPINOZA FORK,APT. 901,PIN:44328 OCHOABERG</v>
      </c>
      <c r="I1319" s="8">
        <f>Sheet1!I1319</f>
        <v>46065</v>
      </c>
      <c r="J1319" s="5" t="str">
        <f>Sheet1!M1319 &amp; "," &amp; TEXT(Sheet1!N1319,"dd/mm/yy")</f>
        <v>MHA/IND/01324,17/02/26</v>
      </c>
      <c r="K1319" s="5" t="s">
        <v>5752</v>
      </c>
      <c r="L1319" t="s">
        <v>14</v>
      </c>
      <c r="M1319" s="31" t="s">
        <v>15</v>
      </c>
      <c r="N1319" s="31"/>
    </row>
    <row r="1320" spans="1:14" x14ac:dyDescent="0.25">
      <c r="A1320" s="4" t="str">
        <f>Sheet1!A1320 &amp; "/" &amp; "2025"</f>
        <v>1319/2025</v>
      </c>
      <c r="B1320" s="5" t="str">
        <f>Sheet1!E1320</f>
        <v>IND/MEL/01319</v>
      </c>
      <c r="C1320" s="6" t="str">
        <f>UPPER(Sheet1!B1320)</f>
        <v>JOHN BRENNAN</v>
      </c>
      <c r="D1320" s="7" t="str">
        <f>IF(Sheet1!F1320="F","FEMALE","MALE")</f>
        <v>MALE</v>
      </c>
      <c r="E1320" s="6" t="str">
        <f>UPPER(Sheet1!G1320)</f>
        <v>FRANK FREEMAN</v>
      </c>
      <c r="F1320" s="6" t="str">
        <f>UPPER(Sheet1!H1320)</f>
        <v>ASHLEY SUTTON</v>
      </c>
      <c r="G1320" s="5" t="str">
        <f>TEXT(Sheet1!C1320,"dd/mm/yyyy") &amp; "," &amp; Sheet1!D1320</f>
        <v>24/10/2025,PORT KATHERINESHIRE</v>
      </c>
      <c r="H1320" s="39" t="str">
        <f>UPPER(Sheet1!J1320 &amp; "," &amp; Sheet1!K1320 &amp; "," &amp; Sheet1!L1320)</f>
        <v>803 JUSTIN VILLAGE,APT. 496,PIN:68126 CAROLLAND</v>
      </c>
      <c r="I1320" s="8">
        <f>Sheet1!I1320</f>
        <v>46065</v>
      </c>
      <c r="J1320" s="5" t="str">
        <f>Sheet1!M1320 &amp; "," &amp; TEXT(Sheet1!N1320,"dd/mm/yy")</f>
        <v>MHA/IND/01325,22/02/26</v>
      </c>
      <c r="K1320" s="5" t="s">
        <v>5752</v>
      </c>
      <c r="L1320" t="s">
        <v>14</v>
      </c>
      <c r="M1320" s="31" t="s">
        <v>15</v>
      </c>
      <c r="N1320" s="31"/>
    </row>
    <row r="1321" spans="1:14" x14ac:dyDescent="0.25">
      <c r="A1321" s="4" t="str">
        <f>Sheet1!A1321 &amp; "/" &amp; "2025"</f>
        <v>1320/2025</v>
      </c>
      <c r="B1321" s="5" t="str">
        <f>Sheet1!E1321</f>
        <v>IND/MEL/01320</v>
      </c>
      <c r="C1321" s="6" t="str">
        <f>UPPER(Sheet1!B1321)</f>
        <v>JASON WATSON</v>
      </c>
      <c r="D1321" s="7" t="str">
        <f>IF(Sheet1!F1321="F","FEMALE","MALE")</f>
        <v>MALE</v>
      </c>
      <c r="E1321" s="6" t="str">
        <f>UPPER(Sheet1!G1321)</f>
        <v>CHRISTOPHER ESTES</v>
      </c>
      <c r="F1321" s="6" t="str">
        <f>UPPER(Sheet1!H1321)</f>
        <v>MISS KRISTIN ROBERTS</v>
      </c>
      <c r="G1321" s="5" t="str">
        <f>TEXT(Sheet1!C1321,"dd/mm/yyyy") &amp; "," &amp; Sheet1!D1321</f>
        <v>19/12/2025,PEREZBURY</v>
      </c>
      <c r="H1321" s="39" t="str">
        <f>UPPER(Sheet1!J1321 &amp; "," &amp; Sheet1!K1321 &amp; "," &amp; Sheet1!L1321)</f>
        <v>821 STEPHANIE LODGE,APT. 932,PIN:55027 WEST WILLIAMPORT</v>
      </c>
      <c r="I1321" s="8">
        <f>Sheet1!I1321</f>
        <v>46065</v>
      </c>
      <c r="J1321" s="5" t="str">
        <f>Sheet1!M1321 &amp; "," &amp; TEXT(Sheet1!N1321,"dd/mm/yy")</f>
        <v>MHA/IND/01326,08/03/26</v>
      </c>
      <c r="K1321" s="5" t="s">
        <v>5752</v>
      </c>
      <c r="L1321" t="s">
        <v>14</v>
      </c>
      <c r="M1321" s="31" t="s">
        <v>15</v>
      </c>
      <c r="N1321" s="31"/>
    </row>
    <row r="1322" spans="1:14" x14ac:dyDescent="0.25">
      <c r="A1322" s="4" t="str">
        <f>Sheet1!A1322 &amp; "/" &amp; "2025"</f>
        <v>1321/2025</v>
      </c>
      <c r="B1322" s="5" t="str">
        <f>Sheet1!E1322</f>
        <v>IND/MEL/01321</v>
      </c>
      <c r="C1322" s="6" t="str">
        <f>UPPER(Sheet1!B1322)</f>
        <v>CYNTHIA SUTTON</v>
      </c>
      <c r="D1322" s="7" t="str">
        <f>IF(Sheet1!F1322="F","FEMALE","MALE")</f>
        <v>MALE</v>
      </c>
      <c r="E1322" s="6" t="str">
        <f>UPPER(Sheet1!G1322)</f>
        <v>JOSE HALL</v>
      </c>
      <c r="F1322" s="6" t="str">
        <f>UPPER(Sheet1!H1322)</f>
        <v>MELISSA DAVIS</v>
      </c>
      <c r="G1322" s="5" t="str">
        <f>TEXT(Sheet1!C1322,"dd/mm/yyyy") &amp; "," &amp; Sheet1!D1322</f>
        <v>13/05/2025,MOORESIDE</v>
      </c>
      <c r="H1322" s="39" t="str">
        <f>UPPER(Sheet1!J1322 &amp; "," &amp; Sheet1!K1322 &amp; "," &amp; Sheet1!L1322)</f>
        <v>67580 STEWART CIRCLE SUITE 493,APT. 587,PIN:52830 SOUTH GARY</v>
      </c>
      <c r="I1322" s="8">
        <f>Sheet1!I1322</f>
        <v>46065</v>
      </c>
      <c r="J1322" s="5" t="str">
        <f>Sheet1!M1322 &amp; "," &amp; TEXT(Sheet1!N1322,"dd/mm/yy")</f>
        <v>MHA/IND/01327,08/03/26</v>
      </c>
      <c r="K1322" s="5" t="s">
        <v>5752</v>
      </c>
      <c r="L1322" t="s">
        <v>14</v>
      </c>
      <c r="M1322" s="31" t="s">
        <v>15</v>
      </c>
      <c r="N1322" s="31"/>
    </row>
    <row r="1323" spans="1:14" x14ac:dyDescent="0.25">
      <c r="A1323" s="4" t="str">
        <f>Sheet1!A1323 &amp; "/" &amp; "2025"</f>
        <v>1322/2025</v>
      </c>
      <c r="B1323" s="5" t="str">
        <f>Sheet1!E1323</f>
        <v>IND/MEL/01322</v>
      </c>
      <c r="C1323" s="6" t="str">
        <f>UPPER(Sheet1!B1323)</f>
        <v>DANIELLE COLLINS</v>
      </c>
      <c r="D1323" s="7" t="str">
        <f>IF(Sheet1!F1323="F","FEMALE","MALE")</f>
        <v>FEMALE</v>
      </c>
      <c r="E1323" s="6" t="str">
        <f>UPPER(Sheet1!G1323)</f>
        <v>NOAH DAY</v>
      </c>
      <c r="F1323" s="6" t="str">
        <f>UPPER(Sheet1!H1323)</f>
        <v>MARISSA PHILLIPS</v>
      </c>
      <c r="G1323" s="5" t="str">
        <f>TEXT(Sheet1!C1323,"dd/mm/yyyy") &amp; "," &amp; Sheet1!D1323</f>
        <v>26/06/2025,NORTH DANIEL</v>
      </c>
      <c r="H1323" s="39" t="str">
        <f>UPPER(Sheet1!J1323 &amp; "," &amp; Sheet1!K1323 &amp; "," &amp; Sheet1!L1323)</f>
        <v>688 BAILEY COVES,SUITE 747,PIN:58289 JACQUELINETON</v>
      </c>
      <c r="I1323" s="8">
        <f>Sheet1!I1323</f>
        <v>46065</v>
      </c>
      <c r="J1323" s="5" t="str">
        <f>Sheet1!M1323 &amp; "," &amp; TEXT(Sheet1!N1323,"dd/mm/yy")</f>
        <v>MHA/IND/01328,27/02/26</v>
      </c>
      <c r="K1323" s="5" t="s">
        <v>5752</v>
      </c>
      <c r="L1323" t="s">
        <v>14</v>
      </c>
      <c r="M1323" s="31" t="s">
        <v>15</v>
      </c>
      <c r="N1323" s="31"/>
    </row>
    <row r="1324" spans="1:14" x14ac:dyDescent="0.25">
      <c r="A1324" s="4" t="str">
        <f>Sheet1!A1324 &amp; "/" &amp; "2025"</f>
        <v>1323/2025</v>
      </c>
      <c r="B1324" s="5" t="str">
        <f>Sheet1!E1324</f>
        <v>IND/MEL/01323</v>
      </c>
      <c r="C1324" s="6" t="str">
        <f>UPPER(Sheet1!B1324)</f>
        <v>ELIZABETH ROMERO</v>
      </c>
      <c r="D1324" s="7" t="str">
        <f>IF(Sheet1!F1324="F","FEMALE","MALE")</f>
        <v>MALE</v>
      </c>
      <c r="E1324" s="6" t="str">
        <f>UPPER(Sheet1!G1324)</f>
        <v>PAUL VILLA</v>
      </c>
      <c r="F1324" s="6" t="str">
        <f>UPPER(Sheet1!H1324)</f>
        <v>ALLISON WOODS</v>
      </c>
      <c r="G1324" s="5" t="str">
        <f>TEXT(Sheet1!C1324,"dd/mm/yyyy") &amp; "," &amp; Sheet1!D1324</f>
        <v>02/09/2025,SOUTH ERICCHESTER</v>
      </c>
      <c r="H1324" s="39" t="str">
        <f>UPPER(Sheet1!J1324 &amp; "," &amp; Sheet1!K1324 &amp; "," &amp; Sheet1!L1324)</f>
        <v>26864 DAVIS TUNNEL,SUITE 637,PIN:58763 HOLLYLAND</v>
      </c>
      <c r="I1324" s="8">
        <f>Sheet1!I1324</f>
        <v>46065</v>
      </c>
      <c r="J1324" s="5" t="str">
        <f>Sheet1!M1324 &amp; "," &amp; TEXT(Sheet1!N1324,"dd/mm/yy")</f>
        <v>MHA/IND/01329,01/03/26</v>
      </c>
      <c r="K1324" s="5" t="s">
        <v>5752</v>
      </c>
      <c r="L1324" t="s">
        <v>14</v>
      </c>
      <c r="M1324" s="31" t="s">
        <v>15</v>
      </c>
      <c r="N1324" s="31"/>
    </row>
    <row r="1325" spans="1:14" x14ac:dyDescent="0.25">
      <c r="A1325" s="4" t="str">
        <f>Sheet1!A1325 &amp; "/" &amp; "2025"</f>
        <v>1324/2025</v>
      </c>
      <c r="B1325" s="5" t="str">
        <f>Sheet1!E1325</f>
        <v>IND/MEL/01324</v>
      </c>
      <c r="C1325" s="6" t="str">
        <f>UPPER(Sheet1!B1325)</f>
        <v>JOSEPH OWEN</v>
      </c>
      <c r="D1325" s="7" t="str">
        <f>IF(Sheet1!F1325="F","FEMALE","MALE")</f>
        <v>FEMALE</v>
      </c>
      <c r="E1325" s="6" t="str">
        <f>UPPER(Sheet1!G1325)</f>
        <v>PAUL MOORE</v>
      </c>
      <c r="F1325" s="6" t="str">
        <f>UPPER(Sheet1!H1325)</f>
        <v>LISA RUIZ</v>
      </c>
      <c r="G1325" s="5" t="str">
        <f>TEXT(Sheet1!C1325,"dd/mm/yyyy") &amp; "," &amp; Sheet1!D1325</f>
        <v>23/03/2025,NORTH DAVID</v>
      </c>
      <c r="H1325" s="39" t="str">
        <f>UPPER(Sheet1!J1325 &amp; "," &amp; Sheet1!K1325 &amp; "," &amp; Sheet1!L1325)</f>
        <v>1777 MALDONADO BRIDGE,SUITE 573,PIN:52364 PORT MELANIEFURT</v>
      </c>
      <c r="I1325" s="8">
        <f>Sheet1!I1325</f>
        <v>46065</v>
      </c>
      <c r="J1325" s="5" t="str">
        <f>Sheet1!M1325 &amp; "," &amp; TEXT(Sheet1!N1325,"dd/mm/yy")</f>
        <v>MHA/IND/01330,18/02/26</v>
      </c>
      <c r="K1325" s="5" t="s">
        <v>5752</v>
      </c>
      <c r="L1325" t="s">
        <v>14</v>
      </c>
      <c r="M1325" s="31" t="s">
        <v>15</v>
      </c>
      <c r="N1325" s="31"/>
    </row>
    <row r="1326" spans="1:14" x14ac:dyDescent="0.25">
      <c r="A1326" s="4" t="str">
        <f>Sheet1!A1326 &amp; "/" &amp; "2025"</f>
        <v>1325/2025</v>
      </c>
      <c r="B1326" s="5" t="str">
        <f>Sheet1!E1326</f>
        <v>IND/MEL/01325</v>
      </c>
      <c r="C1326" s="6" t="str">
        <f>UPPER(Sheet1!B1326)</f>
        <v>THOMAS SPENCE</v>
      </c>
      <c r="D1326" s="7" t="str">
        <f>IF(Sheet1!F1326="F","FEMALE","MALE")</f>
        <v>MALE</v>
      </c>
      <c r="E1326" s="6" t="str">
        <f>UPPER(Sheet1!G1326)</f>
        <v>ANDREW BUSH</v>
      </c>
      <c r="F1326" s="6" t="str">
        <f>UPPER(Sheet1!H1326)</f>
        <v>SANDRA MILLER</v>
      </c>
      <c r="G1326" s="5" t="str">
        <f>TEXT(Sheet1!C1326,"dd/mm/yyyy") &amp; "," &amp; Sheet1!D1326</f>
        <v>19/02/2025,KARENLAND</v>
      </c>
      <c r="H1326" s="39" t="str">
        <f>UPPER(Sheet1!J1326 &amp; "," &amp; Sheet1!K1326 &amp; "," &amp; Sheet1!L1326)</f>
        <v>444 JESSE KEY,APT. 279,PIN:15854 WEST STEVEN</v>
      </c>
      <c r="I1326" s="8">
        <f>Sheet1!I1326</f>
        <v>46065</v>
      </c>
      <c r="J1326" s="5" t="str">
        <f>Sheet1!M1326 &amp; "," &amp; TEXT(Sheet1!N1326,"dd/mm/yy")</f>
        <v>MHA/IND/01331,03/03/26</v>
      </c>
      <c r="K1326" s="5" t="s">
        <v>5752</v>
      </c>
      <c r="L1326" t="s">
        <v>14</v>
      </c>
      <c r="M1326" s="31" t="s">
        <v>15</v>
      </c>
      <c r="N1326" s="31"/>
    </row>
    <row r="1327" spans="1:14" x14ac:dyDescent="0.25">
      <c r="A1327" s="4" t="str">
        <f>Sheet1!A1327 &amp; "/" &amp; "2025"</f>
        <v>1326/2025</v>
      </c>
      <c r="B1327" s="5" t="str">
        <f>Sheet1!E1327</f>
        <v>IND/MEL/01326</v>
      </c>
      <c r="C1327" s="6" t="str">
        <f>UPPER(Sheet1!B1327)</f>
        <v>DONALD SHEA</v>
      </c>
      <c r="D1327" s="7" t="str">
        <f>IF(Sheet1!F1327="F","FEMALE","MALE")</f>
        <v>FEMALE</v>
      </c>
      <c r="E1327" s="6" t="str">
        <f>UPPER(Sheet1!G1327)</f>
        <v>COLIN DEAN</v>
      </c>
      <c r="F1327" s="6" t="str">
        <f>UPPER(Sheet1!H1327)</f>
        <v>TONI BREWER</v>
      </c>
      <c r="G1327" s="5" t="str">
        <f>TEXT(Sheet1!C1327,"dd/mm/yyyy") &amp; "," &amp; Sheet1!D1327</f>
        <v>04/06/2025,NORTH HALEYBOROUGH</v>
      </c>
      <c r="H1327" s="39" t="str">
        <f>UPPER(Sheet1!J1327 &amp; "," &amp; Sheet1!K1327 &amp; "," &amp; Sheet1!L1327)</f>
        <v>8464 TORRES SHORE SUITE 820,SUITE 739,PIN:62668 BAKERTON</v>
      </c>
      <c r="I1327" s="8">
        <f>Sheet1!I1327</f>
        <v>46065</v>
      </c>
      <c r="J1327" s="5" t="str">
        <f>Sheet1!M1327 &amp; "," &amp; TEXT(Sheet1!N1327,"dd/mm/yy")</f>
        <v>MHA/IND/01332,07/03/26</v>
      </c>
      <c r="K1327" s="5" t="s">
        <v>5752</v>
      </c>
      <c r="L1327" t="s">
        <v>14</v>
      </c>
      <c r="M1327" s="31" t="s">
        <v>15</v>
      </c>
      <c r="N1327" s="31"/>
    </row>
    <row r="1328" spans="1:14" x14ac:dyDescent="0.25">
      <c r="A1328" s="4" t="str">
        <f>Sheet1!A1328 &amp; "/" &amp; "2025"</f>
        <v>1327/2025</v>
      </c>
      <c r="B1328" s="5" t="str">
        <f>Sheet1!E1328</f>
        <v>IND/MEL/01327</v>
      </c>
      <c r="C1328" s="6" t="str">
        <f>UPPER(Sheet1!B1328)</f>
        <v>JONATHAN RAMOS</v>
      </c>
      <c r="D1328" s="7" t="str">
        <f>IF(Sheet1!F1328="F","FEMALE","MALE")</f>
        <v>MALE</v>
      </c>
      <c r="E1328" s="6" t="str">
        <f>UPPER(Sheet1!G1328)</f>
        <v>STEPHEN MENDOZA</v>
      </c>
      <c r="F1328" s="6" t="str">
        <f>UPPER(Sheet1!H1328)</f>
        <v>SARAH NGUYEN</v>
      </c>
      <c r="G1328" s="5" t="str">
        <f>TEXT(Sheet1!C1328,"dd/mm/yyyy") &amp; "," &amp; Sheet1!D1328</f>
        <v>20/06/2025,VARGASHAVEN</v>
      </c>
      <c r="H1328" s="39" t="str">
        <f>UPPER(Sheet1!J1328 &amp; "," &amp; Sheet1!K1328 &amp; "," &amp; Sheet1!L1328)</f>
        <v>50799 LARSON LANDING APT. 452,APT. 624,PIN:48180 WEST MARKTON</v>
      </c>
      <c r="I1328" s="8">
        <f>Sheet1!I1328</f>
        <v>46065</v>
      </c>
      <c r="J1328" s="5" t="str">
        <f>Sheet1!M1328 &amp; "," &amp; TEXT(Sheet1!N1328,"dd/mm/yy")</f>
        <v>MHA/IND/01333,27/02/26</v>
      </c>
      <c r="K1328" s="5" t="s">
        <v>5752</v>
      </c>
      <c r="L1328" t="s">
        <v>14</v>
      </c>
      <c r="M1328" s="31" t="s">
        <v>15</v>
      </c>
      <c r="N1328" s="31"/>
    </row>
    <row r="1329" spans="1:14" x14ac:dyDescent="0.25">
      <c r="A1329" s="4" t="str">
        <f>Sheet1!A1329 &amp; "/" &amp; "2025"</f>
        <v>1328/2025</v>
      </c>
      <c r="B1329" s="5" t="str">
        <f>Sheet1!E1329</f>
        <v>IND/MEL/01328</v>
      </c>
      <c r="C1329" s="6" t="str">
        <f>UPPER(Sheet1!B1329)</f>
        <v>CHLOE HALE</v>
      </c>
      <c r="D1329" s="7" t="str">
        <f>IF(Sheet1!F1329="F","FEMALE","MALE")</f>
        <v>MALE</v>
      </c>
      <c r="E1329" s="6" t="str">
        <f>UPPER(Sheet1!G1329)</f>
        <v>ROBERT SANCHEZ</v>
      </c>
      <c r="F1329" s="6" t="str">
        <f>UPPER(Sheet1!H1329)</f>
        <v>REBECCA TUCKER</v>
      </c>
      <c r="G1329" s="5" t="str">
        <f>TEXT(Sheet1!C1329,"dd/mm/yyyy") &amp; "," &amp; Sheet1!D1329</f>
        <v>20/12/2025,SOUTH ALEXIS</v>
      </c>
      <c r="H1329" s="39" t="str">
        <f>UPPER(Sheet1!J1329 &amp; "," &amp; Sheet1!K1329 &amp; "," &amp; Sheet1!L1329)</f>
        <v>085 SANDRA BROOK APT. 020,APT. 951,PIN:63746 LAKE DAVID</v>
      </c>
      <c r="I1329" s="8">
        <f>Sheet1!I1329</f>
        <v>46065</v>
      </c>
      <c r="J1329" s="5" t="str">
        <f>Sheet1!M1329 &amp; "," &amp; TEXT(Sheet1!N1329,"dd/mm/yy")</f>
        <v>MHA/IND/01334,14/02/26</v>
      </c>
      <c r="K1329" s="5" t="s">
        <v>5752</v>
      </c>
      <c r="L1329" t="s">
        <v>14</v>
      </c>
      <c r="M1329" s="31" t="s">
        <v>15</v>
      </c>
      <c r="N1329" s="31"/>
    </row>
    <row r="1330" spans="1:14" x14ac:dyDescent="0.25">
      <c r="A1330" s="4" t="str">
        <f>Sheet1!A1330 &amp; "/" &amp; "2025"</f>
        <v>1329/2025</v>
      </c>
      <c r="B1330" s="5" t="str">
        <f>Sheet1!E1330</f>
        <v>IND/MEL/01329</v>
      </c>
      <c r="C1330" s="6" t="str">
        <f>UPPER(Sheet1!B1330)</f>
        <v>GEORGE BUTLER</v>
      </c>
      <c r="D1330" s="7" t="str">
        <f>IF(Sheet1!F1330="F","FEMALE","MALE")</f>
        <v>MALE</v>
      </c>
      <c r="E1330" s="6" t="str">
        <f>UPPER(Sheet1!G1330)</f>
        <v>DERRICK WASHINGTON</v>
      </c>
      <c r="F1330" s="6" t="str">
        <f>UPPER(Sheet1!H1330)</f>
        <v>MELISSA REYNOLDS</v>
      </c>
      <c r="G1330" s="5" t="str">
        <f>TEXT(Sheet1!C1330,"dd/mm/yyyy") &amp; "," &amp; Sheet1!D1330</f>
        <v>17/04/2025,JONESBERG</v>
      </c>
      <c r="H1330" s="39" t="str">
        <f>UPPER(Sheet1!J1330 &amp; "," &amp; Sheet1!K1330 &amp; "," &amp; Sheet1!L1330)</f>
        <v>5815 ANTHONY LANDING,APT. 995,PIN:32588 ELLIOTTBURGH</v>
      </c>
      <c r="I1330" s="8">
        <f>Sheet1!I1330</f>
        <v>46065</v>
      </c>
      <c r="J1330" s="5" t="str">
        <f>Sheet1!M1330 &amp; "," &amp; TEXT(Sheet1!N1330,"dd/mm/yy")</f>
        <v>MHA/IND/01335,10/03/26</v>
      </c>
      <c r="K1330" s="5" t="s">
        <v>5752</v>
      </c>
      <c r="L1330" t="s">
        <v>14</v>
      </c>
      <c r="M1330" s="31" t="s">
        <v>15</v>
      </c>
      <c r="N1330" s="31"/>
    </row>
    <row r="1331" spans="1:14" x14ac:dyDescent="0.25">
      <c r="A1331" s="4" t="str">
        <f>Sheet1!A1331 &amp; "/" &amp; "2025"</f>
        <v>1330/2025</v>
      </c>
      <c r="B1331" s="5" t="str">
        <f>Sheet1!E1331</f>
        <v>IND/MEL/01330</v>
      </c>
      <c r="C1331" s="6" t="str">
        <f>UPPER(Sheet1!B1331)</f>
        <v>KIMBERLY REILLY</v>
      </c>
      <c r="D1331" s="7" t="str">
        <f>IF(Sheet1!F1331="F","FEMALE","MALE")</f>
        <v>FEMALE</v>
      </c>
      <c r="E1331" s="6" t="str">
        <f>UPPER(Sheet1!G1331)</f>
        <v>DAVID MOORE</v>
      </c>
      <c r="F1331" s="6" t="str">
        <f>UPPER(Sheet1!H1331)</f>
        <v>MELISSA HOWELL</v>
      </c>
      <c r="G1331" s="5" t="str">
        <f>TEXT(Sheet1!C1331,"dd/mm/yyyy") &amp; "," &amp; Sheet1!D1331</f>
        <v>22/12/2025,LAKE JEREMY</v>
      </c>
      <c r="H1331" s="39" t="str">
        <f>UPPER(Sheet1!J1331 &amp; "," &amp; Sheet1!K1331 &amp; "," &amp; Sheet1!L1331)</f>
        <v>2916 ROACH LANE APT. 007,APT. 826,PIN:52881 CANNONSIDE</v>
      </c>
      <c r="I1331" s="8">
        <f>Sheet1!I1331</f>
        <v>46065</v>
      </c>
      <c r="J1331" s="5" t="str">
        <f>Sheet1!M1331 &amp; "," &amp; TEXT(Sheet1!N1331,"dd/mm/yy")</f>
        <v>MHA/IND/01336,14/02/26</v>
      </c>
      <c r="K1331" s="5" t="s">
        <v>5752</v>
      </c>
      <c r="L1331" t="s">
        <v>14</v>
      </c>
      <c r="M1331" s="31" t="s">
        <v>15</v>
      </c>
      <c r="N1331" s="31"/>
    </row>
    <row r="1332" spans="1:14" x14ac:dyDescent="0.25">
      <c r="A1332" s="4" t="str">
        <f>Sheet1!A1332 &amp; "/" &amp; "2025"</f>
        <v>1331/2025</v>
      </c>
      <c r="B1332" s="5" t="str">
        <f>Sheet1!E1332</f>
        <v>IND/MEL/01331</v>
      </c>
      <c r="C1332" s="6" t="str">
        <f>UPPER(Sheet1!B1332)</f>
        <v>JUSTIN MIRANDA</v>
      </c>
      <c r="D1332" s="7" t="str">
        <f>IF(Sheet1!F1332="F","FEMALE","MALE")</f>
        <v>MALE</v>
      </c>
      <c r="E1332" s="6" t="str">
        <f>UPPER(Sheet1!G1332)</f>
        <v>TYLER WALTERS</v>
      </c>
      <c r="F1332" s="6" t="str">
        <f>UPPER(Sheet1!H1332)</f>
        <v>TABITHA MOSES</v>
      </c>
      <c r="G1332" s="5" t="str">
        <f>TEXT(Sheet1!C1332,"dd/mm/yyyy") &amp; "," &amp; Sheet1!D1332</f>
        <v>05/03/2025,NEW JOHN</v>
      </c>
      <c r="H1332" s="39" t="str">
        <f>UPPER(Sheet1!J1332 &amp; "," &amp; Sheet1!K1332 &amp; "," &amp; Sheet1!L1332)</f>
        <v>1640 RONALD SHOAL APT. 522,SUITE 955,PIN:53792 JOHNSTAD</v>
      </c>
      <c r="I1332" s="8">
        <f>Sheet1!I1332</f>
        <v>46065</v>
      </c>
      <c r="J1332" s="5" t="str">
        <f>Sheet1!M1332 &amp; "," &amp; TEXT(Sheet1!N1332,"dd/mm/yy")</f>
        <v>MHA/IND/01337,07/03/26</v>
      </c>
      <c r="K1332" s="5" t="s">
        <v>5752</v>
      </c>
      <c r="L1332" t="s">
        <v>14</v>
      </c>
      <c r="M1332" s="31" t="s">
        <v>15</v>
      </c>
      <c r="N1332" s="31"/>
    </row>
    <row r="1333" spans="1:14" x14ac:dyDescent="0.25">
      <c r="A1333" s="4" t="str">
        <f>Sheet1!A1333 &amp; "/" &amp; "2025"</f>
        <v>1332/2025</v>
      </c>
      <c r="B1333" s="5" t="str">
        <f>Sheet1!E1333</f>
        <v>IND/MEL/01332</v>
      </c>
      <c r="C1333" s="6" t="str">
        <f>UPPER(Sheet1!B1333)</f>
        <v>TAYLOR ZIMMERMAN</v>
      </c>
      <c r="D1333" s="7" t="str">
        <f>IF(Sheet1!F1333="F","FEMALE","MALE")</f>
        <v>MALE</v>
      </c>
      <c r="E1333" s="6" t="str">
        <f>UPPER(Sheet1!G1333)</f>
        <v>GREGORY RODRIGUEZ</v>
      </c>
      <c r="F1333" s="6" t="str">
        <f>UPPER(Sheet1!H1333)</f>
        <v>ANGELICA HAMPTON</v>
      </c>
      <c r="G1333" s="5" t="str">
        <f>TEXT(Sheet1!C1333,"dd/mm/yyyy") &amp; "," &amp; Sheet1!D1333</f>
        <v>29/11/2025,BARRONBERG</v>
      </c>
      <c r="H1333" s="39" t="str">
        <f>UPPER(Sheet1!J1333 &amp; "," &amp; Sheet1!K1333 &amp; "," &amp; Sheet1!L1333)</f>
        <v>1383 GIBSON CREEK,SUITE 304,PIN:86183 EAST KAYLALAND</v>
      </c>
      <c r="I1333" s="8">
        <f>Sheet1!I1333</f>
        <v>46065</v>
      </c>
      <c r="J1333" s="5" t="str">
        <f>Sheet1!M1333 &amp; "," &amp; TEXT(Sheet1!N1333,"dd/mm/yy")</f>
        <v>MHA/IND/01338,18/02/26</v>
      </c>
      <c r="K1333" s="5" t="s">
        <v>5752</v>
      </c>
      <c r="L1333" t="s">
        <v>14</v>
      </c>
      <c r="M1333" s="31" t="s">
        <v>15</v>
      </c>
      <c r="N1333" s="31"/>
    </row>
    <row r="1334" spans="1:14" x14ac:dyDescent="0.25">
      <c r="A1334" s="4" t="str">
        <f>Sheet1!A1334 &amp; "/" &amp; "2025"</f>
        <v>1333/2025</v>
      </c>
      <c r="B1334" s="5" t="str">
        <f>Sheet1!E1334</f>
        <v>IND/MEL/01333</v>
      </c>
      <c r="C1334" s="6" t="str">
        <f>UPPER(Sheet1!B1334)</f>
        <v>SHANNON CLARK</v>
      </c>
      <c r="D1334" s="7" t="str">
        <f>IF(Sheet1!F1334="F","FEMALE","MALE")</f>
        <v>MALE</v>
      </c>
      <c r="E1334" s="6" t="str">
        <f>UPPER(Sheet1!G1334)</f>
        <v>JASON RICE</v>
      </c>
      <c r="F1334" s="6" t="str">
        <f>UPPER(Sheet1!H1334)</f>
        <v>REBECCA FULLER</v>
      </c>
      <c r="G1334" s="5" t="str">
        <f>TEXT(Sheet1!C1334,"dd/mm/yyyy") &amp; "," &amp; Sheet1!D1334</f>
        <v>08/04/2025,DANIELSBERG</v>
      </c>
      <c r="H1334" s="39" t="str">
        <f>UPPER(Sheet1!J1334 &amp; "," &amp; Sheet1!K1334 &amp; "," &amp; Sheet1!L1334)</f>
        <v>87116 DANIEL FORD APT. 788,APT. 988,PIN:20030 SEANCHESTER</v>
      </c>
      <c r="I1334" s="8">
        <f>Sheet1!I1334</f>
        <v>46065</v>
      </c>
      <c r="J1334" s="5" t="str">
        <f>Sheet1!M1334 &amp; "," &amp; TEXT(Sheet1!N1334,"dd/mm/yy")</f>
        <v>MHA/IND/01339,25/02/26</v>
      </c>
      <c r="K1334" s="5" t="s">
        <v>5752</v>
      </c>
      <c r="L1334" t="s">
        <v>14</v>
      </c>
      <c r="M1334" s="31" t="s">
        <v>15</v>
      </c>
      <c r="N1334" s="31"/>
    </row>
    <row r="1335" spans="1:14" x14ac:dyDescent="0.25">
      <c r="A1335" s="4" t="str">
        <f>Sheet1!A1335 &amp; "/" &amp; "2025"</f>
        <v>1334/2025</v>
      </c>
      <c r="B1335" s="5" t="str">
        <f>Sheet1!E1335</f>
        <v>IND/MEL/01334</v>
      </c>
      <c r="C1335" s="6" t="str">
        <f>UPPER(Sheet1!B1335)</f>
        <v>TYLER BELTRAN</v>
      </c>
      <c r="D1335" s="7" t="str">
        <f>IF(Sheet1!F1335="F","FEMALE","MALE")</f>
        <v>MALE</v>
      </c>
      <c r="E1335" s="6" t="str">
        <f>UPPER(Sheet1!G1335)</f>
        <v>JAMES SCOTT</v>
      </c>
      <c r="F1335" s="6" t="str">
        <f>UPPER(Sheet1!H1335)</f>
        <v>DEBRA ROTH</v>
      </c>
      <c r="G1335" s="5" t="str">
        <f>TEXT(Sheet1!C1335,"dd/mm/yyyy") &amp; "," &amp; Sheet1!D1335</f>
        <v>30/07/2025,NORTH TIFFANY</v>
      </c>
      <c r="H1335" s="39" t="str">
        <f>UPPER(Sheet1!J1335 &amp; "," &amp; Sheet1!K1335 &amp; "," &amp; Sheet1!L1335)</f>
        <v>583 FOX PARKWAYS APT. 425,APT. 322,PIN:60420 WEST TRACY</v>
      </c>
      <c r="I1335" s="8">
        <f>Sheet1!I1335</f>
        <v>46065</v>
      </c>
      <c r="J1335" s="5" t="str">
        <f>Sheet1!M1335 &amp; "," &amp; TEXT(Sheet1!N1335,"dd/mm/yy")</f>
        <v>MHA/IND/01340,05/03/26</v>
      </c>
      <c r="K1335" s="5" t="s">
        <v>5752</v>
      </c>
      <c r="L1335" t="s">
        <v>14</v>
      </c>
      <c r="M1335" s="31" t="s">
        <v>15</v>
      </c>
      <c r="N1335" s="31"/>
    </row>
    <row r="1336" spans="1:14" x14ac:dyDescent="0.25">
      <c r="A1336" s="4" t="str">
        <f>Sheet1!A1336 &amp; "/" &amp; "2025"</f>
        <v>1335/2025</v>
      </c>
      <c r="B1336" s="5" t="str">
        <f>Sheet1!E1336</f>
        <v>IND/MEL/01335</v>
      </c>
      <c r="C1336" s="6" t="str">
        <f>UPPER(Sheet1!B1336)</f>
        <v>DAVID DANIELS</v>
      </c>
      <c r="D1336" s="7" t="str">
        <f>IF(Sheet1!F1336="F","FEMALE","MALE")</f>
        <v>FEMALE</v>
      </c>
      <c r="E1336" s="6" t="str">
        <f>UPPER(Sheet1!G1336)</f>
        <v>GARY RIOS</v>
      </c>
      <c r="F1336" s="6" t="str">
        <f>UPPER(Sheet1!H1336)</f>
        <v>SHIRLEY BURCH DDS</v>
      </c>
      <c r="G1336" s="5" t="str">
        <f>TEXT(Sheet1!C1336,"dd/mm/yyyy") &amp; "," &amp; Sheet1!D1336</f>
        <v>18/10/2025,EAST HEATHERCHESTER</v>
      </c>
      <c r="H1336" s="39" t="str">
        <f>UPPER(Sheet1!J1336 &amp; "," &amp; Sheet1!K1336 &amp; "," &amp; Sheet1!L1336)</f>
        <v>899 ROBERT SQUARE APT. 683,SUITE 046,PIN:02692 MARCIABOROUGH</v>
      </c>
      <c r="I1336" s="8">
        <f>Sheet1!I1336</f>
        <v>46065</v>
      </c>
      <c r="J1336" s="5" t="str">
        <f>Sheet1!M1336 &amp; "," &amp; TEXT(Sheet1!N1336,"dd/mm/yy")</f>
        <v>MHA/IND/01341,04/03/26</v>
      </c>
      <c r="K1336" s="5" t="s">
        <v>5752</v>
      </c>
      <c r="L1336" t="s">
        <v>14</v>
      </c>
      <c r="M1336" s="31" t="s">
        <v>15</v>
      </c>
      <c r="N1336" s="31"/>
    </row>
    <row r="1337" spans="1:14" x14ac:dyDescent="0.25">
      <c r="A1337" s="4" t="str">
        <f>Sheet1!A1337 &amp; "/" &amp; "2025"</f>
        <v>1336/2025</v>
      </c>
      <c r="B1337" s="5" t="str">
        <f>Sheet1!E1337</f>
        <v>IND/MEL/01336</v>
      </c>
      <c r="C1337" s="6" t="str">
        <f>UPPER(Sheet1!B1337)</f>
        <v>STACEY JONES</v>
      </c>
      <c r="D1337" s="7" t="str">
        <f>IF(Sheet1!F1337="F","FEMALE","MALE")</f>
        <v>FEMALE</v>
      </c>
      <c r="E1337" s="6" t="str">
        <f>UPPER(Sheet1!G1337)</f>
        <v>PAUL RITTER</v>
      </c>
      <c r="F1337" s="6" t="str">
        <f>UPPER(Sheet1!H1337)</f>
        <v>DOMINIQUE JONES</v>
      </c>
      <c r="G1337" s="5" t="str">
        <f>TEXT(Sheet1!C1337,"dd/mm/yyyy") &amp; "," &amp; Sheet1!D1337</f>
        <v>05/12/2025,NORTH DAVIDFORT</v>
      </c>
      <c r="H1337" s="39" t="str">
        <f>UPPER(Sheet1!J1337 &amp; "," &amp; Sheet1!K1337 &amp; "," &amp; Sheet1!L1337)</f>
        <v>329 ANDREW SPUR,SUITE 205,PIN:58504 BENJAMINLAND</v>
      </c>
      <c r="I1337" s="8">
        <f>Sheet1!I1337</f>
        <v>46065</v>
      </c>
      <c r="J1337" s="5" t="str">
        <f>Sheet1!M1337 &amp; "," &amp; TEXT(Sheet1!N1337,"dd/mm/yy")</f>
        <v>MHA/IND/01342,06/03/26</v>
      </c>
      <c r="K1337" s="5" t="s">
        <v>5752</v>
      </c>
      <c r="L1337" t="s">
        <v>14</v>
      </c>
      <c r="M1337" s="31" t="s">
        <v>15</v>
      </c>
      <c r="N1337" s="31"/>
    </row>
    <row r="1338" spans="1:14" x14ac:dyDescent="0.25">
      <c r="A1338" s="4" t="str">
        <f>Sheet1!A1338 &amp; "/" &amp; "2025"</f>
        <v>1337/2025</v>
      </c>
      <c r="B1338" s="5" t="str">
        <f>Sheet1!E1338</f>
        <v>IND/MEL/01337</v>
      </c>
      <c r="C1338" s="6" t="str">
        <f>UPPER(Sheet1!B1338)</f>
        <v>NICHOLAS HICKS</v>
      </c>
      <c r="D1338" s="7" t="str">
        <f>IF(Sheet1!F1338="F","FEMALE","MALE")</f>
        <v>MALE</v>
      </c>
      <c r="E1338" s="6" t="str">
        <f>UPPER(Sheet1!G1338)</f>
        <v>PATRICK BUTLER</v>
      </c>
      <c r="F1338" s="6" t="str">
        <f>UPPER(Sheet1!H1338)</f>
        <v>TAMMY YOUNG</v>
      </c>
      <c r="G1338" s="5" t="str">
        <f>TEXT(Sheet1!C1338,"dd/mm/yyyy") &amp; "," &amp; Sheet1!D1338</f>
        <v>09/08/2025,JOSEPHVIEW</v>
      </c>
      <c r="H1338" s="39" t="str">
        <f>UPPER(Sheet1!J1338 &amp; "," &amp; Sheet1!K1338 &amp; "," &amp; Sheet1!L1338)</f>
        <v>622 MICHAEL HIGHWAY SUITE 257,APT. 799,PIN:24055 NEALMOUTH</v>
      </c>
      <c r="I1338" s="8">
        <f>Sheet1!I1338</f>
        <v>46065</v>
      </c>
      <c r="J1338" s="5" t="str">
        <f>Sheet1!M1338 &amp; "," &amp; TEXT(Sheet1!N1338,"dd/mm/yy")</f>
        <v>MHA/IND/01343,11/03/26</v>
      </c>
      <c r="K1338" s="5" t="s">
        <v>5752</v>
      </c>
      <c r="L1338" t="s">
        <v>14</v>
      </c>
      <c r="M1338" s="31" t="s">
        <v>15</v>
      </c>
      <c r="N1338" s="31"/>
    </row>
    <row r="1339" spans="1:14" x14ac:dyDescent="0.25">
      <c r="A1339" s="4" t="str">
        <f>Sheet1!A1339 &amp; "/" &amp; "2025"</f>
        <v>1338/2025</v>
      </c>
      <c r="B1339" s="5" t="str">
        <f>Sheet1!E1339</f>
        <v>IND/MEL/01338</v>
      </c>
      <c r="C1339" s="6" t="str">
        <f>UPPER(Sheet1!B1339)</f>
        <v>JASON JOHNSON</v>
      </c>
      <c r="D1339" s="7" t="str">
        <f>IF(Sheet1!F1339="F","FEMALE","MALE")</f>
        <v>FEMALE</v>
      </c>
      <c r="E1339" s="6" t="str">
        <f>UPPER(Sheet1!G1339)</f>
        <v>NATHAN BRANCH</v>
      </c>
      <c r="F1339" s="6" t="str">
        <f>UPPER(Sheet1!H1339)</f>
        <v>AMANDA MITCHELL</v>
      </c>
      <c r="G1339" s="5" t="str">
        <f>TEXT(Sheet1!C1339,"dd/mm/yyyy") &amp; "," &amp; Sheet1!D1339</f>
        <v>12/03/2025,CHRISTINATOWN</v>
      </c>
      <c r="H1339" s="39" t="str">
        <f>UPPER(Sheet1!J1339 &amp; "," &amp; Sheet1!K1339 &amp; "," &amp; Sheet1!L1339)</f>
        <v>47187 ANTHONY SHOAL APT. 901,APT. 811,PIN:57810 WEST MICHELLE</v>
      </c>
      <c r="I1339" s="8">
        <f>Sheet1!I1339</f>
        <v>46065</v>
      </c>
      <c r="J1339" s="5" t="str">
        <f>Sheet1!M1339 &amp; "," &amp; TEXT(Sheet1!N1339,"dd/mm/yy")</f>
        <v>MHA/IND/01344,05/03/26</v>
      </c>
      <c r="K1339" s="5" t="s">
        <v>5752</v>
      </c>
      <c r="L1339" t="s">
        <v>14</v>
      </c>
      <c r="M1339" s="31" t="s">
        <v>15</v>
      </c>
      <c r="N1339" s="31"/>
    </row>
    <row r="1340" spans="1:14" x14ac:dyDescent="0.25">
      <c r="A1340" s="4" t="str">
        <f>Sheet1!A1340 &amp; "/" &amp; "2025"</f>
        <v>1339/2025</v>
      </c>
      <c r="B1340" s="5" t="str">
        <f>Sheet1!E1340</f>
        <v>IND/MEL/01339</v>
      </c>
      <c r="C1340" s="6" t="str">
        <f>UPPER(Sheet1!B1340)</f>
        <v>BRIAN CAIN</v>
      </c>
      <c r="D1340" s="7" t="str">
        <f>IF(Sheet1!F1340="F","FEMALE","MALE")</f>
        <v>FEMALE</v>
      </c>
      <c r="E1340" s="6" t="str">
        <f>UPPER(Sheet1!G1340)</f>
        <v>JERRY SHAW</v>
      </c>
      <c r="F1340" s="6" t="str">
        <f>UPPER(Sheet1!H1340)</f>
        <v>NATALIE OWENS</v>
      </c>
      <c r="G1340" s="5" t="str">
        <f>TEXT(Sheet1!C1340,"dd/mm/yyyy") &amp; "," &amp; Sheet1!D1340</f>
        <v>05/06/2025,HENRYFURT</v>
      </c>
      <c r="H1340" s="39" t="str">
        <f>UPPER(Sheet1!J1340 &amp; "," &amp; Sheet1!K1340 &amp; "," &amp; Sheet1!L1340)</f>
        <v>220 JOSEPH DAM,SUITE 488,PIN:97328 GONZALEZVIEW</v>
      </c>
      <c r="I1340" s="8">
        <f>Sheet1!I1340</f>
        <v>46065</v>
      </c>
      <c r="J1340" s="5" t="str">
        <f>Sheet1!M1340 &amp; "," &amp; TEXT(Sheet1!N1340,"dd/mm/yy")</f>
        <v>MHA/IND/01345,12/03/26</v>
      </c>
      <c r="K1340" s="5" t="s">
        <v>5752</v>
      </c>
      <c r="L1340" t="s">
        <v>14</v>
      </c>
      <c r="M1340" s="31" t="s">
        <v>15</v>
      </c>
      <c r="N1340" s="31"/>
    </row>
    <row r="1341" spans="1:14" x14ac:dyDescent="0.25">
      <c r="A1341" s="4" t="str">
        <f>Sheet1!A1341 &amp; "/" &amp; "2025"</f>
        <v>1340/2025</v>
      </c>
      <c r="B1341" s="5" t="str">
        <f>Sheet1!E1341</f>
        <v>IND/MEL/01340</v>
      </c>
      <c r="C1341" s="6" t="str">
        <f>UPPER(Sheet1!B1341)</f>
        <v>JOHNATHAN HUYNH</v>
      </c>
      <c r="D1341" s="7" t="str">
        <f>IF(Sheet1!F1341="F","FEMALE","MALE")</f>
        <v>FEMALE</v>
      </c>
      <c r="E1341" s="6" t="str">
        <f>UPPER(Sheet1!G1341)</f>
        <v>RYAN SCHWARTZ</v>
      </c>
      <c r="F1341" s="6" t="str">
        <f>UPPER(Sheet1!H1341)</f>
        <v>KRISTEN JOHNSON</v>
      </c>
      <c r="G1341" s="5" t="str">
        <f>TEXT(Sheet1!C1341,"dd/mm/yyyy") &amp; "," &amp; Sheet1!D1341</f>
        <v>10/04/2025,JACKSONTOWN</v>
      </c>
      <c r="H1341" s="39" t="str">
        <f>UPPER(Sheet1!J1341 &amp; "," &amp; Sheet1!K1341 &amp; "," &amp; Sheet1!L1341)</f>
        <v>41609 MENDOZA MEADOWS SUITE 550,SUITE 011,PIN:38637 REEDBURY</v>
      </c>
      <c r="I1341" s="8">
        <f>Sheet1!I1341</f>
        <v>46065</v>
      </c>
      <c r="J1341" s="5" t="str">
        <f>Sheet1!M1341 &amp; "," &amp; TEXT(Sheet1!N1341,"dd/mm/yy")</f>
        <v>MHA/IND/01346,16/02/26</v>
      </c>
      <c r="K1341" s="5" t="s">
        <v>5752</v>
      </c>
      <c r="L1341" t="s">
        <v>14</v>
      </c>
      <c r="M1341" s="31" t="s">
        <v>15</v>
      </c>
      <c r="N1341" s="31"/>
    </row>
    <row r="1342" spans="1:14" x14ac:dyDescent="0.25">
      <c r="A1342" s="4" t="str">
        <f>Sheet1!A1342 &amp; "/" &amp; "2025"</f>
        <v>1341/2025</v>
      </c>
      <c r="B1342" s="5" t="str">
        <f>Sheet1!E1342</f>
        <v>IND/MEL/01341</v>
      </c>
      <c r="C1342" s="6" t="str">
        <f>UPPER(Sheet1!B1342)</f>
        <v>DESIREE MORENO</v>
      </c>
      <c r="D1342" s="7" t="str">
        <f>IF(Sheet1!F1342="F","FEMALE","MALE")</f>
        <v>FEMALE</v>
      </c>
      <c r="E1342" s="6" t="str">
        <f>UPPER(Sheet1!G1342)</f>
        <v>KEITH ROACH</v>
      </c>
      <c r="F1342" s="6" t="str">
        <f>UPPER(Sheet1!H1342)</f>
        <v>KELLY LEVINE</v>
      </c>
      <c r="G1342" s="5" t="str">
        <f>TEXT(Sheet1!C1342,"dd/mm/yyyy") &amp; "," &amp; Sheet1!D1342</f>
        <v>08/04/2025,WEST CHELSEASTAD</v>
      </c>
      <c r="H1342" s="39" t="str">
        <f>UPPER(Sheet1!J1342 &amp; "," &amp; Sheet1!K1342 &amp; "," &amp; Sheet1!L1342)</f>
        <v>6301 LISA STREAM,APT. 282,PIN:85229 SOUTH SAMANTHAFURT</v>
      </c>
      <c r="I1342" s="8">
        <f>Sheet1!I1342</f>
        <v>46065</v>
      </c>
      <c r="J1342" s="5" t="str">
        <f>Sheet1!M1342 &amp; "," &amp; TEXT(Sheet1!N1342,"dd/mm/yy")</f>
        <v>MHA/IND/01347,23/02/26</v>
      </c>
      <c r="K1342" s="5" t="s">
        <v>5752</v>
      </c>
      <c r="L1342" t="s">
        <v>14</v>
      </c>
      <c r="M1342" s="31" t="s">
        <v>15</v>
      </c>
      <c r="N1342" s="31"/>
    </row>
    <row r="1343" spans="1:14" x14ac:dyDescent="0.25">
      <c r="A1343" s="4" t="str">
        <f>Sheet1!A1343 &amp; "/" &amp; "2025"</f>
        <v>1342/2025</v>
      </c>
      <c r="B1343" s="5" t="str">
        <f>Sheet1!E1343</f>
        <v>IND/MEL/01342</v>
      </c>
      <c r="C1343" s="6" t="str">
        <f>UPPER(Sheet1!B1343)</f>
        <v>MELANIE DIAZ</v>
      </c>
      <c r="D1343" s="7" t="str">
        <f>IF(Sheet1!F1343="F","FEMALE","MALE")</f>
        <v>FEMALE</v>
      </c>
      <c r="E1343" s="6" t="str">
        <f>UPPER(Sheet1!G1343)</f>
        <v>KYLE WHEELER</v>
      </c>
      <c r="F1343" s="6" t="str">
        <f>UPPER(Sheet1!H1343)</f>
        <v>ERIN GREEN</v>
      </c>
      <c r="G1343" s="5" t="str">
        <f>TEXT(Sheet1!C1343,"dd/mm/yyyy") &amp; "," &amp; Sheet1!D1343</f>
        <v>24/10/2025,WEST BENJAMINSTAD</v>
      </c>
      <c r="H1343" s="39" t="str">
        <f>UPPER(Sheet1!J1343 &amp; "," &amp; Sheet1!K1343 &amp; "," &amp; Sheet1!L1343)</f>
        <v>002 JENNIFER LIGHTS,SUITE 310,PIN:24154 ZACHARYTON</v>
      </c>
      <c r="I1343" s="8">
        <f>Sheet1!I1343</f>
        <v>46065</v>
      </c>
      <c r="J1343" s="5" t="str">
        <f>Sheet1!M1343 &amp; "," &amp; TEXT(Sheet1!N1343,"dd/mm/yy")</f>
        <v>MHA/IND/01348,05/03/26</v>
      </c>
      <c r="K1343" s="5" t="s">
        <v>5752</v>
      </c>
      <c r="L1343" t="s">
        <v>14</v>
      </c>
      <c r="M1343" s="31" t="s">
        <v>15</v>
      </c>
      <c r="N1343" s="31"/>
    </row>
    <row r="1344" spans="1:14" x14ac:dyDescent="0.25">
      <c r="A1344" s="4" t="str">
        <f>Sheet1!A1344 &amp; "/" &amp; "2025"</f>
        <v>1343/2025</v>
      </c>
      <c r="B1344" s="5" t="str">
        <f>Sheet1!E1344</f>
        <v>IND/MEL/01343</v>
      </c>
      <c r="C1344" s="6" t="str">
        <f>UPPER(Sheet1!B1344)</f>
        <v>THOMAS WILEY</v>
      </c>
      <c r="D1344" s="7" t="str">
        <f>IF(Sheet1!F1344="F","FEMALE","MALE")</f>
        <v>MALE</v>
      </c>
      <c r="E1344" s="6" t="str">
        <f>UPPER(Sheet1!G1344)</f>
        <v>SHANE BROWN</v>
      </c>
      <c r="F1344" s="6" t="str">
        <f>UPPER(Sheet1!H1344)</f>
        <v>JENNIFER RODRIGUEZ</v>
      </c>
      <c r="G1344" s="5" t="str">
        <f>TEXT(Sheet1!C1344,"dd/mm/yyyy") &amp; "," &amp; Sheet1!D1344</f>
        <v>13/12/2025,BRIANSTAD</v>
      </c>
      <c r="H1344" s="39" t="str">
        <f>UPPER(Sheet1!J1344 &amp; "," &amp; Sheet1!K1344 &amp; "," &amp; Sheet1!L1344)</f>
        <v>79706 CERVANTES PLAZA SUITE 045,SUITE 898,PIN:01077 WEST ROBERT</v>
      </c>
      <c r="I1344" s="8">
        <f>Sheet1!I1344</f>
        <v>46065</v>
      </c>
      <c r="J1344" s="5" t="str">
        <f>Sheet1!M1344 &amp; "," &amp; TEXT(Sheet1!N1344,"dd/mm/yy")</f>
        <v>MHA/IND/01349,12/03/26</v>
      </c>
      <c r="K1344" s="5" t="s">
        <v>5752</v>
      </c>
      <c r="L1344" t="s">
        <v>14</v>
      </c>
      <c r="M1344" s="31" t="s">
        <v>15</v>
      </c>
      <c r="N1344" s="31"/>
    </row>
    <row r="1345" spans="1:14" x14ac:dyDescent="0.25">
      <c r="A1345" s="4" t="str">
        <f>Sheet1!A1345 &amp; "/" &amp; "2025"</f>
        <v>1344/2025</v>
      </c>
      <c r="B1345" s="5" t="str">
        <f>Sheet1!E1345</f>
        <v>IND/MEL/01344</v>
      </c>
      <c r="C1345" s="6" t="str">
        <f>UPPER(Sheet1!B1345)</f>
        <v>LISA LAMBERT</v>
      </c>
      <c r="D1345" s="7" t="str">
        <f>IF(Sheet1!F1345="F","FEMALE","MALE")</f>
        <v>FEMALE</v>
      </c>
      <c r="E1345" s="6" t="str">
        <f>UPPER(Sheet1!G1345)</f>
        <v>JOSHUA MOORE</v>
      </c>
      <c r="F1345" s="6" t="str">
        <f>UPPER(Sheet1!H1345)</f>
        <v>KARA GARCIA</v>
      </c>
      <c r="G1345" s="5" t="str">
        <f>TEXT(Sheet1!C1345,"dd/mm/yyyy") &amp; "," &amp; Sheet1!D1345</f>
        <v>19/03/2025,CLARKMOUTH</v>
      </c>
      <c r="H1345" s="39" t="str">
        <f>UPPER(Sheet1!J1345 &amp; "," &amp; Sheet1!K1345 &amp; "," &amp; Sheet1!L1345)</f>
        <v>12272 NEWMAN MANORS,APT. 508,PIN:04806 SHARONLAND</v>
      </c>
      <c r="I1345" s="8">
        <f>Sheet1!I1345</f>
        <v>46065</v>
      </c>
      <c r="J1345" s="5" t="str">
        <f>Sheet1!M1345 &amp; "," &amp; TEXT(Sheet1!N1345,"dd/mm/yy")</f>
        <v>MHA/IND/01350,04/03/26</v>
      </c>
      <c r="K1345" s="5" t="s">
        <v>5752</v>
      </c>
      <c r="L1345" t="s">
        <v>14</v>
      </c>
      <c r="M1345" s="31" t="s">
        <v>15</v>
      </c>
      <c r="N1345" s="31"/>
    </row>
    <row r="1346" spans="1:14" x14ac:dyDescent="0.25">
      <c r="A1346" s="4" t="str">
        <f>Sheet1!A1346 &amp; "/" &amp; "2025"</f>
        <v>1345/2025</v>
      </c>
      <c r="B1346" s="5" t="str">
        <f>Sheet1!E1346</f>
        <v>IND/MEL/01345</v>
      </c>
      <c r="C1346" s="6" t="str">
        <f>UPPER(Sheet1!B1346)</f>
        <v>SAMANTHA ORTIZ</v>
      </c>
      <c r="D1346" s="7" t="str">
        <f>IF(Sheet1!F1346="F","FEMALE","MALE")</f>
        <v>FEMALE</v>
      </c>
      <c r="E1346" s="6" t="str">
        <f>UPPER(Sheet1!G1346)</f>
        <v>NICHOLAS SCHAEFER</v>
      </c>
      <c r="F1346" s="6" t="str">
        <f>UPPER(Sheet1!H1346)</f>
        <v>ERICA MORGAN</v>
      </c>
      <c r="G1346" s="5" t="str">
        <f>TEXT(Sheet1!C1346,"dd/mm/yyyy") &amp; "," &amp; Sheet1!D1346</f>
        <v>21/04/2025,RACHELTOWN</v>
      </c>
      <c r="H1346" s="39" t="str">
        <f>UPPER(Sheet1!J1346 &amp; "," &amp; Sheet1!K1346 &amp; "," &amp; Sheet1!L1346)</f>
        <v>672 ROBIN LOCK,APT. 066,PIN:58170 LAKE KEITHSIDE</v>
      </c>
      <c r="I1346" s="8">
        <f>Sheet1!I1346</f>
        <v>46065</v>
      </c>
      <c r="J1346" s="5" t="str">
        <f>Sheet1!M1346 &amp; "," &amp; TEXT(Sheet1!N1346,"dd/mm/yy")</f>
        <v>MHA/IND/01351,20/02/26</v>
      </c>
      <c r="K1346" s="5" t="s">
        <v>5752</v>
      </c>
      <c r="L1346" t="s">
        <v>14</v>
      </c>
      <c r="M1346" s="31" t="s">
        <v>15</v>
      </c>
      <c r="N1346" s="31"/>
    </row>
    <row r="1347" spans="1:14" x14ac:dyDescent="0.25">
      <c r="A1347" s="4" t="str">
        <f>Sheet1!A1347 &amp; "/" &amp; "2025"</f>
        <v>1346/2025</v>
      </c>
      <c r="B1347" s="5" t="str">
        <f>Sheet1!E1347</f>
        <v>IND/MEL/01346</v>
      </c>
      <c r="C1347" s="6" t="str">
        <f>UPPER(Sheet1!B1347)</f>
        <v>FELICIA LITTLE</v>
      </c>
      <c r="D1347" s="7" t="str">
        <f>IF(Sheet1!F1347="F","FEMALE","MALE")</f>
        <v>MALE</v>
      </c>
      <c r="E1347" s="6" t="str">
        <f>UPPER(Sheet1!G1347)</f>
        <v>MARTIN WILLIAMS</v>
      </c>
      <c r="F1347" s="6" t="str">
        <f>UPPER(Sheet1!H1347)</f>
        <v>CAITLIN YATES MD</v>
      </c>
      <c r="G1347" s="5" t="str">
        <f>TEXT(Sheet1!C1347,"dd/mm/yyyy") &amp; "," &amp; Sheet1!D1347</f>
        <v>16/12/2025,ALVAREZLAND</v>
      </c>
      <c r="H1347" s="39" t="str">
        <f>UPPER(Sheet1!J1347 &amp; "," &amp; Sheet1!K1347 &amp; "," &amp; Sheet1!L1347)</f>
        <v>6848 NIELSEN SPRINGS SUITE 933,APT. 780,PIN:98149 ERICPORT</v>
      </c>
      <c r="I1347" s="8">
        <f>Sheet1!I1347</f>
        <v>46065</v>
      </c>
      <c r="J1347" s="5" t="str">
        <f>Sheet1!M1347 &amp; "," &amp; TEXT(Sheet1!N1347,"dd/mm/yy")</f>
        <v>MHA/IND/01352,08/03/26</v>
      </c>
      <c r="K1347" s="5" t="s">
        <v>5752</v>
      </c>
      <c r="L1347" t="s">
        <v>14</v>
      </c>
      <c r="M1347" s="31" t="s">
        <v>15</v>
      </c>
      <c r="N1347" s="31"/>
    </row>
    <row r="1348" spans="1:14" x14ac:dyDescent="0.25">
      <c r="A1348" s="4" t="str">
        <f>Sheet1!A1348 &amp; "/" &amp; "2025"</f>
        <v>1347/2025</v>
      </c>
      <c r="B1348" s="5" t="str">
        <f>Sheet1!E1348</f>
        <v>IND/MEL/01347</v>
      </c>
      <c r="C1348" s="6" t="str">
        <f>UPPER(Sheet1!B1348)</f>
        <v>ASHLEY KENNEDY</v>
      </c>
      <c r="D1348" s="7" t="str">
        <f>IF(Sheet1!F1348="F","FEMALE","MALE")</f>
        <v>MALE</v>
      </c>
      <c r="E1348" s="6" t="str">
        <f>UPPER(Sheet1!G1348)</f>
        <v>DAVID JONES</v>
      </c>
      <c r="F1348" s="6" t="str">
        <f>UPPER(Sheet1!H1348)</f>
        <v>NANCY WRIGHT</v>
      </c>
      <c r="G1348" s="5" t="str">
        <f>TEXT(Sheet1!C1348,"dd/mm/yyyy") &amp; "," &amp; Sheet1!D1348</f>
        <v>18/08/2025,ERINSHIRE</v>
      </c>
      <c r="H1348" s="39" t="str">
        <f>UPPER(Sheet1!J1348 &amp; "," &amp; Sheet1!K1348 &amp; "," &amp; Sheet1!L1348)</f>
        <v>506 MEGAN FORK,SUITE 863,PIN:10489 JESSICAFURT</v>
      </c>
      <c r="I1348" s="8">
        <f>Sheet1!I1348</f>
        <v>46065</v>
      </c>
      <c r="J1348" s="5" t="str">
        <f>Sheet1!M1348 &amp; "," &amp; TEXT(Sheet1!N1348,"dd/mm/yy")</f>
        <v>MHA/IND/01353,19/02/26</v>
      </c>
      <c r="K1348" s="5" t="s">
        <v>5752</v>
      </c>
      <c r="L1348" t="s">
        <v>14</v>
      </c>
      <c r="M1348" s="31" t="s">
        <v>15</v>
      </c>
      <c r="N1348" s="31"/>
    </row>
    <row r="1349" spans="1:14" x14ac:dyDescent="0.25">
      <c r="A1349" s="4" t="str">
        <f>Sheet1!A1349 &amp; "/" &amp; "2025"</f>
        <v>1348/2025</v>
      </c>
      <c r="B1349" s="5" t="str">
        <f>Sheet1!E1349</f>
        <v>IND/MEL/01348</v>
      </c>
      <c r="C1349" s="6" t="str">
        <f>UPPER(Sheet1!B1349)</f>
        <v>LORI ATKINSON</v>
      </c>
      <c r="D1349" s="7" t="str">
        <f>IF(Sheet1!F1349="F","FEMALE","MALE")</f>
        <v>MALE</v>
      </c>
      <c r="E1349" s="6" t="str">
        <f>UPPER(Sheet1!G1349)</f>
        <v>JACK WATERS</v>
      </c>
      <c r="F1349" s="6" t="str">
        <f>UPPER(Sheet1!H1349)</f>
        <v>LAURA BROWN</v>
      </c>
      <c r="G1349" s="5" t="str">
        <f>TEXT(Sheet1!C1349,"dd/mm/yyyy") &amp; "," &amp; Sheet1!D1349</f>
        <v>21/07/2025,JEREMIAHLAND</v>
      </c>
      <c r="H1349" s="39" t="str">
        <f>UPPER(Sheet1!J1349 &amp; "," &amp; Sheet1!K1349 &amp; "," &amp; Sheet1!L1349)</f>
        <v>175 THOMAS EXTENSIONS,SUITE 213,PIN:54463 LAKE COURTNEYMOUTH</v>
      </c>
      <c r="I1349" s="8">
        <f>Sheet1!I1349</f>
        <v>46065</v>
      </c>
      <c r="J1349" s="5" t="str">
        <f>Sheet1!M1349 &amp; "," &amp; TEXT(Sheet1!N1349,"dd/mm/yy")</f>
        <v>MHA/IND/01354,21/02/26</v>
      </c>
      <c r="K1349" s="5" t="s">
        <v>5752</v>
      </c>
      <c r="L1349" t="s">
        <v>14</v>
      </c>
      <c r="M1349" s="31" t="s">
        <v>15</v>
      </c>
      <c r="N1349" s="31"/>
    </row>
    <row r="1350" spans="1:14" x14ac:dyDescent="0.25">
      <c r="A1350" s="4" t="str">
        <f>Sheet1!A1350 &amp; "/" &amp; "2025"</f>
        <v>1349/2025</v>
      </c>
      <c r="B1350" s="5" t="str">
        <f>Sheet1!E1350</f>
        <v>IND/MEL/01349</v>
      </c>
      <c r="C1350" s="6" t="str">
        <f>UPPER(Sheet1!B1350)</f>
        <v>ANTONIO FERNANDEZ</v>
      </c>
      <c r="D1350" s="7" t="str">
        <f>IF(Sheet1!F1350="F","FEMALE","MALE")</f>
        <v>FEMALE</v>
      </c>
      <c r="E1350" s="6" t="str">
        <f>UPPER(Sheet1!G1350)</f>
        <v>TYLER WRIGHT</v>
      </c>
      <c r="F1350" s="6" t="str">
        <f>UPPER(Sheet1!H1350)</f>
        <v>EILEEN NORRIS</v>
      </c>
      <c r="G1350" s="5" t="str">
        <f>TEXT(Sheet1!C1350,"dd/mm/yyyy") &amp; "," &amp; Sheet1!D1350</f>
        <v>22/03/2025,EAST HANNAH</v>
      </c>
      <c r="H1350" s="39" t="str">
        <f>UPPER(Sheet1!J1350 &amp; "," &amp; Sheet1!K1350 &amp; "," &amp; Sheet1!L1350)</f>
        <v>07684 APRIL PASS,APT. 717,PIN:43159 SOUTH ALEC</v>
      </c>
      <c r="I1350" s="8">
        <f>Sheet1!I1350</f>
        <v>46065</v>
      </c>
      <c r="J1350" s="5" t="str">
        <f>Sheet1!M1350 &amp; "," &amp; TEXT(Sheet1!N1350,"dd/mm/yy")</f>
        <v>MHA/IND/01355,16/02/26</v>
      </c>
      <c r="K1350" s="5" t="s">
        <v>5752</v>
      </c>
      <c r="L1350" t="s">
        <v>14</v>
      </c>
      <c r="M1350" s="31" t="s">
        <v>15</v>
      </c>
      <c r="N1350" s="31"/>
    </row>
    <row r="1351" spans="1:14" x14ac:dyDescent="0.25">
      <c r="A1351" s="4" t="str">
        <f>Sheet1!A1351 &amp; "/" &amp; "2025"</f>
        <v>1350/2025</v>
      </c>
      <c r="B1351" s="5" t="str">
        <f>Sheet1!E1351</f>
        <v>IND/MEL/01350</v>
      </c>
      <c r="C1351" s="6" t="str">
        <f>UPPER(Sheet1!B1351)</f>
        <v>DARLENE LIU</v>
      </c>
      <c r="D1351" s="7" t="str">
        <f>IF(Sheet1!F1351="F","FEMALE","MALE")</f>
        <v>FEMALE</v>
      </c>
      <c r="E1351" s="6" t="str">
        <f>UPPER(Sheet1!G1351)</f>
        <v>WILLIAM WALLACE</v>
      </c>
      <c r="F1351" s="6" t="str">
        <f>UPPER(Sheet1!H1351)</f>
        <v>LINDSEY PEREZ</v>
      </c>
      <c r="G1351" s="5" t="str">
        <f>TEXT(Sheet1!C1351,"dd/mm/yyyy") &amp; "," &amp; Sheet1!D1351</f>
        <v>13/08/2025,ELLISTON</v>
      </c>
      <c r="H1351" s="39" t="str">
        <f>UPPER(Sheet1!J1351 &amp; "," &amp; Sheet1!K1351 &amp; "," &amp; Sheet1!L1351)</f>
        <v>39722 GARDNER CLIFFS APT. 396,SUITE 969,PIN:90483 JESSICABERG</v>
      </c>
      <c r="I1351" s="8">
        <f>Sheet1!I1351</f>
        <v>46065</v>
      </c>
      <c r="J1351" s="5" t="str">
        <f>Sheet1!M1351 &amp; "," &amp; TEXT(Sheet1!N1351,"dd/mm/yy")</f>
        <v>MHA/IND/01356,22/02/26</v>
      </c>
      <c r="K1351" s="5" t="s">
        <v>5752</v>
      </c>
      <c r="L1351" t="s">
        <v>14</v>
      </c>
      <c r="M1351" s="31" t="s">
        <v>15</v>
      </c>
      <c r="N1351" s="31"/>
    </row>
    <row r="1352" spans="1:14" x14ac:dyDescent="0.25">
      <c r="A1352" s="4" t="str">
        <f>Sheet1!A1352 &amp; "/" &amp; "2025"</f>
        <v>1351/2025</v>
      </c>
      <c r="B1352" s="5" t="str">
        <f>Sheet1!E1352</f>
        <v>IND/MEL/01351</v>
      </c>
      <c r="C1352" s="6" t="str">
        <f>UPPER(Sheet1!B1352)</f>
        <v>CRYSTAL LI</v>
      </c>
      <c r="D1352" s="7" t="str">
        <f>IF(Sheet1!F1352="F","FEMALE","MALE")</f>
        <v>FEMALE</v>
      </c>
      <c r="E1352" s="6" t="str">
        <f>UPPER(Sheet1!G1352)</f>
        <v>ROBERT COLE</v>
      </c>
      <c r="F1352" s="6" t="str">
        <f>UPPER(Sheet1!H1352)</f>
        <v>ASHLEY COLE</v>
      </c>
      <c r="G1352" s="5" t="str">
        <f>TEXT(Sheet1!C1352,"dd/mm/yyyy") &amp; "," &amp; Sheet1!D1352</f>
        <v>13/11/2025,SOSASTAD</v>
      </c>
      <c r="H1352" s="39" t="str">
        <f>UPPER(Sheet1!J1352 &amp; "," &amp; Sheet1!K1352 &amp; "," &amp; Sheet1!L1352)</f>
        <v>881 SMITH PLAZA,SUITE 499,PIN:38907 LAKE LINDASTAD</v>
      </c>
      <c r="I1352" s="8">
        <f>Sheet1!I1352</f>
        <v>46065</v>
      </c>
      <c r="J1352" s="5" t="str">
        <f>Sheet1!M1352 &amp; "," &amp; TEXT(Sheet1!N1352,"dd/mm/yy")</f>
        <v>MHA/IND/01357,22/02/26</v>
      </c>
      <c r="K1352" s="5" t="s">
        <v>5752</v>
      </c>
      <c r="L1352" t="s">
        <v>14</v>
      </c>
      <c r="M1352" s="31" t="s">
        <v>15</v>
      </c>
      <c r="N1352" s="31"/>
    </row>
    <row r="1353" spans="1:14" x14ac:dyDescent="0.25">
      <c r="A1353" s="4" t="str">
        <f>Sheet1!A1353 &amp; "/" &amp; "2025"</f>
        <v>1352/2025</v>
      </c>
      <c r="B1353" s="5" t="str">
        <f>Sheet1!E1353</f>
        <v>IND/MEL/01352</v>
      </c>
      <c r="C1353" s="6" t="str">
        <f>UPPER(Sheet1!B1353)</f>
        <v>STEPHEN FORD</v>
      </c>
      <c r="D1353" s="7" t="str">
        <f>IF(Sheet1!F1353="F","FEMALE","MALE")</f>
        <v>FEMALE</v>
      </c>
      <c r="E1353" s="6" t="str">
        <f>UPPER(Sheet1!G1353)</f>
        <v>BRANDON KING</v>
      </c>
      <c r="F1353" s="6" t="str">
        <f>UPPER(Sheet1!H1353)</f>
        <v>JULIE NOBLE</v>
      </c>
      <c r="G1353" s="5" t="str">
        <f>TEXT(Sheet1!C1353,"dd/mm/yyyy") &amp; "," &amp; Sheet1!D1353</f>
        <v>05/01/2026,PORT SAMANTHA</v>
      </c>
      <c r="H1353" s="39" t="str">
        <f>UPPER(Sheet1!J1353 &amp; "," &amp; Sheet1!K1353 &amp; "," &amp; Sheet1!L1353)</f>
        <v>986 ZACHARY HARBORS SUITE 948,SUITE 818,PIN:55439 MORROWTON</v>
      </c>
      <c r="I1353" s="8">
        <f>Sheet1!I1353</f>
        <v>46065</v>
      </c>
      <c r="J1353" s="5" t="str">
        <f>Sheet1!M1353 &amp; "," &amp; TEXT(Sheet1!N1353,"dd/mm/yy")</f>
        <v>MHA/IND/01358,08/03/26</v>
      </c>
      <c r="K1353" s="5" t="s">
        <v>5752</v>
      </c>
      <c r="L1353" t="s">
        <v>14</v>
      </c>
      <c r="M1353" s="31" t="s">
        <v>15</v>
      </c>
      <c r="N1353" s="31"/>
    </row>
    <row r="1354" spans="1:14" x14ac:dyDescent="0.25">
      <c r="A1354" s="4" t="str">
        <f>Sheet1!A1354 &amp; "/" &amp; "2025"</f>
        <v>1353/2025</v>
      </c>
      <c r="B1354" s="5" t="str">
        <f>Sheet1!E1354</f>
        <v>IND/MEL/01353</v>
      </c>
      <c r="C1354" s="6" t="str">
        <f>UPPER(Sheet1!B1354)</f>
        <v>KEVIN MCDONALD</v>
      </c>
      <c r="D1354" s="7" t="str">
        <f>IF(Sheet1!F1354="F","FEMALE","MALE")</f>
        <v>MALE</v>
      </c>
      <c r="E1354" s="6" t="str">
        <f>UPPER(Sheet1!G1354)</f>
        <v>RYAN DAVIS</v>
      </c>
      <c r="F1354" s="6" t="str">
        <f>UPPER(Sheet1!H1354)</f>
        <v>JENNIFER SCOTT</v>
      </c>
      <c r="G1354" s="5" t="str">
        <f>TEXT(Sheet1!C1354,"dd/mm/yyyy") &amp; "," &amp; Sheet1!D1354</f>
        <v>15/09/2025,SOUTH JORGE</v>
      </c>
      <c r="H1354" s="39" t="str">
        <f>UPPER(Sheet1!J1354 &amp; "," &amp; Sheet1!K1354 &amp; "," &amp; Sheet1!L1354)</f>
        <v>460 TRACY ROADS,APT. 940,PIN:27512 NORTH JEAN</v>
      </c>
      <c r="I1354" s="8">
        <f>Sheet1!I1354</f>
        <v>46065</v>
      </c>
      <c r="J1354" s="5" t="str">
        <f>Sheet1!M1354 &amp; "," &amp; TEXT(Sheet1!N1354,"dd/mm/yy")</f>
        <v>MHA/IND/01359,28/02/26</v>
      </c>
      <c r="K1354" s="5" t="s">
        <v>5752</v>
      </c>
      <c r="L1354" t="s">
        <v>14</v>
      </c>
      <c r="M1354" s="31" t="s">
        <v>15</v>
      </c>
      <c r="N1354" s="31"/>
    </row>
    <row r="1355" spans="1:14" x14ac:dyDescent="0.25">
      <c r="A1355" s="4" t="str">
        <f>Sheet1!A1355 &amp; "/" &amp; "2025"</f>
        <v>1354/2025</v>
      </c>
      <c r="B1355" s="5" t="str">
        <f>Sheet1!E1355</f>
        <v>IND/MEL/01354</v>
      </c>
      <c r="C1355" s="6" t="str">
        <f>UPPER(Sheet1!B1355)</f>
        <v>AARON WALKER</v>
      </c>
      <c r="D1355" s="7" t="str">
        <f>IF(Sheet1!F1355="F","FEMALE","MALE")</f>
        <v>MALE</v>
      </c>
      <c r="E1355" s="6" t="str">
        <f>UPPER(Sheet1!G1355)</f>
        <v>CHRISTOPHER DENNIS</v>
      </c>
      <c r="F1355" s="6" t="str">
        <f>UPPER(Sheet1!H1355)</f>
        <v>CAROL MCDANIEL</v>
      </c>
      <c r="G1355" s="5" t="str">
        <f>TEXT(Sheet1!C1355,"dd/mm/yyyy") &amp; "," &amp; Sheet1!D1355</f>
        <v>14/07/2025,SCOTTBOROUGH</v>
      </c>
      <c r="H1355" s="39" t="str">
        <f>UPPER(Sheet1!J1355 &amp; "," &amp; Sheet1!K1355 &amp; "," &amp; Sheet1!L1355)</f>
        <v>2315 ANDREWS TRAIL,APT. 402,PIN:35393 SOUTH KELLI</v>
      </c>
      <c r="I1355" s="8">
        <f>Sheet1!I1355</f>
        <v>46065</v>
      </c>
      <c r="J1355" s="5" t="str">
        <f>Sheet1!M1355 &amp; "," &amp; TEXT(Sheet1!N1355,"dd/mm/yy")</f>
        <v>MHA/IND/01360,26/02/26</v>
      </c>
      <c r="K1355" s="5" t="s">
        <v>5752</v>
      </c>
      <c r="L1355" t="s">
        <v>14</v>
      </c>
      <c r="M1355" s="31" t="s">
        <v>15</v>
      </c>
      <c r="N1355" s="31"/>
    </row>
    <row r="1356" spans="1:14" x14ac:dyDescent="0.25">
      <c r="A1356" s="4" t="str">
        <f>Sheet1!A1356 &amp; "/" &amp; "2025"</f>
        <v>1355/2025</v>
      </c>
      <c r="B1356" s="5" t="str">
        <f>Sheet1!E1356</f>
        <v>IND/MEL/01355</v>
      </c>
      <c r="C1356" s="6" t="str">
        <f>UPPER(Sheet1!B1356)</f>
        <v>STEPHANIE COOPER</v>
      </c>
      <c r="D1356" s="7" t="str">
        <f>IF(Sheet1!F1356="F","FEMALE","MALE")</f>
        <v>MALE</v>
      </c>
      <c r="E1356" s="6" t="str">
        <f>UPPER(Sheet1!G1356)</f>
        <v>KYLE BOWEN</v>
      </c>
      <c r="F1356" s="6" t="str">
        <f>UPPER(Sheet1!H1356)</f>
        <v>BELINDA YOUNG</v>
      </c>
      <c r="G1356" s="5" t="str">
        <f>TEXT(Sheet1!C1356,"dd/mm/yyyy") &amp; "," &amp; Sheet1!D1356</f>
        <v>18/01/2026,LAKE THOMASMOUTH</v>
      </c>
      <c r="H1356" s="39" t="str">
        <f>UPPER(Sheet1!J1356 &amp; "," &amp; Sheet1!K1356 &amp; "," &amp; Sheet1!L1356)</f>
        <v>443 JONATHAN HOLLOW APT. 362,APT. 913,PIN:24366 PORT ZACHARYBURY</v>
      </c>
      <c r="I1356" s="8">
        <f>Sheet1!I1356</f>
        <v>46065</v>
      </c>
      <c r="J1356" s="5" t="str">
        <f>Sheet1!M1356 &amp; "," &amp; TEXT(Sheet1!N1356,"dd/mm/yy")</f>
        <v>MHA/IND/01361,14/03/26</v>
      </c>
      <c r="K1356" s="5" t="s">
        <v>5752</v>
      </c>
      <c r="L1356" t="s">
        <v>14</v>
      </c>
      <c r="M1356" s="31" t="s">
        <v>15</v>
      </c>
      <c r="N1356" s="31"/>
    </row>
    <row r="1357" spans="1:14" x14ac:dyDescent="0.25">
      <c r="A1357" s="4" t="str">
        <f>Sheet1!A1357 &amp; "/" &amp; "2025"</f>
        <v>1356/2025</v>
      </c>
      <c r="B1357" s="5" t="str">
        <f>Sheet1!E1357</f>
        <v>IND/MEL/01356</v>
      </c>
      <c r="C1357" s="6" t="str">
        <f>UPPER(Sheet1!B1357)</f>
        <v>PATRICIA WALKER</v>
      </c>
      <c r="D1357" s="7" t="str">
        <f>IF(Sheet1!F1357="F","FEMALE","MALE")</f>
        <v>FEMALE</v>
      </c>
      <c r="E1357" s="6" t="str">
        <f>UPPER(Sheet1!G1357)</f>
        <v>GEORGE DEAN</v>
      </c>
      <c r="F1357" s="6" t="str">
        <f>UPPER(Sheet1!H1357)</f>
        <v>BETH MELENDEZ</v>
      </c>
      <c r="G1357" s="5" t="str">
        <f>TEXT(Sheet1!C1357,"dd/mm/yyyy") &amp; "," &amp; Sheet1!D1357</f>
        <v>09/06/2025,MITCHELLFORT</v>
      </c>
      <c r="H1357" s="39" t="str">
        <f>UPPER(Sheet1!J1357 &amp; "," &amp; Sheet1!K1357 &amp; "," &amp; Sheet1!L1357)</f>
        <v>5558 KATRINA FERRY APT. 975,APT. 205,PIN:37915 LAKE STEPHEN</v>
      </c>
      <c r="I1357" s="8">
        <f>Sheet1!I1357</f>
        <v>46065</v>
      </c>
      <c r="J1357" s="5" t="str">
        <f>Sheet1!M1357 &amp; "," &amp; TEXT(Sheet1!N1357,"dd/mm/yy")</f>
        <v>MHA/IND/01362,15/02/26</v>
      </c>
      <c r="K1357" s="5" t="s">
        <v>5752</v>
      </c>
      <c r="L1357" t="s">
        <v>14</v>
      </c>
      <c r="M1357" s="31" t="s">
        <v>15</v>
      </c>
      <c r="N1357" s="31"/>
    </row>
    <row r="1358" spans="1:14" x14ac:dyDescent="0.25">
      <c r="A1358" s="4" t="str">
        <f>Sheet1!A1358 &amp; "/" &amp; "2025"</f>
        <v>1357/2025</v>
      </c>
      <c r="B1358" s="5" t="str">
        <f>Sheet1!E1358</f>
        <v>IND/MEL/01357</v>
      </c>
      <c r="C1358" s="6" t="str">
        <f>UPPER(Sheet1!B1358)</f>
        <v>NICOLE MITCHELL</v>
      </c>
      <c r="D1358" s="7" t="str">
        <f>IF(Sheet1!F1358="F","FEMALE","MALE")</f>
        <v>MALE</v>
      </c>
      <c r="E1358" s="6" t="str">
        <f>UPPER(Sheet1!G1358)</f>
        <v>WILLIAM WEBSTER</v>
      </c>
      <c r="F1358" s="6" t="str">
        <f>UPPER(Sheet1!H1358)</f>
        <v>JILL JACKSON</v>
      </c>
      <c r="G1358" s="5" t="str">
        <f>TEXT(Sheet1!C1358,"dd/mm/yyyy") &amp; "," &amp; Sheet1!D1358</f>
        <v>03/09/2025,PORT DAVID</v>
      </c>
      <c r="H1358" s="39" t="str">
        <f>UPPER(Sheet1!J1358 &amp; "," &amp; Sheet1!K1358 &amp; "," &amp; Sheet1!L1358)</f>
        <v>315 ANGELA CRESCENT SUITE 113,APT. 912,PIN:45706 PAMMOUTH</v>
      </c>
      <c r="I1358" s="8">
        <f>Sheet1!I1358</f>
        <v>46065</v>
      </c>
      <c r="J1358" s="5" t="str">
        <f>Sheet1!M1358 &amp; "," &amp; TEXT(Sheet1!N1358,"dd/mm/yy")</f>
        <v>MHA/IND/01363,23/02/26</v>
      </c>
      <c r="K1358" s="5" t="s">
        <v>5752</v>
      </c>
      <c r="L1358" t="s">
        <v>14</v>
      </c>
      <c r="M1358" s="31" t="s">
        <v>15</v>
      </c>
      <c r="N1358" s="31"/>
    </row>
    <row r="1359" spans="1:14" x14ac:dyDescent="0.25">
      <c r="A1359" s="4" t="str">
        <f>Sheet1!A1359 &amp; "/" &amp; "2025"</f>
        <v>1358/2025</v>
      </c>
      <c r="B1359" s="5" t="str">
        <f>Sheet1!E1359</f>
        <v>IND/MEL/01358</v>
      </c>
      <c r="C1359" s="6" t="str">
        <f>UPPER(Sheet1!B1359)</f>
        <v>EMMA BULLOCK</v>
      </c>
      <c r="D1359" s="7" t="str">
        <f>IF(Sheet1!F1359="F","FEMALE","MALE")</f>
        <v>MALE</v>
      </c>
      <c r="E1359" s="6" t="str">
        <f>UPPER(Sheet1!G1359)</f>
        <v>MATTHEW RIVERA</v>
      </c>
      <c r="F1359" s="6" t="str">
        <f>UPPER(Sheet1!H1359)</f>
        <v>KATRINA ROACH</v>
      </c>
      <c r="G1359" s="5" t="str">
        <f>TEXT(Sheet1!C1359,"dd/mm/yyyy") &amp; "," &amp; Sheet1!D1359</f>
        <v>20/09/2025,HANNAHFURT</v>
      </c>
      <c r="H1359" s="39" t="str">
        <f>UPPER(Sheet1!J1359 &amp; "," &amp; Sheet1!K1359 &amp; "," &amp; Sheet1!L1359)</f>
        <v>524 FULLER CREST,APT. 668,PIN:67486 MILLERSHIRE</v>
      </c>
      <c r="I1359" s="8">
        <f>Sheet1!I1359</f>
        <v>46065</v>
      </c>
      <c r="J1359" s="5" t="str">
        <f>Sheet1!M1359 &amp; "," &amp; TEXT(Sheet1!N1359,"dd/mm/yy")</f>
        <v>MHA/IND/01364,21/02/26</v>
      </c>
      <c r="K1359" s="5" t="s">
        <v>5752</v>
      </c>
      <c r="L1359" t="s">
        <v>14</v>
      </c>
      <c r="M1359" s="31" t="s">
        <v>15</v>
      </c>
      <c r="N1359" s="31"/>
    </row>
    <row r="1360" spans="1:14" x14ac:dyDescent="0.25">
      <c r="A1360" s="4" t="str">
        <f>Sheet1!A1360 &amp; "/" &amp; "2025"</f>
        <v>1359/2025</v>
      </c>
      <c r="B1360" s="5" t="str">
        <f>Sheet1!E1360</f>
        <v>IND/MEL/01359</v>
      </c>
      <c r="C1360" s="6" t="str">
        <f>UPPER(Sheet1!B1360)</f>
        <v>RYAN WHITAKER</v>
      </c>
      <c r="D1360" s="7" t="str">
        <f>IF(Sheet1!F1360="F","FEMALE","MALE")</f>
        <v>FEMALE</v>
      </c>
      <c r="E1360" s="6" t="str">
        <f>UPPER(Sheet1!G1360)</f>
        <v>EDWARD GOMEZ</v>
      </c>
      <c r="F1360" s="6" t="str">
        <f>UPPER(Sheet1!H1360)</f>
        <v>LINDSAY PERKINS</v>
      </c>
      <c r="G1360" s="5" t="str">
        <f>TEXT(Sheet1!C1360,"dd/mm/yyyy") &amp; "," &amp; Sheet1!D1360</f>
        <v>19/09/2025,LAKE MEAGANVIEW</v>
      </c>
      <c r="H1360" s="39" t="str">
        <f>UPPER(Sheet1!J1360 &amp; "," &amp; Sheet1!K1360 &amp; "," &amp; Sheet1!L1360)</f>
        <v>5473 WOODS HOLLOW,SUITE 068,PIN:28085 WEST KRISTINTOWN</v>
      </c>
      <c r="I1360" s="8">
        <f>Sheet1!I1360</f>
        <v>46065</v>
      </c>
      <c r="J1360" s="5" t="str">
        <f>Sheet1!M1360 &amp; "," &amp; TEXT(Sheet1!N1360,"dd/mm/yy")</f>
        <v>MHA/IND/01365,24/02/26</v>
      </c>
      <c r="K1360" s="5" t="s">
        <v>5752</v>
      </c>
      <c r="L1360" t="s">
        <v>14</v>
      </c>
      <c r="M1360" s="31" t="s">
        <v>15</v>
      </c>
      <c r="N1360" s="31"/>
    </row>
    <row r="1361" spans="1:14" x14ac:dyDescent="0.25">
      <c r="A1361" s="4" t="str">
        <f>Sheet1!A1361 &amp; "/" &amp; "2025"</f>
        <v>1360/2025</v>
      </c>
      <c r="B1361" s="5" t="str">
        <f>Sheet1!E1361</f>
        <v>IND/MEL/01360</v>
      </c>
      <c r="C1361" s="6" t="str">
        <f>UPPER(Sheet1!B1361)</f>
        <v>DAN SCOTT</v>
      </c>
      <c r="D1361" s="7" t="str">
        <f>IF(Sheet1!F1361="F","FEMALE","MALE")</f>
        <v>MALE</v>
      </c>
      <c r="E1361" s="6" t="str">
        <f>UPPER(Sheet1!G1361)</f>
        <v>LOUIS GREEN</v>
      </c>
      <c r="F1361" s="6" t="str">
        <f>UPPER(Sheet1!H1361)</f>
        <v>ASHLEY KELLEY</v>
      </c>
      <c r="G1361" s="5" t="str">
        <f>TEXT(Sheet1!C1361,"dd/mm/yyyy") &amp; "," &amp; Sheet1!D1361</f>
        <v>25/03/2025,ELLENVILLE</v>
      </c>
      <c r="H1361" s="39" t="str">
        <f>UPPER(Sheet1!J1361 &amp; "," &amp; Sheet1!K1361 &amp; "," &amp; Sheet1!L1361)</f>
        <v>5830 GUERRERO MANOR,APT. 434,PIN:09495 NEW SCOTT</v>
      </c>
      <c r="I1361" s="8">
        <f>Sheet1!I1361</f>
        <v>46065</v>
      </c>
      <c r="J1361" s="5" t="str">
        <f>Sheet1!M1361 &amp; "," &amp; TEXT(Sheet1!N1361,"dd/mm/yy")</f>
        <v>MHA/IND/01366,26/02/26</v>
      </c>
      <c r="K1361" s="5" t="s">
        <v>5752</v>
      </c>
      <c r="L1361" t="s">
        <v>14</v>
      </c>
      <c r="M1361" s="31" t="s">
        <v>15</v>
      </c>
      <c r="N1361" s="31"/>
    </row>
    <row r="1362" spans="1:14" x14ac:dyDescent="0.25">
      <c r="A1362" s="4" t="str">
        <f>Sheet1!A1362 &amp; "/" &amp; "2025"</f>
        <v>1361/2025</v>
      </c>
      <c r="B1362" s="5" t="str">
        <f>Sheet1!E1362</f>
        <v>IND/MEL/01361</v>
      </c>
      <c r="C1362" s="6" t="str">
        <f>UPPER(Sheet1!B1362)</f>
        <v>DAVID HALE</v>
      </c>
      <c r="D1362" s="7" t="str">
        <f>IF(Sheet1!F1362="F","FEMALE","MALE")</f>
        <v>FEMALE</v>
      </c>
      <c r="E1362" s="6" t="str">
        <f>UPPER(Sheet1!G1362)</f>
        <v>RAYMOND CRUZ</v>
      </c>
      <c r="F1362" s="6" t="str">
        <f>UPPER(Sheet1!H1362)</f>
        <v>KIMBERLY PEREZ</v>
      </c>
      <c r="G1362" s="5" t="str">
        <f>TEXT(Sheet1!C1362,"dd/mm/yyyy") &amp; "," &amp; Sheet1!D1362</f>
        <v>16/06/2025,NEW SHARIPORT</v>
      </c>
      <c r="H1362" s="39" t="str">
        <f>UPPER(Sheet1!J1362 &amp; "," &amp; Sheet1!K1362 &amp; "," &amp; Sheet1!L1362)</f>
        <v>119 HUNTER CANYON SUITE 954,APT. 463,PIN:24592 JODIBURY</v>
      </c>
      <c r="I1362" s="8">
        <f>Sheet1!I1362</f>
        <v>46065</v>
      </c>
      <c r="J1362" s="5" t="str">
        <f>Sheet1!M1362 &amp; "," &amp; TEXT(Sheet1!N1362,"dd/mm/yy")</f>
        <v>MHA/IND/01367,09/03/26</v>
      </c>
      <c r="K1362" s="5" t="s">
        <v>5752</v>
      </c>
      <c r="L1362" t="s">
        <v>14</v>
      </c>
      <c r="M1362" s="31" t="s">
        <v>15</v>
      </c>
      <c r="N1362" s="31"/>
    </row>
    <row r="1363" spans="1:14" x14ac:dyDescent="0.25">
      <c r="A1363" s="4" t="str">
        <f>Sheet1!A1363 &amp; "/" &amp; "2025"</f>
        <v>1362/2025</v>
      </c>
      <c r="B1363" s="5" t="str">
        <f>Sheet1!E1363</f>
        <v>IND/MEL/01362</v>
      </c>
      <c r="C1363" s="6" t="str">
        <f>UPPER(Sheet1!B1363)</f>
        <v>DIANE STONE</v>
      </c>
      <c r="D1363" s="7" t="str">
        <f>IF(Sheet1!F1363="F","FEMALE","MALE")</f>
        <v>MALE</v>
      </c>
      <c r="E1363" s="6" t="str">
        <f>UPPER(Sheet1!G1363)</f>
        <v>OMAR CRAIG</v>
      </c>
      <c r="F1363" s="6" t="str">
        <f>UPPER(Sheet1!H1363)</f>
        <v>SARA HAMILTON</v>
      </c>
      <c r="G1363" s="5" t="str">
        <f>TEXT(Sheet1!C1363,"dd/mm/yyyy") &amp; "," &amp; Sheet1!D1363</f>
        <v>30/01/2026,SOUTH CHERYL</v>
      </c>
      <c r="H1363" s="39" t="str">
        <f>UPPER(Sheet1!J1363 &amp; "," &amp; Sheet1!K1363 &amp; "," &amp; Sheet1!L1363)</f>
        <v>93769 PATRICK RIDGE,APT. 463,PIN:23031 LAKE DAWN</v>
      </c>
      <c r="I1363" s="8">
        <f>Sheet1!I1363</f>
        <v>46065</v>
      </c>
      <c r="J1363" s="5" t="str">
        <f>Sheet1!M1363 &amp; "," &amp; TEXT(Sheet1!N1363,"dd/mm/yy")</f>
        <v>MHA/IND/01368,16/02/26</v>
      </c>
      <c r="K1363" s="5" t="s">
        <v>5752</v>
      </c>
      <c r="L1363" t="s">
        <v>14</v>
      </c>
      <c r="M1363" s="31" t="s">
        <v>15</v>
      </c>
      <c r="N1363" s="31"/>
    </row>
    <row r="1364" spans="1:14" x14ac:dyDescent="0.25">
      <c r="A1364" s="4" t="str">
        <f>Sheet1!A1364 &amp; "/" &amp; "2025"</f>
        <v>1363/2025</v>
      </c>
      <c r="B1364" s="5" t="str">
        <f>Sheet1!E1364</f>
        <v>IND/MEL/01363</v>
      </c>
      <c r="C1364" s="6" t="str">
        <f>UPPER(Sheet1!B1364)</f>
        <v>CALVIN LAWRENCE</v>
      </c>
      <c r="D1364" s="7" t="str">
        <f>IF(Sheet1!F1364="F","FEMALE","MALE")</f>
        <v>MALE</v>
      </c>
      <c r="E1364" s="6" t="str">
        <f>UPPER(Sheet1!G1364)</f>
        <v>WALTER ADKINS</v>
      </c>
      <c r="F1364" s="6" t="str">
        <f>UPPER(Sheet1!H1364)</f>
        <v>DR. ASHLEY MILLER</v>
      </c>
      <c r="G1364" s="5" t="str">
        <f>TEXT(Sheet1!C1364,"dd/mm/yyyy") &amp; "," &amp; Sheet1!D1364</f>
        <v>06/10/2025,WHITEMOUTH</v>
      </c>
      <c r="H1364" s="39" t="str">
        <f>UPPER(Sheet1!J1364 &amp; "," &amp; Sheet1!K1364 &amp; "," &amp; Sheet1!L1364)</f>
        <v>705 MULLEN FLAT APT. 783,APT. 947,PIN:12948 SOUTH KAREN</v>
      </c>
      <c r="I1364" s="8">
        <f>Sheet1!I1364</f>
        <v>46065</v>
      </c>
      <c r="J1364" s="5" t="str">
        <f>Sheet1!M1364 &amp; "," &amp; TEXT(Sheet1!N1364,"dd/mm/yy")</f>
        <v>MHA/IND/01369,06/03/26</v>
      </c>
      <c r="K1364" s="5" t="s">
        <v>5752</v>
      </c>
      <c r="L1364" t="s">
        <v>14</v>
      </c>
      <c r="M1364" s="31" t="s">
        <v>15</v>
      </c>
      <c r="N1364" s="31"/>
    </row>
    <row r="1365" spans="1:14" x14ac:dyDescent="0.25">
      <c r="A1365" s="4" t="str">
        <f>Sheet1!A1365 &amp; "/" &amp; "2025"</f>
        <v>1364/2025</v>
      </c>
      <c r="B1365" s="5" t="str">
        <f>Sheet1!E1365</f>
        <v>IND/MEL/01364</v>
      </c>
      <c r="C1365" s="6" t="str">
        <f>UPPER(Sheet1!B1365)</f>
        <v>BRENT MAYO</v>
      </c>
      <c r="D1365" s="7" t="str">
        <f>IF(Sheet1!F1365="F","FEMALE","MALE")</f>
        <v>FEMALE</v>
      </c>
      <c r="E1365" s="6" t="str">
        <f>UPPER(Sheet1!G1365)</f>
        <v>COREY WOOD</v>
      </c>
      <c r="F1365" s="6" t="str">
        <f>UPPER(Sheet1!H1365)</f>
        <v>SANDRA SHEPHERD</v>
      </c>
      <c r="G1365" s="5" t="str">
        <f>TEXT(Sheet1!C1365,"dd/mm/yyyy") &amp; "," &amp; Sheet1!D1365</f>
        <v>08/08/2025,ANNAHAVEN</v>
      </c>
      <c r="H1365" s="39" t="str">
        <f>UPPER(Sheet1!J1365 &amp; "," &amp; Sheet1!K1365 &amp; "," &amp; Sheet1!L1365)</f>
        <v>920 EMMA LOCKS APT. 431,APT. 775,PIN:18514 VANESSAFURT</v>
      </c>
      <c r="I1365" s="8">
        <f>Sheet1!I1365</f>
        <v>46065</v>
      </c>
      <c r="J1365" s="5" t="str">
        <f>Sheet1!M1365 &amp; "," &amp; TEXT(Sheet1!N1365,"dd/mm/yy")</f>
        <v>MHA/IND/01370,06/03/26</v>
      </c>
      <c r="K1365" s="5" t="s">
        <v>5752</v>
      </c>
      <c r="L1365" t="s">
        <v>14</v>
      </c>
      <c r="M1365" s="31" t="s">
        <v>15</v>
      </c>
      <c r="N1365" s="31"/>
    </row>
    <row r="1366" spans="1:14" x14ac:dyDescent="0.25">
      <c r="A1366" s="4" t="str">
        <f>Sheet1!A1366 &amp; "/" &amp; "2025"</f>
        <v>1365/2025</v>
      </c>
      <c r="B1366" s="5" t="str">
        <f>Sheet1!E1366</f>
        <v>IND/MEL/01365</v>
      </c>
      <c r="C1366" s="6" t="str">
        <f>UPPER(Sheet1!B1366)</f>
        <v>CAROL TAYLOR</v>
      </c>
      <c r="D1366" s="7" t="str">
        <f>IF(Sheet1!F1366="F","FEMALE","MALE")</f>
        <v>FEMALE</v>
      </c>
      <c r="E1366" s="6" t="str">
        <f>UPPER(Sheet1!G1366)</f>
        <v>JAMES MONTGOMERY</v>
      </c>
      <c r="F1366" s="6" t="str">
        <f>UPPER(Sheet1!H1366)</f>
        <v>CHRISTINA TAYLOR</v>
      </c>
      <c r="G1366" s="5" t="str">
        <f>TEXT(Sheet1!C1366,"dd/mm/yyyy") &amp; "," &amp; Sheet1!D1366</f>
        <v>19/05/2025,ADRIANABERG</v>
      </c>
      <c r="H1366" s="39" t="str">
        <f>UPPER(Sheet1!J1366 &amp; "," &amp; Sheet1!K1366 &amp; "," &amp; Sheet1!L1366)</f>
        <v>0203 MICHAEL STRAVENUE,APT. 297,PIN:27859 SAMUELPORT</v>
      </c>
      <c r="I1366" s="8">
        <f>Sheet1!I1366</f>
        <v>46065</v>
      </c>
      <c r="J1366" s="5" t="str">
        <f>Sheet1!M1366 &amp; "," &amp; TEXT(Sheet1!N1366,"dd/mm/yy")</f>
        <v>MHA/IND/01371,27/02/26</v>
      </c>
      <c r="K1366" s="5" t="s">
        <v>5752</v>
      </c>
      <c r="L1366" t="s">
        <v>14</v>
      </c>
      <c r="M1366" s="31" t="s">
        <v>15</v>
      </c>
      <c r="N1366" s="31"/>
    </row>
    <row r="1367" spans="1:14" x14ac:dyDescent="0.25">
      <c r="A1367" s="4" t="str">
        <f>Sheet1!A1367 &amp; "/" &amp; "2025"</f>
        <v>1366/2025</v>
      </c>
      <c r="B1367" s="5" t="str">
        <f>Sheet1!E1367</f>
        <v>IND/MEL/01366</v>
      </c>
      <c r="C1367" s="6" t="str">
        <f>UPPER(Sheet1!B1367)</f>
        <v>DARREN SILVA</v>
      </c>
      <c r="D1367" s="7" t="str">
        <f>IF(Sheet1!F1367="F","FEMALE","MALE")</f>
        <v>MALE</v>
      </c>
      <c r="E1367" s="6" t="str">
        <f>UPPER(Sheet1!G1367)</f>
        <v>SHAWN PARRISH</v>
      </c>
      <c r="F1367" s="6" t="str">
        <f>UPPER(Sheet1!H1367)</f>
        <v>MELISSA LEE</v>
      </c>
      <c r="G1367" s="5" t="str">
        <f>TEXT(Sheet1!C1367,"dd/mm/yyyy") &amp; "," &amp; Sheet1!D1367</f>
        <v>09/03/2025,NEW JAMESBERG</v>
      </c>
      <c r="H1367" s="39" t="str">
        <f>UPPER(Sheet1!J1367 &amp; "," &amp; Sheet1!K1367 &amp; "," &amp; Sheet1!L1367)</f>
        <v>83680 COPELAND DRIVE APT. 075,APT. 042,PIN:16438 CLINEFORT</v>
      </c>
      <c r="I1367" s="8">
        <f>Sheet1!I1367</f>
        <v>46065</v>
      </c>
      <c r="J1367" s="5" t="str">
        <f>Sheet1!M1367 &amp; "," &amp; TEXT(Sheet1!N1367,"dd/mm/yy")</f>
        <v>MHA/IND/01372,26/02/26</v>
      </c>
      <c r="K1367" s="5" t="s">
        <v>5752</v>
      </c>
      <c r="L1367" t="s">
        <v>14</v>
      </c>
      <c r="M1367" s="31" t="s">
        <v>15</v>
      </c>
      <c r="N1367" s="31"/>
    </row>
    <row r="1368" spans="1:14" x14ac:dyDescent="0.25">
      <c r="A1368" s="4" t="str">
        <f>Sheet1!A1368 &amp; "/" &amp; "2025"</f>
        <v>1367/2025</v>
      </c>
      <c r="B1368" s="5" t="str">
        <f>Sheet1!E1368</f>
        <v>IND/MEL/01367</v>
      </c>
      <c r="C1368" s="6" t="str">
        <f>UPPER(Sheet1!B1368)</f>
        <v>MARY GARZA</v>
      </c>
      <c r="D1368" s="7" t="str">
        <f>IF(Sheet1!F1368="F","FEMALE","MALE")</f>
        <v>MALE</v>
      </c>
      <c r="E1368" s="6" t="str">
        <f>UPPER(Sheet1!G1368)</f>
        <v>MATTHEW WALKER</v>
      </c>
      <c r="F1368" s="6" t="str">
        <f>UPPER(Sheet1!H1368)</f>
        <v>CAITLYN POWERS</v>
      </c>
      <c r="G1368" s="5" t="str">
        <f>TEXT(Sheet1!C1368,"dd/mm/yyyy") &amp; "," &amp; Sheet1!D1368</f>
        <v>07/03/2025,SOUTH ROBERTHAVEN</v>
      </c>
      <c r="H1368" s="39" t="str">
        <f>UPPER(Sheet1!J1368 &amp; "," &amp; Sheet1!K1368 &amp; "," &amp; Sheet1!L1368)</f>
        <v>04815 JOHN SPRING,APT. 714,PIN:57064 ANTHONYSTAD</v>
      </c>
      <c r="I1368" s="8">
        <f>Sheet1!I1368</f>
        <v>46065</v>
      </c>
      <c r="J1368" s="5" t="str">
        <f>Sheet1!M1368 &amp; "," &amp; TEXT(Sheet1!N1368,"dd/mm/yy")</f>
        <v>MHA/IND/01373,10/03/26</v>
      </c>
      <c r="K1368" s="5" t="s">
        <v>5752</v>
      </c>
      <c r="L1368" t="s">
        <v>14</v>
      </c>
      <c r="M1368" s="31" t="s">
        <v>15</v>
      </c>
      <c r="N1368" s="31"/>
    </row>
    <row r="1369" spans="1:14" x14ac:dyDescent="0.25">
      <c r="A1369" s="4" t="str">
        <f>Sheet1!A1369 &amp; "/" &amp; "2025"</f>
        <v>1368/2025</v>
      </c>
      <c r="B1369" s="5" t="str">
        <f>Sheet1!E1369</f>
        <v>IND/MEL/01368</v>
      </c>
      <c r="C1369" s="6" t="str">
        <f>UPPER(Sheet1!B1369)</f>
        <v>JOSEPH JAMES</v>
      </c>
      <c r="D1369" s="7" t="str">
        <f>IF(Sheet1!F1369="F","FEMALE","MALE")</f>
        <v>FEMALE</v>
      </c>
      <c r="E1369" s="6" t="str">
        <f>UPPER(Sheet1!G1369)</f>
        <v>JEREMIAH MORRIS</v>
      </c>
      <c r="F1369" s="6" t="str">
        <f>UPPER(Sheet1!H1369)</f>
        <v>MICHELLE WILLIAMS</v>
      </c>
      <c r="G1369" s="5" t="str">
        <f>TEXT(Sheet1!C1369,"dd/mm/yyyy") &amp; "," &amp; Sheet1!D1369</f>
        <v>26/02/2025,LAKE PAULATON</v>
      </c>
      <c r="H1369" s="39" t="str">
        <f>UPPER(Sheet1!J1369 &amp; "," &amp; Sheet1!K1369 &amp; "," &amp; Sheet1!L1369)</f>
        <v>154 RICHARD VILLAGE SUITE 063,SUITE 901,PIN:90569 PORT BRIANMOUTH</v>
      </c>
      <c r="I1369" s="8">
        <f>Sheet1!I1369</f>
        <v>46065</v>
      </c>
      <c r="J1369" s="5" t="str">
        <f>Sheet1!M1369 &amp; "," &amp; TEXT(Sheet1!N1369,"dd/mm/yy")</f>
        <v>MHA/IND/01374,07/03/26</v>
      </c>
      <c r="K1369" s="5" t="s">
        <v>5752</v>
      </c>
      <c r="L1369" t="s">
        <v>14</v>
      </c>
      <c r="M1369" s="31" t="s">
        <v>15</v>
      </c>
      <c r="N1369" s="31"/>
    </row>
    <row r="1370" spans="1:14" x14ac:dyDescent="0.25">
      <c r="A1370" s="4" t="str">
        <f>Sheet1!A1370 &amp; "/" &amp; "2025"</f>
        <v>1369/2025</v>
      </c>
      <c r="B1370" s="5" t="str">
        <f>Sheet1!E1370</f>
        <v>IND/MEL/01369</v>
      </c>
      <c r="C1370" s="6" t="str">
        <f>UPPER(Sheet1!B1370)</f>
        <v>JAMIE GILL</v>
      </c>
      <c r="D1370" s="7" t="str">
        <f>IF(Sheet1!F1370="F","FEMALE","MALE")</f>
        <v>FEMALE</v>
      </c>
      <c r="E1370" s="6" t="str">
        <f>UPPER(Sheet1!G1370)</f>
        <v>STEVEN JONES</v>
      </c>
      <c r="F1370" s="6" t="str">
        <f>UPPER(Sheet1!H1370)</f>
        <v>DEBORAH FRANK</v>
      </c>
      <c r="G1370" s="5" t="str">
        <f>TEXT(Sheet1!C1370,"dd/mm/yyyy") &amp; "," &amp; Sheet1!D1370</f>
        <v>27/12/2025,EAST ANTHONY</v>
      </c>
      <c r="H1370" s="39" t="str">
        <f>UPPER(Sheet1!J1370 &amp; "," &amp; Sheet1!K1370 &amp; "," &amp; Sheet1!L1370)</f>
        <v>97596 SAMUEL FORD APT. 547,SUITE 884,PIN:65178 NEW GREGORYLAND</v>
      </c>
      <c r="I1370" s="8">
        <f>Sheet1!I1370</f>
        <v>46065</v>
      </c>
      <c r="J1370" s="5" t="str">
        <f>Sheet1!M1370 &amp; "," &amp; TEXT(Sheet1!N1370,"dd/mm/yy")</f>
        <v>MHA/IND/01375,22/02/26</v>
      </c>
      <c r="K1370" s="5" t="s">
        <v>5752</v>
      </c>
      <c r="L1370" t="s">
        <v>14</v>
      </c>
      <c r="M1370" s="31" t="s">
        <v>15</v>
      </c>
      <c r="N1370" s="31"/>
    </row>
    <row r="1371" spans="1:14" x14ac:dyDescent="0.25">
      <c r="A1371" s="4" t="str">
        <f>Sheet1!A1371 &amp; "/" &amp; "2025"</f>
        <v>1370/2025</v>
      </c>
      <c r="B1371" s="5" t="str">
        <f>Sheet1!E1371</f>
        <v>IND/MEL/01370</v>
      </c>
      <c r="C1371" s="6" t="str">
        <f>UPPER(Sheet1!B1371)</f>
        <v>MARILYN REED</v>
      </c>
      <c r="D1371" s="7" t="str">
        <f>IF(Sheet1!F1371="F","FEMALE","MALE")</f>
        <v>MALE</v>
      </c>
      <c r="E1371" s="6" t="str">
        <f>UPPER(Sheet1!G1371)</f>
        <v>RICHARD BASS</v>
      </c>
      <c r="F1371" s="6" t="str">
        <f>UPPER(Sheet1!H1371)</f>
        <v>CHRISTINA LEE</v>
      </c>
      <c r="G1371" s="5" t="str">
        <f>TEXT(Sheet1!C1371,"dd/mm/yyyy") &amp; "," &amp; Sheet1!D1371</f>
        <v>28/11/2025,CYNTHIAFORT</v>
      </c>
      <c r="H1371" s="39" t="str">
        <f>UPPER(Sheet1!J1371 &amp; "," &amp; Sheet1!K1371 &amp; "," &amp; Sheet1!L1371)</f>
        <v>42896 MICHAEL UNIONS,SUITE 347,PIN:03694 BECKHAVEN</v>
      </c>
      <c r="I1371" s="8">
        <f>Sheet1!I1371</f>
        <v>46065</v>
      </c>
      <c r="J1371" s="5" t="str">
        <f>Sheet1!M1371 &amp; "," &amp; TEXT(Sheet1!N1371,"dd/mm/yy")</f>
        <v>MHA/IND/01376,18/02/26</v>
      </c>
      <c r="K1371" s="5" t="s">
        <v>5752</v>
      </c>
      <c r="L1371" t="s">
        <v>14</v>
      </c>
      <c r="M1371" s="31" t="s">
        <v>15</v>
      </c>
      <c r="N1371" s="31"/>
    </row>
    <row r="1372" spans="1:14" x14ac:dyDescent="0.25">
      <c r="A1372" s="4" t="str">
        <f>Sheet1!A1372 &amp; "/" &amp; "2025"</f>
        <v>1371/2025</v>
      </c>
      <c r="B1372" s="5" t="str">
        <f>Sheet1!E1372</f>
        <v>IND/MEL/01371</v>
      </c>
      <c r="C1372" s="6" t="str">
        <f>UPPER(Sheet1!B1372)</f>
        <v>KATHRYN PRATT</v>
      </c>
      <c r="D1372" s="7" t="str">
        <f>IF(Sheet1!F1372="F","FEMALE","MALE")</f>
        <v>FEMALE</v>
      </c>
      <c r="E1372" s="6" t="str">
        <f>UPPER(Sheet1!G1372)</f>
        <v>DAVID FIGUEROA</v>
      </c>
      <c r="F1372" s="6" t="str">
        <f>UPPER(Sheet1!H1372)</f>
        <v>ANGIE SCHWARTZ</v>
      </c>
      <c r="G1372" s="5" t="str">
        <f>TEXT(Sheet1!C1372,"dd/mm/yyyy") &amp; "," &amp; Sheet1!D1372</f>
        <v>12/07/2025,SOUTH TONYBOROUGH</v>
      </c>
      <c r="H1372" s="39" t="str">
        <f>UPPER(Sheet1!J1372 &amp; "," &amp; Sheet1!K1372 &amp; "," &amp; Sheet1!L1372)</f>
        <v>68738 ERICA POINT SUITE 864,SUITE 763,PIN:86231 SOUTH LISAPORT</v>
      </c>
      <c r="I1372" s="8">
        <f>Sheet1!I1372</f>
        <v>46065</v>
      </c>
      <c r="J1372" s="5" t="str">
        <f>Sheet1!M1372 &amp; "," &amp; TEXT(Sheet1!N1372,"dd/mm/yy")</f>
        <v>MHA/IND/01377,01/03/26</v>
      </c>
      <c r="K1372" s="5" t="s">
        <v>5752</v>
      </c>
      <c r="L1372" t="s">
        <v>14</v>
      </c>
      <c r="M1372" s="31" t="s">
        <v>15</v>
      </c>
      <c r="N1372" s="31"/>
    </row>
    <row r="1373" spans="1:14" x14ac:dyDescent="0.25">
      <c r="A1373" s="4" t="str">
        <f>Sheet1!A1373 &amp; "/" &amp; "2025"</f>
        <v>1372/2025</v>
      </c>
      <c r="B1373" s="5" t="str">
        <f>Sheet1!E1373</f>
        <v>IND/MEL/01372</v>
      </c>
      <c r="C1373" s="6" t="str">
        <f>UPPER(Sheet1!B1373)</f>
        <v>KEVIN SANCHEZ</v>
      </c>
      <c r="D1373" s="7" t="str">
        <f>IF(Sheet1!F1373="F","FEMALE","MALE")</f>
        <v>MALE</v>
      </c>
      <c r="E1373" s="6" t="str">
        <f>UPPER(Sheet1!G1373)</f>
        <v>MICHAEL HUBBARD</v>
      </c>
      <c r="F1373" s="6" t="str">
        <f>UPPER(Sheet1!H1373)</f>
        <v>LISA BRADLEY</v>
      </c>
      <c r="G1373" s="5" t="str">
        <f>TEXT(Sheet1!C1373,"dd/mm/yyyy") &amp; "," &amp; Sheet1!D1373</f>
        <v>26/08/2025,WEST TAMARAMOUTH</v>
      </c>
      <c r="H1373" s="39" t="str">
        <f>UPPER(Sheet1!J1373 &amp; "," &amp; Sheet1!K1373 &amp; "," &amp; Sheet1!L1373)</f>
        <v>745 HARTMAN WELL SUITE 351,SUITE 089,PIN:58251 LAKE KATRINA</v>
      </c>
      <c r="I1373" s="8">
        <f>Sheet1!I1373</f>
        <v>46065</v>
      </c>
      <c r="J1373" s="5" t="str">
        <f>Sheet1!M1373 &amp; "," &amp; TEXT(Sheet1!N1373,"dd/mm/yy")</f>
        <v>MHA/IND/01378,01/03/26</v>
      </c>
      <c r="K1373" s="5" t="s">
        <v>5752</v>
      </c>
      <c r="L1373" t="s">
        <v>14</v>
      </c>
      <c r="M1373" s="31" t="s">
        <v>15</v>
      </c>
      <c r="N1373" s="31"/>
    </row>
    <row r="1374" spans="1:14" x14ac:dyDescent="0.25">
      <c r="A1374" s="4" t="str">
        <f>Sheet1!A1374 &amp; "/" &amp; "2025"</f>
        <v>1373/2025</v>
      </c>
      <c r="B1374" s="5" t="str">
        <f>Sheet1!E1374</f>
        <v>IND/MEL/01373</v>
      </c>
      <c r="C1374" s="6" t="str">
        <f>UPPER(Sheet1!B1374)</f>
        <v>CARLOS BROCK</v>
      </c>
      <c r="D1374" s="7" t="str">
        <f>IF(Sheet1!F1374="F","FEMALE","MALE")</f>
        <v>MALE</v>
      </c>
      <c r="E1374" s="6" t="str">
        <f>UPPER(Sheet1!G1374)</f>
        <v>JONATHAN PIERCE</v>
      </c>
      <c r="F1374" s="6" t="str">
        <f>UPPER(Sheet1!H1374)</f>
        <v>AMY LARSEN</v>
      </c>
      <c r="G1374" s="5" t="str">
        <f>TEXT(Sheet1!C1374,"dd/mm/yyyy") &amp; "," &amp; Sheet1!D1374</f>
        <v>19/10/2025,SOUTH WHITNEY</v>
      </c>
      <c r="H1374" s="39" t="str">
        <f>UPPER(Sheet1!J1374 &amp; "," &amp; Sheet1!K1374 &amp; "," &amp; Sheet1!L1374)</f>
        <v>296 JOHNSON GREENS,SUITE 431,PIN:14202 PARKERLAND</v>
      </c>
      <c r="I1374" s="8">
        <f>Sheet1!I1374</f>
        <v>46065</v>
      </c>
      <c r="J1374" s="5" t="str">
        <f>Sheet1!M1374 &amp; "," &amp; TEXT(Sheet1!N1374,"dd/mm/yy")</f>
        <v>MHA/IND/01379,06/03/26</v>
      </c>
      <c r="K1374" s="5" t="s">
        <v>5752</v>
      </c>
      <c r="L1374" t="s">
        <v>14</v>
      </c>
      <c r="M1374" s="31" t="s">
        <v>15</v>
      </c>
      <c r="N1374" s="31"/>
    </row>
    <row r="1375" spans="1:14" x14ac:dyDescent="0.25">
      <c r="A1375" s="4" t="str">
        <f>Sheet1!A1375 &amp; "/" &amp; "2025"</f>
        <v>1374/2025</v>
      </c>
      <c r="B1375" s="5" t="str">
        <f>Sheet1!E1375</f>
        <v>IND/MEL/01374</v>
      </c>
      <c r="C1375" s="6" t="str">
        <f>UPPER(Sheet1!B1375)</f>
        <v>LORI HAYES</v>
      </c>
      <c r="D1375" s="7" t="str">
        <f>IF(Sheet1!F1375="F","FEMALE","MALE")</f>
        <v>MALE</v>
      </c>
      <c r="E1375" s="6" t="str">
        <f>UPPER(Sheet1!G1375)</f>
        <v>ROBERTO ARNOLD</v>
      </c>
      <c r="F1375" s="6" t="str">
        <f>UPPER(Sheet1!H1375)</f>
        <v>ALISON RITTER</v>
      </c>
      <c r="G1375" s="5" t="str">
        <f>TEXT(Sheet1!C1375,"dd/mm/yyyy") &amp; "," &amp; Sheet1!D1375</f>
        <v>21/11/2025,JAMESMOUTH</v>
      </c>
      <c r="H1375" s="39" t="str">
        <f>UPPER(Sheet1!J1375 &amp; "," &amp; Sheet1!K1375 &amp; "," &amp; Sheet1!L1375)</f>
        <v>1690 BRUCE OVAL,SUITE 748,PIN:61450 CAMPBELLSIDE</v>
      </c>
      <c r="I1375" s="8">
        <f>Sheet1!I1375</f>
        <v>46065</v>
      </c>
      <c r="J1375" s="5" t="str">
        <f>Sheet1!M1375 &amp; "," &amp; TEXT(Sheet1!N1375,"dd/mm/yy")</f>
        <v>MHA/IND/01380,14/03/26</v>
      </c>
      <c r="K1375" s="5" t="s">
        <v>5752</v>
      </c>
      <c r="L1375" t="s">
        <v>14</v>
      </c>
      <c r="M1375" s="31" t="s">
        <v>15</v>
      </c>
      <c r="N1375" s="31"/>
    </row>
    <row r="1376" spans="1:14" x14ac:dyDescent="0.25">
      <c r="A1376" s="4" t="str">
        <f>Sheet1!A1376 &amp; "/" &amp; "2025"</f>
        <v>1375/2025</v>
      </c>
      <c r="B1376" s="5" t="str">
        <f>Sheet1!E1376</f>
        <v>IND/MEL/01375</v>
      </c>
      <c r="C1376" s="6" t="str">
        <f>UPPER(Sheet1!B1376)</f>
        <v>RACHEL GREEN</v>
      </c>
      <c r="D1376" s="7" t="str">
        <f>IF(Sheet1!F1376="F","FEMALE","MALE")</f>
        <v>MALE</v>
      </c>
      <c r="E1376" s="6" t="str">
        <f>UPPER(Sheet1!G1376)</f>
        <v>CHRISTOPHER BARNES</v>
      </c>
      <c r="F1376" s="6" t="str">
        <f>UPPER(Sheet1!H1376)</f>
        <v>SHERRY ENGLISH</v>
      </c>
      <c r="G1376" s="5" t="str">
        <f>TEXT(Sheet1!C1376,"dd/mm/yyyy") &amp; "," &amp; Sheet1!D1376</f>
        <v>08/12/2025,KIMBERLYFORT</v>
      </c>
      <c r="H1376" s="39" t="str">
        <f>UPPER(Sheet1!J1376 &amp; "," &amp; Sheet1!K1376 &amp; "," &amp; Sheet1!L1376)</f>
        <v>2057 BURTON FORT,SUITE 257,PIN:21199 PATRICKTON</v>
      </c>
      <c r="I1376" s="8">
        <f>Sheet1!I1376</f>
        <v>46065</v>
      </c>
      <c r="J1376" s="5" t="str">
        <f>Sheet1!M1376 &amp; "," &amp; TEXT(Sheet1!N1376,"dd/mm/yy")</f>
        <v>MHA/IND/01381,13/03/26</v>
      </c>
      <c r="K1376" s="5" t="s">
        <v>5752</v>
      </c>
      <c r="L1376" t="s">
        <v>14</v>
      </c>
      <c r="M1376" s="31" t="s">
        <v>15</v>
      </c>
      <c r="N1376" s="31"/>
    </row>
    <row r="1377" spans="1:14" x14ac:dyDescent="0.25">
      <c r="A1377" s="4" t="str">
        <f>Sheet1!A1377 &amp; "/" &amp; "2025"</f>
        <v>1376/2025</v>
      </c>
      <c r="B1377" s="5" t="str">
        <f>Sheet1!E1377</f>
        <v>IND/MEL/01376</v>
      </c>
      <c r="C1377" s="6" t="str">
        <f>UPPER(Sheet1!B1377)</f>
        <v>JOSEPH CLARK</v>
      </c>
      <c r="D1377" s="7" t="str">
        <f>IF(Sheet1!F1377="F","FEMALE","MALE")</f>
        <v>MALE</v>
      </c>
      <c r="E1377" s="6" t="str">
        <f>UPPER(Sheet1!G1377)</f>
        <v>TRAVIS ZAMORA</v>
      </c>
      <c r="F1377" s="6" t="str">
        <f>UPPER(Sheet1!H1377)</f>
        <v>BROOKE BROOKS</v>
      </c>
      <c r="G1377" s="5" t="str">
        <f>TEXT(Sheet1!C1377,"dd/mm/yyyy") &amp; "," &amp; Sheet1!D1377</f>
        <v>01/09/2025,NORTH RAYMOND</v>
      </c>
      <c r="H1377" s="39" t="str">
        <f>UPPER(Sheet1!J1377 &amp; "," &amp; Sheet1!K1377 &amp; "," &amp; Sheet1!L1377)</f>
        <v>13520 JESSICA PINE,SUITE 912,PIN:70765 CARLAFORT</v>
      </c>
      <c r="I1377" s="8">
        <f>Sheet1!I1377</f>
        <v>46065</v>
      </c>
      <c r="J1377" s="5" t="str">
        <f>Sheet1!M1377 &amp; "," &amp; TEXT(Sheet1!N1377,"dd/mm/yy")</f>
        <v>MHA/IND/01382,27/02/26</v>
      </c>
      <c r="K1377" s="5" t="s">
        <v>5752</v>
      </c>
      <c r="L1377" t="s">
        <v>14</v>
      </c>
      <c r="M1377" s="31" t="s">
        <v>15</v>
      </c>
      <c r="N1377" s="31"/>
    </row>
    <row r="1378" spans="1:14" x14ac:dyDescent="0.25">
      <c r="A1378" s="4" t="str">
        <f>Sheet1!A1378 &amp; "/" &amp; "2025"</f>
        <v>1377/2025</v>
      </c>
      <c r="B1378" s="5" t="str">
        <f>Sheet1!E1378</f>
        <v>IND/MEL/01377</v>
      </c>
      <c r="C1378" s="6" t="str">
        <f>UPPER(Sheet1!B1378)</f>
        <v>SUE HANNA</v>
      </c>
      <c r="D1378" s="7" t="str">
        <f>IF(Sheet1!F1378="F","FEMALE","MALE")</f>
        <v>FEMALE</v>
      </c>
      <c r="E1378" s="6" t="str">
        <f>UPPER(Sheet1!G1378)</f>
        <v>WILLIAM BUTLER</v>
      </c>
      <c r="F1378" s="6" t="str">
        <f>UPPER(Sheet1!H1378)</f>
        <v>BRITTANY BELL</v>
      </c>
      <c r="G1378" s="5" t="str">
        <f>TEXT(Sheet1!C1378,"dd/mm/yyyy") &amp; "," &amp; Sheet1!D1378</f>
        <v>26/11/2025,PORT KIMBERLYBERG</v>
      </c>
      <c r="H1378" s="39" t="str">
        <f>UPPER(Sheet1!J1378 &amp; "," &amp; Sheet1!K1378 &amp; "," &amp; Sheet1!L1378)</f>
        <v>69888 ROSARIO HIGHWAY,APT. 168,PIN:42405 HARRISFURT</v>
      </c>
      <c r="I1378" s="8">
        <f>Sheet1!I1378</f>
        <v>46065</v>
      </c>
      <c r="J1378" s="5" t="str">
        <f>Sheet1!M1378 &amp; "," &amp; TEXT(Sheet1!N1378,"dd/mm/yy")</f>
        <v>MHA/IND/01383,28/02/26</v>
      </c>
      <c r="K1378" s="5" t="s">
        <v>5752</v>
      </c>
      <c r="L1378" t="s">
        <v>14</v>
      </c>
      <c r="M1378" s="31" t="s">
        <v>15</v>
      </c>
      <c r="N1378" s="31"/>
    </row>
    <row r="1379" spans="1:14" x14ac:dyDescent="0.25">
      <c r="A1379" s="4" t="str">
        <f>Sheet1!A1379 &amp; "/" &amp; "2025"</f>
        <v>1378/2025</v>
      </c>
      <c r="B1379" s="5" t="str">
        <f>Sheet1!E1379</f>
        <v>IND/MEL/01378</v>
      </c>
      <c r="C1379" s="6" t="str">
        <f>UPPER(Sheet1!B1379)</f>
        <v>ROBERT LEWIS</v>
      </c>
      <c r="D1379" s="7" t="str">
        <f>IF(Sheet1!F1379="F","FEMALE","MALE")</f>
        <v>FEMALE</v>
      </c>
      <c r="E1379" s="6" t="str">
        <f>UPPER(Sheet1!G1379)</f>
        <v>RANDALL BAKER</v>
      </c>
      <c r="F1379" s="6" t="str">
        <f>UPPER(Sheet1!H1379)</f>
        <v>EMILY DONALDSON</v>
      </c>
      <c r="G1379" s="5" t="str">
        <f>TEXT(Sheet1!C1379,"dd/mm/yyyy") &amp; "," &amp; Sheet1!D1379</f>
        <v>29/08/2025,LAKE KRISTOPHER</v>
      </c>
      <c r="H1379" s="39" t="str">
        <f>UPPER(Sheet1!J1379 &amp; "," &amp; Sheet1!K1379 &amp; "," &amp; Sheet1!L1379)</f>
        <v>517 SIMMONS HARBORS,APT. 076,PIN:14857 EAST LORIFORT</v>
      </c>
      <c r="I1379" s="8">
        <f>Sheet1!I1379</f>
        <v>46065</v>
      </c>
      <c r="J1379" s="5" t="str">
        <f>Sheet1!M1379 &amp; "," &amp; TEXT(Sheet1!N1379,"dd/mm/yy")</f>
        <v>MHA/IND/01384,10/03/26</v>
      </c>
      <c r="K1379" s="5" t="s">
        <v>5752</v>
      </c>
      <c r="L1379" t="s">
        <v>14</v>
      </c>
      <c r="M1379" s="31" t="s">
        <v>15</v>
      </c>
      <c r="N1379" s="31"/>
    </row>
    <row r="1380" spans="1:14" x14ac:dyDescent="0.25">
      <c r="A1380" s="4" t="str">
        <f>Sheet1!A1380 &amp; "/" &amp; "2025"</f>
        <v>1379/2025</v>
      </c>
      <c r="B1380" s="5" t="str">
        <f>Sheet1!E1380</f>
        <v>IND/MEL/01379</v>
      </c>
      <c r="C1380" s="6" t="str">
        <f>UPPER(Sheet1!B1380)</f>
        <v>JOHN VASQUEZ</v>
      </c>
      <c r="D1380" s="7" t="str">
        <f>IF(Sheet1!F1380="F","FEMALE","MALE")</f>
        <v>MALE</v>
      </c>
      <c r="E1380" s="6" t="str">
        <f>UPPER(Sheet1!G1380)</f>
        <v>TREVOR ROBINSON</v>
      </c>
      <c r="F1380" s="6" t="str">
        <f>UPPER(Sheet1!H1380)</f>
        <v>MELISSA WOOD</v>
      </c>
      <c r="G1380" s="5" t="str">
        <f>TEXT(Sheet1!C1380,"dd/mm/yyyy") &amp; "," &amp; Sheet1!D1380</f>
        <v>21/05/2025,MAXWELLSTAD</v>
      </c>
      <c r="H1380" s="39" t="str">
        <f>UPPER(Sheet1!J1380 &amp; "," &amp; Sheet1!K1380 &amp; "," &amp; Sheet1!L1380)</f>
        <v>4497 KEVIN CANYON SUITE 171,SUITE 933,PIN:21028 MARTINEZVILLE</v>
      </c>
      <c r="I1380" s="8">
        <f>Sheet1!I1380</f>
        <v>46065</v>
      </c>
      <c r="J1380" s="5" t="str">
        <f>Sheet1!M1380 &amp; "," &amp; TEXT(Sheet1!N1380,"dd/mm/yy")</f>
        <v>MHA/IND/01385,15/02/26</v>
      </c>
      <c r="K1380" s="5" t="s">
        <v>5752</v>
      </c>
      <c r="L1380" t="s">
        <v>14</v>
      </c>
      <c r="M1380" s="31" t="s">
        <v>15</v>
      </c>
      <c r="N1380" s="31"/>
    </row>
    <row r="1381" spans="1:14" x14ac:dyDescent="0.25">
      <c r="A1381" s="4" t="str">
        <f>Sheet1!A1381 &amp; "/" &amp; "2025"</f>
        <v>1380/2025</v>
      </c>
      <c r="B1381" s="5" t="str">
        <f>Sheet1!E1381</f>
        <v>IND/MEL/01380</v>
      </c>
      <c r="C1381" s="6" t="str">
        <f>UPPER(Sheet1!B1381)</f>
        <v>STEVEN WILLIS</v>
      </c>
      <c r="D1381" s="7" t="str">
        <f>IF(Sheet1!F1381="F","FEMALE","MALE")</f>
        <v>FEMALE</v>
      </c>
      <c r="E1381" s="6" t="str">
        <f>UPPER(Sheet1!G1381)</f>
        <v>MR. RICHARD CRAWFORD</v>
      </c>
      <c r="F1381" s="6" t="str">
        <f>UPPER(Sheet1!H1381)</f>
        <v>LAURA WARNER</v>
      </c>
      <c r="G1381" s="5" t="str">
        <f>TEXT(Sheet1!C1381,"dd/mm/yyyy") &amp; "," &amp; Sheet1!D1381</f>
        <v>19/06/2025,PORT CHRISTOPHER</v>
      </c>
      <c r="H1381" s="39" t="str">
        <f>UPPER(Sheet1!J1381 &amp; "," &amp; Sheet1!K1381 &amp; "," &amp; Sheet1!L1381)</f>
        <v>00443 LINDA FORD SUITE 596,SUITE 057,PIN:96607 ESPINOZASHIRE</v>
      </c>
      <c r="I1381" s="8">
        <f>Sheet1!I1381</f>
        <v>46065</v>
      </c>
      <c r="J1381" s="5" t="str">
        <f>Sheet1!M1381 &amp; "," &amp; TEXT(Sheet1!N1381,"dd/mm/yy")</f>
        <v>MHA/IND/01386,20/02/26</v>
      </c>
      <c r="K1381" s="5" t="s">
        <v>5752</v>
      </c>
      <c r="L1381" t="s">
        <v>14</v>
      </c>
      <c r="M1381" s="31" t="s">
        <v>15</v>
      </c>
      <c r="N1381" s="31"/>
    </row>
    <row r="1382" spans="1:14" x14ac:dyDescent="0.25">
      <c r="A1382" s="4" t="str">
        <f>Sheet1!A1382 &amp; "/" &amp; "2025"</f>
        <v>1381/2025</v>
      </c>
      <c r="B1382" s="5" t="str">
        <f>Sheet1!E1382</f>
        <v>IND/MEL/01381</v>
      </c>
      <c r="C1382" s="6" t="str">
        <f>UPPER(Sheet1!B1382)</f>
        <v>DANIEL CASTRO</v>
      </c>
      <c r="D1382" s="7" t="str">
        <f>IF(Sheet1!F1382="F","FEMALE","MALE")</f>
        <v>MALE</v>
      </c>
      <c r="E1382" s="6" t="str">
        <f>UPPER(Sheet1!G1382)</f>
        <v>JEREMY BENDER</v>
      </c>
      <c r="F1382" s="6" t="str">
        <f>UPPER(Sheet1!H1382)</f>
        <v>KIM LOPEZ</v>
      </c>
      <c r="G1382" s="5" t="str">
        <f>TEXT(Sheet1!C1382,"dd/mm/yyyy") &amp; "," &amp; Sheet1!D1382</f>
        <v>28/02/2025,NEW WANDAFORT</v>
      </c>
      <c r="H1382" s="39" t="str">
        <f>UPPER(Sheet1!J1382 &amp; "," &amp; Sheet1!K1382 &amp; "," &amp; Sheet1!L1382)</f>
        <v>06440 MCBRIDE LOCK,APT. 048,PIN:49870 LEEMOUTH</v>
      </c>
      <c r="I1382" s="8">
        <f>Sheet1!I1382</f>
        <v>46065</v>
      </c>
      <c r="J1382" s="5" t="str">
        <f>Sheet1!M1382 &amp; "," &amp; TEXT(Sheet1!N1382,"dd/mm/yy")</f>
        <v>MHA/IND/01387,01/03/26</v>
      </c>
      <c r="K1382" s="5" t="s">
        <v>5752</v>
      </c>
      <c r="L1382" t="s">
        <v>14</v>
      </c>
      <c r="M1382" s="31" t="s">
        <v>15</v>
      </c>
      <c r="N1382" s="31"/>
    </row>
    <row r="1383" spans="1:14" x14ac:dyDescent="0.25">
      <c r="A1383" s="4" t="str">
        <f>Sheet1!A1383 &amp; "/" &amp; "2025"</f>
        <v>1382/2025</v>
      </c>
      <c r="B1383" s="5" t="str">
        <f>Sheet1!E1383</f>
        <v>IND/MEL/01382</v>
      </c>
      <c r="C1383" s="6" t="str">
        <f>UPPER(Sheet1!B1383)</f>
        <v>BLAKE NUNEZ</v>
      </c>
      <c r="D1383" s="7" t="str">
        <f>IF(Sheet1!F1383="F","FEMALE","MALE")</f>
        <v>FEMALE</v>
      </c>
      <c r="E1383" s="6" t="str">
        <f>UPPER(Sheet1!G1383)</f>
        <v>ROGER BENTON</v>
      </c>
      <c r="F1383" s="6" t="str">
        <f>UPPER(Sheet1!H1383)</f>
        <v>JENNIFER HEBERT</v>
      </c>
      <c r="G1383" s="5" t="str">
        <f>TEXT(Sheet1!C1383,"dd/mm/yyyy") &amp; "," &amp; Sheet1!D1383</f>
        <v>13/07/2025,COLLINSHIRE</v>
      </c>
      <c r="H1383" s="39" t="str">
        <f>UPPER(Sheet1!J1383 &amp; "," &amp; Sheet1!K1383 &amp; "," &amp; Sheet1!L1383)</f>
        <v>13180 HARRIS SHOAL SUITE 136,APT. 685,PIN:78824 SETHFURT</v>
      </c>
      <c r="I1383" s="8">
        <f>Sheet1!I1383</f>
        <v>46065</v>
      </c>
      <c r="J1383" s="5" t="str">
        <f>Sheet1!M1383 &amp; "," &amp; TEXT(Sheet1!N1383,"dd/mm/yy")</f>
        <v>MHA/IND/01388,01/03/26</v>
      </c>
      <c r="K1383" s="5" t="s">
        <v>5752</v>
      </c>
      <c r="L1383" t="s">
        <v>14</v>
      </c>
      <c r="M1383" s="31" t="s">
        <v>15</v>
      </c>
      <c r="N1383" s="31"/>
    </row>
    <row r="1384" spans="1:14" x14ac:dyDescent="0.25">
      <c r="A1384" s="4" t="str">
        <f>Sheet1!A1384 &amp; "/" &amp; "2025"</f>
        <v>1383/2025</v>
      </c>
      <c r="B1384" s="5" t="str">
        <f>Sheet1!E1384</f>
        <v>IND/MEL/01383</v>
      </c>
      <c r="C1384" s="6" t="str">
        <f>UPPER(Sheet1!B1384)</f>
        <v>APRIL JORDAN</v>
      </c>
      <c r="D1384" s="7" t="str">
        <f>IF(Sheet1!F1384="F","FEMALE","MALE")</f>
        <v>FEMALE</v>
      </c>
      <c r="E1384" s="6" t="str">
        <f>UPPER(Sheet1!G1384)</f>
        <v>MICHAEL SMITH</v>
      </c>
      <c r="F1384" s="6" t="str">
        <f>UPPER(Sheet1!H1384)</f>
        <v>ALEXANDRA MOORE</v>
      </c>
      <c r="G1384" s="5" t="str">
        <f>TEXT(Sheet1!C1384,"dd/mm/yyyy") &amp; "," &amp; Sheet1!D1384</f>
        <v>06/09/2025,KIMBERLYMOUTH</v>
      </c>
      <c r="H1384" s="39" t="str">
        <f>UPPER(Sheet1!J1384 &amp; "," &amp; Sheet1!K1384 &amp; "," &amp; Sheet1!L1384)</f>
        <v>8788 CYNTHIA CLIFFS,APT. 588,PIN:21019 JUANBERG</v>
      </c>
      <c r="I1384" s="8">
        <f>Sheet1!I1384</f>
        <v>46065</v>
      </c>
      <c r="J1384" s="5" t="str">
        <f>Sheet1!M1384 &amp; "," &amp; TEXT(Sheet1!N1384,"dd/mm/yy")</f>
        <v>MHA/IND/01389,14/03/26</v>
      </c>
      <c r="K1384" s="5" t="s">
        <v>5752</v>
      </c>
      <c r="L1384" t="s">
        <v>14</v>
      </c>
      <c r="M1384" s="31" t="s">
        <v>15</v>
      </c>
      <c r="N1384" s="31"/>
    </row>
    <row r="1385" spans="1:14" x14ac:dyDescent="0.25">
      <c r="A1385" s="4" t="str">
        <f>Sheet1!A1385 &amp; "/" &amp; "2025"</f>
        <v>1384/2025</v>
      </c>
      <c r="B1385" s="5" t="str">
        <f>Sheet1!E1385</f>
        <v>IND/MEL/01384</v>
      </c>
      <c r="C1385" s="6" t="str">
        <f>UPPER(Sheet1!B1385)</f>
        <v>ASHLEY THOMPSON</v>
      </c>
      <c r="D1385" s="7" t="str">
        <f>IF(Sheet1!F1385="F","FEMALE","MALE")</f>
        <v>MALE</v>
      </c>
      <c r="E1385" s="6" t="str">
        <f>UPPER(Sheet1!G1385)</f>
        <v>STEVE GARZA</v>
      </c>
      <c r="F1385" s="6" t="str">
        <f>UPPER(Sheet1!H1385)</f>
        <v>MARY BARTON</v>
      </c>
      <c r="G1385" s="5" t="str">
        <f>TEXT(Sheet1!C1385,"dd/mm/yyyy") &amp; "," &amp; Sheet1!D1385</f>
        <v>05/08/2025,MARTINEZBURGH</v>
      </c>
      <c r="H1385" s="39" t="str">
        <f>UPPER(Sheet1!J1385 &amp; "," &amp; Sheet1!K1385 &amp; "," &amp; Sheet1!L1385)</f>
        <v>1270 SCOTT FLAT,SUITE 768,PIN:59811 WILLIAMBERG</v>
      </c>
      <c r="I1385" s="8">
        <f>Sheet1!I1385</f>
        <v>46065</v>
      </c>
      <c r="J1385" s="5" t="str">
        <f>Sheet1!M1385 &amp; "," &amp; TEXT(Sheet1!N1385,"dd/mm/yy")</f>
        <v>MHA/IND/01390,26/02/26</v>
      </c>
      <c r="K1385" s="5" t="s">
        <v>5752</v>
      </c>
      <c r="L1385" t="s">
        <v>14</v>
      </c>
      <c r="M1385" s="31" t="s">
        <v>15</v>
      </c>
      <c r="N1385" s="31"/>
    </row>
    <row r="1386" spans="1:14" x14ac:dyDescent="0.25">
      <c r="A1386" s="4" t="str">
        <f>Sheet1!A1386 &amp; "/" &amp; "2025"</f>
        <v>1385/2025</v>
      </c>
      <c r="B1386" s="5" t="str">
        <f>Sheet1!E1386</f>
        <v>IND/MEL/01385</v>
      </c>
      <c r="C1386" s="6" t="str">
        <f>UPPER(Sheet1!B1386)</f>
        <v>WILLIAM HALEY</v>
      </c>
      <c r="D1386" s="7" t="str">
        <f>IF(Sheet1!F1386="F","FEMALE","MALE")</f>
        <v>MALE</v>
      </c>
      <c r="E1386" s="6" t="str">
        <f>UPPER(Sheet1!G1386)</f>
        <v>DR. EDWIN NELSON</v>
      </c>
      <c r="F1386" s="6" t="str">
        <f>UPPER(Sheet1!H1386)</f>
        <v>DANIELLE MCKINNEY</v>
      </c>
      <c r="G1386" s="5" t="str">
        <f>TEXT(Sheet1!C1386,"dd/mm/yyyy") &amp; "," &amp; Sheet1!D1386</f>
        <v>23/04/2025,CRUZBURGH</v>
      </c>
      <c r="H1386" s="39" t="str">
        <f>UPPER(Sheet1!J1386 &amp; "," &amp; Sheet1!K1386 &amp; "," &amp; Sheet1!L1386)</f>
        <v>5940 SMITH PINE SUITE 674,APT. 938,PIN:77594 EMILYSIDE</v>
      </c>
      <c r="I1386" s="8">
        <f>Sheet1!I1386</f>
        <v>46065</v>
      </c>
      <c r="J1386" s="5" t="str">
        <f>Sheet1!M1386 &amp; "," &amp; TEXT(Sheet1!N1386,"dd/mm/yy")</f>
        <v>MHA/IND/01391,19/02/26</v>
      </c>
      <c r="K1386" s="5" t="s">
        <v>5752</v>
      </c>
      <c r="L1386" t="s">
        <v>14</v>
      </c>
      <c r="M1386" s="31" t="s">
        <v>15</v>
      </c>
      <c r="N1386" s="31"/>
    </row>
    <row r="1387" spans="1:14" x14ac:dyDescent="0.25">
      <c r="A1387" s="4" t="str">
        <f>Sheet1!A1387 &amp; "/" &amp; "2025"</f>
        <v>1386/2025</v>
      </c>
      <c r="B1387" s="5" t="str">
        <f>Sheet1!E1387</f>
        <v>IND/MEL/01386</v>
      </c>
      <c r="C1387" s="6" t="str">
        <f>UPPER(Sheet1!B1387)</f>
        <v>SARAH WALKER</v>
      </c>
      <c r="D1387" s="7" t="str">
        <f>IF(Sheet1!F1387="F","FEMALE","MALE")</f>
        <v>FEMALE</v>
      </c>
      <c r="E1387" s="6" t="str">
        <f>UPPER(Sheet1!G1387)</f>
        <v>STEVEN BROWN</v>
      </c>
      <c r="F1387" s="6" t="str">
        <f>UPPER(Sheet1!H1387)</f>
        <v>BRENDA YOUNG</v>
      </c>
      <c r="G1387" s="5" t="str">
        <f>TEXT(Sheet1!C1387,"dd/mm/yyyy") &amp; "," &amp; Sheet1!D1387</f>
        <v>12/04/2025,ELIZABETHVIEW</v>
      </c>
      <c r="H1387" s="39" t="str">
        <f>UPPER(Sheet1!J1387 &amp; "," &amp; Sheet1!K1387 &amp; "," &amp; Sheet1!L1387)</f>
        <v>311 WALLACE SQUARES,SUITE 267,PIN:77877 NORTH RYANBURY</v>
      </c>
      <c r="I1387" s="8">
        <f>Sheet1!I1387</f>
        <v>46065</v>
      </c>
      <c r="J1387" s="5" t="str">
        <f>Sheet1!M1387 &amp; "," &amp; TEXT(Sheet1!N1387,"dd/mm/yy")</f>
        <v>MHA/IND/01392,16/02/26</v>
      </c>
      <c r="K1387" s="5" t="s">
        <v>5752</v>
      </c>
      <c r="L1387" t="s">
        <v>14</v>
      </c>
      <c r="M1387" s="31" t="s">
        <v>15</v>
      </c>
      <c r="N1387" s="31"/>
    </row>
    <row r="1388" spans="1:14" x14ac:dyDescent="0.25">
      <c r="A1388" s="4" t="str">
        <f>Sheet1!A1388 &amp; "/" &amp; "2025"</f>
        <v>1387/2025</v>
      </c>
      <c r="B1388" s="5" t="str">
        <f>Sheet1!E1388</f>
        <v>IND/MEL/01387</v>
      </c>
      <c r="C1388" s="6" t="str">
        <f>UPPER(Sheet1!B1388)</f>
        <v>MATTHEW GREEN</v>
      </c>
      <c r="D1388" s="7" t="str">
        <f>IF(Sheet1!F1388="F","FEMALE","MALE")</f>
        <v>MALE</v>
      </c>
      <c r="E1388" s="6" t="str">
        <f>UPPER(Sheet1!G1388)</f>
        <v>ROBERT BENNETT</v>
      </c>
      <c r="F1388" s="6" t="str">
        <f>UPPER(Sheet1!H1388)</f>
        <v>KATIE GARZA</v>
      </c>
      <c r="G1388" s="5" t="str">
        <f>TEXT(Sheet1!C1388,"dd/mm/yyyy") &amp; "," &amp; Sheet1!D1388</f>
        <v>01/01/2026,WILLIAMPORT</v>
      </c>
      <c r="H1388" s="39" t="str">
        <f>UPPER(Sheet1!J1388 &amp; "," &amp; Sheet1!K1388 &amp; "," &amp; Sheet1!L1388)</f>
        <v>95211 MICHAEL VILLAGE SUITE 791,APT. 623,PIN:71701 RHONDATON</v>
      </c>
      <c r="I1388" s="8">
        <f>Sheet1!I1388</f>
        <v>46065</v>
      </c>
      <c r="J1388" s="5" t="str">
        <f>Sheet1!M1388 &amp; "," &amp; TEXT(Sheet1!N1388,"dd/mm/yy")</f>
        <v>MHA/IND/01393,12/03/26</v>
      </c>
      <c r="K1388" s="5" t="s">
        <v>5752</v>
      </c>
      <c r="L1388" t="s">
        <v>14</v>
      </c>
      <c r="M1388" s="31" t="s">
        <v>15</v>
      </c>
      <c r="N1388" s="31"/>
    </row>
    <row r="1389" spans="1:14" x14ac:dyDescent="0.25">
      <c r="A1389" s="4" t="str">
        <f>Sheet1!A1389 &amp; "/" &amp; "2025"</f>
        <v>1388/2025</v>
      </c>
      <c r="B1389" s="5" t="str">
        <f>Sheet1!E1389</f>
        <v>IND/MEL/01388</v>
      </c>
      <c r="C1389" s="6" t="str">
        <f>UPPER(Sheet1!B1389)</f>
        <v>DAWN WILSON</v>
      </c>
      <c r="D1389" s="7" t="str">
        <f>IF(Sheet1!F1389="F","FEMALE","MALE")</f>
        <v>FEMALE</v>
      </c>
      <c r="E1389" s="6" t="str">
        <f>UPPER(Sheet1!G1389)</f>
        <v>THOMAS GUERRA</v>
      </c>
      <c r="F1389" s="6" t="str">
        <f>UPPER(Sheet1!H1389)</f>
        <v>MELISSA FLOYD</v>
      </c>
      <c r="G1389" s="5" t="str">
        <f>TEXT(Sheet1!C1389,"dd/mm/yyyy") &amp; "," &amp; Sheet1!D1389</f>
        <v>19/07/2025,SOUTH DANA</v>
      </c>
      <c r="H1389" s="39" t="str">
        <f>UPPER(Sheet1!J1389 &amp; "," &amp; Sheet1!K1389 &amp; "," &amp; Sheet1!L1389)</f>
        <v>5864 WELCH STREAM,APT. 568,PIN:91521 NEW AARON</v>
      </c>
      <c r="I1389" s="8">
        <f>Sheet1!I1389</f>
        <v>46065</v>
      </c>
      <c r="J1389" s="5" t="str">
        <f>Sheet1!M1389 &amp; "," &amp; TEXT(Sheet1!N1389,"dd/mm/yy")</f>
        <v>MHA/IND/01394,01/03/26</v>
      </c>
      <c r="K1389" s="5" t="s">
        <v>5752</v>
      </c>
      <c r="L1389" t="s">
        <v>14</v>
      </c>
      <c r="M1389" s="31" t="s">
        <v>15</v>
      </c>
      <c r="N1389" s="31"/>
    </row>
    <row r="1390" spans="1:14" x14ac:dyDescent="0.25">
      <c r="A1390" s="4" t="str">
        <f>Sheet1!A1390 &amp; "/" &amp; "2025"</f>
        <v>1389/2025</v>
      </c>
      <c r="B1390" s="5" t="str">
        <f>Sheet1!E1390</f>
        <v>IND/MEL/01389</v>
      </c>
      <c r="C1390" s="6" t="str">
        <f>UPPER(Sheet1!B1390)</f>
        <v>TERESA SCOTT</v>
      </c>
      <c r="D1390" s="7" t="str">
        <f>IF(Sheet1!F1390="F","FEMALE","MALE")</f>
        <v>MALE</v>
      </c>
      <c r="E1390" s="6" t="str">
        <f>UPPER(Sheet1!G1390)</f>
        <v>WALTER LUCAS</v>
      </c>
      <c r="F1390" s="6" t="str">
        <f>UPPER(Sheet1!H1390)</f>
        <v>NICOLE WRIGHT</v>
      </c>
      <c r="G1390" s="5" t="str">
        <f>TEXT(Sheet1!C1390,"dd/mm/yyyy") &amp; "," &amp; Sheet1!D1390</f>
        <v>29/03/2025,MORGANFURT</v>
      </c>
      <c r="H1390" s="39" t="str">
        <f>UPPER(Sheet1!J1390 &amp; "," &amp; Sheet1!K1390 &amp; "," &amp; Sheet1!L1390)</f>
        <v>72941 MARGARET SHORES SUITE 387,SUITE 682,PIN:58335 EMILYFORT</v>
      </c>
      <c r="I1390" s="8">
        <f>Sheet1!I1390</f>
        <v>46065</v>
      </c>
      <c r="J1390" s="5" t="str">
        <f>Sheet1!M1390 &amp; "," &amp; TEXT(Sheet1!N1390,"dd/mm/yy")</f>
        <v>MHA/IND/01395,03/03/26</v>
      </c>
      <c r="K1390" s="5" t="s">
        <v>5752</v>
      </c>
      <c r="L1390" t="s">
        <v>14</v>
      </c>
      <c r="M1390" s="31" t="s">
        <v>15</v>
      </c>
      <c r="N1390" s="31"/>
    </row>
    <row r="1391" spans="1:14" x14ac:dyDescent="0.25">
      <c r="A1391" s="4" t="str">
        <f>Sheet1!A1391 &amp; "/" &amp; "2025"</f>
        <v>1390/2025</v>
      </c>
      <c r="B1391" s="5" t="str">
        <f>Sheet1!E1391</f>
        <v>IND/MEL/01390</v>
      </c>
      <c r="C1391" s="6" t="str">
        <f>UPPER(Sheet1!B1391)</f>
        <v>CAMERON CAIN</v>
      </c>
      <c r="D1391" s="7" t="str">
        <f>IF(Sheet1!F1391="F","FEMALE","MALE")</f>
        <v>MALE</v>
      </c>
      <c r="E1391" s="6" t="str">
        <f>UPPER(Sheet1!G1391)</f>
        <v>CRAIG CALLAHAN</v>
      </c>
      <c r="F1391" s="6" t="str">
        <f>UPPER(Sheet1!H1391)</f>
        <v>JACQUELINE ROBERTS</v>
      </c>
      <c r="G1391" s="5" t="str">
        <f>TEXT(Sheet1!C1391,"dd/mm/yyyy") &amp; "," &amp; Sheet1!D1391</f>
        <v>28/01/2026,PORTERHAVEN</v>
      </c>
      <c r="H1391" s="39" t="str">
        <f>UPPER(Sheet1!J1391 &amp; "," &amp; Sheet1!K1391 &amp; "," &amp; Sheet1!L1391)</f>
        <v>7569 ROSE STRAVENUE APT. 492,APT. 613,PIN:27783 NEW BRIANNA</v>
      </c>
      <c r="I1391" s="8">
        <f>Sheet1!I1391</f>
        <v>46065</v>
      </c>
      <c r="J1391" s="5" t="str">
        <f>Sheet1!M1391 &amp; "," &amp; TEXT(Sheet1!N1391,"dd/mm/yy")</f>
        <v>MHA/IND/01396,19/02/26</v>
      </c>
      <c r="K1391" s="5" t="s">
        <v>5752</v>
      </c>
      <c r="L1391" t="s">
        <v>14</v>
      </c>
      <c r="M1391" s="31" t="s">
        <v>15</v>
      </c>
      <c r="N1391" s="31"/>
    </row>
    <row r="1392" spans="1:14" x14ac:dyDescent="0.25">
      <c r="A1392" s="4" t="str">
        <f>Sheet1!A1392 &amp; "/" &amp; "2025"</f>
        <v>1391/2025</v>
      </c>
      <c r="B1392" s="5" t="str">
        <f>Sheet1!E1392</f>
        <v>IND/MEL/01391</v>
      </c>
      <c r="C1392" s="6" t="str">
        <f>UPPER(Sheet1!B1392)</f>
        <v>PETER CARTER</v>
      </c>
      <c r="D1392" s="7" t="str">
        <f>IF(Sheet1!F1392="F","FEMALE","MALE")</f>
        <v>FEMALE</v>
      </c>
      <c r="E1392" s="6" t="str">
        <f>UPPER(Sheet1!G1392)</f>
        <v>JOSHUA JACKSON</v>
      </c>
      <c r="F1392" s="6" t="str">
        <f>UPPER(Sheet1!H1392)</f>
        <v>MICHELE GROSS</v>
      </c>
      <c r="G1392" s="5" t="str">
        <f>TEXT(Sheet1!C1392,"dd/mm/yyyy") &amp; "," &amp; Sheet1!D1392</f>
        <v>21/04/2025,ROBERTTOWN</v>
      </c>
      <c r="H1392" s="39" t="str">
        <f>UPPER(Sheet1!J1392 &amp; "," &amp; Sheet1!K1392 &amp; "," &amp; Sheet1!L1392)</f>
        <v>604 HARVEY UNION,APT. 507,PIN:01411 EAST JEREMYFORT</v>
      </c>
      <c r="I1392" s="8">
        <f>Sheet1!I1392</f>
        <v>46065</v>
      </c>
      <c r="J1392" s="5" t="str">
        <f>Sheet1!M1392 &amp; "," &amp; TEXT(Sheet1!N1392,"dd/mm/yy")</f>
        <v>MHA/IND/01397,01/03/26</v>
      </c>
      <c r="K1392" s="5" t="s">
        <v>5752</v>
      </c>
      <c r="L1392" t="s">
        <v>14</v>
      </c>
      <c r="M1392" s="31" t="s">
        <v>15</v>
      </c>
      <c r="N1392" s="31"/>
    </row>
    <row r="1393" spans="1:14" x14ac:dyDescent="0.25">
      <c r="A1393" s="4" t="str">
        <f>Sheet1!A1393 &amp; "/" &amp; "2025"</f>
        <v>1392/2025</v>
      </c>
      <c r="B1393" s="5" t="str">
        <f>Sheet1!E1393</f>
        <v>IND/MEL/01392</v>
      </c>
      <c r="C1393" s="6" t="str">
        <f>UPPER(Sheet1!B1393)</f>
        <v>STEFANIE ZIMMERMAN</v>
      </c>
      <c r="D1393" s="7" t="str">
        <f>IF(Sheet1!F1393="F","FEMALE","MALE")</f>
        <v>FEMALE</v>
      </c>
      <c r="E1393" s="6" t="str">
        <f>UPPER(Sheet1!G1393)</f>
        <v>SHANE ARCHER</v>
      </c>
      <c r="F1393" s="6" t="str">
        <f>UPPER(Sheet1!H1393)</f>
        <v>RACHEL CERVANTES</v>
      </c>
      <c r="G1393" s="5" t="str">
        <f>TEXT(Sheet1!C1393,"dd/mm/yyyy") &amp; "," &amp; Sheet1!D1393</f>
        <v>20/06/2025,COLETON</v>
      </c>
      <c r="H1393" s="39" t="str">
        <f>UPPER(Sheet1!J1393 &amp; "," &amp; Sheet1!K1393 &amp; "," &amp; Sheet1!L1393)</f>
        <v>4572 KEVIN CROSSROAD,SUITE 812,PIN:91015 BONDSTAD</v>
      </c>
      <c r="I1393" s="8">
        <f>Sheet1!I1393</f>
        <v>46065</v>
      </c>
      <c r="J1393" s="5" t="str">
        <f>Sheet1!M1393 &amp; "," &amp; TEXT(Sheet1!N1393,"dd/mm/yy")</f>
        <v>MHA/IND/01398,04/03/26</v>
      </c>
      <c r="K1393" s="5" t="s">
        <v>5752</v>
      </c>
      <c r="L1393" t="s">
        <v>14</v>
      </c>
      <c r="M1393" s="31" t="s">
        <v>15</v>
      </c>
      <c r="N1393" s="31"/>
    </row>
    <row r="1394" spans="1:14" x14ac:dyDescent="0.25">
      <c r="A1394" s="4" t="str">
        <f>Sheet1!A1394 &amp; "/" &amp; "2025"</f>
        <v>1393/2025</v>
      </c>
      <c r="B1394" s="5" t="str">
        <f>Sheet1!E1394</f>
        <v>IND/MEL/01393</v>
      </c>
      <c r="C1394" s="6" t="str">
        <f>UPPER(Sheet1!B1394)</f>
        <v>LEONARD JONES</v>
      </c>
      <c r="D1394" s="7" t="str">
        <f>IF(Sheet1!F1394="F","FEMALE","MALE")</f>
        <v>MALE</v>
      </c>
      <c r="E1394" s="6" t="str">
        <f>UPPER(Sheet1!G1394)</f>
        <v>CHARLES THOMPSON</v>
      </c>
      <c r="F1394" s="6" t="str">
        <f>UPPER(Sheet1!H1394)</f>
        <v>BARBARA MOORE</v>
      </c>
      <c r="G1394" s="5" t="str">
        <f>TEXT(Sheet1!C1394,"dd/mm/yyyy") &amp; "," &amp; Sheet1!D1394</f>
        <v>28/06/2025,JENNIFERMOUTH</v>
      </c>
      <c r="H1394" s="39" t="str">
        <f>UPPER(Sheet1!J1394 &amp; "," &amp; Sheet1!K1394 &amp; "," &amp; Sheet1!L1394)</f>
        <v>8764 JOHNSON SUMMIT,APT. 320,PIN:47722 PORT ANDRE</v>
      </c>
      <c r="I1394" s="8">
        <f>Sheet1!I1394</f>
        <v>46065</v>
      </c>
      <c r="J1394" s="5" t="str">
        <f>Sheet1!M1394 &amp; "," &amp; TEXT(Sheet1!N1394,"dd/mm/yy")</f>
        <v>MHA/IND/01399,13/03/26</v>
      </c>
      <c r="K1394" s="5" t="s">
        <v>5752</v>
      </c>
      <c r="L1394" t="s">
        <v>14</v>
      </c>
      <c r="M1394" s="31" t="s">
        <v>15</v>
      </c>
      <c r="N1394" s="31"/>
    </row>
    <row r="1395" spans="1:14" x14ac:dyDescent="0.25">
      <c r="A1395" s="4" t="str">
        <f>Sheet1!A1395 &amp; "/" &amp; "2025"</f>
        <v>1394/2025</v>
      </c>
      <c r="B1395" s="5" t="str">
        <f>Sheet1!E1395</f>
        <v>IND/MEL/01394</v>
      </c>
      <c r="C1395" s="6" t="str">
        <f>UPPER(Sheet1!B1395)</f>
        <v>DEBORAH MORALES</v>
      </c>
      <c r="D1395" s="7" t="str">
        <f>IF(Sheet1!F1395="F","FEMALE","MALE")</f>
        <v>FEMALE</v>
      </c>
      <c r="E1395" s="6" t="str">
        <f>UPPER(Sheet1!G1395)</f>
        <v>ANDREW HAMILTON</v>
      </c>
      <c r="F1395" s="6" t="str">
        <f>UPPER(Sheet1!H1395)</f>
        <v>KAYLEE CALDWELL</v>
      </c>
      <c r="G1395" s="5" t="str">
        <f>TEXT(Sheet1!C1395,"dd/mm/yyyy") &amp; "," &amp; Sheet1!D1395</f>
        <v>27/05/2025,NEW HANNAHFORT</v>
      </c>
      <c r="H1395" s="39" t="str">
        <f>UPPER(Sheet1!J1395 &amp; "," &amp; Sheet1!K1395 &amp; "," &amp; Sheet1!L1395)</f>
        <v>64832 CHRISTOPHER VISTA,APT. 252,PIN:48509 NORTH MARISSA</v>
      </c>
      <c r="I1395" s="8">
        <f>Sheet1!I1395</f>
        <v>46065</v>
      </c>
      <c r="J1395" s="5" t="str">
        <f>Sheet1!M1395 &amp; "," &amp; TEXT(Sheet1!N1395,"dd/mm/yy")</f>
        <v>MHA/IND/01400,08/03/26</v>
      </c>
      <c r="K1395" s="5" t="s">
        <v>5752</v>
      </c>
      <c r="L1395" t="s">
        <v>14</v>
      </c>
      <c r="M1395" s="31" t="s">
        <v>15</v>
      </c>
      <c r="N1395" s="31"/>
    </row>
    <row r="1396" spans="1:14" x14ac:dyDescent="0.25">
      <c r="A1396" s="4" t="str">
        <f>Sheet1!A1396 &amp; "/" &amp; "2025"</f>
        <v>1395/2025</v>
      </c>
      <c r="B1396" s="5" t="str">
        <f>Sheet1!E1396</f>
        <v>IND/MEL/01395</v>
      </c>
      <c r="C1396" s="6" t="str">
        <f>UPPER(Sheet1!B1396)</f>
        <v>KENNETH VILLA</v>
      </c>
      <c r="D1396" s="7" t="str">
        <f>IF(Sheet1!F1396="F","FEMALE","MALE")</f>
        <v>FEMALE</v>
      </c>
      <c r="E1396" s="6" t="str">
        <f>UPPER(Sheet1!G1396)</f>
        <v>ALEC TERRELL</v>
      </c>
      <c r="F1396" s="6" t="str">
        <f>UPPER(Sheet1!H1396)</f>
        <v>ALEXIS JOHNSON</v>
      </c>
      <c r="G1396" s="5" t="str">
        <f>TEXT(Sheet1!C1396,"dd/mm/yyyy") &amp; "," &amp; Sheet1!D1396</f>
        <v>23/06/2025,BAUERSTAD</v>
      </c>
      <c r="H1396" s="39" t="str">
        <f>UPPER(Sheet1!J1396 &amp; "," &amp; Sheet1!K1396 &amp; "," &amp; Sheet1!L1396)</f>
        <v>429 DAVID PLAINS,SUITE 172,PIN:91581 NEW DAWNLAND</v>
      </c>
      <c r="I1396" s="8">
        <f>Sheet1!I1396</f>
        <v>46065</v>
      </c>
      <c r="J1396" s="5" t="str">
        <f>Sheet1!M1396 &amp; "," &amp; TEXT(Sheet1!N1396,"dd/mm/yy")</f>
        <v>MHA/IND/01401,24/02/26</v>
      </c>
      <c r="K1396" s="5" t="s">
        <v>5752</v>
      </c>
      <c r="L1396" t="s">
        <v>14</v>
      </c>
      <c r="M1396" s="31" t="s">
        <v>15</v>
      </c>
      <c r="N1396" s="31"/>
    </row>
    <row r="1397" spans="1:14" x14ac:dyDescent="0.25">
      <c r="A1397" s="4" t="str">
        <f>Sheet1!A1397 &amp; "/" &amp; "2025"</f>
        <v>1396/2025</v>
      </c>
      <c r="B1397" s="5" t="str">
        <f>Sheet1!E1397</f>
        <v>IND/MEL/01396</v>
      </c>
      <c r="C1397" s="6" t="str">
        <f>UPPER(Sheet1!B1397)</f>
        <v>MICHAEL COLE</v>
      </c>
      <c r="D1397" s="7" t="str">
        <f>IF(Sheet1!F1397="F","FEMALE","MALE")</f>
        <v>FEMALE</v>
      </c>
      <c r="E1397" s="6" t="str">
        <f>UPPER(Sheet1!G1397)</f>
        <v>ANDREW COOPER</v>
      </c>
      <c r="F1397" s="6" t="str">
        <f>UPPER(Sheet1!H1397)</f>
        <v>MICHELLE FLYNN</v>
      </c>
      <c r="G1397" s="5" t="str">
        <f>TEXT(Sheet1!C1397,"dd/mm/yyyy") &amp; "," &amp; Sheet1!D1397</f>
        <v>21/12/2025,NORTH CINDY</v>
      </c>
      <c r="H1397" s="39" t="str">
        <f>UPPER(Sheet1!J1397 &amp; "," &amp; Sheet1!K1397 &amp; "," &amp; Sheet1!L1397)</f>
        <v>17388 CHRISTOPHER MEADOWS APT. 967,APT. 461,PIN:72323 EAST ANDREWTOWN</v>
      </c>
      <c r="I1397" s="8">
        <f>Sheet1!I1397</f>
        <v>46065</v>
      </c>
      <c r="J1397" s="5" t="str">
        <f>Sheet1!M1397 &amp; "," &amp; TEXT(Sheet1!N1397,"dd/mm/yy")</f>
        <v>MHA/IND/01402,19/02/26</v>
      </c>
      <c r="K1397" s="5" t="s">
        <v>5752</v>
      </c>
      <c r="L1397" t="s">
        <v>14</v>
      </c>
      <c r="M1397" s="31" t="s">
        <v>15</v>
      </c>
      <c r="N1397" s="31"/>
    </row>
    <row r="1398" spans="1:14" x14ac:dyDescent="0.25">
      <c r="A1398" s="4" t="str">
        <f>Sheet1!A1398 &amp; "/" &amp; "2025"</f>
        <v>1397/2025</v>
      </c>
      <c r="B1398" s="5" t="str">
        <f>Sheet1!E1398</f>
        <v>IND/MEL/01397</v>
      </c>
      <c r="C1398" s="6" t="str">
        <f>UPPER(Sheet1!B1398)</f>
        <v>KIMBERLY RICHARDSON</v>
      </c>
      <c r="D1398" s="7" t="str">
        <f>IF(Sheet1!F1398="F","FEMALE","MALE")</f>
        <v>MALE</v>
      </c>
      <c r="E1398" s="6" t="str">
        <f>UPPER(Sheet1!G1398)</f>
        <v>BRUCE HOLT</v>
      </c>
      <c r="F1398" s="6" t="str">
        <f>UPPER(Sheet1!H1398)</f>
        <v>BRIANA LEONARD</v>
      </c>
      <c r="G1398" s="5" t="str">
        <f>TEXT(Sheet1!C1398,"dd/mm/yyyy") &amp; "," &amp; Sheet1!D1398</f>
        <v>13/07/2025,KEITHTOWN</v>
      </c>
      <c r="H1398" s="39" t="str">
        <f>UPPER(Sheet1!J1398 &amp; "," &amp; Sheet1!K1398 &amp; "," &amp; Sheet1!L1398)</f>
        <v>748 KEVIN VILLAGE,SUITE 540,PIN:08306 CHEYENNEFORT</v>
      </c>
      <c r="I1398" s="8">
        <f>Sheet1!I1398</f>
        <v>46065</v>
      </c>
      <c r="J1398" s="5" t="str">
        <f>Sheet1!M1398 &amp; "," &amp; TEXT(Sheet1!N1398,"dd/mm/yy")</f>
        <v>MHA/IND/01403,26/02/26</v>
      </c>
      <c r="K1398" s="5" t="s">
        <v>5752</v>
      </c>
      <c r="L1398" t="s">
        <v>14</v>
      </c>
      <c r="M1398" s="31" t="s">
        <v>15</v>
      </c>
      <c r="N1398" s="31"/>
    </row>
    <row r="1399" spans="1:14" x14ac:dyDescent="0.25">
      <c r="A1399" s="4" t="str">
        <f>Sheet1!A1399 &amp; "/" &amp; "2025"</f>
        <v>1398/2025</v>
      </c>
      <c r="B1399" s="5" t="str">
        <f>Sheet1!E1399</f>
        <v>IND/MEL/01398</v>
      </c>
      <c r="C1399" s="6" t="str">
        <f>UPPER(Sheet1!B1399)</f>
        <v>CAROL WOLF</v>
      </c>
      <c r="D1399" s="7" t="str">
        <f>IF(Sheet1!F1399="F","FEMALE","MALE")</f>
        <v>FEMALE</v>
      </c>
      <c r="E1399" s="6" t="str">
        <f>UPPER(Sheet1!G1399)</f>
        <v>CAMERON FOSTER MD</v>
      </c>
      <c r="F1399" s="6" t="str">
        <f>UPPER(Sheet1!H1399)</f>
        <v>DENISE NAVARRO</v>
      </c>
      <c r="G1399" s="5" t="str">
        <f>TEXT(Sheet1!C1399,"dd/mm/yyyy") &amp; "," &amp; Sheet1!D1399</f>
        <v>18/04/2025,KEITHCHESTER</v>
      </c>
      <c r="H1399" s="39" t="str">
        <f>UPPER(Sheet1!J1399 &amp; "," &amp; Sheet1!K1399 &amp; "," &amp; Sheet1!L1399)</f>
        <v>363 TAMI GATEWAY,APT. 885,PIN:44336 HERNANDEZMOUTH</v>
      </c>
      <c r="I1399" s="8">
        <f>Sheet1!I1399</f>
        <v>46065</v>
      </c>
      <c r="J1399" s="5" t="str">
        <f>Sheet1!M1399 &amp; "," &amp; TEXT(Sheet1!N1399,"dd/mm/yy")</f>
        <v>MHA/IND/01404,18/02/26</v>
      </c>
      <c r="K1399" s="5" t="s">
        <v>5752</v>
      </c>
      <c r="L1399" t="s">
        <v>14</v>
      </c>
      <c r="M1399" s="31" t="s">
        <v>15</v>
      </c>
      <c r="N1399" s="31"/>
    </row>
    <row r="1400" spans="1:14" x14ac:dyDescent="0.25">
      <c r="A1400" s="4" t="str">
        <f>Sheet1!A1400 &amp; "/" &amp; "2025"</f>
        <v>1399/2025</v>
      </c>
      <c r="B1400" s="5" t="str">
        <f>Sheet1!E1400</f>
        <v>IND/MEL/01399</v>
      </c>
      <c r="C1400" s="6" t="str">
        <f>UPPER(Sheet1!B1400)</f>
        <v>MR. JONATHAN DAVIS</v>
      </c>
      <c r="D1400" s="7" t="str">
        <f>IF(Sheet1!F1400="F","FEMALE","MALE")</f>
        <v>MALE</v>
      </c>
      <c r="E1400" s="6" t="str">
        <f>UPPER(Sheet1!G1400)</f>
        <v>GREGORY LARSON</v>
      </c>
      <c r="F1400" s="6" t="str">
        <f>UPPER(Sheet1!H1400)</f>
        <v>TAYLOR THOMPSON</v>
      </c>
      <c r="G1400" s="5" t="str">
        <f>TEXT(Sheet1!C1400,"dd/mm/yyyy") &amp; "," &amp; Sheet1!D1400</f>
        <v>10/10/2025,MOLINABERG</v>
      </c>
      <c r="H1400" s="39" t="str">
        <f>UPPER(Sheet1!J1400 &amp; "," &amp; Sheet1!K1400 &amp; "," &amp; Sheet1!L1400)</f>
        <v>15507 STEPHANIE ROW APT. 514,APT. 090,PIN:40326 AMANDABOROUGH</v>
      </c>
      <c r="I1400" s="8">
        <f>Sheet1!I1400</f>
        <v>46065</v>
      </c>
      <c r="J1400" s="5" t="str">
        <f>Sheet1!M1400 &amp; "," &amp; TEXT(Sheet1!N1400,"dd/mm/yy")</f>
        <v>MHA/IND/01405,13/03/26</v>
      </c>
      <c r="K1400" s="5" t="s">
        <v>5752</v>
      </c>
      <c r="L1400" t="s">
        <v>14</v>
      </c>
      <c r="M1400" s="31" t="s">
        <v>15</v>
      </c>
      <c r="N1400" s="31"/>
    </row>
    <row r="1401" spans="1:14" x14ac:dyDescent="0.25">
      <c r="A1401" s="4" t="str">
        <f>Sheet1!A1401 &amp; "/" &amp; "2025"</f>
        <v>1400/2025</v>
      </c>
      <c r="B1401" s="5" t="str">
        <f>Sheet1!E1401</f>
        <v>IND/MEL/01400</v>
      </c>
      <c r="C1401" s="6" t="str">
        <f>UPPER(Sheet1!B1401)</f>
        <v>CHEYENNE DIAZ</v>
      </c>
      <c r="D1401" s="7" t="str">
        <f>IF(Sheet1!F1401="F","FEMALE","MALE")</f>
        <v>FEMALE</v>
      </c>
      <c r="E1401" s="6" t="str">
        <f>UPPER(Sheet1!G1401)</f>
        <v>JEFFREY VASQUEZ</v>
      </c>
      <c r="F1401" s="6" t="str">
        <f>UPPER(Sheet1!H1401)</f>
        <v>MARY WRIGHT</v>
      </c>
      <c r="G1401" s="5" t="str">
        <f>TEXT(Sheet1!C1401,"dd/mm/yyyy") &amp; "," &amp; Sheet1!D1401</f>
        <v>27/10/2025,ASHLEYFORT</v>
      </c>
      <c r="H1401" s="39" t="str">
        <f>UPPER(Sheet1!J1401 &amp; "," &amp; Sheet1!K1401 &amp; "," &amp; Sheet1!L1401)</f>
        <v>69324 DAVID CENTERS,SUITE 999,PIN:68863 PORT STEPHENPORT</v>
      </c>
      <c r="I1401" s="8">
        <f>Sheet1!I1401</f>
        <v>46065</v>
      </c>
      <c r="J1401" s="5" t="str">
        <f>Sheet1!M1401 &amp; "," &amp; TEXT(Sheet1!N1401,"dd/mm/yy")</f>
        <v>MHA/IND/01406,05/03/26</v>
      </c>
      <c r="K1401" s="5" t="s">
        <v>5752</v>
      </c>
      <c r="L1401" t="s">
        <v>14</v>
      </c>
      <c r="M1401" s="31" t="s">
        <v>15</v>
      </c>
      <c r="N1401" s="31"/>
    </row>
    <row r="1402" spans="1:14" x14ac:dyDescent="0.25">
      <c r="A1402" s="4" t="str">
        <f>Sheet1!A1402 &amp; "/" &amp; "2025"</f>
        <v>1401/2025</v>
      </c>
      <c r="B1402" s="5" t="str">
        <f>Sheet1!E1402</f>
        <v>IND/MEL/01401</v>
      </c>
      <c r="C1402" s="6" t="str">
        <f>UPPER(Sheet1!B1402)</f>
        <v>LISA SHELTON</v>
      </c>
      <c r="D1402" s="7" t="str">
        <f>IF(Sheet1!F1402="F","FEMALE","MALE")</f>
        <v>MALE</v>
      </c>
      <c r="E1402" s="6" t="str">
        <f>UPPER(Sheet1!G1402)</f>
        <v>MICHAEL MUNOZ</v>
      </c>
      <c r="F1402" s="6" t="str">
        <f>UPPER(Sheet1!H1402)</f>
        <v>AMY THOMAS</v>
      </c>
      <c r="G1402" s="5" t="str">
        <f>TEXT(Sheet1!C1402,"dd/mm/yyyy") &amp; "," &amp; Sheet1!D1402</f>
        <v>20/03/2025,NEW JAMESMOUTH</v>
      </c>
      <c r="H1402" s="39" t="str">
        <f>UPPER(Sheet1!J1402 &amp; "," &amp; Sheet1!K1402 &amp; "," &amp; Sheet1!L1402)</f>
        <v>91633 ROBINSON GARDENS SUITE 745,SUITE 471,PIN:63864 EAST ZACHARY</v>
      </c>
      <c r="I1402" s="8">
        <f>Sheet1!I1402</f>
        <v>46065</v>
      </c>
      <c r="J1402" s="5" t="str">
        <f>Sheet1!M1402 &amp; "," &amp; TEXT(Sheet1!N1402,"dd/mm/yy")</f>
        <v>MHA/IND/01407,28/02/26</v>
      </c>
      <c r="K1402" s="5" t="s">
        <v>5752</v>
      </c>
      <c r="L1402" t="s">
        <v>14</v>
      </c>
      <c r="M1402" s="31" t="s">
        <v>15</v>
      </c>
      <c r="N1402" s="31"/>
    </row>
    <row r="1403" spans="1:14" x14ac:dyDescent="0.25">
      <c r="A1403" s="4" t="str">
        <f>Sheet1!A1403 &amp; "/" &amp; "2025"</f>
        <v>1402/2025</v>
      </c>
      <c r="B1403" s="5" t="str">
        <f>Sheet1!E1403</f>
        <v>IND/MEL/01402</v>
      </c>
      <c r="C1403" s="6" t="str">
        <f>UPPER(Sheet1!B1403)</f>
        <v>CARLY BRYANT</v>
      </c>
      <c r="D1403" s="7" t="str">
        <f>IF(Sheet1!F1403="F","FEMALE","MALE")</f>
        <v>FEMALE</v>
      </c>
      <c r="E1403" s="6" t="str">
        <f>UPPER(Sheet1!G1403)</f>
        <v>DANIEL COX</v>
      </c>
      <c r="F1403" s="6" t="str">
        <f>UPPER(Sheet1!H1403)</f>
        <v>LISA CLARK</v>
      </c>
      <c r="G1403" s="5" t="str">
        <f>TEXT(Sheet1!C1403,"dd/mm/yyyy") &amp; "," &amp; Sheet1!D1403</f>
        <v>07/12/2025,JACKSONSIDE</v>
      </c>
      <c r="H1403" s="39" t="str">
        <f>UPPER(Sheet1!J1403 &amp; "," &amp; Sheet1!K1403 &amp; "," &amp; Sheet1!L1403)</f>
        <v>827 NIELSEN POINT SUITE 401,APT. 239,PIN:26740 ALEXANDRATOWN</v>
      </c>
      <c r="I1403" s="8">
        <f>Sheet1!I1403</f>
        <v>46065</v>
      </c>
      <c r="J1403" s="5" t="str">
        <f>Sheet1!M1403 &amp; "," &amp; TEXT(Sheet1!N1403,"dd/mm/yy")</f>
        <v>MHA/IND/01408,17/02/26</v>
      </c>
      <c r="K1403" s="5" t="s">
        <v>5752</v>
      </c>
      <c r="L1403" t="s">
        <v>14</v>
      </c>
      <c r="M1403" s="31" t="s">
        <v>15</v>
      </c>
      <c r="N1403" s="31"/>
    </row>
    <row r="1404" spans="1:14" x14ac:dyDescent="0.25">
      <c r="A1404" s="4" t="str">
        <f>Sheet1!A1404 &amp; "/" &amp; "2025"</f>
        <v>1403/2025</v>
      </c>
      <c r="B1404" s="5" t="str">
        <f>Sheet1!E1404</f>
        <v>IND/MEL/01403</v>
      </c>
      <c r="C1404" s="6" t="str">
        <f>UPPER(Sheet1!B1404)</f>
        <v>BRADLEY PEREZ</v>
      </c>
      <c r="D1404" s="7" t="str">
        <f>IF(Sheet1!F1404="F","FEMALE","MALE")</f>
        <v>FEMALE</v>
      </c>
      <c r="E1404" s="6" t="str">
        <f>UPPER(Sheet1!G1404)</f>
        <v>FRED MORA</v>
      </c>
      <c r="F1404" s="6" t="str">
        <f>UPPER(Sheet1!H1404)</f>
        <v>JESSICA WOOD</v>
      </c>
      <c r="G1404" s="5" t="str">
        <f>TEXT(Sheet1!C1404,"dd/mm/yyyy") &amp; "," &amp; Sheet1!D1404</f>
        <v>21/03/2025,SOUTH ANNA</v>
      </c>
      <c r="H1404" s="39" t="str">
        <f>UPPER(Sheet1!J1404 &amp; "," &amp; Sheet1!K1404 &amp; "," &amp; Sheet1!L1404)</f>
        <v>48018 ZAMORA SQUARES APT. 333,SUITE 139,PIN:55349 GARZALAND</v>
      </c>
      <c r="I1404" s="8">
        <f>Sheet1!I1404</f>
        <v>46065</v>
      </c>
      <c r="J1404" s="5" t="str">
        <f>Sheet1!M1404 &amp; "," &amp; TEXT(Sheet1!N1404,"dd/mm/yy")</f>
        <v>MHA/IND/01409,12/03/26</v>
      </c>
      <c r="K1404" s="5" t="s">
        <v>5752</v>
      </c>
      <c r="L1404" t="s">
        <v>14</v>
      </c>
      <c r="M1404" s="31" t="s">
        <v>15</v>
      </c>
      <c r="N1404" s="31"/>
    </row>
    <row r="1405" spans="1:14" x14ac:dyDescent="0.25">
      <c r="A1405" s="4" t="str">
        <f>Sheet1!A1405 &amp; "/" &amp; "2025"</f>
        <v>1404/2025</v>
      </c>
      <c r="B1405" s="5" t="str">
        <f>Sheet1!E1405</f>
        <v>IND/MEL/01404</v>
      </c>
      <c r="C1405" s="6" t="str">
        <f>UPPER(Sheet1!B1405)</f>
        <v>MORGAN ROGERS</v>
      </c>
      <c r="D1405" s="7" t="str">
        <f>IF(Sheet1!F1405="F","FEMALE","MALE")</f>
        <v>MALE</v>
      </c>
      <c r="E1405" s="6" t="str">
        <f>UPPER(Sheet1!G1405)</f>
        <v>GREG COOK</v>
      </c>
      <c r="F1405" s="6" t="str">
        <f>UPPER(Sheet1!H1405)</f>
        <v>LINDSAY RAY</v>
      </c>
      <c r="G1405" s="5" t="str">
        <f>TEXT(Sheet1!C1405,"dd/mm/yyyy") &amp; "," &amp; Sheet1!D1405</f>
        <v>11/11/2025,LAKE AARON</v>
      </c>
      <c r="H1405" s="39" t="str">
        <f>UPPER(Sheet1!J1405 &amp; "," &amp; Sheet1!K1405 &amp; "," &amp; Sheet1!L1405)</f>
        <v>2938 DANIEL WALL APT. 006,SUITE 300,PIN:76101 PORT ALBERTVILLE</v>
      </c>
      <c r="I1405" s="8">
        <f>Sheet1!I1405</f>
        <v>46065</v>
      </c>
      <c r="J1405" s="5" t="str">
        <f>Sheet1!M1405 &amp; "," &amp; TEXT(Sheet1!N1405,"dd/mm/yy")</f>
        <v>MHA/IND/01410,22/02/26</v>
      </c>
      <c r="K1405" s="5" t="s">
        <v>5752</v>
      </c>
      <c r="L1405" t="s">
        <v>14</v>
      </c>
      <c r="M1405" s="31" t="s">
        <v>15</v>
      </c>
      <c r="N1405" s="31"/>
    </row>
    <row r="1406" spans="1:14" x14ac:dyDescent="0.25">
      <c r="A1406" s="4" t="str">
        <f>Sheet1!A1406 &amp; "/" &amp; "2025"</f>
        <v>1405/2025</v>
      </c>
      <c r="B1406" s="5" t="str">
        <f>Sheet1!E1406</f>
        <v>IND/MEL/01405</v>
      </c>
      <c r="C1406" s="6" t="str">
        <f>UPPER(Sheet1!B1406)</f>
        <v>STEPHEN NICHOLS</v>
      </c>
      <c r="D1406" s="7" t="str">
        <f>IF(Sheet1!F1406="F","FEMALE","MALE")</f>
        <v>MALE</v>
      </c>
      <c r="E1406" s="6" t="str">
        <f>UPPER(Sheet1!G1406)</f>
        <v>MICHAEL HAMILTON</v>
      </c>
      <c r="F1406" s="6" t="str">
        <f>UPPER(Sheet1!H1406)</f>
        <v>DAWN FLOYD</v>
      </c>
      <c r="G1406" s="5" t="str">
        <f>TEXT(Sheet1!C1406,"dd/mm/yyyy") &amp; "," &amp; Sheet1!D1406</f>
        <v>08/03/2025,NORTH NATALIESHIRE</v>
      </c>
      <c r="H1406" s="39" t="str">
        <f>UPPER(Sheet1!J1406 &amp; "," &amp; Sheet1!K1406 &amp; "," &amp; Sheet1!L1406)</f>
        <v>83106 JOHN MILLS,APT. 520,PIN:92827 MITCHELLHAVEN</v>
      </c>
      <c r="I1406" s="8">
        <f>Sheet1!I1406</f>
        <v>46065</v>
      </c>
      <c r="J1406" s="5" t="str">
        <f>Sheet1!M1406 &amp; "," &amp; TEXT(Sheet1!N1406,"dd/mm/yy")</f>
        <v>MHA/IND/01411,22/02/26</v>
      </c>
      <c r="K1406" s="5" t="s">
        <v>5752</v>
      </c>
      <c r="L1406" t="s">
        <v>14</v>
      </c>
      <c r="M1406" s="31" t="s">
        <v>15</v>
      </c>
      <c r="N1406" s="31"/>
    </row>
    <row r="1407" spans="1:14" x14ac:dyDescent="0.25">
      <c r="A1407" s="4" t="str">
        <f>Sheet1!A1407 &amp; "/" &amp; "2025"</f>
        <v>1406/2025</v>
      </c>
      <c r="B1407" s="5" t="str">
        <f>Sheet1!E1407</f>
        <v>IND/MEL/01406</v>
      </c>
      <c r="C1407" s="6" t="str">
        <f>UPPER(Sheet1!B1407)</f>
        <v>LAUREN RIVERA</v>
      </c>
      <c r="D1407" s="7" t="str">
        <f>IF(Sheet1!F1407="F","FEMALE","MALE")</f>
        <v>MALE</v>
      </c>
      <c r="E1407" s="6" t="str">
        <f>UPPER(Sheet1!G1407)</f>
        <v>RYAN HUNT</v>
      </c>
      <c r="F1407" s="6" t="str">
        <f>UPPER(Sheet1!H1407)</f>
        <v>CHRISTINA ALVAREZ</v>
      </c>
      <c r="G1407" s="5" t="str">
        <f>TEXT(Sheet1!C1407,"dd/mm/yyyy") &amp; "," &amp; Sheet1!D1407</f>
        <v>28/04/2025,TERESASHIRE</v>
      </c>
      <c r="H1407" s="39" t="str">
        <f>UPPER(Sheet1!J1407 &amp; "," &amp; Sheet1!K1407 &amp; "," &amp; Sheet1!L1407)</f>
        <v>130 RODRIGUEZ CREST SUITE 863,APT. 163,PIN:65494 LAKE PAULASHIRE</v>
      </c>
      <c r="I1407" s="8">
        <f>Sheet1!I1407</f>
        <v>46065</v>
      </c>
      <c r="J1407" s="5" t="str">
        <f>Sheet1!M1407 &amp; "," &amp; TEXT(Sheet1!N1407,"dd/mm/yy")</f>
        <v>MHA/IND/01412,07/03/26</v>
      </c>
      <c r="K1407" s="5" t="s">
        <v>5752</v>
      </c>
      <c r="L1407" t="s">
        <v>14</v>
      </c>
      <c r="M1407" s="31" t="s">
        <v>15</v>
      </c>
      <c r="N1407" s="31"/>
    </row>
    <row r="1408" spans="1:14" x14ac:dyDescent="0.25">
      <c r="A1408" s="4" t="str">
        <f>Sheet1!A1408 &amp; "/" &amp; "2025"</f>
        <v>1407/2025</v>
      </c>
      <c r="B1408" s="5" t="str">
        <f>Sheet1!E1408</f>
        <v>IND/MEL/01407</v>
      </c>
      <c r="C1408" s="6" t="str">
        <f>UPPER(Sheet1!B1408)</f>
        <v>ROBERT CASTRO</v>
      </c>
      <c r="D1408" s="7" t="str">
        <f>IF(Sheet1!F1408="F","FEMALE","MALE")</f>
        <v>MALE</v>
      </c>
      <c r="E1408" s="6" t="str">
        <f>UPPER(Sheet1!G1408)</f>
        <v>TIMOTHY TOWNSEND</v>
      </c>
      <c r="F1408" s="6" t="str">
        <f>UPPER(Sheet1!H1408)</f>
        <v>AMANDA RAMIREZ</v>
      </c>
      <c r="G1408" s="5" t="str">
        <f>TEXT(Sheet1!C1408,"dd/mm/yyyy") &amp; "," &amp; Sheet1!D1408</f>
        <v>06/08/2025,NORTH MICHAELFURT</v>
      </c>
      <c r="H1408" s="39" t="str">
        <f>UPPER(Sheet1!J1408 &amp; "," &amp; Sheet1!K1408 &amp; "," &amp; Sheet1!L1408)</f>
        <v>53233 RAMSEY HARBORS,SUITE 868,PIN:17422 LEWISMOUTH</v>
      </c>
      <c r="I1408" s="8">
        <f>Sheet1!I1408</f>
        <v>46065</v>
      </c>
      <c r="J1408" s="5" t="str">
        <f>Sheet1!M1408 &amp; "," &amp; TEXT(Sheet1!N1408,"dd/mm/yy")</f>
        <v>MHA/IND/01413,02/03/26</v>
      </c>
      <c r="K1408" s="5" t="s">
        <v>5752</v>
      </c>
      <c r="L1408" t="s">
        <v>14</v>
      </c>
      <c r="M1408" s="31" t="s">
        <v>15</v>
      </c>
      <c r="N1408" s="31"/>
    </row>
    <row r="1409" spans="1:14" x14ac:dyDescent="0.25">
      <c r="A1409" s="4" t="str">
        <f>Sheet1!A1409 &amp; "/" &amp; "2025"</f>
        <v>1408/2025</v>
      </c>
      <c r="B1409" s="5" t="str">
        <f>Sheet1!E1409</f>
        <v>IND/MEL/01408</v>
      </c>
      <c r="C1409" s="6" t="str">
        <f>UPPER(Sheet1!B1409)</f>
        <v>ANNA WILLIAMS</v>
      </c>
      <c r="D1409" s="7" t="str">
        <f>IF(Sheet1!F1409="F","FEMALE","MALE")</f>
        <v>FEMALE</v>
      </c>
      <c r="E1409" s="6" t="str">
        <f>UPPER(Sheet1!G1409)</f>
        <v>JOSHUA FLORES</v>
      </c>
      <c r="F1409" s="6" t="str">
        <f>UPPER(Sheet1!H1409)</f>
        <v>MONICA JEFFERSON</v>
      </c>
      <c r="G1409" s="5" t="str">
        <f>TEXT(Sheet1!C1409,"dd/mm/yyyy") &amp; "," &amp; Sheet1!D1409</f>
        <v>10/03/2025,EAST JERRY</v>
      </c>
      <c r="H1409" s="39" t="str">
        <f>UPPER(Sheet1!J1409 &amp; "," &amp; Sheet1!K1409 &amp; "," &amp; Sheet1!L1409)</f>
        <v>302 SHAWN SPUR APT. 953,SUITE 076,PIN:79061 SOUTH RYAN</v>
      </c>
      <c r="I1409" s="8">
        <f>Sheet1!I1409</f>
        <v>46065</v>
      </c>
      <c r="J1409" s="5" t="str">
        <f>Sheet1!M1409 &amp; "," &amp; TEXT(Sheet1!N1409,"dd/mm/yy")</f>
        <v>MHA/IND/01414,08/03/26</v>
      </c>
      <c r="K1409" s="5" t="s">
        <v>5752</v>
      </c>
      <c r="L1409" t="s">
        <v>14</v>
      </c>
      <c r="M1409" s="31" t="s">
        <v>15</v>
      </c>
      <c r="N1409" s="31"/>
    </row>
    <row r="1410" spans="1:14" x14ac:dyDescent="0.25">
      <c r="A1410" s="4" t="str">
        <f>Sheet1!A1410 &amp; "/" &amp; "2025"</f>
        <v>1409/2025</v>
      </c>
      <c r="B1410" s="5" t="str">
        <f>Sheet1!E1410</f>
        <v>IND/MEL/01409</v>
      </c>
      <c r="C1410" s="6" t="str">
        <f>UPPER(Sheet1!B1410)</f>
        <v>CRYSTAL THOMAS</v>
      </c>
      <c r="D1410" s="7" t="str">
        <f>IF(Sheet1!F1410="F","FEMALE","MALE")</f>
        <v>FEMALE</v>
      </c>
      <c r="E1410" s="6" t="str">
        <f>UPPER(Sheet1!G1410)</f>
        <v>JAMES RICHARDS</v>
      </c>
      <c r="F1410" s="6" t="str">
        <f>UPPER(Sheet1!H1410)</f>
        <v>MARGARET SPENCE</v>
      </c>
      <c r="G1410" s="5" t="str">
        <f>TEXT(Sheet1!C1410,"dd/mm/yyyy") &amp; "," &amp; Sheet1!D1410</f>
        <v>05/07/2025,NORTH SEANVIEW</v>
      </c>
      <c r="H1410" s="39" t="str">
        <f>UPPER(Sheet1!J1410 &amp; "," &amp; Sheet1!K1410 &amp; "," &amp; Sheet1!L1410)</f>
        <v>0092 WANDA CIRCLES APT. 252,SUITE 535,PIN:84323 LAKE JILLPORT</v>
      </c>
      <c r="I1410" s="8">
        <f>Sheet1!I1410</f>
        <v>46065</v>
      </c>
      <c r="J1410" s="5" t="str">
        <f>Sheet1!M1410 &amp; "," &amp; TEXT(Sheet1!N1410,"dd/mm/yy")</f>
        <v>MHA/IND/01415,13/03/26</v>
      </c>
      <c r="K1410" s="5" t="s">
        <v>5752</v>
      </c>
      <c r="L1410" t="s">
        <v>14</v>
      </c>
      <c r="M1410" s="31" t="s">
        <v>15</v>
      </c>
      <c r="N1410" s="31"/>
    </row>
    <row r="1411" spans="1:14" x14ac:dyDescent="0.25">
      <c r="A1411" s="4" t="str">
        <f>Sheet1!A1411 &amp; "/" &amp; "2025"</f>
        <v>1410/2025</v>
      </c>
      <c r="B1411" s="5" t="str">
        <f>Sheet1!E1411</f>
        <v>IND/MEL/01410</v>
      </c>
      <c r="C1411" s="6" t="str">
        <f>UPPER(Sheet1!B1411)</f>
        <v>ANTHONY SCOTT</v>
      </c>
      <c r="D1411" s="7" t="str">
        <f>IF(Sheet1!F1411="F","FEMALE","MALE")</f>
        <v>FEMALE</v>
      </c>
      <c r="E1411" s="6" t="str">
        <f>UPPER(Sheet1!G1411)</f>
        <v>DONALD JOHNSON</v>
      </c>
      <c r="F1411" s="6" t="str">
        <f>UPPER(Sheet1!H1411)</f>
        <v>KATHERINE MOORE</v>
      </c>
      <c r="G1411" s="5" t="str">
        <f>TEXT(Sheet1!C1411,"dd/mm/yyyy") &amp; "," &amp; Sheet1!D1411</f>
        <v>29/06/2025,YOUNGSTAD</v>
      </c>
      <c r="H1411" s="39" t="str">
        <f>UPPER(Sheet1!J1411 &amp; "," &amp; Sheet1!K1411 &amp; "," &amp; Sheet1!L1411)</f>
        <v>975 WHITE THROUGHWAY,APT. 585,PIN:16569 EAST JOSEPH</v>
      </c>
      <c r="I1411" s="8">
        <f>Sheet1!I1411</f>
        <v>46065</v>
      </c>
      <c r="J1411" s="5" t="str">
        <f>Sheet1!M1411 &amp; "," &amp; TEXT(Sheet1!N1411,"dd/mm/yy")</f>
        <v>MHA/IND/01416,25/02/26</v>
      </c>
      <c r="K1411" s="5" t="s">
        <v>5752</v>
      </c>
      <c r="L1411" t="s">
        <v>14</v>
      </c>
      <c r="M1411" s="31" t="s">
        <v>15</v>
      </c>
      <c r="N1411" s="31"/>
    </row>
    <row r="1412" spans="1:14" x14ac:dyDescent="0.25">
      <c r="A1412" s="4" t="str">
        <f>Sheet1!A1412 &amp; "/" &amp; "2025"</f>
        <v>1411/2025</v>
      </c>
      <c r="B1412" s="5" t="str">
        <f>Sheet1!E1412</f>
        <v>IND/MEL/01411</v>
      </c>
      <c r="C1412" s="6" t="str">
        <f>UPPER(Sheet1!B1412)</f>
        <v>EDWARD HICKS</v>
      </c>
      <c r="D1412" s="7" t="str">
        <f>IF(Sheet1!F1412="F","FEMALE","MALE")</f>
        <v>MALE</v>
      </c>
      <c r="E1412" s="6" t="str">
        <f>UPPER(Sheet1!G1412)</f>
        <v>MICHAEL WALSH</v>
      </c>
      <c r="F1412" s="6" t="str">
        <f>UPPER(Sheet1!H1412)</f>
        <v>REBECCA BRADLEY</v>
      </c>
      <c r="G1412" s="5" t="str">
        <f>TEXT(Sheet1!C1412,"dd/mm/yyyy") &amp; "," &amp; Sheet1!D1412</f>
        <v>16/10/2025,JUANSIDE</v>
      </c>
      <c r="H1412" s="39" t="str">
        <f>UPPER(Sheet1!J1412 &amp; "," &amp; Sheet1!K1412 &amp; "," &amp; Sheet1!L1412)</f>
        <v>24621 ANTONIO OVERPASS,SUITE 101,PIN:59454 WEST RICHARDSTAD</v>
      </c>
      <c r="I1412" s="8">
        <f>Sheet1!I1412</f>
        <v>46065</v>
      </c>
      <c r="J1412" s="5" t="str">
        <f>Sheet1!M1412 &amp; "," &amp; TEXT(Sheet1!N1412,"dd/mm/yy")</f>
        <v>MHA/IND/01417,06/03/26</v>
      </c>
      <c r="K1412" s="5" t="s">
        <v>5752</v>
      </c>
      <c r="L1412" t="s">
        <v>14</v>
      </c>
      <c r="M1412" s="31" t="s">
        <v>15</v>
      </c>
      <c r="N1412" s="31"/>
    </row>
    <row r="1413" spans="1:14" x14ac:dyDescent="0.25">
      <c r="A1413" s="4" t="str">
        <f>Sheet1!A1413 &amp; "/" &amp; "2025"</f>
        <v>1412/2025</v>
      </c>
      <c r="B1413" s="5" t="str">
        <f>Sheet1!E1413</f>
        <v>IND/MEL/01412</v>
      </c>
      <c r="C1413" s="6" t="str">
        <f>UPPER(Sheet1!B1413)</f>
        <v>MICHAEL PETERS</v>
      </c>
      <c r="D1413" s="7" t="str">
        <f>IF(Sheet1!F1413="F","FEMALE","MALE")</f>
        <v>FEMALE</v>
      </c>
      <c r="E1413" s="6" t="str">
        <f>UPPER(Sheet1!G1413)</f>
        <v>WILLIAM BROCK</v>
      </c>
      <c r="F1413" s="6" t="str">
        <f>UPPER(Sheet1!H1413)</f>
        <v>SUSAN COX</v>
      </c>
      <c r="G1413" s="5" t="str">
        <f>TEXT(Sheet1!C1413,"dd/mm/yyyy") &amp; "," &amp; Sheet1!D1413</f>
        <v>04/08/2025,CARTERTON</v>
      </c>
      <c r="H1413" s="39" t="str">
        <f>UPPER(Sheet1!J1413 &amp; "," &amp; Sheet1!K1413 &amp; "," &amp; Sheet1!L1413)</f>
        <v>65887 KIRK MEWS,SUITE 622,PIN:36518 NEW BAILEY</v>
      </c>
      <c r="I1413" s="8">
        <f>Sheet1!I1413</f>
        <v>46065</v>
      </c>
      <c r="J1413" s="5" t="str">
        <f>Sheet1!M1413 &amp; "," &amp; TEXT(Sheet1!N1413,"dd/mm/yy")</f>
        <v>MHA/IND/01418,05/03/26</v>
      </c>
      <c r="K1413" s="5" t="s">
        <v>5752</v>
      </c>
      <c r="L1413" t="s">
        <v>14</v>
      </c>
      <c r="M1413" s="31" t="s">
        <v>15</v>
      </c>
      <c r="N1413" s="31"/>
    </row>
    <row r="1414" spans="1:14" x14ac:dyDescent="0.25">
      <c r="A1414" s="4" t="str">
        <f>Sheet1!A1414 &amp; "/" &amp; "2025"</f>
        <v>1413/2025</v>
      </c>
      <c r="B1414" s="5" t="str">
        <f>Sheet1!E1414</f>
        <v>IND/MEL/01413</v>
      </c>
      <c r="C1414" s="6" t="str">
        <f>UPPER(Sheet1!B1414)</f>
        <v>CHARLES KRAUSE</v>
      </c>
      <c r="D1414" s="7" t="str">
        <f>IF(Sheet1!F1414="F","FEMALE","MALE")</f>
        <v>FEMALE</v>
      </c>
      <c r="E1414" s="6" t="str">
        <f>UPPER(Sheet1!G1414)</f>
        <v>THOMAS ROSE</v>
      </c>
      <c r="F1414" s="6" t="str">
        <f>UPPER(Sheet1!H1414)</f>
        <v>SHAWNA DAVIS</v>
      </c>
      <c r="G1414" s="5" t="str">
        <f>TEXT(Sheet1!C1414,"dd/mm/yyyy") &amp; "," &amp; Sheet1!D1414</f>
        <v>15/01/2026,LAKE CAROL</v>
      </c>
      <c r="H1414" s="39" t="str">
        <f>UPPER(Sheet1!J1414 &amp; "," &amp; Sheet1!K1414 &amp; "," &amp; Sheet1!L1414)</f>
        <v>655 BECK PINES APT. 691,APT. 543,PIN:38812 DAWNPORT</v>
      </c>
      <c r="I1414" s="8">
        <f>Sheet1!I1414</f>
        <v>46065</v>
      </c>
      <c r="J1414" s="5" t="str">
        <f>Sheet1!M1414 &amp; "," &amp; TEXT(Sheet1!N1414,"dd/mm/yy")</f>
        <v>MHA/IND/01419,04/03/26</v>
      </c>
      <c r="K1414" s="5" t="s">
        <v>5752</v>
      </c>
      <c r="L1414" t="s">
        <v>14</v>
      </c>
      <c r="M1414" s="31" t="s">
        <v>15</v>
      </c>
      <c r="N1414" s="31"/>
    </row>
    <row r="1415" spans="1:14" x14ac:dyDescent="0.25">
      <c r="A1415" s="4" t="str">
        <f>Sheet1!A1415 &amp; "/" &amp; "2025"</f>
        <v>1414/2025</v>
      </c>
      <c r="B1415" s="5" t="str">
        <f>Sheet1!E1415</f>
        <v>IND/MEL/01414</v>
      </c>
      <c r="C1415" s="6" t="str">
        <f>UPPER(Sheet1!B1415)</f>
        <v>ANNA WILLIAMS</v>
      </c>
      <c r="D1415" s="7" t="str">
        <f>IF(Sheet1!F1415="F","FEMALE","MALE")</f>
        <v>MALE</v>
      </c>
      <c r="E1415" s="6" t="str">
        <f>UPPER(Sheet1!G1415)</f>
        <v>JOHN COOK</v>
      </c>
      <c r="F1415" s="6" t="str">
        <f>UPPER(Sheet1!H1415)</f>
        <v>CHELSEY WADE</v>
      </c>
      <c r="G1415" s="5" t="str">
        <f>TEXT(Sheet1!C1415,"dd/mm/yyyy") &amp; "," &amp; Sheet1!D1415</f>
        <v>19/12/2025,FRANKBERG</v>
      </c>
      <c r="H1415" s="39" t="str">
        <f>UPPER(Sheet1!J1415 &amp; "," &amp; Sheet1!K1415 &amp; "," &amp; Sheet1!L1415)</f>
        <v>5103 MALDONADO PIKE,APT. 919,PIN:18075 SANCHEZBOROUGH</v>
      </c>
      <c r="I1415" s="8">
        <f>Sheet1!I1415</f>
        <v>46065</v>
      </c>
      <c r="J1415" s="5" t="str">
        <f>Sheet1!M1415 &amp; "," &amp; TEXT(Sheet1!N1415,"dd/mm/yy")</f>
        <v>MHA/IND/01420,17/02/26</v>
      </c>
      <c r="K1415" s="5" t="s">
        <v>5752</v>
      </c>
      <c r="L1415" t="s">
        <v>14</v>
      </c>
      <c r="M1415" s="31" t="s">
        <v>15</v>
      </c>
      <c r="N1415" s="31"/>
    </row>
    <row r="1416" spans="1:14" x14ac:dyDescent="0.25">
      <c r="A1416" s="4" t="str">
        <f>Sheet1!A1416 &amp; "/" &amp; "2025"</f>
        <v>1415/2025</v>
      </c>
      <c r="B1416" s="5" t="str">
        <f>Sheet1!E1416</f>
        <v>IND/MEL/01415</v>
      </c>
      <c r="C1416" s="6" t="str">
        <f>UPPER(Sheet1!B1416)</f>
        <v>CYNTHIA PATTERSON</v>
      </c>
      <c r="D1416" s="7" t="str">
        <f>IF(Sheet1!F1416="F","FEMALE","MALE")</f>
        <v>FEMALE</v>
      </c>
      <c r="E1416" s="6" t="str">
        <f>UPPER(Sheet1!G1416)</f>
        <v>RODNEY PORTER</v>
      </c>
      <c r="F1416" s="6" t="str">
        <f>UPPER(Sheet1!H1416)</f>
        <v>PAMELA GUERRERO</v>
      </c>
      <c r="G1416" s="5" t="str">
        <f>TEXT(Sheet1!C1416,"dd/mm/yyyy") &amp; "," &amp; Sheet1!D1416</f>
        <v>05/04/2025,JOHNSTAD</v>
      </c>
      <c r="H1416" s="39" t="str">
        <f>UPPER(Sheet1!J1416 &amp; "," &amp; Sheet1!K1416 &amp; "," &amp; Sheet1!L1416)</f>
        <v>23507 WHITE LAKE APT. 923,APT. 619,PIN:41354 WEST STEVEN</v>
      </c>
      <c r="I1416" s="8">
        <f>Sheet1!I1416</f>
        <v>46065</v>
      </c>
      <c r="J1416" s="5" t="str">
        <f>Sheet1!M1416 &amp; "," &amp; TEXT(Sheet1!N1416,"dd/mm/yy")</f>
        <v>MHA/IND/01421,11/03/26</v>
      </c>
      <c r="K1416" s="5" t="s">
        <v>5752</v>
      </c>
      <c r="L1416" t="s">
        <v>14</v>
      </c>
      <c r="M1416" s="31" t="s">
        <v>15</v>
      </c>
      <c r="N1416" s="31"/>
    </row>
    <row r="1417" spans="1:14" x14ac:dyDescent="0.25">
      <c r="A1417" s="4" t="str">
        <f>Sheet1!A1417 &amp; "/" &amp; "2025"</f>
        <v>1416/2025</v>
      </c>
      <c r="B1417" s="5" t="str">
        <f>Sheet1!E1417</f>
        <v>IND/MEL/01416</v>
      </c>
      <c r="C1417" s="6" t="str">
        <f>UPPER(Sheet1!B1417)</f>
        <v>GABRIELLA JORDAN</v>
      </c>
      <c r="D1417" s="7" t="str">
        <f>IF(Sheet1!F1417="F","FEMALE","MALE")</f>
        <v>FEMALE</v>
      </c>
      <c r="E1417" s="6" t="str">
        <f>UPPER(Sheet1!G1417)</f>
        <v>WILLIAM COOK</v>
      </c>
      <c r="F1417" s="6" t="str">
        <f>UPPER(Sheet1!H1417)</f>
        <v>NATALIE NIELSEN</v>
      </c>
      <c r="G1417" s="5" t="str">
        <f>TEXT(Sheet1!C1417,"dd/mm/yyyy") &amp; "," &amp; Sheet1!D1417</f>
        <v>26/02/2025,EAST PAMELA</v>
      </c>
      <c r="H1417" s="39" t="str">
        <f>UPPER(Sheet1!J1417 &amp; "," &amp; Sheet1!K1417 &amp; "," &amp; Sheet1!L1417)</f>
        <v>348 ASHLEY HILLS,APT. 936,PIN:34827 BOBBYTON</v>
      </c>
      <c r="I1417" s="8">
        <f>Sheet1!I1417</f>
        <v>46065</v>
      </c>
      <c r="J1417" s="5" t="str">
        <f>Sheet1!M1417 &amp; "," &amp; TEXT(Sheet1!N1417,"dd/mm/yy")</f>
        <v>MHA/IND/01422,18/02/26</v>
      </c>
      <c r="K1417" s="5" t="s">
        <v>5752</v>
      </c>
      <c r="L1417" t="s">
        <v>14</v>
      </c>
      <c r="M1417" s="31" t="s">
        <v>15</v>
      </c>
      <c r="N1417" s="31"/>
    </row>
    <row r="1418" spans="1:14" x14ac:dyDescent="0.25">
      <c r="A1418" s="4" t="str">
        <f>Sheet1!A1418 &amp; "/" &amp; "2025"</f>
        <v>1417/2025</v>
      </c>
      <c r="B1418" s="5" t="str">
        <f>Sheet1!E1418</f>
        <v>IND/MEL/01417</v>
      </c>
      <c r="C1418" s="6" t="str">
        <f>UPPER(Sheet1!B1418)</f>
        <v>LARRY WHITNEY</v>
      </c>
      <c r="D1418" s="7" t="str">
        <f>IF(Sheet1!F1418="F","FEMALE","MALE")</f>
        <v>MALE</v>
      </c>
      <c r="E1418" s="6" t="str">
        <f>UPPER(Sheet1!G1418)</f>
        <v>JORDAN LEE</v>
      </c>
      <c r="F1418" s="6" t="str">
        <f>UPPER(Sheet1!H1418)</f>
        <v>MELISSA LEE</v>
      </c>
      <c r="G1418" s="5" t="str">
        <f>TEXT(Sheet1!C1418,"dd/mm/yyyy") &amp; "," &amp; Sheet1!D1418</f>
        <v>01/06/2025,ROBERTSHIRE</v>
      </c>
      <c r="H1418" s="39" t="str">
        <f>UPPER(Sheet1!J1418 &amp; "," &amp; Sheet1!K1418 &amp; "," &amp; Sheet1!L1418)</f>
        <v>541 LISA LODGE APT. 214,APT. 911,PIN:91557 EAST TONY</v>
      </c>
      <c r="I1418" s="8">
        <f>Sheet1!I1418</f>
        <v>46065</v>
      </c>
      <c r="J1418" s="5" t="str">
        <f>Sheet1!M1418 &amp; "," &amp; TEXT(Sheet1!N1418,"dd/mm/yy")</f>
        <v>MHA/IND/01423,27/02/26</v>
      </c>
      <c r="K1418" s="5" t="s">
        <v>5752</v>
      </c>
      <c r="L1418" t="s">
        <v>14</v>
      </c>
      <c r="M1418" s="31" t="s">
        <v>15</v>
      </c>
      <c r="N1418" s="31"/>
    </row>
    <row r="1419" spans="1:14" x14ac:dyDescent="0.25">
      <c r="A1419" s="4" t="str">
        <f>Sheet1!A1419 &amp; "/" &amp; "2025"</f>
        <v>1418/2025</v>
      </c>
      <c r="B1419" s="5" t="str">
        <f>Sheet1!E1419</f>
        <v>IND/MEL/01418</v>
      </c>
      <c r="C1419" s="6" t="str">
        <f>UPPER(Sheet1!B1419)</f>
        <v>MICHELLE DOUGLAS</v>
      </c>
      <c r="D1419" s="7" t="str">
        <f>IF(Sheet1!F1419="F","FEMALE","MALE")</f>
        <v>FEMALE</v>
      </c>
      <c r="E1419" s="6" t="str">
        <f>UPPER(Sheet1!G1419)</f>
        <v>THOMAS COWAN</v>
      </c>
      <c r="F1419" s="6" t="str">
        <f>UPPER(Sheet1!H1419)</f>
        <v>BEVERLY ARNOLD</v>
      </c>
      <c r="G1419" s="5" t="str">
        <f>TEXT(Sheet1!C1419,"dd/mm/yyyy") &amp; "," &amp; Sheet1!D1419</f>
        <v>27/02/2025,VASQUEZVIEW</v>
      </c>
      <c r="H1419" s="39" t="str">
        <f>UPPER(Sheet1!J1419 &amp; "," &amp; Sheet1!K1419 &amp; "," &amp; Sheet1!L1419)</f>
        <v>90564 ROY PLAZA,APT. 185,PIN:11296 NEW WILLIAM</v>
      </c>
      <c r="I1419" s="8">
        <f>Sheet1!I1419</f>
        <v>46065</v>
      </c>
      <c r="J1419" s="5" t="str">
        <f>Sheet1!M1419 &amp; "," &amp; TEXT(Sheet1!N1419,"dd/mm/yy")</f>
        <v>MHA/IND/01424,27/02/26</v>
      </c>
      <c r="K1419" s="5" t="s">
        <v>5752</v>
      </c>
      <c r="L1419" t="s">
        <v>14</v>
      </c>
      <c r="M1419" s="31" t="s">
        <v>15</v>
      </c>
      <c r="N1419" s="31"/>
    </row>
    <row r="1420" spans="1:14" x14ac:dyDescent="0.25">
      <c r="A1420" s="4" t="str">
        <f>Sheet1!A1420 &amp; "/" &amp; "2025"</f>
        <v>1419/2025</v>
      </c>
      <c r="B1420" s="5" t="str">
        <f>Sheet1!E1420</f>
        <v>IND/MEL/01419</v>
      </c>
      <c r="C1420" s="6" t="str">
        <f>UPPER(Sheet1!B1420)</f>
        <v>HAYLEY JORDAN</v>
      </c>
      <c r="D1420" s="7" t="str">
        <f>IF(Sheet1!F1420="F","FEMALE","MALE")</f>
        <v>MALE</v>
      </c>
      <c r="E1420" s="6" t="str">
        <f>UPPER(Sheet1!G1420)</f>
        <v>JOHN POLLARD</v>
      </c>
      <c r="F1420" s="6" t="str">
        <f>UPPER(Sheet1!H1420)</f>
        <v>MELINDA REEVES</v>
      </c>
      <c r="G1420" s="5" t="str">
        <f>TEXT(Sheet1!C1420,"dd/mm/yyyy") &amp; "," &amp; Sheet1!D1420</f>
        <v>08/08/2025,LESLIEFORT</v>
      </c>
      <c r="H1420" s="39" t="str">
        <f>UPPER(Sheet1!J1420 &amp; "," &amp; Sheet1!K1420 &amp; "," &amp; Sheet1!L1420)</f>
        <v>8148 JON EXTENSION APT. 673,APT. 600,PIN:34215 NEW GABRIELLE</v>
      </c>
      <c r="I1420" s="8">
        <f>Sheet1!I1420</f>
        <v>46065</v>
      </c>
      <c r="J1420" s="5" t="str">
        <f>Sheet1!M1420 &amp; "," &amp; TEXT(Sheet1!N1420,"dd/mm/yy")</f>
        <v>MHA/IND/01425,18/02/26</v>
      </c>
      <c r="K1420" s="5" t="s">
        <v>5752</v>
      </c>
      <c r="L1420" t="s">
        <v>14</v>
      </c>
      <c r="M1420" s="31" t="s">
        <v>15</v>
      </c>
      <c r="N1420" s="31"/>
    </row>
    <row r="1421" spans="1:14" x14ac:dyDescent="0.25">
      <c r="A1421" s="4" t="str">
        <f>Sheet1!A1421 &amp; "/" &amp; "2025"</f>
        <v>1420/2025</v>
      </c>
      <c r="B1421" s="5" t="str">
        <f>Sheet1!E1421</f>
        <v>IND/MEL/01420</v>
      </c>
      <c r="C1421" s="6" t="str">
        <f>UPPER(Sheet1!B1421)</f>
        <v>THOMAS JONES</v>
      </c>
      <c r="D1421" s="7" t="str">
        <f>IF(Sheet1!F1421="F","FEMALE","MALE")</f>
        <v>FEMALE</v>
      </c>
      <c r="E1421" s="6" t="str">
        <f>UPPER(Sheet1!G1421)</f>
        <v>ROBERT ROBERTS</v>
      </c>
      <c r="F1421" s="6" t="str">
        <f>UPPER(Sheet1!H1421)</f>
        <v>MARIA LITTLE</v>
      </c>
      <c r="G1421" s="5" t="str">
        <f>TEXT(Sheet1!C1421,"dd/mm/yyyy") &amp; "," &amp; Sheet1!D1421</f>
        <v>25/08/2025,LAKE PEDROTON</v>
      </c>
      <c r="H1421" s="39" t="str">
        <f>UPPER(Sheet1!J1421 &amp; "," &amp; Sheet1!K1421 &amp; "," &amp; Sheet1!L1421)</f>
        <v>4151 JERRY VIEW,APT. 675,PIN:72034 WEST BENJAMIN</v>
      </c>
      <c r="I1421" s="8">
        <f>Sheet1!I1421</f>
        <v>46065</v>
      </c>
      <c r="J1421" s="5" t="str">
        <f>Sheet1!M1421 &amp; "," &amp; TEXT(Sheet1!N1421,"dd/mm/yy")</f>
        <v>MHA/IND/01426,27/02/26</v>
      </c>
      <c r="K1421" s="5" t="s">
        <v>5752</v>
      </c>
      <c r="L1421" t="s">
        <v>14</v>
      </c>
      <c r="M1421" s="31" t="s">
        <v>15</v>
      </c>
      <c r="N1421" s="31"/>
    </row>
    <row r="1422" spans="1:14" x14ac:dyDescent="0.25">
      <c r="A1422" s="4" t="str">
        <f>Sheet1!A1422 &amp; "/" &amp; "2025"</f>
        <v>1421/2025</v>
      </c>
      <c r="B1422" s="5" t="str">
        <f>Sheet1!E1422</f>
        <v>IND/MEL/01421</v>
      </c>
      <c r="C1422" s="6" t="str">
        <f>UPPER(Sheet1!B1422)</f>
        <v>ASHLEY KELLEY</v>
      </c>
      <c r="D1422" s="7" t="str">
        <f>IF(Sheet1!F1422="F","FEMALE","MALE")</f>
        <v>FEMALE</v>
      </c>
      <c r="E1422" s="6" t="str">
        <f>UPPER(Sheet1!G1422)</f>
        <v>WILLIAM STEVENS</v>
      </c>
      <c r="F1422" s="6" t="str">
        <f>UPPER(Sheet1!H1422)</f>
        <v>AMY RAMOS</v>
      </c>
      <c r="G1422" s="5" t="str">
        <f>TEXT(Sheet1!C1422,"dd/mm/yyyy") &amp; "," &amp; Sheet1!D1422</f>
        <v>27/08/2025,NATALIEHAVEN</v>
      </c>
      <c r="H1422" s="39" t="str">
        <f>UPPER(Sheet1!J1422 &amp; "," &amp; Sheet1!K1422 &amp; "," &amp; Sheet1!L1422)</f>
        <v>886 FITZGERALD FORDS SUITE 109,SUITE 998,PIN:25818 EAST KELLY</v>
      </c>
      <c r="I1422" s="8">
        <f>Sheet1!I1422</f>
        <v>46065</v>
      </c>
      <c r="J1422" s="5" t="str">
        <f>Sheet1!M1422 &amp; "," &amp; TEXT(Sheet1!N1422,"dd/mm/yy")</f>
        <v>MHA/IND/01427,05/03/26</v>
      </c>
      <c r="K1422" s="5" t="s">
        <v>5752</v>
      </c>
      <c r="L1422" t="s">
        <v>14</v>
      </c>
      <c r="M1422" s="31" t="s">
        <v>15</v>
      </c>
      <c r="N1422" s="31"/>
    </row>
    <row r="1423" spans="1:14" x14ac:dyDescent="0.25">
      <c r="A1423" s="4" t="str">
        <f>Sheet1!A1423 &amp; "/" &amp; "2025"</f>
        <v>1422/2025</v>
      </c>
      <c r="B1423" s="5" t="str">
        <f>Sheet1!E1423</f>
        <v>IND/MEL/01422</v>
      </c>
      <c r="C1423" s="6" t="str">
        <f>UPPER(Sheet1!B1423)</f>
        <v>SARA FRAZIER</v>
      </c>
      <c r="D1423" s="7" t="str">
        <f>IF(Sheet1!F1423="F","FEMALE","MALE")</f>
        <v>MALE</v>
      </c>
      <c r="E1423" s="6" t="str">
        <f>UPPER(Sheet1!G1423)</f>
        <v>RICARDO JONES</v>
      </c>
      <c r="F1423" s="6" t="str">
        <f>UPPER(Sheet1!H1423)</f>
        <v>JULIE AGUIRRE</v>
      </c>
      <c r="G1423" s="5" t="str">
        <f>TEXT(Sheet1!C1423,"dd/mm/yyyy") &amp; "," &amp; Sheet1!D1423</f>
        <v>20/02/2025,JASMINESIDE</v>
      </c>
      <c r="H1423" s="39" t="str">
        <f>UPPER(Sheet1!J1423 &amp; "," &amp; Sheet1!K1423 &amp; "," &amp; Sheet1!L1423)</f>
        <v>98543 LEE RUN,APT. 873,PIN:21296 THOMASPORT</v>
      </c>
      <c r="I1423" s="8">
        <f>Sheet1!I1423</f>
        <v>46065</v>
      </c>
      <c r="J1423" s="5" t="str">
        <f>Sheet1!M1423 &amp; "," &amp; TEXT(Sheet1!N1423,"dd/mm/yy")</f>
        <v>MHA/IND/01428,13/03/26</v>
      </c>
      <c r="K1423" s="5" t="s">
        <v>5752</v>
      </c>
      <c r="L1423" t="s">
        <v>14</v>
      </c>
      <c r="M1423" s="31" t="s">
        <v>15</v>
      </c>
      <c r="N1423" s="31"/>
    </row>
    <row r="1424" spans="1:14" x14ac:dyDescent="0.25">
      <c r="A1424" s="4" t="str">
        <f>Sheet1!A1424 &amp; "/" &amp; "2025"</f>
        <v>1423/2025</v>
      </c>
      <c r="B1424" s="5" t="str">
        <f>Sheet1!E1424</f>
        <v>IND/MEL/01423</v>
      </c>
      <c r="C1424" s="6" t="str">
        <f>UPPER(Sheet1!B1424)</f>
        <v>DENNIS LEE</v>
      </c>
      <c r="D1424" s="7" t="str">
        <f>IF(Sheet1!F1424="F","FEMALE","MALE")</f>
        <v>FEMALE</v>
      </c>
      <c r="E1424" s="6" t="str">
        <f>UPPER(Sheet1!G1424)</f>
        <v>BRANDON LYNN</v>
      </c>
      <c r="F1424" s="6" t="str">
        <f>UPPER(Sheet1!H1424)</f>
        <v>AMY PAYNE</v>
      </c>
      <c r="G1424" s="5" t="str">
        <f>TEXT(Sheet1!C1424,"dd/mm/yyyy") &amp; "," &amp; Sheet1!D1424</f>
        <v>04/04/2025,KANEVILLE</v>
      </c>
      <c r="H1424" s="39" t="str">
        <f>UPPER(Sheet1!J1424 &amp; "," &amp; Sheet1!K1424 &amp; "," &amp; Sheet1!L1424)</f>
        <v>121 BROWN DRIVE,SUITE 302,PIN:66317 PORT JACOB</v>
      </c>
      <c r="I1424" s="8">
        <f>Sheet1!I1424</f>
        <v>46065</v>
      </c>
      <c r="J1424" s="5" t="str">
        <f>Sheet1!M1424 &amp; "," &amp; TEXT(Sheet1!N1424,"dd/mm/yy")</f>
        <v>MHA/IND/01429,06/03/26</v>
      </c>
      <c r="K1424" s="5" t="s">
        <v>5752</v>
      </c>
      <c r="L1424" t="s">
        <v>14</v>
      </c>
      <c r="M1424" s="31" t="s">
        <v>15</v>
      </c>
      <c r="N1424" s="31"/>
    </row>
    <row r="1425" spans="1:14" x14ac:dyDescent="0.25">
      <c r="A1425" s="4" t="str">
        <f>Sheet1!A1425 &amp; "/" &amp; "2025"</f>
        <v>1424/2025</v>
      </c>
      <c r="B1425" s="5" t="str">
        <f>Sheet1!E1425</f>
        <v>IND/MEL/01424</v>
      </c>
      <c r="C1425" s="6" t="str">
        <f>UPPER(Sheet1!B1425)</f>
        <v>BARBARA PHILLIPS</v>
      </c>
      <c r="D1425" s="7" t="str">
        <f>IF(Sheet1!F1425="F","FEMALE","MALE")</f>
        <v>MALE</v>
      </c>
      <c r="E1425" s="6" t="str">
        <f>UPPER(Sheet1!G1425)</f>
        <v>JUSTIN GOMEZ</v>
      </c>
      <c r="F1425" s="6" t="str">
        <f>UPPER(Sheet1!H1425)</f>
        <v>EMILY LEWIS</v>
      </c>
      <c r="G1425" s="5" t="str">
        <f>TEXT(Sheet1!C1425,"dd/mm/yyyy") &amp; "," &amp; Sheet1!D1425</f>
        <v>23/04/2025,WEST JULIANFORT</v>
      </c>
      <c r="H1425" s="39" t="str">
        <f>UPPER(Sheet1!J1425 &amp; "," &amp; Sheet1!K1425 &amp; "," &amp; Sheet1!L1425)</f>
        <v>93779 BERRY FLATS,SUITE 898,PIN:72930 PORT TOM</v>
      </c>
      <c r="I1425" s="8">
        <f>Sheet1!I1425</f>
        <v>46065</v>
      </c>
      <c r="J1425" s="5" t="str">
        <f>Sheet1!M1425 &amp; "," &amp; TEXT(Sheet1!N1425,"dd/mm/yy")</f>
        <v>MHA/IND/01430,06/03/26</v>
      </c>
      <c r="K1425" s="5" t="s">
        <v>5752</v>
      </c>
      <c r="L1425" t="s">
        <v>14</v>
      </c>
      <c r="M1425" s="31" t="s">
        <v>15</v>
      </c>
      <c r="N1425" s="31"/>
    </row>
    <row r="1426" spans="1:14" x14ac:dyDescent="0.25">
      <c r="A1426" s="4" t="str">
        <f>Sheet1!A1426 &amp; "/" &amp; "2025"</f>
        <v>1425/2025</v>
      </c>
      <c r="B1426" s="5" t="str">
        <f>Sheet1!E1426</f>
        <v>IND/MEL/01425</v>
      </c>
      <c r="C1426" s="6" t="str">
        <f>UPPER(Sheet1!B1426)</f>
        <v>JOHN HARPER</v>
      </c>
      <c r="D1426" s="7" t="str">
        <f>IF(Sheet1!F1426="F","FEMALE","MALE")</f>
        <v>MALE</v>
      </c>
      <c r="E1426" s="6" t="str">
        <f>UPPER(Sheet1!G1426)</f>
        <v>ROBERT RODRIGUEZ</v>
      </c>
      <c r="F1426" s="6" t="str">
        <f>UPPER(Sheet1!H1426)</f>
        <v>MEGAN LARSON</v>
      </c>
      <c r="G1426" s="5" t="str">
        <f>TEXT(Sheet1!C1426,"dd/mm/yyyy") &amp; "," &amp; Sheet1!D1426</f>
        <v>11/02/2026,EAST SHEILAHAVEN</v>
      </c>
      <c r="H1426" s="39" t="str">
        <f>UPPER(Sheet1!J1426 &amp; "," &amp; Sheet1!K1426 &amp; "," &amp; Sheet1!L1426)</f>
        <v>203 EMMA RUE APT. 449,APT. 054,PIN:99108 SARAHBERG</v>
      </c>
      <c r="I1426" s="8">
        <f>Sheet1!I1426</f>
        <v>46065</v>
      </c>
      <c r="J1426" s="5" t="str">
        <f>Sheet1!M1426 &amp; "," &amp; TEXT(Sheet1!N1426,"dd/mm/yy")</f>
        <v>MHA/IND/01431,26/02/26</v>
      </c>
      <c r="K1426" s="5" t="s">
        <v>5752</v>
      </c>
      <c r="L1426" t="s">
        <v>14</v>
      </c>
      <c r="M1426" s="31" t="s">
        <v>15</v>
      </c>
      <c r="N1426" s="31"/>
    </row>
    <row r="1427" spans="1:14" x14ac:dyDescent="0.25">
      <c r="A1427" s="4" t="str">
        <f>Sheet1!A1427 &amp; "/" &amp; "2025"</f>
        <v>1426/2025</v>
      </c>
      <c r="B1427" s="5" t="str">
        <f>Sheet1!E1427</f>
        <v>IND/MEL/01426</v>
      </c>
      <c r="C1427" s="6" t="str">
        <f>UPPER(Sheet1!B1427)</f>
        <v>KATHLEEN BOYD MD</v>
      </c>
      <c r="D1427" s="7" t="str">
        <f>IF(Sheet1!F1427="F","FEMALE","MALE")</f>
        <v>FEMALE</v>
      </c>
      <c r="E1427" s="6" t="str">
        <f>UPPER(Sheet1!G1427)</f>
        <v>CHARLES BOWMAN</v>
      </c>
      <c r="F1427" s="6" t="str">
        <f>UPPER(Sheet1!H1427)</f>
        <v>NATALIE STEVENS</v>
      </c>
      <c r="G1427" s="5" t="str">
        <f>TEXT(Sheet1!C1427,"dd/mm/yyyy") &amp; "," &amp; Sheet1!D1427</f>
        <v>13/02/2025,SOUTH DAVIDTOWN</v>
      </c>
      <c r="H1427" s="39" t="str">
        <f>UPPER(Sheet1!J1427 &amp; "," &amp; Sheet1!K1427 &amp; "," &amp; Sheet1!L1427)</f>
        <v>15727 PARKS PARKS,SUITE 241,PIN:14210 LAKE RYANTOWN</v>
      </c>
      <c r="I1427" s="8">
        <f>Sheet1!I1427</f>
        <v>46065</v>
      </c>
      <c r="J1427" s="5" t="str">
        <f>Sheet1!M1427 &amp; "," &amp; TEXT(Sheet1!N1427,"dd/mm/yy")</f>
        <v>MHA/IND/01432,18/02/26</v>
      </c>
      <c r="K1427" s="5" t="s">
        <v>5752</v>
      </c>
      <c r="L1427" t="s">
        <v>14</v>
      </c>
      <c r="M1427" s="31" t="s">
        <v>15</v>
      </c>
      <c r="N1427" s="31"/>
    </row>
    <row r="1428" spans="1:14" x14ac:dyDescent="0.25">
      <c r="A1428" s="4" t="str">
        <f>Sheet1!A1428 &amp; "/" &amp; "2025"</f>
        <v>1427/2025</v>
      </c>
      <c r="B1428" s="5" t="str">
        <f>Sheet1!E1428</f>
        <v>IND/MEL/01427</v>
      </c>
      <c r="C1428" s="6" t="str">
        <f>UPPER(Sheet1!B1428)</f>
        <v>DR. ASHLEY FRAZIER</v>
      </c>
      <c r="D1428" s="7" t="str">
        <f>IF(Sheet1!F1428="F","FEMALE","MALE")</f>
        <v>MALE</v>
      </c>
      <c r="E1428" s="6" t="str">
        <f>UPPER(Sheet1!G1428)</f>
        <v>MATHEW HART</v>
      </c>
      <c r="F1428" s="6" t="str">
        <f>UPPER(Sheet1!H1428)</f>
        <v>MRS. SHEILA LUNA</v>
      </c>
      <c r="G1428" s="5" t="str">
        <f>TEXT(Sheet1!C1428,"dd/mm/yyyy") &amp; "," &amp; Sheet1!D1428</f>
        <v>29/11/2025,BROOKSSTAD</v>
      </c>
      <c r="H1428" s="39" t="str">
        <f>UPPER(Sheet1!J1428 &amp; "," &amp; Sheet1!K1428 &amp; "," &amp; Sheet1!L1428)</f>
        <v>2229 JOHNNY RAPID,SUITE 136,PIN:71466 EAST JOHNATHANMOUTH</v>
      </c>
      <c r="I1428" s="8">
        <f>Sheet1!I1428</f>
        <v>46065</v>
      </c>
      <c r="J1428" s="5" t="str">
        <f>Sheet1!M1428 &amp; "," &amp; TEXT(Sheet1!N1428,"dd/mm/yy")</f>
        <v>MHA/IND/01433,16/02/26</v>
      </c>
      <c r="K1428" s="5" t="s">
        <v>5752</v>
      </c>
      <c r="L1428" t="s">
        <v>14</v>
      </c>
      <c r="M1428" s="31" t="s">
        <v>15</v>
      </c>
      <c r="N1428" s="31"/>
    </row>
    <row r="1429" spans="1:14" x14ac:dyDescent="0.25">
      <c r="A1429" s="4" t="str">
        <f>Sheet1!A1429 &amp; "/" &amp; "2025"</f>
        <v>1428/2025</v>
      </c>
      <c r="B1429" s="5" t="str">
        <f>Sheet1!E1429</f>
        <v>IND/MEL/01428</v>
      </c>
      <c r="C1429" s="6" t="str">
        <f>UPPER(Sheet1!B1429)</f>
        <v>ROY LIVINGSTON</v>
      </c>
      <c r="D1429" s="7" t="str">
        <f>IF(Sheet1!F1429="F","FEMALE","MALE")</f>
        <v>FEMALE</v>
      </c>
      <c r="E1429" s="6" t="str">
        <f>UPPER(Sheet1!G1429)</f>
        <v>ROGER HOBBS</v>
      </c>
      <c r="F1429" s="6" t="str">
        <f>UPPER(Sheet1!H1429)</f>
        <v>AMY JOHNSON MD</v>
      </c>
      <c r="G1429" s="5" t="str">
        <f>TEXT(Sheet1!C1429,"dd/mm/yyyy") &amp; "," &amp; Sheet1!D1429</f>
        <v>03/08/2025,MARYMOUTH</v>
      </c>
      <c r="H1429" s="39" t="str">
        <f>UPPER(Sheet1!J1429 &amp; "," &amp; Sheet1!K1429 &amp; "," &amp; Sheet1!L1429)</f>
        <v>470 ANGELA INLET,APT. 853,PIN:86897 MARTINFORT</v>
      </c>
      <c r="I1429" s="8">
        <f>Sheet1!I1429</f>
        <v>46065</v>
      </c>
      <c r="J1429" s="5" t="str">
        <f>Sheet1!M1429 &amp; "," &amp; TEXT(Sheet1!N1429,"dd/mm/yy")</f>
        <v>MHA/IND/01434,16/02/26</v>
      </c>
      <c r="K1429" s="5" t="s">
        <v>5752</v>
      </c>
      <c r="L1429" t="s">
        <v>14</v>
      </c>
      <c r="M1429" s="31" t="s">
        <v>15</v>
      </c>
      <c r="N1429" s="31"/>
    </row>
    <row r="1430" spans="1:14" x14ac:dyDescent="0.25">
      <c r="A1430" s="4" t="str">
        <f>Sheet1!A1430 &amp; "/" &amp; "2025"</f>
        <v>1429/2025</v>
      </c>
      <c r="B1430" s="5" t="str">
        <f>Sheet1!E1430</f>
        <v>IND/MEL/01429</v>
      </c>
      <c r="C1430" s="6" t="str">
        <f>UPPER(Sheet1!B1430)</f>
        <v>MONIQUE MCCORMICK MD</v>
      </c>
      <c r="D1430" s="7" t="str">
        <f>IF(Sheet1!F1430="F","FEMALE","MALE")</f>
        <v>FEMALE</v>
      </c>
      <c r="E1430" s="6" t="str">
        <f>UPPER(Sheet1!G1430)</f>
        <v>GREGORY BURKE</v>
      </c>
      <c r="F1430" s="6" t="str">
        <f>UPPER(Sheet1!H1430)</f>
        <v>JAMIE JONES</v>
      </c>
      <c r="G1430" s="5" t="str">
        <f>TEXT(Sheet1!C1430,"dd/mm/yyyy") &amp; "," &amp; Sheet1!D1430</f>
        <v>14/04/2025,PORT JEFFREYBERG</v>
      </c>
      <c r="H1430" s="39" t="str">
        <f>UPPER(Sheet1!J1430 &amp; "," &amp; Sheet1!K1430 &amp; "," &amp; Sheet1!L1430)</f>
        <v>83706 PIERCE HOLLOW SUITE 682,SUITE 488,PIN:51123 MELANIEVILLE</v>
      </c>
      <c r="I1430" s="8">
        <f>Sheet1!I1430</f>
        <v>46065</v>
      </c>
      <c r="J1430" s="5" t="str">
        <f>Sheet1!M1430 &amp; "," &amp; TEXT(Sheet1!N1430,"dd/mm/yy")</f>
        <v>MHA/IND/01435,18/02/26</v>
      </c>
      <c r="K1430" s="5" t="s">
        <v>5752</v>
      </c>
      <c r="L1430" t="s">
        <v>14</v>
      </c>
      <c r="M1430" s="31" t="s">
        <v>15</v>
      </c>
      <c r="N1430" s="31"/>
    </row>
    <row r="1431" spans="1:14" x14ac:dyDescent="0.25">
      <c r="A1431" s="4" t="str">
        <f>Sheet1!A1431 &amp; "/" &amp; "2025"</f>
        <v>1430/2025</v>
      </c>
      <c r="B1431" s="5" t="str">
        <f>Sheet1!E1431</f>
        <v>IND/MEL/01430</v>
      </c>
      <c r="C1431" s="6" t="str">
        <f>UPPER(Sheet1!B1431)</f>
        <v>CHRISTOPHER HARRINGTON</v>
      </c>
      <c r="D1431" s="7" t="str">
        <f>IF(Sheet1!F1431="F","FEMALE","MALE")</f>
        <v>FEMALE</v>
      </c>
      <c r="E1431" s="6" t="str">
        <f>UPPER(Sheet1!G1431)</f>
        <v>GREGORY BURKE</v>
      </c>
      <c r="F1431" s="6" t="str">
        <f>UPPER(Sheet1!H1431)</f>
        <v>JAMIE JONES</v>
      </c>
      <c r="G1431" s="5" t="str">
        <f>TEXT(Sheet1!C1431,"dd/mm/yyyy") &amp; "," &amp; Sheet1!D1431</f>
        <v>14/04/2025,PORT JEFFREYBERG</v>
      </c>
      <c r="H1431" s="39" t="str">
        <f>UPPER(Sheet1!J1431 &amp; "," &amp; Sheet1!K1431 &amp; "," &amp; Sheet1!L1431)</f>
        <v>83706 PIERCE HOLLOW SUITE 682,SUITE 488,PIN:51123 MELANIEVILLE</v>
      </c>
      <c r="I1431" s="8">
        <f>Sheet1!I1431</f>
        <v>46065</v>
      </c>
      <c r="J1431" s="5" t="str">
        <f>Sheet1!M1431 &amp; "," &amp; TEXT(Sheet1!N1431,"dd/mm/yy")</f>
        <v>MHA/IND/01435,14/03/26</v>
      </c>
      <c r="K1431" s="5" t="s">
        <v>5752</v>
      </c>
      <c r="L1431" t="s">
        <v>14</v>
      </c>
      <c r="M1431" s="31" t="s">
        <v>15</v>
      </c>
      <c r="N1431" s="31"/>
    </row>
    <row r="1432" spans="1:14" x14ac:dyDescent="0.25">
      <c r="A1432" s="4" t="str">
        <f>Sheet1!A1432 &amp; "/" &amp; "2025"</f>
        <v>1431/2025</v>
      </c>
      <c r="B1432" s="5" t="str">
        <f>Sheet1!E1432</f>
        <v>IND/MEL/01431</v>
      </c>
      <c r="C1432" s="6" t="str">
        <f>UPPER(Sheet1!B1432)</f>
        <v>CODY JOHNSON</v>
      </c>
      <c r="D1432" s="7" t="str">
        <f>IF(Sheet1!F1432="F","FEMALE","MALE")</f>
        <v>MALE</v>
      </c>
      <c r="E1432" s="6" t="str">
        <f>UPPER(Sheet1!G1432)</f>
        <v>GEORGE MCGUIRE</v>
      </c>
      <c r="F1432" s="6" t="str">
        <f>UPPER(Sheet1!H1432)</f>
        <v>KATRINA TORRES</v>
      </c>
      <c r="G1432" s="5" t="str">
        <f>TEXT(Sheet1!C1432,"dd/mm/yyyy") &amp; "," &amp; Sheet1!D1432</f>
        <v>03/02/2026,WEST JESSICAVIEW</v>
      </c>
      <c r="H1432" s="39" t="str">
        <f>UPPER(Sheet1!J1432 &amp; "," &amp; Sheet1!K1432 &amp; "," &amp; Sheet1!L1432)</f>
        <v>284 JOHN COURTS SUITE 841,SUITE 837,PIN:26650 EAST CYNTHIAFURT</v>
      </c>
      <c r="I1432" s="8">
        <f>Sheet1!I1432</f>
        <v>46065</v>
      </c>
      <c r="J1432" s="5" t="str">
        <f>Sheet1!M1432 &amp; "," &amp; TEXT(Sheet1!N1432,"dd/mm/yy")</f>
        <v>MHA/IND/01436,11/03/26</v>
      </c>
      <c r="K1432" s="5" t="s">
        <v>5752</v>
      </c>
      <c r="L1432" t="s">
        <v>14</v>
      </c>
      <c r="M1432" s="31" t="s">
        <v>15</v>
      </c>
      <c r="N1432" s="31"/>
    </row>
    <row r="1433" spans="1:14" x14ac:dyDescent="0.25">
      <c r="A1433" s="4" t="str">
        <f>Sheet1!A1433 &amp; "/" &amp; "2025"</f>
        <v>1432/2025</v>
      </c>
      <c r="B1433" s="5" t="str">
        <f>Sheet1!E1433</f>
        <v>IND/MEL/01432</v>
      </c>
      <c r="C1433" s="6" t="str">
        <f>UPPER(Sheet1!B1433)</f>
        <v>KIM CLARK</v>
      </c>
      <c r="D1433" s="7" t="str">
        <f>IF(Sheet1!F1433="F","FEMALE","MALE")</f>
        <v>MALE</v>
      </c>
      <c r="E1433" s="6" t="str">
        <f>UPPER(Sheet1!G1433)</f>
        <v>GEORGE MCGUIRE</v>
      </c>
      <c r="F1433" s="6" t="str">
        <f>UPPER(Sheet1!H1433)</f>
        <v>KATRINA TORRES</v>
      </c>
      <c r="G1433" s="5" t="str">
        <f>TEXT(Sheet1!C1433,"dd/mm/yyyy") &amp; "," &amp; Sheet1!D1433</f>
        <v>03/02/2026,WEST JESSICAVIEW</v>
      </c>
      <c r="H1433" s="39" t="str">
        <f>UPPER(Sheet1!J1433 &amp; "," &amp; Sheet1!K1433 &amp; "," &amp; Sheet1!L1433)</f>
        <v>284 JOHN COURTS SUITE 841,SUITE 837,PIN:26650 EAST CYNTHIAFURT</v>
      </c>
      <c r="I1433" s="8">
        <f>Sheet1!I1433</f>
        <v>46065</v>
      </c>
      <c r="J1433" s="5" t="str">
        <f>Sheet1!M1433 &amp; "," &amp; TEXT(Sheet1!N1433,"dd/mm/yy")</f>
        <v>MHA/IND/01436,06/03/26</v>
      </c>
      <c r="K1433" s="5" t="s">
        <v>5752</v>
      </c>
      <c r="L1433" t="s">
        <v>14</v>
      </c>
      <c r="M1433" s="31" t="s">
        <v>15</v>
      </c>
      <c r="N1433" s="31"/>
    </row>
    <row r="1434" spans="1:14" x14ac:dyDescent="0.25">
      <c r="A1434" s="4" t="str">
        <f>Sheet1!A1434 &amp; "/" &amp; "2025"</f>
        <v>1433/2025</v>
      </c>
      <c r="B1434" s="5" t="str">
        <f>Sheet1!E1434</f>
        <v>IND/MEL/01433</v>
      </c>
      <c r="C1434" s="6" t="str">
        <f>UPPER(Sheet1!B1434)</f>
        <v>JAMES COX</v>
      </c>
      <c r="D1434" s="7" t="str">
        <f>IF(Sheet1!F1434="F","FEMALE","MALE")</f>
        <v>FEMALE</v>
      </c>
      <c r="E1434" s="6" t="str">
        <f>UPPER(Sheet1!G1434)</f>
        <v>JUSTIN TRUJILLO</v>
      </c>
      <c r="F1434" s="6" t="str">
        <f>UPPER(Sheet1!H1434)</f>
        <v>CASSANDRA ALEXANDER</v>
      </c>
      <c r="G1434" s="5" t="str">
        <f>TEXT(Sheet1!C1434,"dd/mm/yyyy") &amp; "," &amp; Sheet1!D1434</f>
        <v>24/03/2025,PORT TONYABURGH</v>
      </c>
      <c r="H1434" s="39" t="str">
        <f>UPPER(Sheet1!J1434 &amp; "," &amp; Sheet1!K1434 &amp; "," &amp; Sheet1!L1434)</f>
        <v>0922 MULLEN TRACK SUITE 564,APT. 705,PIN:98962 LAKE JOELSTAD</v>
      </c>
      <c r="I1434" s="8">
        <f>Sheet1!I1434</f>
        <v>46065</v>
      </c>
      <c r="J1434" s="5" t="str">
        <f>Sheet1!M1434 &amp; "," &amp; TEXT(Sheet1!N1434,"dd/mm/yy")</f>
        <v>MHA/IND/01437,26/02/26</v>
      </c>
      <c r="K1434" s="5" t="s">
        <v>5752</v>
      </c>
      <c r="L1434" t="s">
        <v>14</v>
      </c>
      <c r="M1434" s="31" t="s">
        <v>15</v>
      </c>
      <c r="N1434" s="31"/>
    </row>
    <row r="1435" spans="1:14" x14ac:dyDescent="0.25">
      <c r="A1435" s="4" t="str">
        <f>Sheet1!A1435 &amp; "/" &amp; "2025"</f>
        <v>1434/2025</v>
      </c>
      <c r="B1435" s="5" t="str">
        <f>Sheet1!E1435</f>
        <v>IND/MEL/01434</v>
      </c>
      <c r="C1435" s="6" t="str">
        <f>UPPER(Sheet1!B1435)</f>
        <v>KRISTEN WILSON</v>
      </c>
      <c r="D1435" s="7" t="str">
        <f>IF(Sheet1!F1435="F","FEMALE","MALE")</f>
        <v>FEMALE</v>
      </c>
      <c r="E1435" s="6" t="str">
        <f>UPPER(Sheet1!G1435)</f>
        <v>JUSTIN TRUJILLO</v>
      </c>
      <c r="F1435" s="6" t="str">
        <f>UPPER(Sheet1!H1435)</f>
        <v>CASSANDRA ALEXANDER</v>
      </c>
      <c r="G1435" s="5" t="str">
        <f>TEXT(Sheet1!C1435,"dd/mm/yyyy") &amp; "," &amp; Sheet1!D1435</f>
        <v>24/03/2025,PORT TONYABURGH</v>
      </c>
      <c r="H1435" s="39" t="str">
        <f>UPPER(Sheet1!J1435 &amp; "," &amp; Sheet1!K1435 &amp; "," &amp; Sheet1!L1435)</f>
        <v>0922 MULLEN TRACK SUITE 564,APT. 705,PIN:98962 LAKE JOELSTAD</v>
      </c>
      <c r="I1435" s="8">
        <f>Sheet1!I1435</f>
        <v>46065</v>
      </c>
      <c r="J1435" s="5" t="str">
        <f>Sheet1!M1435 &amp; "," &amp; TEXT(Sheet1!N1435,"dd/mm/yy")</f>
        <v>MHA/IND/01437,10/03/26</v>
      </c>
      <c r="K1435" s="5" t="s">
        <v>5752</v>
      </c>
      <c r="L1435" t="s">
        <v>14</v>
      </c>
      <c r="M1435" s="31" t="s">
        <v>15</v>
      </c>
      <c r="N1435" s="31"/>
    </row>
    <row r="1436" spans="1:14" x14ac:dyDescent="0.25">
      <c r="A1436" s="4" t="str">
        <f>Sheet1!A1436 &amp; "/" &amp; "2025"</f>
        <v>1435/2025</v>
      </c>
      <c r="B1436" s="5" t="str">
        <f>Sheet1!E1436</f>
        <v>IND/MEL/01435</v>
      </c>
      <c r="C1436" s="6" t="str">
        <f>UPPER(Sheet1!B1436)</f>
        <v>CHRISTINE FINLEY</v>
      </c>
      <c r="D1436" s="7" t="str">
        <f>IF(Sheet1!F1436="F","FEMALE","MALE")</f>
        <v>MALE</v>
      </c>
      <c r="E1436" s="6" t="str">
        <f>UPPER(Sheet1!G1436)</f>
        <v>ROBERT FLETCHER</v>
      </c>
      <c r="F1436" s="6" t="str">
        <f>UPPER(Sheet1!H1436)</f>
        <v>VERONICA ELLIS</v>
      </c>
      <c r="G1436" s="5" t="str">
        <f>TEXT(Sheet1!C1436,"dd/mm/yyyy") &amp; "," &amp; Sheet1!D1436</f>
        <v>08/04/2025,SOUTH JENNIFERVIEW</v>
      </c>
      <c r="H1436" s="39" t="str">
        <f>UPPER(Sheet1!J1436 &amp; "," &amp; Sheet1!K1436 &amp; "," &amp; Sheet1!L1436)</f>
        <v>57306 ROBINSON CIRCLE SUITE 127,APT. 061,PIN:43666 CAMPBELLHAVEN</v>
      </c>
      <c r="I1436" s="8">
        <f>Sheet1!I1436</f>
        <v>46065</v>
      </c>
      <c r="J1436" s="5" t="str">
        <f>Sheet1!M1436 &amp; "," &amp; TEXT(Sheet1!N1436,"dd/mm/yy")</f>
        <v>MHA/IND/01438,18/02/26</v>
      </c>
      <c r="K1436" s="5" t="s">
        <v>5752</v>
      </c>
      <c r="L1436" t="s">
        <v>14</v>
      </c>
      <c r="M1436" s="31" t="s">
        <v>15</v>
      </c>
      <c r="N1436" s="31"/>
    </row>
    <row r="1437" spans="1:14" x14ac:dyDescent="0.25">
      <c r="A1437" s="4" t="str">
        <f>Sheet1!A1437 &amp; "/" &amp; "2025"</f>
        <v>1436/2025</v>
      </c>
      <c r="B1437" s="5" t="str">
        <f>Sheet1!E1437</f>
        <v>IND/MEL/01436</v>
      </c>
      <c r="C1437" s="6" t="str">
        <f>UPPER(Sheet1!B1437)</f>
        <v>ERIC ANDERSON</v>
      </c>
      <c r="D1437" s="7" t="str">
        <f>IF(Sheet1!F1437="F","FEMALE","MALE")</f>
        <v>MALE</v>
      </c>
      <c r="E1437" s="6" t="str">
        <f>UPPER(Sheet1!G1437)</f>
        <v>ROBERT FLETCHER</v>
      </c>
      <c r="F1437" s="6" t="str">
        <f>UPPER(Sheet1!H1437)</f>
        <v>VERONICA ELLIS</v>
      </c>
      <c r="G1437" s="5" t="str">
        <f>TEXT(Sheet1!C1437,"dd/mm/yyyy") &amp; "," &amp; Sheet1!D1437</f>
        <v>08/04/2025,SOUTH JENNIFERVIEW</v>
      </c>
      <c r="H1437" s="39" t="str">
        <f>UPPER(Sheet1!J1437 &amp; "," &amp; Sheet1!K1437 &amp; "," &amp; Sheet1!L1437)</f>
        <v>57306 ROBINSON CIRCLE SUITE 127,APT. 061,PIN:43666 CAMPBELLHAVEN</v>
      </c>
      <c r="I1437" s="8">
        <f>Sheet1!I1437</f>
        <v>46065</v>
      </c>
      <c r="J1437" s="5" t="str">
        <f>Sheet1!M1437 &amp; "," &amp; TEXT(Sheet1!N1437,"dd/mm/yy")</f>
        <v>MHA/IND/01438,09/03/26</v>
      </c>
      <c r="K1437" s="5" t="s">
        <v>5752</v>
      </c>
      <c r="L1437" t="s">
        <v>14</v>
      </c>
      <c r="M1437" s="31" t="s">
        <v>15</v>
      </c>
      <c r="N1437" s="31"/>
    </row>
    <row r="1438" spans="1:14" x14ac:dyDescent="0.25">
      <c r="A1438" s="4" t="str">
        <f>Sheet1!A1438 &amp; "/" &amp; "2025"</f>
        <v>1437/2025</v>
      </c>
      <c r="B1438" s="5" t="str">
        <f>Sheet1!E1438</f>
        <v>IND/MEL/01437</v>
      </c>
      <c r="C1438" s="6" t="str">
        <f>UPPER(Sheet1!B1438)</f>
        <v>MELISSA PETERSON</v>
      </c>
      <c r="D1438" s="7" t="str">
        <f>IF(Sheet1!F1438="F","FEMALE","MALE")</f>
        <v>FEMALE</v>
      </c>
      <c r="E1438" s="6" t="str">
        <f>UPPER(Sheet1!G1438)</f>
        <v>GEORGE BONILLA</v>
      </c>
      <c r="F1438" s="6" t="str">
        <f>UPPER(Sheet1!H1438)</f>
        <v>SUSAN WHITE</v>
      </c>
      <c r="G1438" s="5" t="str">
        <f>TEXT(Sheet1!C1438,"dd/mm/yyyy") &amp; "," &amp; Sheet1!D1438</f>
        <v>01/04/2025,LAKE ROBERTMOUTH</v>
      </c>
      <c r="H1438" s="39" t="str">
        <f>UPPER(Sheet1!J1438 &amp; "," &amp; Sheet1!K1438 &amp; "," &amp; Sheet1!L1438)</f>
        <v>422 GLENDA CORNERS APT. 309,APT. 858,PIN:97268 NORTH NICHOLAS</v>
      </c>
      <c r="I1438" s="8">
        <f>Sheet1!I1438</f>
        <v>46065</v>
      </c>
      <c r="J1438" s="5" t="str">
        <f>Sheet1!M1438 &amp; "," &amp; TEXT(Sheet1!N1438,"dd/mm/yy")</f>
        <v>MHA/IND/01439,11/03/26</v>
      </c>
      <c r="K1438" s="5" t="s">
        <v>5752</v>
      </c>
      <c r="L1438" t="s">
        <v>14</v>
      </c>
      <c r="M1438" s="31" t="s">
        <v>15</v>
      </c>
      <c r="N1438" s="31"/>
    </row>
    <row r="1439" spans="1:14" x14ac:dyDescent="0.25">
      <c r="A1439" s="4" t="str">
        <f>Sheet1!A1439 &amp; "/" &amp; "2025"</f>
        <v>1438/2025</v>
      </c>
      <c r="B1439" s="5" t="str">
        <f>Sheet1!E1439</f>
        <v>IND/MEL/01438</v>
      </c>
      <c r="C1439" s="6" t="str">
        <f>UPPER(Sheet1!B1439)</f>
        <v>BRANDON ARNOLD</v>
      </c>
      <c r="D1439" s="7" t="str">
        <f>IF(Sheet1!F1439="F","FEMALE","MALE")</f>
        <v>FEMALE</v>
      </c>
      <c r="E1439" s="6" t="str">
        <f>UPPER(Sheet1!G1439)</f>
        <v>GEORGE BONILLA</v>
      </c>
      <c r="F1439" s="6" t="str">
        <f>UPPER(Sheet1!H1439)</f>
        <v>SUSAN WHITE</v>
      </c>
      <c r="G1439" s="5" t="str">
        <f>TEXT(Sheet1!C1439,"dd/mm/yyyy") &amp; "," &amp; Sheet1!D1439</f>
        <v>01/04/2025,LAKE ROBERTMOUTH</v>
      </c>
      <c r="H1439" s="39" t="str">
        <f>UPPER(Sheet1!J1439 &amp; "," &amp; Sheet1!K1439 &amp; "," &amp; Sheet1!L1439)</f>
        <v>422 GLENDA CORNERS APT. 309,APT. 858,PIN:97268 NORTH NICHOLAS</v>
      </c>
      <c r="I1439" s="8">
        <f>Sheet1!I1439</f>
        <v>46065</v>
      </c>
      <c r="J1439" s="5" t="str">
        <f>Sheet1!M1439 &amp; "," &amp; TEXT(Sheet1!N1439,"dd/mm/yy")</f>
        <v>MHA/IND/01439,26/02/26</v>
      </c>
      <c r="K1439" s="5" t="s">
        <v>5752</v>
      </c>
      <c r="L1439" t="s">
        <v>14</v>
      </c>
      <c r="M1439" s="31" t="s">
        <v>15</v>
      </c>
      <c r="N1439" s="31"/>
    </row>
    <row r="1440" spans="1:14" x14ac:dyDescent="0.25">
      <c r="A1440" s="4" t="str">
        <f>Sheet1!A1440 &amp; "/" &amp; "2025"</f>
        <v>1439/2025</v>
      </c>
      <c r="B1440" s="5" t="str">
        <f>Sheet1!E1440</f>
        <v>IND/MEL/01439</v>
      </c>
      <c r="C1440" s="6" t="str">
        <f>UPPER(Sheet1!B1440)</f>
        <v>OLIVIA MCCARTHY</v>
      </c>
      <c r="D1440" s="7" t="str">
        <f>IF(Sheet1!F1440="F","FEMALE","MALE")</f>
        <v>MALE</v>
      </c>
      <c r="E1440" s="6" t="str">
        <f>UPPER(Sheet1!G1440)</f>
        <v>BRIAN MORRIS</v>
      </c>
      <c r="F1440" s="6" t="str">
        <f>UPPER(Sheet1!H1440)</f>
        <v>ANGIE SMITH</v>
      </c>
      <c r="G1440" s="5" t="str">
        <f>TEXT(Sheet1!C1440,"dd/mm/yyyy") &amp; "," &amp; Sheet1!D1440</f>
        <v>26/08/2025,NORTH RYANVILLE</v>
      </c>
      <c r="H1440" s="39" t="str">
        <f>UPPER(Sheet1!J1440 &amp; "," &amp; Sheet1!K1440 &amp; "," &amp; Sheet1!L1440)</f>
        <v>944 LAURA LOCKS SUITE 939,SUITE 757,PIN:39091 SOUTH MICHELLEMOUTH</v>
      </c>
      <c r="I1440" s="8">
        <f>Sheet1!I1440</f>
        <v>46065</v>
      </c>
      <c r="J1440" s="5" t="str">
        <f>Sheet1!M1440 &amp; "," &amp; TEXT(Sheet1!N1440,"dd/mm/yy")</f>
        <v>MHA/IND/01440,24/02/26</v>
      </c>
      <c r="K1440" s="5" t="s">
        <v>5752</v>
      </c>
      <c r="L1440" t="s">
        <v>14</v>
      </c>
      <c r="M1440" s="31" t="s">
        <v>15</v>
      </c>
      <c r="N1440" s="31"/>
    </row>
    <row r="1441" spans="1:14" x14ac:dyDescent="0.25">
      <c r="A1441" s="4" t="str">
        <f>Sheet1!A1441 &amp; "/" &amp; "2025"</f>
        <v>1440/2025</v>
      </c>
      <c r="B1441" s="5" t="str">
        <f>Sheet1!E1441</f>
        <v>IND/MEL/01440</v>
      </c>
      <c r="C1441" s="6" t="str">
        <f>UPPER(Sheet1!B1441)</f>
        <v>JOSHUA MARTINEZ</v>
      </c>
      <c r="D1441" s="7" t="str">
        <f>IF(Sheet1!F1441="F","FEMALE","MALE")</f>
        <v>MALE</v>
      </c>
      <c r="E1441" s="6" t="str">
        <f>UPPER(Sheet1!G1441)</f>
        <v>BRIAN MORRIS</v>
      </c>
      <c r="F1441" s="6" t="str">
        <f>UPPER(Sheet1!H1441)</f>
        <v>ANGIE SMITH</v>
      </c>
      <c r="G1441" s="5" t="str">
        <f>TEXT(Sheet1!C1441,"dd/mm/yyyy") &amp; "," &amp; Sheet1!D1441</f>
        <v>26/08/2025,NORTH RYANVILLE</v>
      </c>
      <c r="H1441" s="39" t="str">
        <f>UPPER(Sheet1!J1441 &amp; "," &amp; Sheet1!K1441 &amp; "," &amp; Sheet1!L1441)</f>
        <v>944 LAURA LOCKS SUITE 939,SUITE 757,PIN:39091 SOUTH MICHELLEMOUTH</v>
      </c>
      <c r="I1441" s="8">
        <f>Sheet1!I1441</f>
        <v>46065</v>
      </c>
      <c r="J1441" s="5" t="str">
        <f>Sheet1!M1441 &amp; "," &amp; TEXT(Sheet1!N1441,"dd/mm/yy")</f>
        <v>MHA/IND/01440,28/02/26</v>
      </c>
      <c r="K1441" s="5" t="s">
        <v>5752</v>
      </c>
      <c r="L1441" t="s">
        <v>14</v>
      </c>
      <c r="M1441" s="31" t="s">
        <v>15</v>
      </c>
      <c r="N1441" s="31"/>
    </row>
  </sheetData>
  <conditionalFormatting sqref="A1:A1441">
    <cfRule type="colorScale" priority="22">
      <colorScale>
        <cfvo type="min"/>
        <cfvo type="max"/>
        <color rgb="FFFF7128"/>
        <color rgb="FFFFEF9C"/>
      </colorScale>
    </cfRule>
  </conditionalFormatting>
  <conditionalFormatting sqref="A2:A1441">
    <cfRule type="expression" dxfId="1" priority="1">
      <formula>$K2="IN PROCESS"</formula>
    </cfRule>
    <cfRule type="expression" dxfId="0" priority="2">
      <formula>$K2="PRINTED"</formula>
    </cfRule>
  </conditionalFormatting>
  <pageMargins left="0.7" right="0.7" top="0.75" bottom="0.75" header="0.3" footer="0.3"/>
  <pageSetup paperSize="9" orientation="portrait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7"/>
  <sheetViews>
    <sheetView workbookViewId="0">
      <selection activeCell="R29" sqref="R29"/>
    </sheetView>
  </sheetViews>
  <sheetFormatPr defaultRowHeight="15" x14ac:dyDescent="0.25"/>
  <cols>
    <col min="1" max="1" width="26.85546875" bestFit="1" customWidth="1"/>
    <col min="2" max="2" width="8.85546875" bestFit="1" customWidth="1"/>
    <col min="3" max="3" width="9.7109375" bestFit="1" customWidth="1"/>
    <col min="4" max="4" width="24.85546875" bestFit="1" customWidth="1"/>
    <col min="5" max="5" width="12" bestFit="1" customWidth="1"/>
  </cols>
  <sheetData>
    <row r="1" spans="1:6" x14ac:dyDescent="0.25">
      <c r="A1" t="s">
        <v>5742</v>
      </c>
      <c r="B1" t="s">
        <v>5743</v>
      </c>
      <c r="C1" t="s">
        <v>5744</v>
      </c>
      <c r="D1" t="s">
        <v>5745</v>
      </c>
      <c r="E1" t="s">
        <v>5746</v>
      </c>
      <c r="F1" t="s">
        <v>5747</v>
      </c>
    </row>
    <row r="2" spans="1:6" x14ac:dyDescent="0.25">
      <c r="A2" s="40">
        <v>45925</v>
      </c>
      <c r="B2">
        <v>235</v>
      </c>
      <c r="C2">
        <f t="shared" ref="C2:C7" si="0">B2*315</f>
        <v>74025</v>
      </c>
      <c r="D2">
        <f t="shared" ref="D2:D7" si="1">B2*0.1</f>
        <v>23.5</v>
      </c>
      <c r="E2">
        <f>((Table5[[#This Row],[Manual]]-Table5[[#This Row],[DocuMate]])/Table5[[#This Row],[Manual]])*100</f>
        <v>99.968253968253975</v>
      </c>
      <c r="F2">
        <f>(Table5[[#This Row],[Manual]]/Table5[[#This Row],[DocuMate]])</f>
        <v>3150</v>
      </c>
    </row>
    <row r="3" spans="1:6" x14ac:dyDescent="0.25">
      <c r="A3" s="40">
        <v>45937</v>
      </c>
      <c r="B3">
        <v>46</v>
      </c>
      <c r="C3">
        <f t="shared" si="0"/>
        <v>14490</v>
      </c>
      <c r="D3">
        <f t="shared" si="1"/>
        <v>4.6000000000000005</v>
      </c>
      <c r="E3">
        <f>((Table5[[#This Row],[Manual]]-Table5[[#This Row],[DocuMate]])/Table5[[#This Row],[Manual]])*100</f>
        <v>99.968253968253961</v>
      </c>
      <c r="F3">
        <f>(Table5[[#This Row],[Manual]]/Table5[[#This Row],[DocuMate]])</f>
        <v>3149.9999999999995</v>
      </c>
    </row>
    <row r="4" spans="1:6" x14ac:dyDescent="0.25">
      <c r="A4" s="40">
        <v>45944</v>
      </c>
      <c r="B4">
        <v>45</v>
      </c>
      <c r="C4">
        <f t="shared" si="0"/>
        <v>14175</v>
      </c>
      <c r="D4">
        <f t="shared" si="1"/>
        <v>4.5</v>
      </c>
      <c r="E4">
        <f>((Table5[[#This Row],[Manual]]-Table5[[#This Row],[DocuMate]])/Table5[[#This Row],[Manual]])*100</f>
        <v>99.968253968253975</v>
      </c>
      <c r="F4">
        <f>(Table5[[#This Row],[Manual]]/Table5[[#This Row],[DocuMate]])</f>
        <v>3150</v>
      </c>
    </row>
    <row r="5" spans="1:6" x14ac:dyDescent="0.25">
      <c r="A5" s="40">
        <v>45959</v>
      </c>
      <c r="B5">
        <v>77</v>
      </c>
      <c r="C5">
        <f t="shared" si="0"/>
        <v>24255</v>
      </c>
      <c r="D5">
        <f t="shared" si="1"/>
        <v>7.7</v>
      </c>
      <c r="E5">
        <f>((Table5[[#This Row],[Manual]]-Table5[[#This Row],[DocuMate]])/Table5[[#This Row],[Manual]])*100</f>
        <v>99.968253968253961</v>
      </c>
      <c r="F5">
        <f>(Table5[[#This Row],[Manual]]/Table5[[#This Row],[DocuMate]])</f>
        <v>3150</v>
      </c>
    </row>
    <row r="6" spans="1:6" x14ac:dyDescent="0.25">
      <c r="A6" s="40">
        <v>46006</v>
      </c>
      <c r="B6">
        <v>251</v>
      </c>
      <c r="C6">
        <f t="shared" si="0"/>
        <v>79065</v>
      </c>
      <c r="D6">
        <f t="shared" si="1"/>
        <v>25.1</v>
      </c>
      <c r="E6">
        <f>((Table5[[#This Row],[Manual]]-Table5[[#This Row],[DocuMate]])/Table5[[#This Row],[Manual]])*100</f>
        <v>99.968253968253961</v>
      </c>
      <c r="F6">
        <f>(Table5[[#This Row],[Manual]]/Table5[[#This Row],[DocuMate]])</f>
        <v>3150</v>
      </c>
    </row>
    <row r="7" spans="1:6" x14ac:dyDescent="0.25">
      <c r="A7" s="40">
        <v>46021</v>
      </c>
      <c r="B7">
        <v>17</v>
      </c>
      <c r="C7">
        <f t="shared" si="0"/>
        <v>5355</v>
      </c>
      <c r="D7">
        <f t="shared" si="1"/>
        <v>1.7000000000000002</v>
      </c>
      <c r="E7">
        <f>((Table5[[#This Row],[Manual]]-Table5[[#This Row],[DocuMate]])/Table5[[#This Row],[Manual]])*100</f>
        <v>99.968253968253975</v>
      </c>
      <c r="F7">
        <f>(Table5[[#This Row],[Manual]]/Table5[[#This Row],[DocuMate]])</f>
        <v>3149.9999999999995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B5"/>
  <sheetViews>
    <sheetView workbookViewId="0">
      <selection activeCell="Y12" sqref="Y12"/>
    </sheetView>
  </sheetViews>
  <sheetFormatPr defaultRowHeight="15" x14ac:dyDescent="0.25"/>
  <cols>
    <col min="1" max="1" width="11.28515625" bestFit="1" customWidth="1"/>
    <col min="2" max="2" width="12.5703125" bestFit="1" customWidth="1"/>
  </cols>
  <sheetData>
    <row r="2" spans="1:2" x14ac:dyDescent="0.25">
      <c r="A2" s="41" t="s">
        <v>3</v>
      </c>
      <c r="B2" t="s">
        <v>5748</v>
      </c>
    </row>
    <row r="3" spans="1:2" x14ac:dyDescent="0.25">
      <c r="A3" t="s">
        <v>5749</v>
      </c>
      <c r="B3">
        <v>382</v>
      </c>
    </row>
    <row r="4" spans="1:2" x14ac:dyDescent="0.25">
      <c r="A4" t="s">
        <v>5750</v>
      </c>
      <c r="B4">
        <v>345</v>
      </c>
    </row>
    <row r="5" spans="1:2" x14ac:dyDescent="0.25">
      <c r="A5" t="s">
        <v>5751</v>
      </c>
      <c r="B5">
        <v>727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DocuMateSRC</vt:lpstr>
      <vt:lpstr>Sheet5</vt:lpstr>
      <vt:lpstr>Sheet7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Cgi Melbourne1</dc:creator>
  <cp:lastModifiedBy>Cgi Melbourne1</cp:lastModifiedBy>
  <dcterms:created xsi:type="dcterms:W3CDTF">2025-09-25T01:32:20Z</dcterms:created>
  <dcterms:modified xsi:type="dcterms:W3CDTF">2026-03-09T05:35:05Z</dcterms:modified>
</cp:coreProperties>
</file>